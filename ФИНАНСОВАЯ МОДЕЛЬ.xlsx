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23670" windowHeight="9585" tabRatio="836" firstSheet="1" activeTab="1"/>
  </bookViews>
  <sheets>
    <sheet name="Вводные данные" sheetId="1" r:id="rId1"/>
    <sheet name="РДДС" sheetId="2" r:id="rId2"/>
    <sheet name="График чистой прибыли" sheetId="3" r:id="rId3"/>
    <sheet name="План-график" sheetId="4" r:id="rId4"/>
    <sheet name="Диаграмма Ганта" sheetId="5" r:id="rId5"/>
    <sheet name="График инвестиц.затрат" sheetId="6" r:id="rId6"/>
    <sheet name="Кредит" sheetId="7" r:id="rId7"/>
    <sheet name="Продукция и цена " sheetId="8" r:id="rId8"/>
    <sheet name="Продажи" sheetId="9" r:id="rId9"/>
    <sheet name="Маркетинг" sheetId="10" r:id="rId10"/>
    <sheet name="Постоянные затраты" sheetId="11" r:id="rId11"/>
    <sheet name="Переменные затраты" sheetId="12" r:id="rId12"/>
    <sheet name="Персонал" sheetId="13" r:id="rId13"/>
    <sheet name="Сдельная оплата труда" sheetId="14" r:id="rId14"/>
    <sheet name="Экономические показ." sheetId="15" r:id="rId15"/>
    <sheet name="Безубыточность" sheetId="16" r:id="rId16"/>
  </sheets>
  <definedNames>
    <definedName name="Excel_BuiltIn_Print_Area_1" localSheetId="1">#REF!</definedName>
    <definedName name="Excel_BuiltIn_Print_Area_1">#REF!</definedName>
    <definedName name="Excel_BuiltIn_Print_Area_2" localSheetId="1">#REF!</definedName>
    <definedName name="Excel_BuiltIn_Print_Area_2">#REF!</definedName>
    <definedName name="Excel_BuiltIn_Print_Titles_1" localSheetId="1">#REF!</definedName>
    <definedName name="Excel_BuiltIn_Print_Titles_1">#REF!</definedName>
    <definedName name="Print_Titles" localSheetId="1">РДДС!$A:$B,РДДС!$2:$5</definedName>
  </definedNames>
  <calcPr calcId="125725"/>
</workbook>
</file>

<file path=xl/calcChain.xml><?xml version="1.0" encoding="utf-8"?>
<calcChain xmlns="http://schemas.openxmlformats.org/spreadsheetml/2006/main">
  <c r="B54" i="12"/>
  <c r="B42"/>
  <c r="B30"/>
  <c r="B6"/>
  <c r="B102"/>
  <c r="F19" i="4" l="1"/>
  <c r="E5" i="15" s="1"/>
  <c r="N6" i="11"/>
  <c r="A30" i="16"/>
  <c r="A29"/>
  <c r="A28"/>
  <c r="A27"/>
  <c r="A26"/>
  <c r="A25"/>
  <c r="A24"/>
  <c r="A23"/>
  <c r="A22"/>
  <c r="A21"/>
  <c r="A14"/>
  <c r="A13"/>
  <c r="A12"/>
  <c r="A11"/>
  <c r="A10"/>
  <c r="A9"/>
  <c r="A8"/>
  <c r="A7"/>
  <c r="A6"/>
  <c r="A5"/>
  <c r="C265" i="14"/>
  <c r="D265" s="1"/>
  <c r="E265" s="1"/>
  <c r="F265" s="1"/>
  <c r="N264"/>
  <c r="M264"/>
  <c r="L264"/>
  <c r="K264"/>
  <c r="J264"/>
  <c r="I264"/>
  <c r="H264"/>
  <c r="G264"/>
  <c r="F264"/>
  <c r="E264"/>
  <c r="D264"/>
  <c r="C264"/>
  <c r="O264" s="1"/>
  <c r="AO261"/>
  <c r="AN261"/>
  <c r="AM261"/>
  <c r="AL261"/>
  <c r="AK261"/>
  <c r="AJ261"/>
  <c r="AI261"/>
  <c r="AH261"/>
  <c r="AG261"/>
  <c r="AF261"/>
  <c r="AE261"/>
  <c r="AD261"/>
  <c r="AC261"/>
  <c r="AB261"/>
  <c r="AA261"/>
  <c r="Z261"/>
  <c r="Y261"/>
  <c r="X261"/>
  <c r="W261"/>
  <c r="V261"/>
  <c r="U261"/>
  <c r="T261"/>
  <c r="S261"/>
  <c r="R261"/>
  <c r="Q261"/>
  <c r="P261"/>
  <c r="O261"/>
  <c r="N261"/>
  <c r="M261"/>
  <c r="L261"/>
  <c r="K261"/>
  <c r="J261"/>
  <c r="I261"/>
  <c r="H261"/>
  <c r="G261"/>
  <c r="F261"/>
  <c r="E261"/>
  <c r="D261"/>
  <c r="C261"/>
  <c r="C260"/>
  <c r="D260" s="1"/>
  <c r="E260" s="1"/>
  <c r="F260" s="1"/>
  <c r="G260" s="1"/>
  <c r="H260" s="1"/>
  <c r="I260" s="1"/>
  <c r="J260" s="1"/>
  <c r="K260" s="1"/>
  <c r="L260" s="1"/>
  <c r="M260" s="1"/>
  <c r="N260" s="1"/>
  <c r="N259"/>
  <c r="M259"/>
  <c r="L259"/>
  <c r="K259"/>
  <c r="J259"/>
  <c r="I259"/>
  <c r="H259"/>
  <c r="G259"/>
  <c r="F259"/>
  <c r="E259"/>
  <c r="D259"/>
  <c r="C259"/>
  <c r="O259" s="1"/>
  <c r="AO256"/>
  <c r="AN256"/>
  <c r="AM256"/>
  <c r="AL256"/>
  <c r="AK256"/>
  <c r="AJ256"/>
  <c r="AI256"/>
  <c r="AH256"/>
  <c r="AG256"/>
  <c r="AF256"/>
  <c r="AE256"/>
  <c r="AD256"/>
  <c r="AC256"/>
  <c r="AB256"/>
  <c r="AA256"/>
  <c r="Z256"/>
  <c r="Y256"/>
  <c r="X256"/>
  <c r="W256"/>
  <c r="V256"/>
  <c r="U256"/>
  <c r="T256"/>
  <c r="S256"/>
  <c r="R256"/>
  <c r="Q256"/>
  <c r="P256"/>
  <c r="O256"/>
  <c r="N256"/>
  <c r="M256"/>
  <c r="L256"/>
  <c r="K256"/>
  <c r="J256"/>
  <c r="I256"/>
  <c r="H256"/>
  <c r="G256"/>
  <c r="F256"/>
  <c r="E256"/>
  <c r="D256"/>
  <c r="C256"/>
  <c r="C255"/>
  <c r="D255" s="1"/>
  <c r="E255" s="1"/>
  <c r="N254"/>
  <c r="M254"/>
  <c r="L254"/>
  <c r="K254"/>
  <c r="J254"/>
  <c r="I254"/>
  <c r="H254"/>
  <c r="G254"/>
  <c r="F254"/>
  <c r="E254"/>
  <c r="D254"/>
  <c r="C254"/>
  <c r="O254" s="1"/>
  <c r="AO251"/>
  <c r="AN251"/>
  <c r="AM251"/>
  <c r="AL251"/>
  <c r="AK251"/>
  <c r="AJ251"/>
  <c r="AI251"/>
  <c r="AH251"/>
  <c r="AG251"/>
  <c r="AF251"/>
  <c r="AE251"/>
  <c r="AD251"/>
  <c r="AC251"/>
  <c r="AB251"/>
  <c r="AA251"/>
  <c r="Z251"/>
  <c r="Y251"/>
  <c r="X251"/>
  <c r="W251"/>
  <c r="V251"/>
  <c r="U251"/>
  <c r="T251"/>
  <c r="S251"/>
  <c r="R251"/>
  <c r="Q251"/>
  <c r="P251"/>
  <c r="O251"/>
  <c r="N251"/>
  <c r="M251"/>
  <c r="L251"/>
  <c r="K251"/>
  <c r="J251"/>
  <c r="I251"/>
  <c r="H251"/>
  <c r="G251"/>
  <c r="F251"/>
  <c r="E251"/>
  <c r="D251"/>
  <c r="C251"/>
  <c r="D250"/>
  <c r="E250" s="1"/>
  <c r="C250"/>
  <c r="N249"/>
  <c r="M249"/>
  <c r="L249"/>
  <c r="K249"/>
  <c r="J249"/>
  <c r="I249"/>
  <c r="H249"/>
  <c r="G249"/>
  <c r="F249"/>
  <c r="E249"/>
  <c r="D249"/>
  <c r="C249"/>
  <c r="O249" s="1"/>
  <c r="AO246"/>
  <c r="AN246"/>
  <c r="AM246"/>
  <c r="AL246"/>
  <c r="AK246"/>
  <c r="AJ246"/>
  <c r="AI246"/>
  <c r="AH246"/>
  <c r="AG246"/>
  <c r="AF246"/>
  <c r="AE246"/>
  <c r="AD246"/>
  <c r="AC246"/>
  <c r="AB246"/>
  <c r="AA246"/>
  <c r="Z246"/>
  <c r="Y246"/>
  <c r="X246"/>
  <c r="W246"/>
  <c r="V246"/>
  <c r="U246"/>
  <c r="T246"/>
  <c r="S246"/>
  <c r="R246"/>
  <c r="Q246"/>
  <c r="P246"/>
  <c r="O246"/>
  <c r="N246"/>
  <c r="M246"/>
  <c r="L246"/>
  <c r="K246"/>
  <c r="J246"/>
  <c r="I246"/>
  <c r="H246"/>
  <c r="G246"/>
  <c r="F246"/>
  <c r="E246"/>
  <c r="D246"/>
  <c r="C246"/>
  <c r="D245"/>
  <c r="E245" s="1"/>
  <c r="F245" s="1"/>
  <c r="C245"/>
  <c r="N244"/>
  <c r="M244"/>
  <c r="L244"/>
  <c r="K244"/>
  <c r="J244"/>
  <c r="I244"/>
  <c r="H244"/>
  <c r="G244"/>
  <c r="F244"/>
  <c r="E244"/>
  <c r="D244"/>
  <c r="C244"/>
  <c r="O244" s="1"/>
  <c r="AO241"/>
  <c r="AN241"/>
  <c r="AM241"/>
  <c r="AL241"/>
  <c r="AK241"/>
  <c r="AJ241"/>
  <c r="AI241"/>
  <c r="AH241"/>
  <c r="AG241"/>
  <c r="AF241"/>
  <c r="AE241"/>
  <c r="AD241"/>
  <c r="AC241"/>
  <c r="AB241"/>
  <c r="AA241"/>
  <c r="Z241"/>
  <c r="Y241"/>
  <c r="X241"/>
  <c r="W241"/>
  <c r="V241"/>
  <c r="U241"/>
  <c r="T241"/>
  <c r="S241"/>
  <c r="R241"/>
  <c r="Q241"/>
  <c r="P241"/>
  <c r="O241"/>
  <c r="N241"/>
  <c r="M241"/>
  <c r="L241"/>
  <c r="K241"/>
  <c r="J241"/>
  <c r="I241"/>
  <c r="H241"/>
  <c r="G241"/>
  <c r="F241"/>
  <c r="E241"/>
  <c r="D241"/>
  <c r="C241"/>
  <c r="AN240"/>
  <c r="AM240"/>
  <c r="AL240"/>
  <c r="AK240"/>
  <c r="AJ240"/>
  <c r="AI240"/>
  <c r="AH240"/>
  <c r="AG240"/>
  <c r="AF240"/>
  <c r="AE240"/>
  <c r="AD240"/>
  <c r="AC240"/>
  <c r="AA240"/>
  <c r="Z240"/>
  <c r="Y240"/>
  <c r="X240"/>
  <c r="W240"/>
  <c r="V240"/>
  <c r="U240"/>
  <c r="T240"/>
  <c r="S240"/>
  <c r="R240"/>
  <c r="Q240"/>
  <c r="P240"/>
  <c r="N240"/>
  <c r="M240"/>
  <c r="L240"/>
  <c r="K240"/>
  <c r="J240"/>
  <c r="I240"/>
  <c r="H240"/>
  <c r="G240"/>
  <c r="F240"/>
  <c r="E240"/>
  <c r="D240"/>
  <c r="C240"/>
  <c r="B240"/>
  <c r="C239"/>
  <c r="D239" s="1"/>
  <c r="M238"/>
  <c r="L238"/>
  <c r="K238"/>
  <c r="I238"/>
  <c r="H238"/>
  <c r="G238"/>
  <c r="E238"/>
  <c r="D238"/>
  <c r="C238"/>
  <c r="AN235"/>
  <c r="AM235"/>
  <c r="AL235"/>
  <c r="AK235"/>
  <c r="AJ235"/>
  <c r="AI235"/>
  <c r="AH235"/>
  <c r="AG235"/>
  <c r="AF235"/>
  <c r="AE235"/>
  <c r="AD235"/>
  <c r="AC235"/>
  <c r="AA235"/>
  <c r="Z235"/>
  <c r="Y235"/>
  <c r="X235"/>
  <c r="W235"/>
  <c r="V235"/>
  <c r="U235"/>
  <c r="T235"/>
  <c r="S235"/>
  <c r="R235"/>
  <c r="AB235" s="1"/>
  <c r="Q235"/>
  <c r="P235"/>
  <c r="N235"/>
  <c r="N238" s="1"/>
  <c r="M235"/>
  <c r="L235"/>
  <c r="K235"/>
  <c r="J235"/>
  <c r="J238" s="1"/>
  <c r="I235"/>
  <c r="H235"/>
  <c r="G235"/>
  <c r="F235"/>
  <c r="F238" s="1"/>
  <c r="E235"/>
  <c r="D235"/>
  <c r="C235"/>
  <c r="D234"/>
  <c r="E234" s="1"/>
  <c r="F234" s="1"/>
  <c r="G234" s="1"/>
  <c r="H234" s="1"/>
  <c r="I234" s="1"/>
  <c r="J234" s="1"/>
  <c r="K234" s="1"/>
  <c r="L234" s="1"/>
  <c r="M234" s="1"/>
  <c r="N234" s="1"/>
  <c r="C234"/>
  <c r="N233"/>
  <c r="L233"/>
  <c r="J233"/>
  <c r="H233"/>
  <c r="F233"/>
  <c r="D233"/>
  <c r="AN230"/>
  <c r="AM230"/>
  <c r="AL230"/>
  <c r="AK230"/>
  <c r="AJ230"/>
  <c r="AI230"/>
  <c r="AH230"/>
  <c r="AG230"/>
  <c r="AF230"/>
  <c r="AE230"/>
  <c r="AD230"/>
  <c r="AC230"/>
  <c r="AO230" s="1"/>
  <c r="AA230"/>
  <c r="Z230"/>
  <c r="Y230"/>
  <c r="X230"/>
  <c r="W230"/>
  <c r="V230"/>
  <c r="U230"/>
  <c r="T230"/>
  <c r="S230"/>
  <c r="R230"/>
  <c r="Q230"/>
  <c r="P230"/>
  <c r="N230"/>
  <c r="M230"/>
  <c r="M233" s="1"/>
  <c r="L230"/>
  <c r="K230"/>
  <c r="K233" s="1"/>
  <c r="J230"/>
  <c r="I230"/>
  <c r="I233" s="1"/>
  <c r="H230"/>
  <c r="G230"/>
  <c r="G233" s="1"/>
  <c r="F230"/>
  <c r="E230"/>
  <c r="E233" s="1"/>
  <c r="D230"/>
  <c r="C230"/>
  <c r="C233" s="1"/>
  <c r="D229"/>
  <c r="E229" s="1"/>
  <c r="F229" s="1"/>
  <c r="G229" s="1"/>
  <c r="H229" s="1"/>
  <c r="I229" s="1"/>
  <c r="J229" s="1"/>
  <c r="K229" s="1"/>
  <c r="L229" s="1"/>
  <c r="M229" s="1"/>
  <c r="N229" s="1"/>
  <c r="C229"/>
  <c r="M228"/>
  <c r="K228"/>
  <c r="I228"/>
  <c r="G228"/>
  <c r="E228"/>
  <c r="C228"/>
  <c r="AN225"/>
  <c r="AM225"/>
  <c r="AL225"/>
  <c r="AK225"/>
  <c r="AJ225"/>
  <c r="AI225"/>
  <c r="AH225"/>
  <c r="AG225"/>
  <c r="AF225"/>
  <c r="AE225"/>
  <c r="AD225"/>
  <c r="AC225"/>
  <c r="AA225"/>
  <c r="Z225"/>
  <c r="Y225"/>
  <c r="X225"/>
  <c r="W225"/>
  <c r="V225"/>
  <c r="U225"/>
  <c r="T225"/>
  <c r="S225"/>
  <c r="R225"/>
  <c r="Q225"/>
  <c r="P225"/>
  <c r="N225"/>
  <c r="N228" s="1"/>
  <c r="M225"/>
  <c r="L225"/>
  <c r="L228" s="1"/>
  <c r="K225"/>
  <c r="J225"/>
  <c r="J228" s="1"/>
  <c r="I225"/>
  <c r="H225"/>
  <c r="H228" s="1"/>
  <c r="G225"/>
  <c r="F225"/>
  <c r="F228" s="1"/>
  <c r="E225"/>
  <c r="D225"/>
  <c r="D228" s="1"/>
  <c r="C225"/>
  <c r="C224"/>
  <c r="N223"/>
  <c r="L223"/>
  <c r="J223"/>
  <c r="H223"/>
  <c r="F223"/>
  <c r="D223"/>
  <c r="AN220"/>
  <c r="AM220"/>
  <c r="AL220"/>
  <c r="AK220"/>
  <c r="AJ220"/>
  <c r="AI220"/>
  <c r="AH220"/>
  <c r="AG220"/>
  <c r="AF220"/>
  <c r="AE220"/>
  <c r="AD220"/>
  <c r="AC220"/>
  <c r="AA220"/>
  <c r="Z220"/>
  <c r="Y220"/>
  <c r="X220"/>
  <c r="W220"/>
  <c r="V220"/>
  <c r="U220"/>
  <c r="T220"/>
  <c r="S220"/>
  <c r="R220"/>
  <c r="Q220"/>
  <c r="P220"/>
  <c r="AB220" s="1"/>
  <c r="N220"/>
  <c r="M220"/>
  <c r="M223" s="1"/>
  <c r="L220"/>
  <c r="K220"/>
  <c r="K223" s="1"/>
  <c r="J220"/>
  <c r="I220"/>
  <c r="I223" s="1"/>
  <c r="H220"/>
  <c r="G220"/>
  <c r="G223" s="1"/>
  <c r="F220"/>
  <c r="E220"/>
  <c r="E223" s="1"/>
  <c r="D220"/>
  <c r="C220"/>
  <c r="C219"/>
  <c r="D219" s="1"/>
  <c r="E219" s="1"/>
  <c r="F219" s="1"/>
  <c r="G219" s="1"/>
  <c r="H219" s="1"/>
  <c r="I219" s="1"/>
  <c r="J219" s="1"/>
  <c r="K219" s="1"/>
  <c r="L219" s="1"/>
  <c r="M219" s="1"/>
  <c r="N219" s="1"/>
  <c r="M218"/>
  <c r="K218"/>
  <c r="I218"/>
  <c r="G218"/>
  <c r="E218"/>
  <c r="C218"/>
  <c r="AN215"/>
  <c r="AN214" s="1"/>
  <c r="AM215"/>
  <c r="AL215"/>
  <c r="AK215"/>
  <c r="AJ215"/>
  <c r="AJ214" s="1"/>
  <c r="AI215"/>
  <c r="AH215"/>
  <c r="AG215"/>
  <c r="AF215"/>
  <c r="AF214" s="1"/>
  <c r="AE215"/>
  <c r="AD215"/>
  <c r="AC215"/>
  <c r="AA215"/>
  <c r="Z215"/>
  <c r="Y215"/>
  <c r="X215"/>
  <c r="X214" s="1"/>
  <c r="W215"/>
  <c r="V215"/>
  <c r="U215"/>
  <c r="T215"/>
  <c r="T214" s="1"/>
  <c r="S215"/>
  <c r="R215"/>
  <c r="Q215"/>
  <c r="P215"/>
  <c r="N215"/>
  <c r="M215"/>
  <c r="L215"/>
  <c r="L214" s="1"/>
  <c r="K215"/>
  <c r="J215"/>
  <c r="I215"/>
  <c r="H215"/>
  <c r="H214" s="1"/>
  <c r="G215"/>
  <c r="F215"/>
  <c r="E215"/>
  <c r="D215"/>
  <c r="D214" s="1"/>
  <c r="C215"/>
  <c r="AM214"/>
  <c r="AK214"/>
  <c r="AI214"/>
  <c r="AG214"/>
  <c r="AE214"/>
  <c r="AC214"/>
  <c r="AA214"/>
  <c r="Y214"/>
  <c r="W214"/>
  <c r="U214"/>
  <c r="S214"/>
  <c r="Q214"/>
  <c r="M214"/>
  <c r="K214"/>
  <c r="G214"/>
  <c r="E214"/>
  <c r="C214"/>
  <c r="B214"/>
  <c r="C213"/>
  <c r="N212"/>
  <c r="L212"/>
  <c r="J212"/>
  <c r="H212"/>
  <c r="F212"/>
  <c r="D212"/>
  <c r="AN209"/>
  <c r="AM209"/>
  <c r="AL209"/>
  <c r="AK209"/>
  <c r="AJ209"/>
  <c r="AI209"/>
  <c r="AH209"/>
  <c r="AG209"/>
  <c r="AF209"/>
  <c r="AE209"/>
  <c r="AD209"/>
  <c r="AC209"/>
  <c r="AA209"/>
  <c r="Z209"/>
  <c r="Y209"/>
  <c r="X209"/>
  <c r="W209"/>
  <c r="V209"/>
  <c r="U209"/>
  <c r="T209"/>
  <c r="S209"/>
  <c r="R209"/>
  <c r="Q209"/>
  <c r="P209"/>
  <c r="AB209" s="1"/>
  <c r="N209"/>
  <c r="M209"/>
  <c r="M212" s="1"/>
  <c r="L209"/>
  <c r="K209"/>
  <c r="K212" s="1"/>
  <c r="J209"/>
  <c r="I209"/>
  <c r="I212" s="1"/>
  <c r="H209"/>
  <c r="G209"/>
  <c r="G212" s="1"/>
  <c r="F209"/>
  <c r="E209"/>
  <c r="E212" s="1"/>
  <c r="D209"/>
  <c r="C209"/>
  <c r="C212" s="1"/>
  <c r="C208"/>
  <c r="D208" s="1"/>
  <c r="E208" s="1"/>
  <c r="F208" s="1"/>
  <c r="G208" s="1"/>
  <c r="H208" s="1"/>
  <c r="I208" s="1"/>
  <c r="J208" s="1"/>
  <c r="K208" s="1"/>
  <c r="L208" s="1"/>
  <c r="M208" s="1"/>
  <c r="N208" s="1"/>
  <c r="M207"/>
  <c r="K207"/>
  <c r="I207"/>
  <c r="G207"/>
  <c r="E207"/>
  <c r="C207"/>
  <c r="AN204"/>
  <c r="AM204"/>
  <c r="AL204"/>
  <c r="AK204"/>
  <c r="AJ204"/>
  <c r="AI204"/>
  <c r="AH204"/>
  <c r="AG204"/>
  <c r="AF204"/>
  <c r="AE204"/>
  <c r="AD204"/>
  <c r="AC204"/>
  <c r="AO204" s="1"/>
  <c r="AA204"/>
  <c r="Z204"/>
  <c r="Y204"/>
  <c r="X204"/>
  <c r="W204"/>
  <c r="V204"/>
  <c r="U204"/>
  <c r="T204"/>
  <c r="S204"/>
  <c r="R204"/>
  <c r="Q204"/>
  <c r="P204"/>
  <c r="N204"/>
  <c r="N207" s="1"/>
  <c r="M204"/>
  <c r="L204"/>
  <c r="L207" s="1"/>
  <c r="K204"/>
  <c r="J204"/>
  <c r="J207" s="1"/>
  <c r="I204"/>
  <c r="H204"/>
  <c r="H207" s="1"/>
  <c r="G204"/>
  <c r="F204"/>
  <c r="F207" s="1"/>
  <c r="E204"/>
  <c r="D204"/>
  <c r="D207" s="1"/>
  <c r="C204"/>
  <c r="C203"/>
  <c r="D203" s="1"/>
  <c r="E203" s="1"/>
  <c r="F203" s="1"/>
  <c r="G203" s="1"/>
  <c r="H203" s="1"/>
  <c r="I203" s="1"/>
  <c r="J203" s="1"/>
  <c r="K203" s="1"/>
  <c r="L203" s="1"/>
  <c r="M203" s="1"/>
  <c r="N203" s="1"/>
  <c r="M202"/>
  <c r="I202"/>
  <c r="E202"/>
  <c r="AN199"/>
  <c r="AM199"/>
  <c r="AM188" s="1"/>
  <c r="AL199"/>
  <c r="AK199"/>
  <c r="AJ199"/>
  <c r="AI199"/>
  <c r="AI188" s="1"/>
  <c r="AH199"/>
  <c r="AG199"/>
  <c r="AF199"/>
  <c r="AE199"/>
  <c r="AE188" s="1"/>
  <c r="AD199"/>
  <c r="AC199"/>
  <c r="AA199"/>
  <c r="AA188" s="1"/>
  <c r="Z199"/>
  <c r="Y199"/>
  <c r="X199"/>
  <c r="W199"/>
  <c r="W188" s="1"/>
  <c r="V199"/>
  <c r="U199"/>
  <c r="T199"/>
  <c r="S199"/>
  <c r="R199"/>
  <c r="Q199"/>
  <c r="P199"/>
  <c r="N199"/>
  <c r="N202" s="1"/>
  <c r="M199"/>
  <c r="L199"/>
  <c r="L202" s="1"/>
  <c r="K199"/>
  <c r="K202" s="1"/>
  <c r="J199"/>
  <c r="J202" s="1"/>
  <c r="I199"/>
  <c r="H199"/>
  <c r="H202" s="1"/>
  <c r="G199"/>
  <c r="G202" s="1"/>
  <c r="F199"/>
  <c r="F202" s="1"/>
  <c r="E199"/>
  <c r="D199"/>
  <c r="D202" s="1"/>
  <c r="C199"/>
  <c r="O199" s="1"/>
  <c r="C198"/>
  <c r="N197"/>
  <c r="J197"/>
  <c r="F197"/>
  <c r="AN194"/>
  <c r="AM194"/>
  <c r="AL194"/>
  <c r="AK194"/>
  <c r="AJ194"/>
  <c r="AI194"/>
  <c r="AH194"/>
  <c r="AG194"/>
  <c r="AF194"/>
  <c r="AE194"/>
  <c r="AD194"/>
  <c r="AC194"/>
  <c r="AA194"/>
  <c r="Z194"/>
  <c r="Y194"/>
  <c r="X194"/>
  <c r="W194"/>
  <c r="V194"/>
  <c r="U194"/>
  <c r="T194"/>
  <c r="S194"/>
  <c r="R194"/>
  <c r="Q194"/>
  <c r="P194"/>
  <c r="AB194" s="1"/>
  <c r="N194"/>
  <c r="M194"/>
  <c r="M197" s="1"/>
  <c r="L194"/>
  <c r="L197" s="1"/>
  <c r="K194"/>
  <c r="K197" s="1"/>
  <c r="J194"/>
  <c r="I194"/>
  <c r="I197" s="1"/>
  <c r="H194"/>
  <c r="H197" s="1"/>
  <c r="G194"/>
  <c r="G197" s="1"/>
  <c r="F194"/>
  <c r="E194"/>
  <c r="E197" s="1"/>
  <c r="D194"/>
  <c r="D197" s="1"/>
  <c r="C194"/>
  <c r="C197" s="1"/>
  <c r="C193"/>
  <c r="D193" s="1"/>
  <c r="E193" s="1"/>
  <c r="F193" s="1"/>
  <c r="G193" s="1"/>
  <c r="H193" s="1"/>
  <c r="I193" s="1"/>
  <c r="J193" s="1"/>
  <c r="K193" s="1"/>
  <c r="L193" s="1"/>
  <c r="M193" s="1"/>
  <c r="N193" s="1"/>
  <c r="K192"/>
  <c r="G192"/>
  <c r="C192"/>
  <c r="AN189"/>
  <c r="AM189"/>
  <c r="AL189"/>
  <c r="AK189"/>
  <c r="AJ189"/>
  <c r="AI189"/>
  <c r="AH189"/>
  <c r="AG189"/>
  <c r="AF189"/>
  <c r="AE189"/>
  <c r="AD189"/>
  <c r="AC189"/>
  <c r="AO189" s="1"/>
  <c r="AA189"/>
  <c r="Z189"/>
  <c r="Y189"/>
  <c r="X189"/>
  <c r="W189"/>
  <c r="V189"/>
  <c r="U189"/>
  <c r="T189"/>
  <c r="S189"/>
  <c r="R189"/>
  <c r="Q189"/>
  <c r="P189"/>
  <c r="N189"/>
  <c r="N192" s="1"/>
  <c r="M189"/>
  <c r="M192" s="1"/>
  <c r="L189"/>
  <c r="L192" s="1"/>
  <c r="K189"/>
  <c r="J189"/>
  <c r="J192" s="1"/>
  <c r="I189"/>
  <c r="I192" s="1"/>
  <c r="H189"/>
  <c r="H192" s="1"/>
  <c r="G189"/>
  <c r="F189"/>
  <c r="F192" s="1"/>
  <c r="E189"/>
  <c r="E192" s="1"/>
  <c r="D189"/>
  <c r="D192" s="1"/>
  <c r="C189"/>
  <c r="O189" s="1"/>
  <c r="AN188"/>
  <c r="AK188"/>
  <c r="AJ188"/>
  <c r="AG188"/>
  <c r="AF188"/>
  <c r="AC188"/>
  <c r="Y188"/>
  <c r="X188"/>
  <c r="U188"/>
  <c r="T188"/>
  <c r="Q188"/>
  <c r="P188"/>
  <c r="M188"/>
  <c r="L188"/>
  <c r="I188"/>
  <c r="H188"/>
  <c r="E188"/>
  <c r="D188"/>
  <c r="B188"/>
  <c r="C187"/>
  <c r="D187" s="1"/>
  <c r="E187" s="1"/>
  <c r="F187" s="1"/>
  <c r="G187" s="1"/>
  <c r="H187" s="1"/>
  <c r="I187" s="1"/>
  <c r="J187" s="1"/>
  <c r="K187" s="1"/>
  <c r="L187" s="1"/>
  <c r="M187" s="1"/>
  <c r="N187" s="1"/>
  <c r="L186"/>
  <c r="H186"/>
  <c r="D186"/>
  <c r="AN183"/>
  <c r="AM183"/>
  <c r="AL183"/>
  <c r="AK183"/>
  <c r="AJ183"/>
  <c r="AI183"/>
  <c r="AH183"/>
  <c r="AG183"/>
  <c r="AF183"/>
  <c r="AE183"/>
  <c r="AD183"/>
  <c r="AC183"/>
  <c r="AA183"/>
  <c r="Z183"/>
  <c r="Y183"/>
  <c r="X183"/>
  <c r="W183"/>
  <c r="V183"/>
  <c r="U183"/>
  <c r="T183"/>
  <c r="S183"/>
  <c r="R183"/>
  <c r="Q183"/>
  <c r="P183"/>
  <c r="AB183" s="1"/>
  <c r="N183"/>
  <c r="N186" s="1"/>
  <c r="M183"/>
  <c r="M186" s="1"/>
  <c r="L183"/>
  <c r="K183"/>
  <c r="K186" s="1"/>
  <c r="J183"/>
  <c r="J186" s="1"/>
  <c r="I183"/>
  <c r="I186" s="1"/>
  <c r="H183"/>
  <c r="G183"/>
  <c r="G186" s="1"/>
  <c r="F183"/>
  <c r="F186" s="1"/>
  <c r="E183"/>
  <c r="E186" s="1"/>
  <c r="D183"/>
  <c r="C183"/>
  <c r="C186" s="1"/>
  <c r="C182"/>
  <c r="M181"/>
  <c r="I181"/>
  <c r="E181"/>
  <c r="AN178"/>
  <c r="AM178"/>
  <c r="AL178"/>
  <c r="AK178"/>
  <c r="AJ178"/>
  <c r="AI178"/>
  <c r="AH178"/>
  <c r="AG178"/>
  <c r="AF178"/>
  <c r="AE178"/>
  <c r="AD178"/>
  <c r="AC178"/>
  <c r="AO178" s="1"/>
  <c r="AA178"/>
  <c r="Z178"/>
  <c r="Y178"/>
  <c r="X178"/>
  <c r="W178"/>
  <c r="V178"/>
  <c r="U178"/>
  <c r="T178"/>
  <c r="S178"/>
  <c r="R178"/>
  <c r="Q178"/>
  <c r="P178"/>
  <c r="N178"/>
  <c r="N181" s="1"/>
  <c r="M178"/>
  <c r="L178"/>
  <c r="L181" s="1"/>
  <c r="K178"/>
  <c r="K181" s="1"/>
  <c r="J178"/>
  <c r="J181" s="1"/>
  <c r="I178"/>
  <c r="H178"/>
  <c r="H181" s="1"/>
  <c r="G178"/>
  <c r="G181" s="1"/>
  <c r="F178"/>
  <c r="F181" s="1"/>
  <c r="E178"/>
  <c r="D178"/>
  <c r="D181" s="1"/>
  <c r="C178"/>
  <c r="O178" s="1"/>
  <c r="C177"/>
  <c r="N176"/>
  <c r="J176"/>
  <c r="F176"/>
  <c r="AN173"/>
  <c r="AM173"/>
  <c r="AL173"/>
  <c r="AK173"/>
  <c r="AJ173"/>
  <c r="AI173"/>
  <c r="AH173"/>
  <c r="AG173"/>
  <c r="AF173"/>
  <c r="AE173"/>
  <c r="AD173"/>
  <c r="AC173"/>
  <c r="AA173"/>
  <c r="Z173"/>
  <c r="Y173"/>
  <c r="X173"/>
  <c r="W173"/>
  <c r="V173"/>
  <c r="U173"/>
  <c r="T173"/>
  <c r="S173"/>
  <c r="R173"/>
  <c r="Q173"/>
  <c r="P173"/>
  <c r="AB173" s="1"/>
  <c r="N173"/>
  <c r="M173"/>
  <c r="M176" s="1"/>
  <c r="L173"/>
  <c r="L176" s="1"/>
  <c r="K173"/>
  <c r="K176" s="1"/>
  <c r="J173"/>
  <c r="I173"/>
  <c r="I176" s="1"/>
  <c r="H173"/>
  <c r="H176" s="1"/>
  <c r="G173"/>
  <c r="G176" s="1"/>
  <c r="F173"/>
  <c r="E173"/>
  <c r="E176" s="1"/>
  <c r="D173"/>
  <c r="D176" s="1"/>
  <c r="C173"/>
  <c r="C176" s="1"/>
  <c r="C172"/>
  <c r="D172" s="1"/>
  <c r="E172" s="1"/>
  <c r="F172" s="1"/>
  <c r="G172" s="1"/>
  <c r="H172" s="1"/>
  <c r="I172" s="1"/>
  <c r="J172" s="1"/>
  <c r="K172" s="1"/>
  <c r="L172" s="1"/>
  <c r="M172" s="1"/>
  <c r="N172" s="1"/>
  <c r="K171"/>
  <c r="G171"/>
  <c r="C171"/>
  <c r="AN168"/>
  <c r="AM168"/>
  <c r="AL168"/>
  <c r="AK168"/>
  <c r="AJ168"/>
  <c r="AI168"/>
  <c r="AH168"/>
  <c r="AG168"/>
  <c r="AF168"/>
  <c r="AE168"/>
  <c r="AD168"/>
  <c r="AC168"/>
  <c r="AO168" s="1"/>
  <c r="AA168"/>
  <c r="Z168"/>
  <c r="Y168"/>
  <c r="X168"/>
  <c r="W168"/>
  <c r="V168"/>
  <c r="U168"/>
  <c r="T168"/>
  <c r="S168"/>
  <c r="R168"/>
  <c r="Q168"/>
  <c r="P168"/>
  <c r="N168"/>
  <c r="N171" s="1"/>
  <c r="M168"/>
  <c r="M171" s="1"/>
  <c r="L168"/>
  <c r="L171" s="1"/>
  <c r="K168"/>
  <c r="J168"/>
  <c r="J171" s="1"/>
  <c r="I168"/>
  <c r="I171" s="1"/>
  <c r="H168"/>
  <c r="H171" s="1"/>
  <c r="G168"/>
  <c r="F168"/>
  <c r="F171" s="1"/>
  <c r="E168"/>
  <c r="E171" s="1"/>
  <c r="D168"/>
  <c r="D171" s="1"/>
  <c r="C168"/>
  <c r="C167"/>
  <c r="D167" s="1"/>
  <c r="E167" s="1"/>
  <c r="F167" s="1"/>
  <c r="G167" s="1"/>
  <c r="H167" s="1"/>
  <c r="I167" s="1"/>
  <c r="J167" s="1"/>
  <c r="K167" s="1"/>
  <c r="L167" s="1"/>
  <c r="M167" s="1"/>
  <c r="N167" s="1"/>
  <c r="L166"/>
  <c r="K166"/>
  <c r="H166"/>
  <c r="D166"/>
  <c r="C166"/>
  <c r="AN163"/>
  <c r="AM163"/>
  <c r="AM162" s="1"/>
  <c r="AL163"/>
  <c r="AK163"/>
  <c r="AJ163"/>
  <c r="AI163"/>
  <c r="AI162" s="1"/>
  <c r="AH163"/>
  <c r="AH162" s="1"/>
  <c r="AG163"/>
  <c r="AF163"/>
  <c r="AE163"/>
  <c r="AE162" s="1"/>
  <c r="AD163"/>
  <c r="AC163"/>
  <c r="AA163"/>
  <c r="AA162" s="1"/>
  <c r="Z163"/>
  <c r="Y163"/>
  <c r="X163"/>
  <c r="W163"/>
  <c r="W162" s="1"/>
  <c r="V163"/>
  <c r="U163"/>
  <c r="T163"/>
  <c r="S163"/>
  <c r="S162" s="1"/>
  <c r="R163"/>
  <c r="Q163"/>
  <c r="P163"/>
  <c r="AB163" s="1"/>
  <c r="N163"/>
  <c r="N166" s="1"/>
  <c r="M163"/>
  <c r="M166" s="1"/>
  <c r="L163"/>
  <c r="K163"/>
  <c r="K162" s="1"/>
  <c r="J163"/>
  <c r="J166" s="1"/>
  <c r="I163"/>
  <c r="I166" s="1"/>
  <c r="H163"/>
  <c r="G163"/>
  <c r="G162" s="1"/>
  <c r="F163"/>
  <c r="F166" s="1"/>
  <c r="E163"/>
  <c r="E166" s="1"/>
  <c r="D163"/>
  <c r="C163"/>
  <c r="C162" s="1"/>
  <c r="AL162"/>
  <c r="AK162"/>
  <c r="AG162"/>
  <c r="AD162"/>
  <c r="AC162"/>
  <c r="Z162"/>
  <c r="Y162"/>
  <c r="V162"/>
  <c r="U162"/>
  <c r="R162"/>
  <c r="Q162"/>
  <c r="N162"/>
  <c r="M162"/>
  <c r="I162"/>
  <c r="F162"/>
  <c r="E162"/>
  <c r="B162"/>
  <c r="C161"/>
  <c r="D161" s="1"/>
  <c r="E161" s="1"/>
  <c r="F161" s="1"/>
  <c r="G161" s="1"/>
  <c r="H161" s="1"/>
  <c r="I161" s="1"/>
  <c r="J161" s="1"/>
  <c r="K161" s="1"/>
  <c r="L161" s="1"/>
  <c r="M161" s="1"/>
  <c r="N161" s="1"/>
  <c r="M160"/>
  <c r="I160"/>
  <c r="E160"/>
  <c r="AN157"/>
  <c r="AM157"/>
  <c r="AL157"/>
  <c r="AK157"/>
  <c r="AJ157"/>
  <c r="AI157"/>
  <c r="AH157"/>
  <c r="AG157"/>
  <c r="AF157"/>
  <c r="AE157"/>
  <c r="AD157"/>
  <c r="AC157"/>
  <c r="AA157"/>
  <c r="Z157"/>
  <c r="Y157"/>
  <c r="X157"/>
  <c r="W157"/>
  <c r="V157"/>
  <c r="U157"/>
  <c r="T157"/>
  <c r="S157"/>
  <c r="R157"/>
  <c r="Q157"/>
  <c r="P157"/>
  <c r="N157"/>
  <c r="N160" s="1"/>
  <c r="M157"/>
  <c r="L157"/>
  <c r="L160" s="1"/>
  <c r="K157"/>
  <c r="K160" s="1"/>
  <c r="J157"/>
  <c r="J160" s="1"/>
  <c r="I157"/>
  <c r="H157"/>
  <c r="H160" s="1"/>
  <c r="G157"/>
  <c r="G160" s="1"/>
  <c r="F157"/>
  <c r="F160" s="1"/>
  <c r="E157"/>
  <c r="D157"/>
  <c r="D160" s="1"/>
  <c r="C157"/>
  <c r="C160" s="1"/>
  <c r="C156"/>
  <c r="D156" s="1"/>
  <c r="E156" s="1"/>
  <c r="F156" s="1"/>
  <c r="G156" s="1"/>
  <c r="H156" s="1"/>
  <c r="I156" s="1"/>
  <c r="J156" s="1"/>
  <c r="K156" s="1"/>
  <c r="L156" s="1"/>
  <c r="M156" s="1"/>
  <c r="N156" s="1"/>
  <c r="N155"/>
  <c r="J155"/>
  <c r="I155"/>
  <c r="F155"/>
  <c r="AN152"/>
  <c r="AM152"/>
  <c r="AL152"/>
  <c r="AK152"/>
  <c r="AJ152"/>
  <c r="AI152"/>
  <c r="AH152"/>
  <c r="AG152"/>
  <c r="AF152"/>
  <c r="AE152"/>
  <c r="AD152"/>
  <c r="AC152"/>
  <c r="AO152" s="1"/>
  <c r="AA152"/>
  <c r="Z152"/>
  <c r="Y152"/>
  <c r="X152"/>
  <c r="W152"/>
  <c r="V152"/>
  <c r="U152"/>
  <c r="T152"/>
  <c r="S152"/>
  <c r="R152"/>
  <c r="Q152"/>
  <c r="P152"/>
  <c r="N152"/>
  <c r="M152"/>
  <c r="M155" s="1"/>
  <c r="L152"/>
  <c r="L155" s="1"/>
  <c r="K152"/>
  <c r="K155" s="1"/>
  <c r="J152"/>
  <c r="I152"/>
  <c r="H152"/>
  <c r="H155" s="1"/>
  <c r="G152"/>
  <c r="G155" s="1"/>
  <c r="F152"/>
  <c r="E152"/>
  <c r="E155" s="1"/>
  <c r="D152"/>
  <c r="D155" s="1"/>
  <c r="C152"/>
  <c r="C155" s="1"/>
  <c r="O155" s="1"/>
  <c r="C151"/>
  <c r="N150"/>
  <c r="J150"/>
  <c r="F150"/>
  <c r="AN147"/>
  <c r="AM147"/>
  <c r="AL147"/>
  <c r="AK147"/>
  <c r="AJ147"/>
  <c r="AI147"/>
  <c r="AH147"/>
  <c r="AG147"/>
  <c r="AF147"/>
  <c r="AE147"/>
  <c r="AD147"/>
  <c r="AC147"/>
  <c r="AA147"/>
  <c r="Z147"/>
  <c r="Y147"/>
  <c r="X147"/>
  <c r="W147"/>
  <c r="V147"/>
  <c r="U147"/>
  <c r="T147"/>
  <c r="S147"/>
  <c r="R147"/>
  <c r="Q147"/>
  <c r="P147"/>
  <c r="AB147" s="1"/>
  <c r="N147"/>
  <c r="M147"/>
  <c r="M150" s="1"/>
  <c r="L147"/>
  <c r="L150" s="1"/>
  <c r="K147"/>
  <c r="K150" s="1"/>
  <c r="J147"/>
  <c r="I147"/>
  <c r="I150" s="1"/>
  <c r="H147"/>
  <c r="H150" s="1"/>
  <c r="G147"/>
  <c r="G150" s="1"/>
  <c r="F147"/>
  <c r="E147"/>
  <c r="E150" s="1"/>
  <c r="D147"/>
  <c r="D150" s="1"/>
  <c r="C147"/>
  <c r="C150" s="1"/>
  <c r="O150" s="1"/>
  <c r="C146"/>
  <c r="K145"/>
  <c r="G145"/>
  <c r="C145"/>
  <c r="O145" s="1"/>
  <c r="AN142"/>
  <c r="AM142"/>
  <c r="AL142"/>
  <c r="AK142"/>
  <c r="AJ142"/>
  <c r="AI142"/>
  <c r="AH142"/>
  <c r="AG142"/>
  <c r="AF142"/>
  <c r="AE142"/>
  <c r="AD142"/>
  <c r="AC142"/>
  <c r="AO142" s="1"/>
  <c r="AA142"/>
  <c r="Z142"/>
  <c r="Y142"/>
  <c r="X142"/>
  <c r="W142"/>
  <c r="V142"/>
  <c r="U142"/>
  <c r="T142"/>
  <c r="S142"/>
  <c r="R142"/>
  <c r="Q142"/>
  <c r="P142"/>
  <c r="N142"/>
  <c r="N145" s="1"/>
  <c r="M142"/>
  <c r="M145" s="1"/>
  <c r="L142"/>
  <c r="L145" s="1"/>
  <c r="K142"/>
  <c r="J142"/>
  <c r="J145" s="1"/>
  <c r="I142"/>
  <c r="I145" s="1"/>
  <c r="H142"/>
  <c r="H145" s="1"/>
  <c r="G142"/>
  <c r="F142"/>
  <c r="F145" s="1"/>
  <c r="E142"/>
  <c r="E145" s="1"/>
  <c r="D142"/>
  <c r="D145" s="1"/>
  <c r="C142"/>
  <c r="O142" s="1"/>
  <c r="C141"/>
  <c r="D141" s="1"/>
  <c r="E141" s="1"/>
  <c r="F141" s="1"/>
  <c r="G141" s="1"/>
  <c r="H141" s="1"/>
  <c r="I141" s="1"/>
  <c r="J141" s="1"/>
  <c r="K141" s="1"/>
  <c r="L141" s="1"/>
  <c r="M141" s="1"/>
  <c r="N141" s="1"/>
  <c r="L140"/>
  <c r="H140"/>
  <c r="D140"/>
  <c r="AN137"/>
  <c r="AM137"/>
  <c r="AL137"/>
  <c r="AK137"/>
  <c r="AJ137"/>
  <c r="AI137"/>
  <c r="AH137"/>
  <c r="AG137"/>
  <c r="AF137"/>
  <c r="AE137"/>
  <c r="AD137"/>
  <c r="AC137"/>
  <c r="AA137"/>
  <c r="Z137"/>
  <c r="Y137"/>
  <c r="X137"/>
  <c r="W137"/>
  <c r="V137"/>
  <c r="U137"/>
  <c r="T137"/>
  <c r="S137"/>
  <c r="R137"/>
  <c r="Q137"/>
  <c r="P137"/>
  <c r="AB137" s="1"/>
  <c r="N137"/>
  <c r="N140" s="1"/>
  <c r="M137"/>
  <c r="M140" s="1"/>
  <c r="L137"/>
  <c r="K137"/>
  <c r="K140" s="1"/>
  <c r="J137"/>
  <c r="J140" s="1"/>
  <c r="I137"/>
  <c r="I140" s="1"/>
  <c r="H137"/>
  <c r="G137"/>
  <c r="G140" s="1"/>
  <c r="F137"/>
  <c r="F140" s="1"/>
  <c r="E137"/>
  <c r="E140" s="1"/>
  <c r="D137"/>
  <c r="C137"/>
  <c r="C140" s="1"/>
  <c r="O140" s="1"/>
  <c r="AL136"/>
  <c r="AK136"/>
  <c r="AH136"/>
  <c r="AG136"/>
  <c r="AD136"/>
  <c r="AC136"/>
  <c r="Z136"/>
  <c r="Y136"/>
  <c r="V136"/>
  <c r="U136"/>
  <c r="R136"/>
  <c r="Q136"/>
  <c r="N136"/>
  <c r="M136"/>
  <c r="J136"/>
  <c r="I136"/>
  <c r="F136"/>
  <c r="E136"/>
  <c r="B136"/>
  <c r="C135"/>
  <c r="M134"/>
  <c r="I134"/>
  <c r="E134"/>
  <c r="AN131"/>
  <c r="AM131"/>
  <c r="AL131"/>
  <c r="AK131"/>
  <c r="AJ131"/>
  <c r="AI131"/>
  <c r="AH131"/>
  <c r="AG131"/>
  <c r="AF131"/>
  <c r="AE131"/>
  <c r="AD131"/>
  <c r="AC131"/>
  <c r="AO131" s="1"/>
  <c r="AA131"/>
  <c r="Z131"/>
  <c r="Y131"/>
  <c r="X131"/>
  <c r="W131"/>
  <c r="V131"/>
  <c r="U131"/>
  <c r="T131"/>
  <c r="S131"/>
  <c r="R131"/>
  <c r="Q131"/>
  <c r="P131"/>
  <c r="N131"/>
  <c r="N134" s="1"/>
  <c r="M131"/>
  <c r="L131"/>
  <c r="L134" s="1"/>
  <c r="K131"/>
  <c r="K134" s="1"/>
  <c r="J131"/>
  <c r="J134" s="1"/>
  <c r="I131"/>
  <c r="H131"/>
  <c r="H134" s="1"/>
  <c r="G131"/>
  <c r="G134" s="1"/>
  <c r="F131"/>
  <c r="F134" s="1"/>
  <c r="E131"/>
  <c r="D131"/>
  <c r="D134" s="1"/>
  <c r="C131"/>
  <c r="O131" s="1"/>
  <c r="C130"/>
  <c r="N129"/>
  <c r="J129"/>
  <c r="F129"/>
  <c r="AN126"/>
  <c r="AM126"/>
  <c r="AL126"/>
  <c r="AK126"/>
  <c r="AJ126"/>
  <c r="AI126"/>
  <c r="AH126"/>
  <c r="AG126"/>
  <c r="AF126"/>
  <c r="AE126"/>
  <c r="AD126"/>
  <c r="AC126"/>
  <c r="AA126"/>
  <c r="Z126"/>
  <c r="Y126"/>
  <c r="X126"/>
  <c r="W126"/>
  <c r="V126"/>
  <c r="U126"/>
  <c r="T126"/>
  <c r="S126"/>
  <c r="R126"/>
  <c r="Q126"/>
  <c r="P126"/>
  <c r="AB126" s="1"/>
  <c r="N126"/>
  <c r="M126"/>
  <c r="M129" s="1"/>
  <c r="L126"/>
  <c r="L129" s="1"/>
  <c r="K126"/>
  <c r="K129" s="1"/>
  <c r="J126"/>
  <c r="I126"/>
  <c r="I129" s="1"/>
  <c r="H126"/>
  <c r="H129" s="1"/>
  <c r="G126"/>
  <c r="G129" s="1"/>
  <c r="F126"/>
  <c r="E126"/>
  <c r="E129" s="1"/>
  <c r="D126"/>
  <c r="D129" s="1"/>
  <c r="C126"/>
  <c r="C129" s="1"/>
  <c r="O129" s="1"/>
  <c r="C125"/>
  <c r="D125" s="1"/>
  <c r="E125" s="1"/>
  <c r="F125" s="1"/>
  <c r="G125" s="1"/>
  <c r="H125" s="1"/>
  <c r="I125" s="1"/>
  <c r="J125" s="1"/>
  <c r="K125" s="1"/>
  <c r="L125" s="1"/>
  <c r="M125" s="1"/>
  <c r="N125" s="1"/>
  <c r="K124"/>
  <c r="G124"/>
  <c r="C124"/>
  <c r="O124" s="1"/>
  <c r="AN121"/>
  <c r="AM121"/>
  <c r="AL121"/>
  <c r="AK121"/>
  <c r="AJ121"/>
  <c r="AI121"/>
  <c r="AH121"/>
  <c r="AG121"/>
  <c r="AF121"/>
  <c r="AE121"/>
  <c r="AD121"/>
  <c r="AC121"/>
  <c r="AO121" s="1"/>
  <c r="AA121"/>
  <c r="Z121"/>
  <c r="Y121"/>
  <c r="X121"/>
  <c r="W121"/>
  <c r="V121"/>
  <c r="U121"/>
  <c r="T121"/>
  <c r="S121"/>
  <c r="R121"/>
  <c r="Q121"/>
  <c r="P121"/>
  <c r="N121"/>
  <c r="N124" s="1"/>
  <c r="M121"/>
  <c r="M124" s="1"/>
  <c r="L121"/>
  <c r="L124" s="1"/>
  <c r="K121"/>
  <c r="J121"/>
  <c r="J124" s="1"/>
  <c r="I121"/>
  <c r="I124" s="1"/>
  <c r="H121"/>
  <c r="H124" s="1"/>
  <c r="G121"/>
  <c r="F121"/>
  <c r="F124" s="1"/>
  <c r="E121"/>
  <c r="E124" s="1"/>
  <c r="D121"/>
  <c r="D124" s="1"/>
  <c r="C121"/>
  <c r="O121" s="1"/>
  <c r="C120"/>
  <c r="D120" s="1"/>
  <c r="E120" s="1"/>
  <c r="F120" s="1"/>
  <c r="G120" s="1"/>
  <c r="H120" s="1"/>
  <c r="I120" s="1"/>
  <c r="J120" s="1"/>
  <c r="K120" s="1"/>
  <c r="L120" s="1"/>
  <c r="M120" s="1"/>
  <c r="N120" s="1"/>
  <c r="L119"/>
  <c r="H119"/>
  <c r="D119"/>
  <c r="AN116"/>
  <c r="AM116"/>
  <c r="AL116"/>
  <c r="AK116"/>
  <c r="AJ116"/>
  <c r="AI116"/>
  <c r="AH116"/>
  <c r="AG116"/>
  <c r="AF116"/>
  <c r="AE116"/>
  <c r="AD116"/>
  <c r="AC116"/>
  <c r="AA116"/>
  <c r="Z116"/>
  <c r="Y116"/>
  <c r="X116"/>
  <c r="W116"/>
  <c r="V116"/>
  <c r="U116"/>
  <c r="T116"/>
  <c r="S116"/>
  <c r="R116"/>
  <c r="Q116"/>
  <c r="P116"/>
  <c r="AB116" s="1"/>
  <c r="N116"/>
  <c r="N119" s="1"/>
  <c r="M116"/>
  <c r="M119" s="1"/>
  <c r="L116"/>
  <c r="K116"/>
  <c r="K119" s="1"/>
  <c r="J116"/>
  <c r="J119" s="1"/>
  <c r="I116"/>
  <c r="I119" s="1"/>
  <c r="H116"/>
  <c r="G116"/>
  <c r="G119" s="1"/>
  <c r="F116"/>
  <c r="F119" s="1"/>
  <c r="E116"/>
  <c r="E119" s="1"/>
  <c r="D116"/>
  <c r="C116"/>
  <c r="C119" s="1"/>
  <c r="O119" s="1"/>
  <c r="C115"/>
  <c r="M114"/>
  <c r="I114"/>
  <c r="E114"/>
  <c r="AN111"/>
  <c r="AM111"/>
  <c r="AL111"/>
  <c r="AK111"/>
  <c r="AJ111"/>
  <c r="AI111"/>
  <c r="AH111"/>
  <c r="AG111"/>
  <c r="AF111"/>
  <c r="AE111"/>
  <c r="AD111"/>
  <c r="AC111"/>
  <c r="AO111" s="1"/>
  <c r="AA111"/>
  <c r="Z111"/>
  <c r="Y111"/>
  <c r="X111"/>
  <c r="W111"/>
  <c r="V111"/>
  <c r="U111"/>
  <c r="T111"/>
  <c r="S111"/>
  <c r="R111"/>
  <c r="Q111"/>
  <c r="P111"/>
  <c r="N111"/>
  <c r="N114" s="1"/>
  <c r="M111"/>
  <c r="L111"/>
  <c r="L114" s="1"/>
  <c r="K111"/>
  <c r="K114" s="1"/>
  <c r="J111"/>
  <c r="J114" s="1"/>
  <c r="I111"/>
  <c r="H111"/>
  <c r="H114" s="1"/>
  <c r="G111"/>
  <c r="G114" s="1"/>
  <c r="F111"/>
  <c r="F114" s="1"/>
  <c r="E111"/>
  <c r="D111"/>
  <c r="D114" s="1"/>
  <c r="C111"/>
  <c r="O111" s="1"/>
  <c r="AM110"/>
  <c r="AL110"/>
  <c r="AI110"/>
  <c r="AH110"/>
  <c r="AE110"/>
  <c r="AD110"/>
  <c r="AA110"/>
  <c r="Z110"/>
  <c r="W110"/>
  <c r="V110"/>
  <c r="S110"/>
  <c r="R110"/>
  <c r="N110"/>
  <c r="K110"/>
  <c r="J110"/>
  <c r="G110"/>
  <c r="F110"/>
  <c r="C110"/>
  <c r="B110"/>
  <c r="C109"/>
  <c r="N108"/>
  <c r="J108"/>
  <c r="F108"/>
  <c r="AN105"/>
  <c r="AM105"/>
  <c r="AL105"/>
  <c r="AK105"/>
  <c r="AJ105"/>
  <c r="AI105"/>
  <c r="AH105"/>
  <c r="AG105"/>
  <c r="AF105"/>
  <c r="AE105"/>
  <c r="AD105"/>
  <c r="AC105"/>
  <c r="AA105"/>
  <c r="Z105"/>
  <c r="Y105"/>
  <c r="X105"/>
  <c r="W105"/>
  <c r="V105"/>
  <c r="U105"/>
  <c r="T105"/>
  <c r="S105"/>
  <c r="R105"/>
  <c r="Q105"/>
  <c r="P105"/>
  <c r="AB105" s="1"/>
  <c r="N105"/>
  <c r="M105"/>
  <c r="M108" s="1"/>
  <c r="L105"/>
  <c r="L108" s="1"/>
  <c r="K105"/>
  <c r="K108" s="1"/>
  <c r="J105"/>
  <c r="I105"/>
  <c r="I108" s="1"/>
  <c r="H105"/>
  <c r="H108" s="1"/>
  <c r="G105"/>
  <c r="G108" s="1"/>
  <c r="F105"/>
  <c r="E105"/>
  <c r="E108" s="1"/>
  <c r="D105"/>
  <c r="D108" s="1"/>
  <c r="C105"/>
  <c r="C108" s="1"/>
  <c r="C104"/>
  <c r="D104" s="1"/>
  <c r="E104" s="1"/>
  <c r="F104" s="1"/>
  <c r="G104" s="1"/>
  <c r="H104" s="1"/>
  <c r="I104" s="1"/>
  <c r="J104" s="1"/>
  <c r="K104" s="1"/>
  <c r="L104" s="1"/>
  <c r="M104" s="1"/>
  <c r="N104" s="1"/>
  <c r="K103"/>
  <c r="G103"/>
  <c r="C103"/>
  <c r="AN100"/>
  <c r="AM100"/>
  <c r="AL100"/>
  <c r="AK100"/>
  <c r="AJ100"/>
  <c r="AI100"/>
  <c r="AH100"/>
  <c r="AG100"/>
  <c r="AF100"/>
  <c r="AE100"/>
  <c r="AD100"/>
  <c r="AC100"/>
  <c r="AO100" s="1"/>
  <c r="AA100"/>
  <c r="Z100"/>
  <c r="Y100"/>
  <c r="X100"/>
  <c r="W100"/>
  <c r="V100"/>
  <c r="U100"/>
  <c r="T100"/>
  <c r="S100"/>
  <c r="R100"/>
  <c r="Q100"/>
  <c r="P100"/>
  <c r="N100"/>
  <c r="N103" s="1"/>
  <c r="M100"/>
  <c r="M103" s="1"/>
  <c r="L100"/>
  <c r="L103" s="1"/>
  <c r="K100"/>
  <c r="J100"/>
  <c r="J103" s="1"/>
  <c r="I100"/>
  <c r="I103" s="1"/>
  <c r="H100"/>
  <c r="H103" s="1"/>
  <c r="G100"/>
  <c r="F100"/>
  <c r="F103" s="1"/>
  <c r="E100"/>
  <c r="E103" s="1"/>
  <c r="D100"/>
  <c r="D103" s="1"/>
  <c r="C100"/>
  <c r="O100" s="1"/>
  <c r="C99"/>
  <c r="D99" s="1"/>
  <c r="E99" s="1"/>
  <c r="F99" s="1"/>
  <c r="G99" s="1"/>
  <c r="H99" s="1"/>
  <c r="I99" s="1"/>
  <c r="J99" s="1"/>
  <c r="K99" s="1"/>
  <c r="L99" s="1"/>
  <c r="M99" s="1"/>
  <c r="N99" s="1"/>
  <c r="L98"/>
  <c r="H98"/>
  <c r="D98"/>
  <c r="AN95"/>
  <c r="AM95"/>
  <c r="AL95"/>
  <c r="AK95"/>
  <c r="AJ95"/>
  <c r="AI95"/>
  <c r="AH95"/>
  <c r="AG95"/>
  <c r="AF95"/>
  <c r="AE95"/>
  <c r="AD95"/>
  <c r="AC95"/>
  <c r="AA95"/>
  <c r="Z95"/>
  <c r="Y95"/>
  <c r="X95"/>
  <c r="W95"/>
  <c r="V95"/>
  <c r="U95"/>
  <c r="T95"/>
  <c r="S95"/>
  <c r="R95"/>
  <c r="Q95"/>
  <c r="P95"/>
  <c r="AB95" s="1"/>
  <c r="N95"/>
  <c r="N98" s="1"/>
  <c r="M95"/>
  <c r="M98" s="1"/>
  <c r="L95"/>
  <c r="K95"/>
  <c r="K98" s="1"/>
  <c r="J95"/>
  <c r="J98" s="1"/>
  <c r="I95"/>
  <c r="I98" s="1"/>
  <c r="H95"/>
  <c r="G95"/>
  <c r="G98" s="1"/>
  <c r="F95"/>
  <c r="F98" s="1"/>
  <c r="E95"/>
  <c r="E98" s="1"/>
  <c r="D95"/>
  <c r="C95"/>
  <c r="C98" s="1"/>
  <c r="C94"/>
  <c r="M93"/>
  <c r="I93"/>
  <c r="E93"/>
  <c r="AN90"/>
  <c r="AM90"/>
  <c r="AL90"/>
  <c r="AK90"/>
  <c r="AJ90"/>
  <c r="AI90"/>
  <c r="AH90"/>
  <c r="AG90"/>
  <c r="AF90"/>
  <c r="AE90"/>
  <c r="AD90"/>
  <c r="AC90"/>
  <c r="AO90" s="1"/>
  <c r="AA90"/>
  <c r="Z90"/>
  <c r="Y90"/>
  <c r="X90"/>
  <c r="W90"/>
  <c r="V90"/>
  <c r="U90"/>
  <c r="T90"/>
  <c r="S90"/>
  <c r="R90"/>
  <c r="Q90"/>
  <c r="P90"/>
  <c r="N90"/>
  <c r="N93" s="1"/>
  <c r="M90"/>
  <c r="L90"/>
  <c r="L93" s="1"/>
  <c r="K90"/>
  <c r="K93" s="1"/>
  <c r="J90"/>
  <c r="J93" s="1"/>
  <c r="I90"/>
  <c r="H90"/>
  <c r="H93" s="1"/>
  <c r="G90"/>
  <c r="G93" s="1"/>
  <c r="F90"/>
  <c r="F93" s="1"/>
  <c r="E90"/>
  <c r="D90"/>
  <c r="D93" s="1"/>
  <c r="C90"/>
  <c r="O90" s="1"/>
  <c r="C89"/>
  <c r="N88"/>
  <c r="J88"/>
  <c r="F88"/>
  <c r="AN85"/>
  <c r="AM85"/>
  <c r="AL85"/>
  <c r="AK85"/>
  <c r="AJ85"/>
  <c r="AI85"/>
  <c r="AH85"/>
  <c r="AG85"/>
  <c r="AF85"/>
  <c r="AE85"/>
  <c r="AD85"/>
  <c r="AC85"/>
  <c r="AA85"/>
  <c r="Z85"/>
  <c r="Y85"/>
  <c r="X85"/>
  <c r="W85"/>
  <c r="V85"/>
  <c r="U85"/>
  <c r="T85"/>
  <c r="S85"/>
  <c r="R85"/>
  <c r="Q85"/>
  <c r="P85"/>
  <c r="AB85" s="1"/>
  <c r="N85"/>
  <c r="M85"/>
  <c r="M88" s="1"/>
  <c r="L85"/>
  <c r="L88" s="1"/>
  <c r="K85"/>
  <c r="K88" s="1"/>
  <c r="J85"/>
  <c r="I85"/>
  <c r="I88" s="1"/>
  <c r="H85"/>
  <c r="H88" s="1"/>
  <c r="G85"/>
  <c r="G88" s="1"/>
  <c r="F85"/>
  <c r="E85"/>
  <c r="E88" s="1"/>
  <c r="D85"/>
  <c r="D88" s="1"/>
  <c r="C85"/>
  <c r="C88" s="1"/>
  <c r="AN84"/>
  <c r="AM84"/>
  <c r="AJ84"/>
  <c r="AI84"/>
  <c r="AF84"/>
  <c r="AE84"/>
  <c r="AA84"/>
  <c r="X84"/>
  <c r="W84"/>
  <c r="T84"/>
  <c r="S84"/>
  <c r="P84"/>
  <c r="L84"/>
  <c r="K84"/>
  <c r="H84"/>
  <c r="G84"/>
  <c r="D84"/>
  <c r="C84"/>
  <c r="B84"/>
  <c r="C83"/>
  <c r="D83" s="1"/>
  <c r="E83" s="1"/>
  <c r="F83" s="1"/>
  <c r="G83" s="1"/>
  <c r="H83" s="1"/>
  <c r="I83" s="1"/>
  <c r="J83" s="1"/>
  <c r="K83" s="1"/>
  <c r="L83" s="1"/>
  <c r="M83" s="1"/>
  <c r="N83" s="1"/>
  <c r="K82"/>
  <c r="G82"/>
  <c r="C82"/>
  <c r="AN79"/>
  <c r="AM79"/>
  <c r="AL79"/>
  <c r="AK79"/>
  <c r="AJ79"/>
  <c r="AI79"/>
  <c r="AH79"/>
  <c r="AG79"/>
  <c r="AF79"/>
  <c r="AE79"/>
  <c r="AD79"/>
  <c r="AC79"/>
  <c r="AO79" s="1"/>
  <c r="AA79"/>
  <c r="Z79"/>
  <c r="Y79"/>
  <c r="X79"/>
  <c r="W79"/>
  <c r="V79"/>
  <c r="U79"/>
  <c r="T79"/>
  <c r="S79"/>
  <c r="R79"/>
  <c r="Q79"/>
  <c r="P79"/>
  <c r="N79"/>
  <c r="N82" s="1"/>
  <c r="M79"/>
  <c r="M82" s="1"/>
  <c r="L79"/>
  <c r="L82" s="1"/>
  <c r="K79"/>
  <c r="J79"/>
  <c r="J82" s="1"/>
  <c r="I79"/>
  <c r="I82" s="1"/>
  <c r="H79"/>
  <c r="H82" s="1"/>
  <c r="G79"/>
  <c r="F79"/>
  <c r="F82" s="1"/>
  <c r="E79"/>
  <c r="E82" s="1"/>
  <c r="D79"/>
  <c r="D82" s="1"/>
  <c r="C79"/>
  <c r="O79" s="1"/>
  <c r="C78"/>
  <c r="D78" s="1"/>
  <c r="E78" s="1"/>
  <c r="F78" s="1"/>
  <c r="G78" s="1"/>
  <c r="H78" s="1"/>
  <c r="I78" s="1"/>
  <c r="J78" s="1"/>
  <c r="K78" s="1"/>
  <c r="L78" s="1"/>
  <c r="M78" s="1"/>
  <c r="N78" s="1"/>
  <c r="L77"/>
  <c r="H77"/>
  <c r="D77"/>
  <c r="AN74"/>
  <c r="AM74"/>
  <c r="AL74"/>
  <c r="AK74"/>
  <c r="AJ74"/>
  <c r="AI74"/>
  <c r="AH74"/>
  <c r="AG74"/>
  <c r="AF74"/>
  <c r="AE74"/>
  <c r="AD74"/>
  <c r="AC74"/>
  <c r="AA74"/>
  <c r="Z74"/>
  <c r="Y74"/>
  <c r="X74"/>
  <c r="W74"/>
  <c r="V74"/>
  <c r="U74"/>
  <c r="T74"/>
  <c r="S74"/>
  <c r="R74"/>
  <c r="Q74"/>
  <c r="P74"/>
  <c r="AB74" s="1"/>
  <c r="N74"/>
  <c r="N77" s="1"/>
  <c r="M74"/>
  <c r="M77" s="1"/>
  <c r="L74"/>
  <c r="K74"/>
  <c r="K77" s="1"/>
  <c r="J74"/>
  <c r="J77" s="1"/>
  <c r="I74"/>
  <c r="I77" s="1"/>
  <c r="H74"/>
  <c r="G74"/>
  <c r="G77" s="1"/>
  <c r="F74"/>
  <c r="F77" s="1"/>
  <c r="E74"/>
  <c r="E77" s="1"/>
  <c r="D74"/>
  <c r="C74"/>
  <c r="C77" s="1"/>
  <c r="C73"/>
  <c r="M72"/>
  <c r="I72"/>
  <c r="E72"/>
  <c r="AN69"/>
  <c r="AM69"/>
  <c r="AM58" s="1"/>
  <c r="AL69"/>
  <c r="AK69"/>
  <c r="AJ69"/>
  <c r="AI69"/>
  <c r="AI58" s="1"/>
  <c r="AH69"/>
  <c r="AG69"/>
  <c r="AF69"/>
  <c r="AE69"/>
  <c r="AE58" s="1"/>
  <c r="AD69"/>
  <c r="AC69"/>
  <c r="AA69"/>
  <c r="AA58" s="1"/>
  <c r="Z69"/>
  <c r="Y69"/>
  <c r="X69"/>
  <c r="W69"/>
  <c r="W58" s="1"/>
  <c r="V69"/>
  <c r="U69"/>
  <c r="T69"/>
  <c r="S69"/>
  <c r="S58" s="1"/>
  <c r="R69"/>
  <c r="Q69"/>
  <c r="P69"/>
  <c r="N69"/>
  <c r="N72" s="1"/>
  <c r="M69"/>
  <c r="L69"/>
  <c r="L72" s="1"/>
  <c r="K69"/>
  <c r="J69"/>
  <c r="J72" s="1"/>
  <c r="I69"/>
  <c r="H69"/>
  <c r="H72" s="1"/>
  <c r="G69"/>
  <c r="F69"/>
  <c r="F72" s="1"/>
  <c r="E69"/>
  <c r="D69"/>
  <c r="D72" s="1"/>
  <c r="C69"/>
  <c r="C68"/>
  <c r="D68" s="1"/>
  <c r="E68" s="1"/>
  <c r="F68" s="1"/>
  <c r="G68" s="1"/>
  <c r="H68" s="1"/>
  <c r="I68" s="1"/>
  <c r="J68" s="1"/>
  <c r="K68" s="1"/>
  <c r="L68" s="1"/>
  <c r="M68" s="1"/>
  <c r="N68" s="1"/>
  <c r="N67"/>
  <c r="J67"/>
  <c r="I67"/>
  <c r="F67"/>
  <c r="AN64"/>
  <c r="AM64"/>
  <c r="AL64"/>
  <c r="AK64"/>
  <c r="AJ64"/>
  <c r="AI64"/>
  <c r="AH64"/>
  <c r="AG64"/>
  <c r="AF64"/>
  <c r="AE64"/>
  <c r="AD64"/>
  <c r="AC64"/>
  <c r="AO64" s="1"/>
  <c r="AA64"/>
  <c r="Z64"/>
  <c r="Y64"/>
  <c r="X64"/>
  <c r="W64"/>
  <c r="V64"/>
  <c r="U64"/>
  <c r="T64"/>
  <c r="S64"/>
  <c r="R64"/>
  <c r="Q64"/>
  <c r="P64"/>
  <c r="N64"/>
  <c r="M64"/>
  <c r="M67" s="1"/>
  <c r="L64"/>
  <c r="K64"/>
  <c r="K67" s="1"/>
  <c r="J64"/>
  <c r="I64"/>
  <c r="H64"/>
  <c r="G64"/>
  <c r="G67" s="1"/>
  <c r="F64"/>
  <c r="E64"/>
  <c r="E67" s="1"/>
  <c r="D64"/>
  <c r="C64"/>
  <c r="C67" s="1"/>
  <c r="C63"/>
  <c r="D63" s="1"/>
  <c r="E63" s="1"/>
  <c r="F63" s="1"/>
  <c r="G63" s="1"/>
  <c r="H63" s="1"/>
  <c r="I63" s="1"/>
  <c r="J63" s="1"/>
  <c r="K63" s="1"/>
  <c r="L63" s="1"/>
  <c r="M63" s="1"/>
  <c r="N63" s="1"/>
  <c r="K62"/>
  <c r="J62"/>
  <c r="G62"/>
  <c r="C62"/>
  <c r="AN59"/>
  <c r="AM59"/>
  <c r="AL59"/>
  <c r="AK59"/>
  <c r="AJ59"/>
  <c r="AI59"/>
  <c r="AH59"/>
  <c r="AH58" s="1"/>
  <c r="AG59"/>
  <c r="AG58" s="1"/>
  <c r="AF59"/>
  <c r="AE59"/>
  <c r="AD59"/>
  <c r="AC59"/>
  <c r="AA59"/>
  <c r="Z59"/>
  <c r="Y59"/>
  <c r="Y58" s="1"/>
  <c r="X59"/>
  <c r="W59"/>
  <c r="V59"/>
  <c r="U59"/>
  <c r="T59"/>
  <c r="S59"/>
  <c r="R59"/>
  <c r="Q59"/>
  <c r="Q58" s="1"/>
  <c r="P59"/>
  <c r="N59"/>
  <c r="N62" s="1"/>
  <c r="M59"/>
  <c r="M62" s="1"/>
  <c r="L59"/>
  <c r="L62" s="1"/>
  <c r="K59"/>
  <c r="J59"/>
  <c r="I59"/>
  <c r="I62" s="1"/>
  <c r="H59"/>
  <c r="H62" s="1"/>
  <c r="G59"/>
  <c r="F59"/>
  <c r="F62" s="1"/>
  <c r="E59"/>
  <c r="E62" s="1"/>
  <c r="D59"/>
  <c r="D62" s="1"/>
  <c r="C59"/>
  <c r="O59" s="1"/>
  <c r="AL58"/>
  <c r="AK58"/>
  <c r="AD58"/>
  <c r="AC58"/>
  <c r="Z58"/>
  <c r="V58"/>
  <c r="U58"/>
  <c r="R58"/>
  <c r="N58"/>
  <c r="M58"/>
  <c r="J58"/>
  <c r="I58"/>
  <c r="F58"/>
  <c r="E58"/>
  <c r="B58"/>
  <c r="C57"/>
  <c r="M56"/>
  <c r="L56"/>
  <c r="I56"/>
  <c r="H56"/>
  <c r="E56"/>
  <c r="D56"/>
  <c r="AN53"/>
  <c r="AM53"/>
  <c r="AL53"/>
  <c r="AK53"/>
  <c r="AJ53"/>
  <c r="AI53"/>
  <c r="AH53"/>
  <c r="AG53"/>
  <c r="AF53"/>
  <c r="AE53"/>
  <c r="AD53"/>
  <c r="AC53"/>
  <c r="AA53"/>
  <c r="Z53"/>
  <c r="Y53"/>
  <c r="X53"/>
  <c r="W53"/>
  <c r="V53"/>
  <c r="U53"/>
  <c r="T53"/>
  <c r="S53"/>
  <c r="R53"/>
  <c r="Q53"/>
  <c r="P53"/>
  <c r="AB53" s="1"/>
  <c r="N53"/>
  <c r="N56" s="1"/>
  <c r="M53"/>
  <c r="L53"/>
  <c r="K53"/>
  <c r="K56" s="1"/>
  <c r="J53"/>
  <c r="J56" s="1"/>
  <c r="I53"/>
  <c r="H53"/>
  <c r="G53"/>
  <c r="G56" s="1"/>
  <c r="F53"/>
  <c r="F56" s="1"/>
  <c r="E53"/>
  <c r="D53"/>
  <c r="C53"/>
  <c r="C56" s="1"/>
  <c r="C52"/>
  <c r="D52" s="1"/>
  <c r="E52" s="1"/>
  <c r="F52" s="1"/>
  <c r="G52" s="1"/>
  <c r="H52" s="1"/>
  <c r="I52" s="1"/>
  <c r="J52" s="1"/>
  <c r="K52" s="1"/>
  <c r="L52" s="1"/>
  <c r="M52" s="1"/>
  <c r="N52" s="1"/>
  <c r="N51"/>
  <c r="J51"/>
  <c r="I51"/>
  <c r="F51"/>
  <c r="AN48"/>
  <c r="AM48"/>
  <c r="AL48"/>
  <c r="AK48"/>
  <c r="AJ48"/>
  <c r="AI48"/>
  <c r="AH48"/>
  <c r="AG48"/>
  <c r="AF48"/>
  <c r="AE48"/>
  <c r="AD48"/>
  <c r="AC48"/>
  <c r="AO48" s="1"/>
  <c r="AA48"/>
  <c r="Z48"/>
  <c r="Y48"/>
  <c r="X48"/>
  <c r="W48"/>
  <c r="V48"/>
  <c r="U48"/>
  <c r="T48"/>
  <c r="S48"/>
  <c r="R48"/>
  <c r="Q48"/>
  <c r="P48"/>
  <c r="N48"/>
  <c r="M48"/>
  <c r="M51" s="1"/>
  <c r="L48"/>
  <c r="L51" s="1"/>
  <c r="K48"/>
  <c r="K51" s="1"/>
  <c r="J48"/>
  <c r="I48"/>
  <c r="H48"/>
  <c r="H51" s="1"/>
  <c r="G48"/>
  <c r="G51" s="1"/>
  <c r="F48"/>
  <c r="E48"/>
  <c r="E51" s="1"/>
  <c r="D48"/>
  <c r="D51" s="1"/>
  <c r="C48"/>
  <c r="C51" s="1"/>
  <c r="C47"/>
  <c r="D47" s="1"/>
  <c r="E47" s="1"/>
  <c r="F47" s="1"/>
  <c r="G47" s="1"/>
  <c r="H47" s="1"/>
  <c r="I47" s="1"/>
  <c r="J47" s="1"/>
  <c r="K47" s="1"/>
  <c r="L47" s="1"/>
  <c r="M47" s="1"/>
  <c r="N47" s="1"/>
  <c r="L46"/>
  <c r="K46"/>
  <c r="H46"/>
  <c r="G46"/>
  <c r="D46"/>
  <c r="C46"/>
  <c r="AN43"/>
  <c r="AM43"/>
  <c r="AL43"/>
  <c r="AK43"/>
  <c r="AJ43"/>
  <c r="AI43"/>
  <c r="AH43"/>
  <c r="AG43"/>
  <c r="AF43"/>
  <c r="AE43"/>
  <c r="AD43"/>
  <c r="AC43"/>
  <c r="AA43"/>
  <c r="Z43"/>
  <c r="Y43"/>
  <c r="X43"/>
  <c r="W43"/>
  <c r="V43"/>
  <c r="U43"/>
  <c r="T43"/>
  <c r="S43"/>
  <c r="R43"/>
  <c r="Q43"/>
  <c r="P43"/>
  <c r="N43"/>
  <c r="M43"/>
  <c r="M46" s="1"/>
  <c r="L43"/>
  <c r="K43"/>
  <c r="J43"/>
  <c r="I43"/>
  <c r="I46" s="1"/>
  <c r="H43"/>
  <c r="G43"/>
  <c r="F43"/>
  <c r="E43"/>
  <c r="E46" s="1"/>
  <c r="D43"/>
  <c r="C43"/>
  <c r="C42"/>
  <c r="D42" s="1"/>
  <c r="E42" s="1"/>
  <c r="F42" s="1"/>
  <c r="G42" s="1"/>
  <c r="H42" s="1"/>
  <c r="I42" s="1"/>
  <c r="J42" s="1"/>
  <c r="K42" s="1"/>
  <c r="L42" s="1"/>
  <c r="M42" s="1"/>
  <c r="N42" s="1"/>
  <c r="AN38"/>
  <c r="AM38"/>
  <c r="AL38"/>
  <c r="AK38"/>
  <c r="AJ38"/>
  <c r="AI38"/>
  <c r="AH38"/>
  <c r="AG38"/>
  <c r="AF38"/>
  <c r="AE38"/>
  <c r="AD38"/>
  <c r="AC38"/>
  <c r="AO38" s="1"/>
  <c r="AA38"/>
  <c r="Z38"/>
  <c r="Y38"/>
  <c r="X38"/>
  <c r="W38"/>
  <c r="V38"/>
  <c r="U38"/>
  <c r="T38"/>
  <c r="S38"/>
  <c r="R38"/>
  <c r="Q38"/>
  <c r="P38"/>
  <c r="N38"/>
  <c r="N41" s="1"/>
  <c r="M38"/>
  <c r="M41" s="1"/>
  <c r="L38"/>
  <c r="L41" s="1"/>
  <c r="K38"/>
  <c r="J38"/>
  <c r="J41" s="1"/>
  <c r="I38"/>
  <c r="I41" s="1"/>
  <c r="H38"/>
  <c r="H41" s="1"/>
  <c r="G38"/>
  <c r="F38"/>
  <c r="F41" s="1"/>
  <c r="E38"/>
  <c r="E41" s="1"/>
  <c r="D38"/>
  <c r="D41" s="1"/>
  <c r="C38"/>
  <c r="C37"/>
  <c r="AN33"/>
  <c r="AM33"/>
  <c r="AL33"/>
  <c r="AK33"/>
  <c r="AJ33"/>
  <c r="AI33"/>
  <c r="AH33"/>
  <c r="AG33"/>
  <c r="AF33"/>
  <c r="AE33"/>
  <c r="AD33"/>
  <c r="AC33"/>
  <c r="AA33"/>
  <c r="Z33"/>
  <c r="Y33"/>
  <c r="X33"/>
  <c r="W33"/>
  <c r="V33"/>
  <c r="U33"/>
  <c r="T33"/>
  <c r="S33"/>
  <c r="R33"/>
  <c r="Q33"/>
  <c r="P33"/>
  <c r="N33"/>
  <c r="N36" s="1"/>
  <c r="M33"/>
  <c r="M36" s="1"/>
  <c r="L33"/>
  <c r="L36" s="1"/>
  <c r="K33"/>
  <c r="K36" s="1"/>
  <c r="J33"/>
  <c r="J36" s="1"/>
  <c r="I33"/>
  <c r="I36" s="1"/>
  <c r="H33"/>
  <c r="H36" s="1"/>
  <c r="G33"/>
  <c r="G36" s="1"/>
  <c r="F33"/>
  <c r="F36" s="1"/>
  <c r="E33"/>
  <c r="E36" s="1"/>
  <c r="D33"/>
  <c r="D36" s="1"/>
  <c r="C33"/>
  <c r="C36" s="1"/>
  <c r="AK32"/>
  <c r="AG32"/>
  <c r="AC32"/>
  <c r="Y32"/>
  <c r="U32"/>
  <c r="Q32"/>
  <c r="M32"/>
  <c r="I32"/>
  <c r="E32"/>
  <c r="D32"/>
  <c r="B32"/>
  <c r="C31"/>
  <c r="D31" s="1"/>
  <c r="E31" s="1"/>
  <c r="F31" s="1"/>
  <c r="G31" s="1"/>
  <c r="H31" s="1"/>
  <c r="I31" s="1"/>
  <c r="J31" s="1"/>
  <c r="K31" s="1"/>
  <c r="L31" s="1"/>
  <c r="M31" s="1"/>
  <c r="N31" s="1"/>
  <c r="L30"/>
  <c r="K30"/>
  <c r="H30"/>
  <c r="G30"/>
  <c r="D30"/>
  <c r="C30"/>
  <c r="AN27"/>
  <c r="AM27"/>
  <c r="AL27"/>
  <c r="AK27"/>
  <c r="AJ27"/>
  <c r="AI27"/>
  <c r="AH27"/>
  <c r="AG27"/>
  <c r="AF27"/>
  <c r="AE27"/>
  <c r="AD27"/>
  <c r="AC27"/>
  <c r="AA27"/>
  <c r="Z27"/>
  <c r="Y27"/>
  <c r="X27"/>
  <c r="W27"/>
  <c r="V27"/>
  <c r="U27"/>
  <c r="T27"/>
  <c r="S27"/>
  <c r="R27"/>
  <c r="Q27"/>
  <c r="P27"/>
  <c r="AB27" s="1"/>
  <c r="N27"/>
  <c r="N30" s="1"/>
  <c r="M27"/>
  <c r="M30" s="1"/>
  <c r="L27"/>
  <c r="K27"/>
  <c r="J27"/>
  <c r="J30" s="1"/>
  <c r="I27"/>
  <c r="I30" s="1"/>
  <c r="H27"/>
  <c r="G27"/>
  <c r="F27"/>
  <c r="F30" s="1"/>
  <c r="E27"/>
  <c r="E30" s="1"/>
  <c r="D27"/>
  <c r="C27"/>
  <c r="O27" s="1"/>
  <c r="C26"/>
  <c r="D26" s="1"/>
  <c r="E26" s="1"/>
  <c r="F26" s="1"/>
  <c r="G26" s="1"/>
  <c r="H26" s="1"/>
  <c r="I26" s="1"/>
  <c r="J26" s="1"/>
  <c r="K26" s="1"/>
  <c r="L26" s="1"/>
  <c r="M26" s="1"/>
  <c r="N26" s="1"/>
  <c r="M25"/>
  <c r="L25"/>
  <c r="I25"/>
  <c r="H25"/>
  <c r="E25"/>
  <c r="D25"/>
  <c r="AN22"/>
  <c r="AM22"/>
  <c r="AL22"/>
  <c r="AK22"/>
  <c r="AJ22"/>
  <c r="AI22"/>
  <c r="AH22"/>
  <c r="AG22"/>
  <c r="AF22"/>
  <c r="AE22"/>
  <c r="AD22"/>
  <c r="AC22"/>
  <c r="AA22"/>
  <c r="Z22"/>
  <c r="Y22"/>
  <c r="X22"/>
  <c r="W22"/>
  <c r="V22"/>
  <c r="U22"/>
  <c r="T22"/>
  <c r="S22"/>
  <c r="R22"/>
  <c r="Q22"/>
  <c r="P22"/>
  <c r="AB22" s="1"/>
  <c r="N22"/>
  <c r="N25" s="1"/>
  <c r="M22"/>
  <c r="L22"/>
  <c r="K22"/>
  <c r="K25" s="1"/>
  <c r="J22"/>
  <c r="J25" s="1"/>
  <c r="I22"/>
  <c r="H22"/>
  <c r="G22"/>
  <c r="G25" s="1"/>
  <c r="F22"/>
  <c r="F25" s="1"/>
  <c r="E22"/>
  <c r="D22"/>
  <c r="C22"/>
  <c r="C25" s="1"/>
  <c r="C21"/>
  <c r="N20"/>
  <c r="M20"/>
  <c r="J20"/>
  <c r="I20"/>
  <c r="F20"/>
  <c r="E20"/>
  <c r="AN17"/>
  <c r="AM17"/>
  <c r="AL17"/>
  <c r="AK17"/>
  <c r="AJ17"/>
  <c r="AI17"/>
  <c r="AH17"/>
  <c r="AG17"/>
  <c r="AF17"/>
  <c r="AE17"/>
  <c r="AD17"/>
  <c r="AC17"/>
  <c r="AO17" s="1"/>
  <c r="AA17"/>
  <c r="Z17"/>
  <c r="Y17"/>
  <c r="X17"/>
  <c r="W17"/>
  <c r="V17"/>
  <c r="U17"/>
  <c r="T17"/>
  <c r="S17"/>
  <c r="R17"/>
  <c r="Q17"/>
  <c r="P17"/>
  <c r="N17"/>
  <c r="M17"/>
  <c r="L17"/>
  <c r="K17"/>
  <c r="K20" s="1"/>
  <c r="J17"/>
  <c r="I17"/>
  <c r="H17"/>
  <c r="G17"/>
  <c r="G20" s="1"/>
  <c r="F17"/>
  <c r="E17"/>
  <c r="D17"/>
  <c r="C17"/>
  <c r="C20" s="1"/>
  <c r="C16"/>
  <c r="N15"/>
  <c r="F15"/>
  <c r="AN12"/>
  <c r="AM12"/>
  <c r="AL12"/>
  <c r="AL6" s="1"/>
  <c r="AK12"/>
  <c r="AJ12"/>
  <c r="AI12"/>
  <c r="AH12"/>
  <c r="AH6" s="1"/>
  <c r="AG12"/>
  <c r="AF12"/>
  <c r="AE12"/>
  <c r="AD12"/>
  <c r="AD6" s="1"/>
  <c r="AC12"/>
  <c r="AA12"/>
  <c r="Z12"/>
  <c r="Y12"/>
  <c r="X12"/>
  <c r="W12"/>
  <c r="V12"/>
  <c r="U12"/>
  <c r="T12"/>
  <c r="S12"/>
  <c r="R12"/>
  <c r="Q12"/>
  <c r="P12"/>
  <c r="N12"/>
  <c r="M12"/>
  <c r="L12"/>
  <c r="L15" s="1"/>
  <c r="K12"/>
  <c r="K6" s="1"/>
  <c r="J12"/>
  <c r="J15" s="1"/>
  <c r="I12"/>
  <c r="H12"/>
  <c r="H15" s="1"/>
  <c r="G12"/>
  <c r="G15" s="1"/>
  <c r="F12"/>
  <c r="E12"/>
  <c r="D12"/>
  <c r="D15" s="1"/>
  <c r="C12"/>
  <c r="C15" s="1"/>
  <c r="C11"/>
  <c r="AN7"/>
  <c r="AM7"/>
  <c r="AL7"/>
  <c r="AK7"/>
  <c r="AJ7"/>
  <c r="AI7"/>
  <c r="AH7"/>
  <c r="AG7"/>
  <c r="AF7"/>
  <c r="AE7"/>
  <c r="AD7"/>
  <c r="AC7"/>
  <c r="AA7"/>
  <c r="Z7"/>
  <c r="Y7"/>
  <c r="X7"/>
  <c r="W7"/>
  <c r="V7"/>
  <c r="U7"/>
  <c r="T7"/>
  <c r="S7"/>
  <c r="R7"/>
  <c r="Q7"/>
  <c r="P7"/>
  <c r="N7"/>
  <c r="N10" s="1"/>
  <c r="M7"/>
  <c r="M10" s="1"/>
  <c r="L7"/>
  <c r="L10" s="1"/>
  <c r="K7"/>
  <c r="K10" s="1"/>
  <c r="J7"/>
  <c r="J10" s="1"/>
  <c r="I7"/>
  <c r="I10" s="1"/>
  <c r="H7"/>
  <c r="H10" s="1"/>
  <c r="G7"/>
  <c r="G10" s="1"/>
  <c r="F7"/>
  <c r="F10" s="1"/>
  <c r="E7"/>
  <c r="E10" s="1"/>
  <c r="D7"/>
  <c r="D10" s="1"/>
  <c r="C7"/>
  <c r="C10" s="1"/>
  <c r="AA6"/>
  <c r="W6"/>
  <c r="S6"/>
  <c r="C6"/>
  <c r="B6"/>
  <c r="M45" i="13"/>
  <c r="L45"/>
  <c r="K45"/>
  <c r="J45"/>
  <c r="I45"/>
  <c r="H45"/>
  <c r="G45"/>
  <c r="F45"/>
  <c r="E45"/>
  <c r="D45"/>
  <c r="C45"/>
  <c r="B45"/>
  <c r="N45" s="1"/>
  <c r="A45"/>
  <c r="M44"/>
  <c r="L44"/>
  <c r="K44"/>
  <c r="J44"/>
  <c r="I44"/>
  <c r="H44"/>
  <c r="G44"/>
  <c r="F44"/>
  <c r="E44"/>
  <c r="D44"/>
  <c r="C44"/>
  <c r="B44"/>
  <c r="A44"/>
  <c r="M43"/>
  <c r="L43"/>
  <c r="K43"/>
  <c r="J43"/>
  <c r="I43"/>
  <c r="H43"/>
  <c r="G43"/>
  <c r="F43"/>
  <c r="E43"/>
  <c r="D43"/>
  <c r="C43"/>
  <c r="B43"/>
  <c r="A43"/>
  <c r="M42"/>
  <c r="L42"/>
  <c r="K42"/>
  <c r="J42"/>
  <c r="I42"/>
  <c r="H42"/>
  <c r="G42"/>
  <c r="F42"/>
  <c r="E42"/>
  <c r="D42"/>
  <c r="C42"/>
  <c r="B42"/>
  <c r="N42" s="1"/>
  <c r="A42"/>
  <c r="M41"/>
  <c r="L41"/>
  <c r="K41"/>
  <c r="J41"/>
  <c r="I41"/>
  <c r="H41"/>
  <c r="G41"/>
  <c r="F41"/>
  <c r="E41"/>
  <c r="D41"/>
  <c r="C41"/>
  <c r="B41"/>
  <c r="A41"/>
  <c r="M40"/>
  <c r="L40"/>
  <c r="K40"/>
  <c r="J40"/>
  <c r="I40"/>
  <c r="H40"/>
  <c r="G40"/>
  <c r="F40"/>
  <c r="E40"/>
  <c r="D40"/>
  <c r="C40"/>
  <c r="B40"/>
  <c r="A40"/>
  <c r="M39"/>
  <c r="L39"/>
  <c r="K39"/>
  <c r="J39"/>
  <c r="I39"/>
  <c r="H39"/>
  <c r="G39"/>
  <c r="F39"/>
  <c r="E39"/>
  <c r="D39"/>
  <c r="C39"/>
  <c r="B39"/>
  <c r="A39"/>
  <c r="M38"/>
  <c r="L38"/>
  <c r="K38"/>
  <c r="J38"/>
  <c r="I38"/>
  <c r="H38"/>
  <c r="G38"/>
  <c r="F38"/>
  <c r="E38"/>
  <c r="D38"/>
  <c r="C38"/>
  <c r="B38"/>
  <c r="A38"/>
  <c r="M37"/>
  <c r="L37"/>
  <c r="K37"/>
  <c r="J37"/>
  <c r="I37"/>
  <c r="H37"/>
  <c r="G37"/>
  <c r="F37"/>
  <c r="E37"/>
  <c r="D37"/>
  <c r="C37"/>
  <c r="B37"/>
  <c r="A37"/>
  <c r="B12" i="14" s="1"/>
  <c r="M36" i="13"/>
  <c r="L36"/>
  <c r="K36"/>
  <c r="K46" s="1"/>
  <c r="M7" i="2" s="1"/>
  <c r="J36" i="13"/>
  <c r="I36"/>
  <c r="H36"/>
  <c r="G36"/>
  <c r="F36"/>
  <c r="E36"/>
  <c r="D36"/>
  <c r="C36"/>
  <c r="B36"/>
  <c r="A36"/>
  <c r="D30"/>
  <c r="W45" s="1"/>
  <c r="A30"/>
  <c r="D29"/>
  <c r="W44" s="1"/>
  <c r="A29"/>
  <c r="D28"/>
  <c r="E28" s="1"/>
  <c r="A28"/>
  <c r="D27"/>
  <c r="Q42" s="1"/>
  <c r="A27"/>
  <c r="D26"/>
  <c r="W41" s="1"/>
  <c r="A26"/>
  <c r="D25"/>
  <c r="W40" s="1"/>
  <c r="A25"/>
  <c r="D24"/>
  <c r="Q39" s="1"/>
  <c r="A24"/>
  <c r="D23"/>
  <c r="U38" s="1"/>
  <c r="A23"/>
  <c r="D22"/>
  <c r="W37" s="1"/>
  <c r="A22"/>
  <c r="D21"/>
  <c r="W36" s="1"/>
  <c r="A21"/>
  <c r="AM15"/>
  <c r="AL15"/>
  <c r="AK15"/>
  <c r="AJ15"/>
  <c r="AI15"/>
  <c r="AH15"/>
  <c r="AG15"/>
  <c r="AF15"/>
  <c r="AE15"/>
  <c r="AD15"/>
  <c r="AC15"/>
  <c r="AB15"/>
  <c r="Z15"/>
  <c r="Y15"/>
  <c r="X15"/>
  <c r="W15"/>
  <c r="V15"/>
  <c r="U15"/>
  <c r="T15"/>
  <c r="S15"/>
  <c r="R15"/>
  <c r="Q15"/>
  <c r="P15"/>
  <c r="O15"/>
  <c r="M15"/>
  <c r="L15"/>
  <c r="K15"/>
  <c r="J15"/>
  <c r="I15"/>
  <c r="H15"/>
  <c r="G15"/>
  <c r="F15"/>
  <c r="E15"/>
  <c r="D15"/>
  <c r="C15"/>
  <c r="B15"/>
  <c r="AN14"/>
  <c r="AA14"/>
  <c r="N14"/>
  <c r="AN13"/>
  <c r="AA13"/>
  <c r="N13"/>
  <c r="AN12"/>
  <c r="AA12"/>
  <c r="N12"/>
  <c r="AN11"/>
  <c r="AA11"/>
  <c r="N11"/>
  <c r="AN10"/>
  <c r="AA10"/>
  <c r="N10"/>
  <c r="AN9"/>
  <c r="AA9"/>
  <c r="N9"/>
  <c r="AN8"/>
  <c r="AA8"/>
  <c r="N8"/>
  <c r="AN7"/>
  <c r="AA7"/>
  <c r="N7"/>
  <c r="AN6"/>
  <c r="AA6"/>
  <c r="N6"/>
  <c r="AN5"/>
  <c r="AA5"/>
  <c r="N5"/>
  <c r="H125" i="12"/>
  <c r="T125" s="1"/>
  <c r="S124"/>
  <c r="P124"/>
  <c r="O124"/>
  <c r="L124"/>
  <c r="K124"/>
  <c r="H124"/>
  <c r="E124"/>
  <c r="Q124" s="1"/>
  <c r="R123"/>
  <c r="Q123"/>
  <c r="N123"/>
  <c r="J123"/>
  <c r="I123"/>
  <c r="F123"/>
  <c r="V123" s="1"/>
  <c r="E123"/>
  <c r="S122"/>
  <c r="P122"/>
  <c r="O122"/>
  <c r="L122"/>
  <c r="K122"/>
  <c r="H122"/>
  <c r="E122"/>
  <c r="Q122" s="1"/>
  <c r="E121"/>
  <c r="M121" s="1"/>
  <c r="S120"/>
  <c r="P120"/>
  <c r="O120"/>
  <c r="L120"/>
  <c r="K120"/>
  <c r="H120"/>
  <c r="E120"/>
  <c r="Q120" s="1"/>
  <c r="R119"/>
  <c r="J119"/>
  <c r="E119"/>
  <c r="N119" s="1"/>
  <c r="S118"/>
  <c r="P118"/>
  <c r="O118"/>
  <c r="L118"/>
  <c r="K118"/>
  <c r="H118"/>
  <c r="E118"/>
  <c r="Q118" s="1"/>
  <c r="R117"/>
  <c r="Q117"/>
  <c r="J117"/>
  <c r="I117"/>
  <c r="E117"/>
  <c r="N117" s="1"/>
  <c r="S116"/>
  <c r="P116"/>
  <c r="O116"/>
  <c r="L116"/>
  <c r="K116"/>
  <c r="H116"/>
  <c r="E116"/>
  <c r="Q116" s="1"/>
  <c r="P115"/>
  <c r="L115"/>
  <c r="H115"/>
  <c r="E115"/>
  <c r="Q115" s="1"/>
  <c r="B114"/>
  <c r="H113"/>
  <c r="T113" s="1"/>
  <c r="P112"/>
  <c r="L112"/>
  <c r="H112"/>
  <c r="E112"/>
  <c r="Q112" s="1"/>
  <c r="S111"/>
  <c r="R111"/>
  <c r="P111"/>
  <c r="O111"/>
  <c r="N111"/>
  <c r="L111"/>
  <c r="K111"/>
  <c r="J111"/>
  <c r="H111"/>
  <c r="F111"/>
  <c r="V111" s="1"/>
  <c r="E111"/>
  <c r="Q111" s="1"/>
  <c r="P110"/>
  <c r="L110"/>
  <c r="H110"/>
  <c r="E110"/>
  <c r="Q110" s="1"/>
  <c r="S109"/>
  <c r="R109"/>
  <c r="P109"/>
  <c r="O109"/>
  <c r="N109"/>
  <c r="L109"/>
  <c r="K109"/>
  <c r="J109"/>
  <c r="H109"/>
  <c r="F109"/>
  <c r="V109" s="1"/>
  <c r="E109"/>
  <c r="Q109" s="1"/>
  <c r="P108"/>
  <c r="L108"/>
  <c r="H108"/>
  <c r="E108"/>
  <c r="Q108" s="1"/>
  <c r="S107"/>
  <c r="R107"/>
  <c r="P107"/>
  <c r="O107"/>
  <c r="N107"/>
  <c r="L107"/>
  <c r="K107"/>
  <c r="J107"/>
  <c r="H107"/>
  <c r="F107"/>
  <c r="Z107" s="1"/>
  <c r="E107"/>
  <c r="Q107" s="1"/>
  <c r="P106"/>
  <c r="L106"/>
  <c r="H106"/>
  <c r="E106"/>
  <c r="Q106" s="1"/>
  <c r="E105"/>
  <c r="Q105" s="1"/>
  <c r="E104"/>
  <c r="Q104" s="1"/>
  <c r="E103"/>
  <c r="Q103" s="1"/>
  <c r="H101"/>
  <c r="T101" s="1"/>
  <c r="S100"/>
  <c r="R100"/>
  <c r="P100"/>
  <c r="O100"/>
  <c r="N100"/>
  <c r="L100"/>
  <c r="K100"/>
  <c r="J100"/>
  <c r="H100"/>
  <c r="F100"/>
  <c r="V100" s="1"/>
  <c r="E100"/>
  <c r="Q100" s="1"/>
  <c r="P99"/>
  <c r="L99"/>
  <c r="H99"/>
  <c r="E99"/>
  <c r="Q99" s="1"/>
  <c r="S98"/>
  <c r="R98"/>
  <c r="P98"/>
  <c r="O98"/>
  <c r="N98"/>
  <c r="L98"/>
  <c r="K98"/>
  <c r="J98"/>
  <c r="H98"/>
  <c r="F98"/>
  <c r="V98" s="1"/>
  <c r="E98"/>
  <c r="Q98" s="1"/>
  <c r="P97"/>
  <c r="L97"/>
  <c r="H97"/>
  <c r="E97"/>
  <c r="Q97" s="1"/>
  <c r="S96"/>
  <c r="R96"/>
  <c r="P96"/>
  <c r="O96"/>
  <c r="N96"/>
  <c r="L96"/>
  <c r="K96"/>
  <c r="J96"/>
  <c r="H96"/>
  <c r="F96"/>
  <c r="Z96" s="1"/>
  <c r="E96"/>
  <c r="Q96" s="1"/>
  <c r="P95"/>
  <c r="L95"/>
  <c r="H95"/>
  <c r="E95"/>
  <c r="Q95" s="1"/>
  <c r="S94"/>
  <c r="R94"/>
  <c r="P94"/>
  <c r="O94"/>
  <c r="N94"/>
  <c r="L94"/>
  <c r="K94"/>
  <c r="J94"/>
  <c r="H94"/>
  <c r="F94"/>
  <c r="V94" s="1"/>
  <c r="E94"/>
  <c r="Q94" s="1"/>
  <c r="E93"/>
  <c r="Q93" s="1"/>
  <c r="E92"/>
  <c r="Q92" s="1"/>
  <c r="E91"/>
  <c r="Q91" s="1"/>
  <c r="B90"/>
  <c r="H89"/>
  <c r="T89" s="1"/>
  <c r="P88"/>
  <c r="L88"/>
  <c r="H88"/>
  <c r="E88"/>
  <c r="Q88" s="1"/>
  <c r="S87"/>
  <c r="R87"/>
  <c r="P87"/>
  <c r="O87"/>
  <c r="N87"/>
  <c r="L87"/>
  <c r="K87"/>
  <c r="J87"/>
  <c r="H87"/>
  <c r="F87"/>
  <c r="Z87" s="1"/>
  <c r="E87"/>
  <c r="Q87" s="1"/>
  <c r="P86"/>
  <c r="L86"/>
  <c r="H86"/>
  <c r="E86"/>
  <c r="Q86" s="1"/>
  <c r="S85"/>
  <c r="R85"/>
  <c r="P85"/>
  <c r="O85"/>
  <c r="N85"/>
  <c r="L85"/>
  <c r="K85"/>
  <c r="J85"/>
  <c r="H85"/>
  <c r="F85"/>
  <c r="V85" s="1"/>
  <c r="E85"/>
  <c r="Q85" s="1"/>
  <c r="P84"/>
  <c r="L84"/>
  <c r="H84"/>
  <c r="E84"/>
  <c r="Q84" s="1"/>
  <c r="S83"/>
  <c r="R83"/>
  <c r="P83"/>
  <c r="O83"/>
  <c r="N83"/>
  <c r="L83"/>
  <c r="K83"/>
  <c r="J83"/>
  <c r="H83"/>
  <c r="F83"/>
  <c r="V83" s="1"/>
  <c r="E83"/>
  <c r="Q83" s="1"/>
  <c r="P82"/>
  <c r="L82"/>
  <c r="H82"/>
  <c r="E82"/>
  <c r="Q82" s="1"/>
  <c r="S81"/>
  <c r="R81"/>
  <c r="P81"/>
  <c r="O81"/>
  <c r="N81"/>
  <c r="L81"/>
  <c r="K81"/>
  <c r="J81"/>
  <c r="H81"/>
  <c r="F81"/>
  <c r="V81" s="1"/>
  <c r="E81"/>
  <c r="Q81" s="1"/>
  <c r="P80"/>
  <c r="L80"/>
  <c r="H80"/>
  <c r="E80"/>
  <c r="Q80" s="1"/>
  <c r="S79"/>
  <c r="R79"/>
  <c r="P79"/>
  <c r="O79"/>
  <c r="N79"/>
  <c r="L79"/>
  <c r="K79"/>
  <c r="J79"/>
  <c r="H79"/>
  <c r="F79"/>
  <c r="Z79" s="1"/>
  <c r="E79"/>
  <c r="Q79" s="1"/>
  <c r="L78"/>
  <c r="B78"/>
  <c r="H77"/>
  <c r="T77" s="1"/>
  <c r="S76"/>
  <c r="R76"/>
  <c r="P76"/>
  <c r="O76"/>
  <c r="N76"/>
  <c r="L76"/>
  <c r="K76"/>
  <c r="J76"/>
  <c r="H76"/>
  <c r="F76"/>
  <c r="V76" s="1"/>
  <c r="E76"/>
  <c r="Q76" s="1"/>
  <c r="P75"/>
  <c r="L75"/>
  <c r="H75"/>
  <c r="E75"/>
  <c r="Q75" s="1"/>
  <c r="S74"/>
  <c r="R74"/>
  <c r="P74"/>
  <c r="O74"/>
  <c r="N74"/>
  <c r="L74"/>
  <c r="K74"/>
  <c r="J74"/>
  <c r="H74"/>
  <c r="F74"/>
  <c r="V74" s="1"/>
  <c r="E74"/>
  <c r="Q74" s="1"/>
  <c r="P73"/>
  <c r="L73"/>
  <c r="H73"/>
  <c r="E73"/>
  <c r="Q73" s="1"/>
  <c r="S72"/>
  <c r="R72"/>
  <c r="P72"/>
  <c r="O72"/>
  <c r="N72"/>
  <c r="L72"/>
  <c r="K72"/>
  <c r="J72"/>
  <c r="H72"/>
  <c r="F72"/>
  <c r="AB72" s="1"/>
  <c r="E72"/>
  <c r="Q72" s="1"/>
  <c r="R71"/>
  <c r="N71"/>
  <c r="M71"/>
  <c r="I71"/>
  <c r="H71"/>
  <c r="E71"/>
  <c r="Q71" s="1"/>
  <c r="S70"/>
  <c r="R70"/>
  <c r="P70"/>
  <c r="O70"/>
  <c r="N70"/>
  <c r="L70"/>
  <c r="K70"/>
  <c r="J70"/>
  <c r="H70"/>
  <c r="F70"/>
  <c r="AE70" s="1"/>
  <c r="E70"/>
  <c r="Q70" s="1"/>
  <c r="R69"/>
  <c r="N69"/>
  <c r="M69"/>
  <c r="I69"/>
  <c r="H69"/>
  <c r="E69"/>
  <c r="Q69" s="1"/>
  <c r="S68"/>
  <c r="R68"/>
  <c r="P68"/>
  <c r="O68"/>
  <c r="N68"/>
  <c r="L68"/>
  <c r="K68"/>
  <c r="J68"/>
  <c r="H68"/>
  <c r="F68"/>
  <c r="AB68" s="1"/>
  <c r="E68"/>
  <c r="Q68" s="1"/>
  <c r="R67"/>
  <c r="N67"/>
  <c r="M67"/>
  <c r="I67"/>
  <c r="H67"/>
  <c r="E67"/>
  <c r="Q67" s="1"/>
  <c r="Q66" s="1"/>
  <c r="B66"/>
  <c r="H65"/>
  <c r="T65" s="1"/>
  <c r="R64"/>
  <c r="Q64"/>
  <c r="N64"/>
  <c r="M64"/>
  <c r="L64"/>
  <c r="I64"/>
  <c r="H64"/>
  <c r="F64"/>
  <c r="AD64" s="1"/>
  <c r="E64"/>
  <c r="S63"/>
  <c r="R63"/>
  <c r="P63"/>
  <c r="O63"/>
  <c r="N63"/>
  <c r="L63"/>
  <c r="K63"/>
  <c r="J63"/>
  <c r="H63"/>
  <c r="F63"/>
  <c r="AD63" s="1"/>
  <c r="E63"/>
  <c r="Q63" s="1"/>
  <c r="R62"/>
  <c r="Q62"/>
  <c r="N62"/>
  <c r="M62"/>
  <c r="L62"/>
  <c r="I62"/>
  <c r="H62"/>
  <c r="F62"/>
  <c r="AD62" s="1"/>
  <c r="E62"/>
  <c r="S61"/>
  <c r="R61"/>
  <c r="P61"/>
  <c r="O61"/>
  <c r="N61"/>
  <c r="L61"/>
  <c r="K61"/>
  <c r="J61"/>
  <c r="H61"/>
  <c r="F61"/>
  <c r="AD61" s="1"/>
  <c r="E61"/>
  <c r="Q61" s="1"/>
  <c r="R60"/>
  <c r="N60"/>
  <c r="J60"/>
  <c r="F60"/>
  <c r="AC60" s="1"/>
  <c r="E60"/>
  <c r="Q60" s="1"/>
  <c r="S59"/>
  <c r="P59"/>
  <c r="O59"/>
  <c r="L59"/>
  <c r="K59"/>
  <c r="H59"/>
  <c r="E59"/>
  <c r="Q59" s="1"/>
  <c r="R58"/>
  <c r="N58"/>
  <c r="J58"/>
  <c r="F58"/>
  <c r="AC58" s="1"/>
  <c r="E58"/>
  <c r="Q58" s="1"/>
  <c r="E57"/>
  <c r="Q57" s="1"/>
  <c r="E56"/>
  <c r="Q56" s="1"/>
  <c r="E55"/>
  <c r="Q55" s="1"/>
  <c r="H53"/>
  <c r="T53" s="1"/>
  <c r="S52"/>
  <c r="P52"/>
  <c r="O52"/>
  <c r="L52"/>
  <c r="K52"/>
  <c r="H52"/>
  <c r="E52"/>
  <c r="Q52" s="1"/>
  <c r="R51"/>
  <c r="N51"/>
  <c r="J51"/>
  <c r="F51"/>
  <c r="AC51" s="1"/>
  <c r="E51"/>
  <c r="Q51" s="1"/>
  <c r="S50"/>
  <c r="P50"/>
  <c r="O50"/>
  <c r="L50"/>
  <c r="K50"/>
  <c r="H50"/>
  <c r="E50"/>
  <c r="Q50" s="1"/>
  <c r="R49"/>
  <c r="N49"/>
  <c r="J49"/>
  <c r="F49"/>
  <c r="AC49" s="1"/>
  <c r="E49"/>
  <c r="Q49" s="1"/>
  <c r="S48"/>
  <c r="P48"/>
  <c r="O48"/>
  <c r="L48"/>
  <c r="K48"/>
  <c r="H48"/>
  <c r="E48"/>
  <c r="Q48" s="1"/>
  <c r="R47"/>
  <c r="N47"/>
  <c r="J47"/>
  <c r="F47"/>
  <c r="AC47" s="1"/>
  <c r="E47"/>
  <c r="Q47" s="1"/>
  <c r="E46"/>
  <c r="Q46" s="1"/>
  <c r="E45"/>
  <c r="Q45" s="1"/>
  <c r="E44"/>
  <c r="Q44" s="1"/>
  <c r="E43"/>
  <c r="Q43" s="1"/>
  <c r="H41"/>
  <c r="T41" s="1"/>
  <c r="R40"/>
  <c r="N40"/>
  <c r="J40"/>
  <c r="F40"/>
  <c r="AC40" s="1"/>
  <c r="E40"/>
  <c r="Q40" s="1"/>
  <c r="S39"/>
  <c r="P39"/>
  <c r="O39"/>
  <c r="L39"/>
  <c r="K39"/>
  <c r="H39"/>
  <c r="E39"/>
  <c r="Q39" s="1"/>
  <c r="R38"/>
  <c r="N38"/>
  <c r="J38"/>
  <c r="F38"/>
  <c r="AC38" s="1"/>
  <c r="E38"/>
  <c r="Q38" s="1"/>
  <c r="S37"/>
  <c r="P37"/>
  <c r="O37"/>
  <c r="L37"/>
  <c r="K37"/>
  <c r="H37"/>
  <c r="E37"/>
  <c r="Q37" s="1"/>
  <c r="R36"/>
  <c r="N36"/>
  <c r="J36"/>
  <c r="F36"/>
  <c r="AC36" s="1"/>
  <c r="E36"/>
  <c r="Q36" s="1"/>
  <c r="S35"/>
  <c r="P35"/>
  <c r="O35"/>
  <c r="L35"/>
  <c r="K35"/>
  <c r="H35"/>
  <c r="E35"/>
  <c r="Q35" s="1"/>
  <c r="E34"/>
  <c r="Q34" s="1"/>
  <c r="E33"/>
  <c r="Q33" s="1"/>
  <c r="E32"/>
  <c r="Q32" s="1"/>
  <c r="E31"/>
  <c r="Q31" s="1"/>
  <c r="T29"/>
  <c r="H29"/>
  <c r="S28"/>
  <c r="P28"/>
  <c r="O28"/>
  <c r="L28"/>
  <c r="K28"/>
  <c r="H28"/>
  <c r="E28"/>
  <c r="Q28" s="1"/>
  <c r="R27"/>
  <c r="N27"/>
  <c r="J27"/>
  <c r="F27"/>
  <c r="AC27" s="1"/>
  <c r="E27"/>
  <c r="Q27" s="1"/>
  <c r="S26"/>
  <c r="P26"/>
  <c r="O26"/>
  <c r="L26"/>
  <c r="K26"/>
  <c r="H26"/>
  <c r="E26"/>
  <c r="Q26" s="1"/>
  <c r="R25"/>
  <c r="N25"/>
  <c r="J25"/>
  <c r="F25"/>
  <c r="AC25" s="1"/>
  <c r="E25"/>
  <c r="Q25" s="1"/>
  <c r="S24"/>
  <c r="P24"/>
  <c r="O24"/>
  <c r="L24"/>
  <c r="K24"/>
  <c r="H24"/>
  <c r="E24"/>
  <c r="Q24" s="1"/>
  <c r="R23"/>
  <c r="N23"/>
  <c r="J23"/>
  <c r="F23"/>
  <c r="AC23" s="1"/>
  <c r="E23"/>
  <c r="Q23" s="1"/>
  <c r="E22"/>
  <c r="Q22" s="1"/>
  <c r="E21"/>
  <c r="Q21" s="1"/>
  <c r="E20"/>
  <c r="Q20" s="1"/>
  <c r="E19"/>
  <c r="Q19" s="1"/>
  <c r="B18"/>
  <c r="H17"/>
  <c r="T17" s="1"/>
  <c r="Q16"/>
  <c r="I16"/>
  <c r="E16"/>
  <c r="N16" s="1"/>
  <c r="S15"/>
  <c r="P15"/>
  <c r="O15"/>
  <c r="L15"/>
  <c r="K15"/>
  <c r="H15"/>
  <c r="E15"/>
  <c r="Q15" s="1"/>
  <c r="R14"/>
  <c r="N14"/>
  <c r="J14"/>
  <c r="F14"/>
  <c r="Y14" s="1"/>
  <c r="E14"/>
  <c r="S13"/>
  <c r="P13"/>
  <c r="O13"/>
  <c r="L13"/>
  <c r="K13"/>
  <c r="H13"/>
  <c r="E13"/>
  <c r="Q13" s="1"/>
  <c r="E12"/>
  <c r="N12" s="1"/>
  <c r="E11"/>
  <c r="Q11" s="1"/>
  <c r="E10"/>
  <c r="N10" s="1"/>
  <c r="E9"/>
  <c r="Q9" s="1"/>
  <c r="E8"/>
  <c r="N8" s="1"/>
  <c r="E7"/>
  <c r="Q7" s="1"/>
  <c r="M20" i="11"/>
  <c r="L20"/>
  <c r="K20"/>
  <c r="J20"/>
  <c r="I20"/>
  <c r="H20"/>
  <c r="G20"/>
  <c r="F20"/>
  <c r="E20"/>
  <c r="D20"/>
  <c r="C20"/>
  <c r="B20"/>
  <c r="Z19"/>
  <c r="AM19" s="1"/>
  <c r="AO39" i="2" s="1"/>
  <c r="Y19" i="11"/>
  <c r="AL19" s="1"/>
  <c r="AN39" i="2" s="1"/>
  <c r="X19" i="11"/>
  <c r="AK19" s="1"/>
  <c r="W19"/>
  <c r="AJ19" s="1"/>
  <c r="V19"/>
  <c r="AI19" s="1"/>
  <c r="AK39" i="2" s="1"/>
  <c r="U19" i="11"/>
  <c r="AH19" s="1"/>
  <c r="AJ39" i="2" s="1"/>
  <c r="T19" i="11"/>
  <c r="AG19" s="1"/>
  <c r="S19"/>
  <c r="AF19" s="1"/>
  <c r="R19"/>
  <c r="AE19" s="1"/>
  <c r="AG39" i="2" s="1"/>
  <c r="Q19" i="11"/>
  <c r="AD19" s="1"/>
  <c r="AF39" i="2" s="1"/>
  <c r="P19" i="11"/>
  <c r="AC19" s="1"/>
  <c r="O19"/>
  <c r="AB19" s="1"/>
  <c r="N19"/>
  <c r="Z18"/>
  <c r="AM18" s="1"/>
  <c r="Y18"/>
  <c r="AL18" s="1"/>
  <c r="AN38" i="2" s="1"/>
  <c r="X18" i="11"/>
  <c r="AK18" s="1"/>
  <c r="AM38" i="2" s="1"/>
  <c r="W18" i="11"/>
  <c r="AJ18" s="1"/>
  <c r="V18"/>
  <c r="AI18" s="1"/>
  <c r="U18"/>
  <c r="AH18" s="1"/>
  <c r="AJ38" i="2" s="1"/>
  <c r="T18" i="11"/>
  <c r="AG18" s="1"/>
  <c r="AI38" i="2" s="1"/>
  <c r="S18" i="11"/>
  <c r="AF18" s="1"/>
  <c r="R18"/>
  <c r="AE18" s="1"/>
  <c r="Q18"/>
  <c r="AD18" s="1"/>
  <c r="AF38" i="2" s="1"/>
  <c r="P18" i="11"/>
  <c r="AC18" s="1"/>
  <c r="AE38" i="2" s="1"/>
  <c r="O18" i="11"/>
  <c r="N18"/>
  <c r="Z17"/>
  <c r="AM17" s="1"/>
  <c r="AO37" i="2" s="1"/>
  <c r="Y17" i="11"/>
  <c r="AL17" s="1"/>
  <c r="AN37" i="2" s="1"/>
  <c r="X17" i="11"/>
  <c r="AK17" s="1"/>
  <c r="AM37" i="2" s="1"/>
  <c r="W17" i="11"/>
  <c r="AJ17" s="1"/>
  <c r="AL37" i="2" s="1"/>
  <c r="V17" i="11"/>
  <c r="AI17" s="1"/>
  <c r="AK37" i="2" s="1"/>
  <c r="U17" i="11"/>
  <c r="AH17" s="1"/>
  <c r="AJ37" i="2" s="1"/>
  <c r="T17" i="11"/>
  <c r="AG17" s="1"/>
  <c r="AI37" i="2" s="1"/>
  <c r="S17" i="11"/>
  <c r="AF17" s="1"/>
  <c r="AH37" i="2" s="1"/>
  <c r="R17" i="11"/>
  <c r="AE17" s="1"/>
  <c r="AG37" i="2" s="1"/>
  <c r="Q17" i="11"/>
  <c r="AD17" s="1"/>
  <c r="AF37" i="2" s="1"/>
  <c r="P17" i="11"/>
  <c r="AC17" s="1"/>
  <c r="AE37" i="2" s="1"/>
  <c r="O17" i="11"/>
  <c r="N17"/>
  <c r="AK16"/>
  <c r="Z16"/>
  <c r="AM16" s="1"/>
  <c r="AO36" i="2" s="1"/>
  <c r="Y16" i="11"/>
  <c r="AL16" s="1"/>
  <c r="AN36" i="2" s="1"/>
  <c r="X16" i="11"/>
  <c r="W16"/>
  <c r="AJ16" s="1"/>
  <c r="AL36" i="2" s="1"/>
  <c r="V16" i="11"/>
  <c r="AI16" s="1"/>
  <c r="AK36" i="2" s="1"/>
  <c r="U16" i="11"/>
  <c r="AH16" s="1"/>
  <c r="AJ36" i="2" s="1"/>
  <c r="T16" i="11"/>
  <c r="AG16" s="1"/>
  <c r="AI36" i="2" s="1"/>
  <c r="S16" i="11"/>
  <c r="AF16" s="1"/>
  <c r="AH36" i="2" s="1"/>
  <c r="R16" i="11"/>
  <c r="AE16" s="1"/>
  <c r="AG36" i="2" s="1"/>
  <c r="Q16" i="11"/>
  <c r="AD16" s="1"/>
  <c r="AF36" i="2" s="1"/>
  <c r="P16" i="11"/>
  <c r="AC16" s="1"/>
  <c r="AE36" i="2" s="1"/>
  <c r="O16" i="11"/>
  <c r="AA16" s="1"/>
  <c r="N16"/>
  <c r="Z15"/>
  <c r="AM15" s="1"/>
  <c r="AO35" i="2" s="1"/>
  <c r="Y15" i="11"/>
  <c r="AL15" s="1"/>
  <c r="AN35" i="2" s="1"/>
  <c r="X15" i="11"/>
  <c r="AK15" s="1"/>
  <c r="AM35" i="2" s="1"/>
  <c r="W15" i="11"/>
  <c r="AJ15" s="1"/>
  <c r="AL35" i="2" s="1"/>
  <c r="V15" i="11"/>
  <c r="AI15" s="1"/>
  <c r="AK35" i="2" s="1"/>
  <c r="U15" i="11"/>
  <c r="AH15" s="1"/>
  <c r="AJ35" i="2" s="1"/>
  <c r="T15" i="11"/>
  <c r="AG15" s="1"/>
  <c r="AI35" i="2" s="1"/>
  <c r="S15" i="11"/>
  <c r="AF15" s="1"/>
  <c r="AH35" i="2" s="1"/>
  <c r="R15" i="11"/>
  <c r="AE15" s="1"/>
  <c r="AG35" i="2" s="1"/>
  <c r="Q15" i="11"/>
  <c r="AD15" s="1"/>
  <c r="AF35" i="2" s="1"/>
  <c r="P15" i="11"/>
  <c r="AC15" s="1"/>
  <c r="AE35" i="2" s="1"/>
  <c r="O15" i="11"/>
  <c r="N15"/>
  <c r="AK14"/>
  <c r="AC14"/>
  <c r="Z14"/>
  <c r="AM14" s="1"/>
  <c r="AO34" i="2" s="1"/>
  <c r="Y14" i="11"/>
  <c r="AL14" s="1"/>
  <c r="AN34" i="2" s="1"/>
  <c r="X14" i="11"/>
  <c r="W14"/>
  <c r="AJ14" s="1"/>
  <c r="AL34" i="2" s="1"/>
  <c r="V14" i="11"/>
  <c r="AI14" s="1"/>
  <c r="AK34" i="2" s="1"/>
  <c r="U14" i="11"/>
  <c r="AH14" s="1"/>
  <c r="AJ34" i="2" s="1"/>
  <c r="T14" i="11"/>
  <c r="AG14" s="1"/>
  <c r="AI34" i="2" s="1"/>
  <c r="S14" i="11"/>
  <c r="AF14" s="1"/>
  <c r="AH34" i="2" s="1"/>
  <c r="R14" i="11"/>
  <c r="AE14" s="1"/>
  <c r="AG34" i="2" s="1"/>
  <c r="Q14" i="11"/>
  <c r="AD14" s="1"/>
  <c r="AF34" i="2" s="1"/>
  <c r="P14" i="11"/>
  <c r="O14"/>
  <c r="N14"/>
  <c r="Z13"/>
  <c r="AM13" s="1"/>
  <c r="AO33" i="2" s="1"/>
  <c r="Y13" i="11"/>
  <c r="AL13" s="1"/>
  <c r="AN33" i="2" s="1"/>
  <c r="X13" i="11"/>
  <c r="AK13" s="1"/>
  <c r="AM33" i="2" s="1"/>
  <c r="W13" i="11"/>
  <c r="AJ13" s="1"/>
  <c r="AL33" i="2" s="1"/>
  <c r="V13" i="11"/>
  <c r="AI13" s="1"/>
  <c r="AK33" i="2" s="1"/>
  <c r="U13" i="11"/>
  <c r="AH13" s="1"/>
  <c r="AJ33" i="2" s="1"/>
  <c r="T13" i="11"/>
  <c r="AG13" s="1"/>
  <c r="AI33" i="2" s="1"/>
  <c r="S13" i="11"/>
  <c r="AF13" s="1"/>
  <c r="AH33" i="2" s="1"/>
  <c r="R13" i="11"/>
  <c r="AE13" s="1"/>
  <c r="AG33" i="2" s="1"/>
  <c r="Q13" i="11"/>
  <c r="AD13" s="1"/>
  <c r="AF33" i="2" s="1"/>
  <c r="P13" i="11"/>
  <c r="AC13" s="1"/>
  <c r="AE33" i="2" s="1"/>
  <c r="O13" i="11"/>
  <c r="Q33" i="2" s="1"/>
  <c r="N13" i="11"/>
  <c r="Z12"/>
  <c r="AM12" s="1"/>
  <c r="AO32" i="2" s="1"/>
  <c r="Y12" i="11"/>
  <c r="AL12" s="1"/>
  <c r="AN32" i="2" s="1"/>
  <c r="X12" i="11"/>
  <c r="AK12" s="1"/>
  <c r="AM32" i="2" s="1"/>
  <c r="W12" i="11"/>
  <c r="AJ12" s="1"/>
  <c r="AL32" i="2" s="1"/>
  <c r="V12" i="11"/>
  <c r="AI12" s="1"/>
  <c r="AK32" i="2" s="1"/>
  <c r="U12" i="11"/>
  <c r="AH12" s="1"/>
  <c r="AJ32" i="2" s="1"/>
  <c r="T12" i="11"/>
  <c r="AG12" s="1"/>
  <c r="AI32" i="2" s="1"/>
  <c r="S12" i="11"/>
  <c r="AF12" s="1"/>
  <c r="AH32" i="2" s="1"/>
  <c r="R12" i="11"/>
  <c r="AE12" s="1"/>
  <c r="AG32" i="2" s="1"/>
  <c r="Q12" i="11"/>
  <c r="AD12" s="1"/>
  <c r="AF32" i="2" s="1"/>
  <c r="P12" i="11"/>
  <c r="AC12" s="1"/>
  <c r="AE32" i="2" s="1"/>
  <c r="O12" i="11"/>
  <c r="N12"/>
  <c r="Z11"/>
  <c r="AM11" s="1"/>
  <c r="AO31" i="2" s="1"/>
  <c r="Y11" i="11"/>
  <c r="AL11" s="1"/>
  <c r="AN31" i="2" s="1"/>
  <c r="X11" i="11"/>
  <c r="AK11" s="1"/>
  <c r="AM31" i="2" s="1"/>
  <c r="W11" i="11"/>
  <c r="AJ11" s="1"/>
  <c r="AL31" i="2" s="1"/>
  <c r="V11" i="11"/>
  <c r="AI11" s="1"/>
  <c r="AK31" i="2" s="1"/>
  <c r="U11" i="11"/>
  <c r="AH11" s="1"/>
  <c r="AJ31" i="2" s="1"/>
  <c r="T11" i="11"/>
  <c r="AG11" s="1"/>
  <c r="AI31" i="2" s="1"/>
  <c r="S11" i="11"/>
  <c r="AF11" s="1"/>
  <c r="AH31" i="2" s="1"/>
  <c r="R11" i="11"/>
  <c r="AE11" s="1"/>
  <c r="AG31" i="2" s="1"/>
  <c r="Q11" i="11"/>
  <c r="AD11" s="1"/>
  <c r="AF31" i="2" s="1"/>
  <c r="P11" i="11"/>
  <c r="AC11" s="1"/>
  <c r="AE31" i="2" s="1"/>
  <c r="O11" i="11"/>
  <c r="N11"/>
  <c r="Z10"/>
  <c r="AM10" s="1"/>
  <c r="AO30" i="2" s="1"/>
  <c r="Y10" i="11"/>
  <c r="AL10" s="1"/>
  <c r="AN30" i="2" s="1"/>
  <c r="X10" i="11"/>
  <c r="AK10" s="1"/>
  <c r="AM30" i="2" s="1"/>
  <c r="W10" i="11"/>
  <c r="AJ10" s="1"/>
  <c r="AL30" i="2" s="1"/>
  <c r="V10" i="11"/>
  <c r="AI10" s="1"/>
  <c r="AK30" i="2" s="1"/>
  <c r="U10" i="11"/>
  <c r="AH10" s="1"/>
  <c r="AJ30" i="2" s="1"/>
  <c r="T10" i="11"/>
  <c r="AG10" s="1"/>
  <c r="AI30" i="2" s="1"/>
  <c r="S10" i="11"/>
  <c r="AF10" s="1"/>
  <c r="AH30" i="2" s="1"/>
  <c r="R10" i="11"/>
  <c r="AE10" s="1"/>
  <c r="AG30" i="2" s="1"/>
  <c r="Q10" i="11"/>
  <c r="AD10" s="1"/>
  <c r="AF30" i="2" s="1"/>
  <c r="P10" i="11"/>
  <c r="AC10" s="1"/>
  <c r="AE30" i="2" s="1"/>
  <c r="O10" i="11"/>
  <c r="N10"/>
  <c r="Z9"/>
  <c r="AM9" s="1"/>
  <c r="AO29" i="2" s="1"/>
  <c r="Y9" i="11"/>
  <c r="AL9" s="1"/>
  <c r="AN29" i="2" s="1"/>
  <c r="X9" i="11"/>
  <c r="AK9" s="1"/>
  <c r="AM29" i="2" s="1"/>
  <c r="W9" i="11"/>
  <c r="AJ9" s="1"/>
  <c r="AL29" i="2" s="1"/>
  <c r="V9" i="11"/>
  <c r="AI9" s="1"/>
  <c r="AK29" i="2" s="1"/>
  <c r="U9" i="11"/>
  <c r="AH9" s="1"/>
  <c r="AJ29" i="2" s="1"/>
  <c r="T9" i="11"/>
  <c r="AG9" s="1"/>
  <c r="AI29" i="2" s="1"/>
  <c r="S9" i="11"/>
  <c r="AF9" s="1"/>
  <c r="AH29" i="2" s="1"/>
  <c r="R9" i="11"/>
  <c r="AE9" s="1"/>
  <c r="AG29" i="2" s="1"/>
  <c r="Q9" i="11"/>
  <c r="AD9" s="1"/>
  <c r="AF29" i="2" s="1"/>
  <c r="P9" i="11"/>
  <c r="AC9" s="1"/>
  <c r="AE29" i="2" s="1"/>
  <c r="O9" i="11"/>
  <c r="N9"/>
  <c r="Z8"/>
  <c r="AM8" s="1"/>
  <c r="AO28" i="2" s="1"/>
  <c r="Y8" i="11"/>
  <c r="AL8" s="1"/>
  <c r="AN28" i="2" s="1"/>
  <c r="X8" i="11"/>
  <c r="AK8" s="1"/>
  <c r="AM28" i="2" s="1"/>
  <c r="W8" i="11"/>
  <c r="AJ8" s="1"/>
  <c r="AL28" i="2" s="1"/>
  <c r="V8" i="11"/>
  <c r="AI8" s="1"/>
  <c r="AK28" i="2" s="1"/>
  <c r="U8" i="11"/>
  <c r="AH8" s="1"/>
  <c r="AJ28" i="2" s="1"/>
  <c r="T8" i="11"/>
  <c r="AG8" s="1"/>
  <c r="AI28" i="2" s="1"/>
  <c r="S8" i="11"/>
  <c r="AF8" s="1"/>
  <c r="AH28" i="2" s="1"/>
  <c r="R8" i="11"/>
  <c r="AE8" s="1"/>
  <c r="AG28" i="2" s="1"/>
  <c r="Q8" i="11"/>
  <c r="AD8" s="1"/>
  <c r="AF28" i="2" s="1"/>
  <c r="P8" i="11"/>
  <c r="AC8" s="1"/>
  <c r="AE28" i="2" s="1"/>
  <c r="O8" i="11"/>
  <c r="N8"/>
  <c r="Z7"/>
  <c r="AM7" s="1"/>
  <c r="AO27" i="2" s="1"/>
  <c r="Y7" i="11"/>
  <c r="AL7" s="1"/>
  <c r="AN27" i="2" s="1"/>
  <c r="X7" i="11"/>
  <c r="AK7" s="1"/>
  <c r="AM27" i="2" s="1"/>
  <c r="W7" i="11"/>
  <c r="AJ7" s="1"/>
  <c r="AL27" i="2" s="1"/>
  <c r="V7" i="11"/>
  <c r="AI7" s="1"/>
  <c r="AK27" i="2" s="1"/>
  <c r="U7" i="11"/>
  <c r="AH7" s="1"/>
  <c r="AJ27" i="2" s="1"/>
  <c r="T7" i="11"/>
  <c r="AG7" s="1"/>
  <c r="AI27" i="2" s="1"/>
  <c r="S7" i="11"/>
  <c r="AF7" s="1"/>
  <c r="AH27" i="2" s="1"/>
  <c r="R7" i="11"/>
  <c r="AE7" s="1"/>
  <c r="AG27" i="2" s="1"/>
  <c r="Q7" i="11"/>
  <c r="AD7" s="1"/>
  <c r="AF27" i="2" s="1"/>
  <c r="P7" i="11"/>
  <c r="AC7" s="1"/>
  <c r="AE27" i="2" s="1"/>
  <c r="O7" i="11"/>
  <c r="Q27" i="2" s="1"/>
  <c r="N7" i="11"/>
  <c r="Z6"/>
  <c r="AM6" s="1"/>
  <c r="AO26" i="2" s="1"/>
  <c r="Y6" i="11"/>
  <c r="AL6" s="1"/>
  <c r="AN26" i="2" s="1"/>
  <c r="X6" i="11"/>
  <c r="AK6" s="1"/>
  <c r="AM26" i="2" s="1"/>
  <c r="W6" i="11"/>
  <c r="AJ6" s="1"/>
  <c r="AL26" i="2" s="1"/>
  <c r="V6" i="11"/>
  <c r="AI6" s="1"/>
  <c r="AK26" i="2" s="1"/>
  <c r="U6" i="11"/>
  <c r="AH6" s="1"/>
  <c r="AJ26" i="2" s="1"/>
  <c r="T6" i="11"/>
  <c r="AG6" s="1"/>
  <c r="AI26" i="2" s="1"/>
  <c r="S6" i="11"/>
  <c r="AF6" s="1"/>
  <c r="AH26" i="2" s="1"/>
  <c r="R6" i="11"/>
  <c r="AE6" s="1"/>
  <c r="AG26" i="2" s="1"/>
  <c r="Q6" i="11"/>
  <c r="AD6" s="1"/>
  <c r="AF26" i="2" s="1"/>
  <c r="P6" i="11"/>
  <c r="AC6" s="1"/>
  <c r="AE26" i="2" s="1"/>
  <c r="O6" i="11"/>
  <c r="Z5"/>
  <c r="Z20" s="1"/>
  <c r="Y5"/>
  <c r="AL5" s="1"/>
  <c r="AN25" i="2" s="1"/>
  <c r="X5" i="11"/>
  <c r="W5"/>
  <c r="V5"/>
  <c r="V20" s="1"/>
  <c r="U5"/>
  <c r="AH5" s="1"/>
  <c r="AJ25" i="2" s="1"/>
  <c r="T5" i="11"/>
  <c r="AG5" s="1"/>
  <c r="S5"/>
  <c r="R5"/>
  <c r="Q5"/>
  <c r="AD5" s="1"/>
  <c r="AF25" i="2" s="1"/>
  <c r="P5" i="11"/>
  <c r="O5"/>
  <c r="N5"/>
  <c r="M12" i="10"/>
  <c r="L12"/>
  <c r="K12"/>
  <c r="M22" i="2" s="1"/>
  <c r="J12" i="10"/>
  <c r="I12"/>
  <c r="H12"/>
  <c r="G12"/>
  <c r="F12"/>
  <c r="H22" i="2" s="1"/>
  <c r="E12" i="10"/>
  <c r="D12"/>
  <c r="C12"/>
  <c r="B12"/>
  <c r="D22" i="2" s="1"/>
  <c r="Z11" i="10"/>
  <c r="AM11" s="1"/>
  <c r="Y11"/>
  <c r="AL11" s="1"/>
  <c r="X11"/>
  <c r="AK11" s="1"/>
  <c r="W11"/>
  <c r="AJ11" s="1"/>
  <c r="V11"/>
  <c r="AI11" s="1"/>
  <c r="U11"/>
  <c r="AH11" s="1"/>
  <c r="T11"/>
  <c r="AG11" s="1"/>
  <c r="S11"/>
  <c r="AF11" s="1"/>
  <c r="R11"/>
  <c r="AE11" s="1"/>
  <c r="Q11"/>
  <c r="AD11" s="1"/>
  <c r="P11"/>
  <c r="AC11" s="1"/>
  <c r="O11"/>
  <c r="N11"/>
  <c r="Z10"/>
  <c r="AM10" s="1"/>
  <c r="Y10"/>
  <c r="AL10" s="1"/>
  <c r="X10"/>
  <c r="AK10" s="1"/>
  <c r="W10"/>
  <c r="AJ10" s="1"/>
  <c r="V10"/>
  <c r="AI10" s="1"/>
  <c r="U10"/>
  <c r="AH10" s="1"/>
  <c r="T10"/>
  <c r="AG10" s="1"/>
  <c r="S10"/>
  <c r="AF10" s="1"/>
  <c r="R10"/>
  <c r="AE10" s="1"/>
  <c r="Q10"/>
  <c r="AD10" s="1"/>
  <c r="P10"/>
  <c r="AC10" s="1"/>
  <c r="O10"/>
  <c r="N10"/>
  <c r="Z9"/>
  <c r="AM9" s="1"/>
  <c r="Y9"/>
  <c r="AL9" s="1"/>
  <c r="X9"/>
  <c r="AK9" s="1"/>
  <c r="W9"/>
  <c r="AJ9" s="1"/>
  <c r="V9"/>
  <c r="AI9" s="1"/>
  <c r="U9"/>
  <c r="AH9" s="1"/>
  <c r="T9"/>
  <c r="AG9" s="1"/>
  <c r="S9"/>
  <c r="AF9" s="1"/>
  <c r="R9"/>
  <c r="AE9" s="1"/>
  <c r="Q9"/>
  <c r="AD9" s="1"/>
  <c r="P9"/>
  <c r="AC9" s="1"/>
  <c r="O9"/>
  <c r="N9"/>
  <c r="Z8"/>
  <c r="AM8" s="1"/>
  <c r="Y8"/>
  <c r="AL8" s="1"/>
  <c r="X8"/>
  <c r="AK8" s="1"/>
  <c r="W8"/>
  <c r="AJ8" s="1"/>
  <c r="V8"/>
  <c r="AI8" s="1"/>
  <c r="U8"/>
  <c r="AH8" s="1"/>
  <c r="T8"/>
  <c r="AG8" s="1"/>
  <c r="S8"/>
  <c r="AF8" s="1"/>
  <c r="R8"/>
  <c r="AE8" s="1"/>
  <c r="Q8"/>
  <c r="AD8" s="1"/>
  <c r="P8"/>
  <c r="AC8" s="1"/>
  <c r="O8"/>
  <c r="N8"/>
  <c r="Z7"/>
  <c r="AM7" s="1"/>
  <c r="Y7"/>
  <c r="AL7" s="1"/>
  <c r="X7"/>
  <c r="AK7" s="1"/>
  <c r="W7"/>
  <c r="AJ7" s="1"/>
  <c r="V7"/>
  <c r="AI7" s="1"/>
  <c r="U7"/>
  <c r="AH7" s="1"/>
  <c r="T7"/>
  <c r="AG7" s="1"/>
  <c r="S7"/>
  <c r="AF7" s="1"/>
  <c r="R7"/>
  <c r="AE7" s="1"/>
  <c r="Q7"/>
  <c r="AD7" s="1"/>
  <c r="P7"/>
  <c r="AC7" s="1"/>
  <c r="O7"/>
  <c r="N7"/>
  <c r="Z6"/>
  <c r="AM6" s="1"/>
  <c r="Y6"/>
  <c r="AL6" s="1"/>
  <c r="X6"/>
  <c r="AK6" s="1"/>
  <c r="W6"/>
  <c r="V6"/>
  <c r="AI6" s="1"/>
  <c r="U6"/>
  <c r="AH6" s="1"/>
  <c r="T6"/>
  <c r="AG6" s="1"/>
  <c r="S6"/>
  <c r="R6"/>
  <c r="AE6" s="1"/>
  <c r="Q6"/>
  <c r="AD6" s="1"/>
  <c r="P6"/>
  <c r="AC6" s="1"/>
  <c r="O6"/>
  <c r="N6"/>
  <c r="Z5"/>
  <c r="Y5"/>
  <c r="AL5" s="1"/>
  <c r="X5"/>
  <c r="W5"/>
  <c r="AJ5" s="1"/>
  <c r="V5"/>
  <c r="U5"/>
  <c r="AH5" s="1"/>
  <c r="T5"/>
  <c r="S5"/>
  <c r="AF5" s="1"/>
  <c r="R5"/>
  <c r="Q5"/>
  <c r="AD5" s="1"/>
  <c r="P5"/>
  <c r="O5"/>
  <c r="N5"/>
  <c r="M30" i="9"/>
  <c r="L30"/>
  <c r="K30"/>
  <c r="J30"/>
  <c r="I30"/>
  <c r="H30"/>
  <c r="G30"/>
  <c r="F30"/>
  <c r="E30"/>
  <c r="D30"/>
  <c r="C30"/>
  <c r="B30"/>
  <c r="A30"/>
  <c r="M29"/>
  <c r="L29"/>
  <c r="K29"/>
  <c r="J29"/>
  <c r="I29"/>
  <c r="H29"/>
  <c r="G29"/>
  <c r="F29"/>
  <c r="E29"/>
  <c r="D29"/>
  <c r="C29"/>
  <c r="B29"/>
  <c r="A29"/>
  <c r="M28"/>
  <c r="L28"/>
  <c r="K28"/>
  <c r="J28"/>
  <c r="I28"/>
  <c r="H28"/>
  <c r="G28"/>
  <c r="F28"/>
  <c r="E28"/>
  <c r="D28"/>
  <c r="C28"/>
  <c r="B28"/>
  <c r="A28"/>
  <c r="M27"/>
  <c r="L27"/>
  <c r="K27"/>
  <c r="J27"/>
  <c r="I27"/>
  <c r="H27"/>
  <c r="G27"/>
  <c r="F27"/>
  <c r="E27"/>
  <c r="D27"/>
  <c r="C27"/>
  <c r="B27"/>
  <c r="A27"/>
  <c r="M26"/>
  <c r="L26"/>
  <c r="K26"/>
  <c r="J26"/>
  <c r="I26"/>
  <c r="H26"/>
  <c r="G26"/>
  <c r="F26"/>
  <c r="E26"/>
  <c r="D26"/>
  <c r="C26"/>
  <c r="B26"/>
  <c r="A26"/>
  <c r="M25"/>
  <c r="L25"/>
  <c r="K25"/>
  <c r="J25"/>
  <c r="I25"/>
  <c r="H25"/>
  <c r="G25"/>
  <c r="F25"/>
  <c r="E25"/>
  <c r="D25"/>
  <c r="C25"/>
  <c r="B25"/>
  <c r="A25"/>
  <c r="M24"/>
  <c r="L24"/>
  <c r="K24"/>
  <c r="J24"/>
  <c r="I24"/>
  <c r="H24"/>
  <c r="G24"/>
  <c r="F24"/>
  <c r="E24"/>
  <c r="D24"/>
  <c r="C24"/>
  <c r="B24"/>
  <c r="A24"/>
  <c r="M23"/>
  <c r="L23"/>
  <c r="K23"/>
  <c r="J23"/>
  <c r="I23"/>
  <c r="H23"/>
  <c r="G23"/>
  <c r="F23"/>
  <c r="E23"/>
  <c r="D23"/>
  <c r="C23"/>
  <c r="B23"/>
  <c r="A23"/>
  <c r="M22"/>
  <c r="L22"/>
  <c r="K22"/>
  <c r="J22"/>
  <c r="I22"/>
  <c r="H22"/>
  <c r="G22"/>
  <c r="F22"/>
  <c r="E22"/>
  <c r="D22"/>
  <c r="C22"/>
  <c r="B22"/>
  <c r="A22"/>
  <c r="M21"/>
  <c r="L21"/>
  <c r="K21"/>
  <c r="J21"/>
  <c r="I21"/>
  <c r="H21"/>
  <c r="G21"/>
  <c r="F21"/>
  <c r="E21"/>
  <c r="D21"/>
  <c r="C21"/>
  <c r="B21"/>
  <c r="A21"/>
  <c r="AN19"/>
  <c r="AB19"/>
  <c r="AA19"/>
  <c r="O19"/>
  <c r="AM15"/>
  <c r="AL15"/>
  <c r="AK15"/>
  <c r="AJ15"/>
  <c r="AI15"/>
  <c r="AH15"/>
  <c r="AG15"/>
  <c r="AF15"/>
  <c r="AE15"/>
  <c r="AD15"/>
  <c r="AC15"/>
  <c r="AB15"/>
  <c r="Z15"/>
  <c r="Y15"/>
  <c r="X15"/>
  <c r="W15"/>
  <c r="V15"/>
  <c r="U15"/>
  <c r="T15"/>
  <c r="S15"/>
  <c r="R15"/>
  <c r="Q15"/>
  <c r="P15"/>
  <c r="O15"/>
  <c r="M15"/>
  <c r="L15"/>
  <c r="K15"/>
  <c r="J15"/>
  <c r="I15"/>
  <c r="H15"/>
  <c r="G15"/>
  <c r="F15"/>
  <c r="E15"/>
  <c r="D15"/>
  <c r="C15"/>
  <c r="B15"/>
  <c r="AN14"/>
  <c r="AA14"/>
  <c r="N14"/>
  <c r="A14"/>
  <c r="AN13"/>
  <c r="AA13"/>
  <c r="N13"/>
  <c r="A13"/>
  <c r="AN12"/>
  <c r="AA12"/>
  <c r="N12"/>
  <c r="A12"/>
  <c r="AN11"/>
  <c r="AA11"/>
  <c r="N11"/>
  <c r="A11"/>
  <c r="AN10"/>
  <c r="AA10"/>
  <c r="N10"/>
  <c r="A10"/>
  <c r="AN9"/>
  <c r="AA9"/>
  <c r="N9"/>
  <c r="A9"/>
  <c r="AN8"/>
  <c r="AA8"/>
  <c r="N8"/>
  <c r="A8"/>
  <c r="AN7"/>
  <c r="AA7"/>
  <c r="N7"/>
  <c r="A7"/>
  <c r="AN6"/>
  <c r="AA6"/>
  <c r="N6"/>
  <c r="A6"/>
  <c r="AN5"/>
  <c r="AA5"/>
  <c r="N5"/>
  <c r="A5"/>
  <c r="D13" i="8"/>
  <c r="Y30" i="9" s="1"/>
  <c r="D12" i="8"/>
  <c r="W29" i="9" s="1"/>
  <c r="D11" i="8"/>
  <c r="Y28" i="9" s="1"/>
  <c r="D10" i="8"/>
  <c r="W27" i="9" s="1"/>
  <c r="D9" i="8"/>
  <c r="Y26" i="9" s="1"/>
  <c r="D8" i="8"/>
  <c r="W25" i="9" s="1"/>
  <c r="D7" i="8"/>
  <c r="Y24" i="9" s="1"/>
  <c r="D6" i="8"/>
  <c r="W23" i="9" s="1"/>
  <c r="D5" i="8"/>
  <c r="Y22" i="9" s="1"/>
  <c r="D4" i="8"/>
  <c r="W21" i="9" s="1"/>
  <c r="A15" i="7"/>
  <c r="C14"/>
  <c r="D52" i="2" s="1"/>
  <c r="B14" i="7"/>
  <c r="D14" s="1"/>
  <c r="C9"/>
  <c r="C10" s="1"/>
  <c r="C8"/>
  <c r="D19" i="4"/>
  <c r="E4"/>
  <c r="C5" s="1"/>
  <c r="E5" s="1"/>
  <c r="C6" s="1"/>
  <c r="E6" s="1"/>
  <c r="C7" s="1"/>
  <c r="E7" s="1"/>
  <c r="C8" s="1"/>
  <c r="E8" s="1"/>
  <c r="C9" s="1"/>
  <c r="E9" s="1"/>
  <c r="C10" s="1"/>
  <c r="E10" s="1"/>
  <c r="C11" s="1"/>
  <c r="E11" s="1"/>
  <c r="C12" s="1"/>
  <c r="E12" s="1"/>
  <c r="C13" s="1"/>
  <c r="E13" s="1"/>
  <c r="C14" s="1"/>
  <c r="E14" s="1"/>
  <c r="C15" s="1"/>
  <c r="E15" s="1"/>
  <c r="C16" s="1"/>
  <c r="E16" s="1"/>
  <c r="C17" s="1"/>
  <c r="E17" s="1"/>
  <c r="C18" s="1"/>
  <c r="E18" s="1"/>
  <c r="B59" i="2"/>
  <c r="C57"/>
  <c r="C61" s="1"/>
  <c r="AP53"/>
  <c r="AC53"/>
  <c r="AQ53" s="1"/>
  <c r="P53"/>
  <c r="AP50"/>
  <c r="AC50"/>
  <c r="AQ50" s="1"/>
  <c r="P50"/>
  <c r="AP49"/>
  <c r="AC49"/>
  <c r="AQ49" s="1"/>
  <c r="P49"/>
  <c r="AP48"/>
  <c r="AC48"/>
  <c r="AQ48" s="1"/>
  <c r="P48"/>
  <c r="C47"/>
  <c r="AP46"/>
  <c r="AP45" s="1"/>
  <c r="AC46"/>
  <c r="P46"/>
  <c r="AQ46" s="1"/>
  <c r="AQ45" s="1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O45"/>
  <c r="N45"/>
  <c r="M45"/>
  <c r="L45"/>
  <c r="K45"/>
  <c r="J45"/>
  <c r="I45"/>
  <c r="H45"/>
  <c r="G45"/>
  <c r="F45"/>
  <c r="E45"/>
  <c r="D45"/>
  <c r="AM39"/>
  <c r="AL39"/>
  <c r="AI39"/>
  <c r="AH39"/>
  <c r="AE39"/>
  <c r="AD39"/>
  <c r="AB39"/>
  <c r="AA39"/>
  <c r="Z39"/>
  <c r="Y39"/>
  <c r="X39"/>
  <c r="W39"/>
  <c r="V39"/>
  <c r="U39"/>
  <c r="T39"/>
  <c r="S39"/>
  <c r="R39"/>
  <c r="Q39"/>
  <c r="O39"/>
  <c r="N39"/>
  <c r="M39"/>
  <c r="L39"/>
  <c r="K39"/>
  <c r="J39"/>
  <c r="I39"/>
  <c r="H39"/>
  <c r="G39"/>
  <c r="F39"/>
  <c r="E39"/>
  <c r="D39"/>
  <c r="B39"/>
  <c r="AO38"/>
  <c r="AL38"/>
  <c r="AK38"/>
  <c r="AH38"/>
  <c r="AG38"/>
  <c r="AB38"/>
  <c r="AA38"/>
  <c r="Z38"/>
  <c r="Y38"/>
  <c r="X38"/>
  <c r="W38"/>
  <c r="V38"/>
  <c r="U38"/>
  <c r="T38"/>
  <c r="S38"/>
  <c r="R38"/>
  <c r="Q38"/>
  <c r="O38"/>
  <c r="N38"/>
  <c r="M38"/>
  <c r="L38"/>
  <c r="K38"/>
  <c r="J38"/>
  <c r="I38"/>
  <c r="H38"/>
  <c r="G38"/>
  <c r="F38"/>
  <c r="E38"/>
  <c r="D38"/>
  <c r="B38"/>
  <c r="AB37"/>
  <c r="AA37"/>
  <c r="Z37"/>
  <c r="Y37"/>
  <c r="X37"/>
  <c r="W37"/>
  <c r="V37"/>
  <c r="U37"/>
  <c r="T37"/>
  <c r="S37"/>
  <c r="R37"/>
  <c r="Q37"/>
  <c r="O37"/>
  <c r="N37"/>
  <c r="M37"/>
  <c r="L37"/>
  <c r="K37"/>
  <c r="J37"/>
  <c r="I37"/>
  <c r="H37"/>
  <c r="G37"/>
  <c r="F37"/>
  <c r="E37"/>
  <c r="D37"/>
  <c r="B37"/>
  <c r="AM36"/>
  <c r="AB36"/>
  <c r="AA36"/>
  <c r="Z36"/>
  <c r="Y36"/>
  <c r="X36"/>
  <c r="W36"/>
  <c r="V36"/>
  <c r="U36"/>
  <c r="T36"/>
  <c r="S36"/>
  <c r="R36"/>
  <c r="Q36"/>
  <c r="O36"/>
  <c r="N36"/>
  <c r="M36"/>
  <c r="L36"/>
  <c r="K36"/>
  <c r="J36"/>
  <c r="I36"/>
  <c r="H36"/>
  <c r="G36"/>
  <c r="F36"/>
  <c r="E36"/>
  <c r="D36"/>
  <c r="B36"/>
  <c r="AB35"/>
  <c r="AA35"/>
  <c r="Z35"/>
  <c r="Y35"/>
  <c r="X35"/>
  <c r="W35"/>
  <c r="V35"/>
  <c r="U35"/>
  <c r="T35"/>
  <c r="S35"/>
  <c r="R35"/>
  <c r="Q35"/>
  <c r="O35"/>
  <c r="N35"/>
  <c r="M35"/>
  <c r="L35"/>
  <c r="K35"/>
  <c r="J35"/>
  <c r="I35"/>
  <c r="H35"/>
  <c r="G35"/>
  <c r="F35"/>
  <c r="E35"/>
  <c r="D35"/>
  <c r="B35"/>
  <c r="AM34"/>
  <c r="AE34"/>
  <c r="AB34"/>
  <c r="AA34"/>
  <c r="Z34"/>
  <c r="Y34"/>
  <c r="X34"/>
  <c r="W34"/>
  <c r="V34"/>
  <c r="U34"/>
  <c r="T34"/>
  <c r="S34"/>
  <c r="R34"/>
  <c r="Q34"/>
  <c r="O34"/>
  <c r="N34"/>
  <c r="M34"/>
  <c r="L34"/>
  <c r="K34"/>
  <c r="J34"/>
  <c r="I34"/>
  <c r="H34"/>
  <c r="G34"/>
  <c r="F34"/>
  <c r="E34"/>
  <c r="D34"/>
  <c r="B34"/>
  <c r="AB33"/>
  <c r="AA33"/>
  <c r="Z33"/>
  <c r="Y33"/>
  <c r="X33"/>
  <c r="W33"/>
  <c r="V33"/>
  <c r="U33"/>
  <c r="T33"/>
  <c r="S33"/>
  <c r="R33"/>
  <c r="O33"/>
  <c r="N33"/>
  <c r="M33"/>
  <c r="L33"/>
  <c r="K33"/>
  <c r="J33"/>
  <c r="I33"/>
  <c r="H33"/>
  <c r="G33"/>
  <c r="F33"/>
  <c r="E33"/>
  <c r="D33"/>
  <c r="B33"/>
  <c r="AB32"/>
  <c r="AA32"/>
  <c r="Z32"/>
  <c r="Y32"/>
  <c r="X32"/>
  <c r="W32"/>
  <c r="V32"/>
  <c r="U32"/>
  <c r="T32"/>
  <c r="S32"/>
  <c r="R32"/>
  <c r="Q32"/>
  <c r="O32"/>
  <c r="N32"/>
  <c r="M32"/>
  <c r="L32"/>
  <c r="K32"/>
  <c r="J32"/>
  <c r="I32"/>
  <c r="H32"/>
  <c r="G32"/>
  <c r="F32"/>
  <c r="E32"/>
  <c r="D32"/>
  <c r="B32"/>
  <c r="AB31"/>
  <c r="AA31"/>
  <c r="Z31"/>
  <c r="Y31"/>
  <c r="X31"/>
  <c r="W31"/>
  <c r="V31"/>
  <c r="U31"/>
  <c r="T31"/>
  <c r="S31"/>
  <c r="R31"/>
  <c r="Q31"/>
  <c r="O31"/>
  <c r="N31"/>
  <c r="M31"/>
  <c r="L31"/>
  <c r="K31"/>
  <c r="J31"/>
  <c r="I31"/>
  <c r="H31"/>
  <c r="G31"/>
  <c r="F31"/>
  <c r="E31"/>
  <c r="D31"/>
  <c r="B31"/>
  <c r="AB30"/>
  <c r="AA30"/>
  <c r="Z30"/>
  <c r="Y30"/>
  <c r="X30"/>
  <c r="W30"/>
  <c r="V30"/>
  <c r="U30"/>
  <c r="T30"/>
  <c r="S30"/>
  <c r="R30"/>
  <c r="Q30"/>
  <c r="O30"/>
  <c r="N30"/>
  <c r="M30"/>
  <c r="L30"/>
  <c r="K30"/>
  <c r="J30"/>
  <c r="I30"/>
  <c r="H30"/>
  <c r="G30"/>
  <c r="F30"/>
  <c r="E30"/>
  <c r="D30"/>
  <c r="B30"/>
  <c r="AB29"/>
  <c r="AA29"/>
  <c r="Z29"/>
  <c r="Y29"/>
  <c r="X29"/>
  <c r="W29"/>
  <c r="V29"/>
  <c r="U29"/>
  <c r="T29"/>
  <c r="S29"/>
  <c r="R29"/>
  <c r="Q29"/>
  <c r="O29"/>
  <c r="N29"/>
  <c r="M29"/>
  <c r="L29"/>
  <c r="K29"/>
  <c r="J29"/>
  <c r="I29"/>
  <c r="H29"/>
  <c r="G29"/>
  <c r="F29"/>
  <c r="E29"/>
  <c r="D29"/>
  <c r="B29"/>
  <c r="AB28"/>
  <c r="AA28"/>
  <c r="Z28"/>
  <c r="Y28"/>
  <c r="X28"/>
  <c r="W28"/>
  <c r="V28"/>
  <c r="U28"/>
  <c r="T28"/>
  <c r="S28"/>
  <c r="R28"/>
  <c r="Q28"/>
  <c r="O28"/>
  <c r="N28"/>
  <c r="M28"/>
  <c r="L28"/>
  <c r="K28"/>
  <c r="J28"/>
  <c r="I28"/>
  <c r="H28"/>
  <c r="G28"/>
  <c r="F28"/>
  <c r="E28"/>
  <c r="D28"/>
  <c r="B28"/>
  <c r="AB27"/>
  <c r="AA27"/>
  <c r="Z27"/>
  <c r="Y27"/>
  <c r="X27"/>
  <c r="W27"/>
  <c r="V27"/>
  <c r="U27"/>
  <c r="T27"/>
  <c r="S27"/>
  <c r="R27"/>
  <c r="O27"/>
  <c r="N27"/>
  <c r="M27"/>
  <c r="L27"/>
  <c r="K27"/>
  <c r="J27"/>
  <c r="I27"/>
  <c r="H27"/>
  <c r="G27"/>
  <c r="F27"/>
  <c r="E27"/>
  <c r="D27"/>
  <c r="B27"/>
  <c r="AB26"/>
  <c r="AA26"/>
  <c r="Z26"/>
  <c r="X26"/>
  <c r="W26"/>
  <c r="V26"/>
  <c r="U26"/>
  <c r="T26"/>
  <c r="S26"/>
  <c r="R26"/>
  <c r="Q26"/>
  <c r="O26"/>
  <c r="N26"/>
  <c r="M26"/>
  <c r="L26"/>
  <c r="K26"/>
  <c r="J26"/>
  <c r="I26"/>
  <c r="H26"/>
  <c r="G26"/>
  <c r="F26"/>
  <c r="E26"/>
  <c r="D26"/>
  <c r="B26"/>
  <c r="AB25"/>
  <c r="AA25"/>
  <c r="Z25"/>
  <c r="Y25"/>
  <c r="X25"/>
  <c r="W25"/>
  <c r="V25"/>
  <c r="U25"/>
  <c r="T25"/>
  <c r="S25"/>
  <c r="R25"/>
  <c r="Q25"/>
  <c r="O25"/>
  <c r="N25"/>
  <c r="M25"/>
  <c r="L25"/>
  <c r="K25"/>
  <c r="J25"/>
  <c r="I25"/>
  <c r="H25"/>
  <c r="G25"/>
  <c r="F25"/>
  <c r="E25"/>
  <c r="D25"/>
  <c r="B25"/>
  <c r="O22"/>
  <c r="N22"/>
  <c r="L22"/>
  <c r="K22"/>
  <c r="J22"/>
  <c r="I22"/>
  <c r="G22"/>
  <c r="F22"/>
  <c r="E22"/>
  <c r="D5"/>
  <c r="B4" i="11" s="1"/>
  <c r="D9" i="1"/>
  <c r="E5" i="2" s="1"/>
  <c r="P104" i="12" l="1"/>
  <c r="L104"/>
  <c r="O103"/>
  <c r="L103"/>
  <c r="J103"/>
  <c r="F103"/>
  <c r="V103" s="1"/>
  <c r="R103"/>
  <c r="F105"/>
  <c r="V105" s="1"/>
  <c r="L105"/>
  <c r="R105"/>
  <c r="K105"/>
  <c r="P105"/>
  <c r="J105"/>
  <c r="O105"/>
  <c r="H105"/>
  <c r="N105"/>
  <c r="S105"/>
  <c r="H104"/>
  <c r="K103"/>
  <c r="P103"/>
  <c r="H103"/>
  <c r="N103"/>
  <c r="S103"/>
  <c r="P91"/>
  <c r="L91"/>
  <c r="L93"/>
  <c r="H93"/>
  <c r="P93"/>
  <c r="Q90"/>
  <c r="F92"/>
  <c r="V92" s="1"/>
  <c r="L92"/>
  <c r="R92"/>
  <c r="K92"/>
  <c r="P92"/>
  <c r="J92"/>
  <c r="O92"/>
  <c r="H92"/>
  <c r="N92"/>
  <c r="S92"/>
  <c r="H91"/>
  <c r="E21" i="13"/>
  <c r="AK36" s="1"/>
  <c r="E25"/>
  <c r="AK40" s="1"/>
  <c r="N40"/>
  <c r="D46"/>
  <c r="F7" i="2" s="1"/>
  <c r="F10" s="1"/>
  <c r="H46" i="13"/>
  <c r="J7" i="2" s="1"/>
  <c r="J12" s="1"/>
  <c r="L46" i="13"/>
  <c r="N7" i="2" s="1"/>
  <c r="N10" s="1"/>
  <c r="AA12" i="11"/>
  <c r="AA10"/>
  <c r="AL12" i="10"/>
  <c r="AN22" i="2" s="1"/>
  <c r="AH12" i="10"/>
  <c r="AJ22" i="2" s="1"/>
  <c r="O228" i="14"/>
  <c r="O233"/>
  <c r="O238"/>
  <c r="O207"/>
  <c r="O192"/>
  <c r="O197"/>
  <c r="O212"/>
  <c r="P35" i="2"/>
  <c r="AC35"/>
  <c r="X20" i="11"/>
  <c r="H66" i="12"/>
  <c r="P38" i="2"/>
  <c r="AC38"/>
  <c r="AA9" i="10"/>
  <c r="AA14" i="11"/>
  <c r="O171" i="14"/>
  <c r="P31" i="2"/>
  <c r="AC31"/>
  <c r="E24" i="13"/>
  <c r="AC39" s="1"/>
  <c r="E29"/>
  <c r="AK44" s="1"/>
  <c r="O11" i="12"/>
  <c r="L11"/>
  <c r="K11"/>
  <c r="S11"/>
  <c r="H11"/>
  <c r="P11"/>
  <c r="O46"/>
  <c r="L46"/>
  <c r="K46"/>
  <c r="S46"/>
  <c r="H46"/>
  <c r="P46"/>
  <c r="Y26" i="2"/>
  <c r="C46" i="13"/>
  <c r="E7" i="2" s="1"/>
  <c r="E8" s="1"/>
  <c r="G46" i="13"/>
  <c r="I7" i="2" s="1"/>
  <c r="I10" s="1"/>
  <c r="AE6" i="14"/>
  <c r="AI6"/>
  <c r="AM6"/>
  <c r="L32"/>
  <c r="R6"/>
  <c r="V6"/>
  <c r="Z6"/>
  <c r="K15"/>
  <c r="F6"/>
  <c r="J6"/>
  <c r="N6"/>
  <c r="G6"/>
  <c r="N27" i="9"/>
  <c r="O176" i="14"/>
  <c r="O186"/>
  <c r="O160"/>
  <c r="O51"/>
  <c r="N38" i="13"/>
  <c r="B46"/>
  <c r="D7" i="2" s="1"/>
  <c r="D10" s="1"/>
  <c r="F46" i="13"/>
  <c r="H7" i="2" s="1"/>
  <c r="H8" s="1"/>
  <c r="N15" i="13"/>
  <c r="AN15"/>
  <c r="AA15"/>
  <c r="J46"/>
  <c r="L7" i="2" s="1"/>
  <c r="L10" s="1"/>
  <c r="N36" i="13"/>
  <c r="L31" i="9"/>
  <c r="N6" i="2" s="1"/>
  <c r="N20" s="1"/>
  <c r="J10" i="12"/>
  <c r="I10"/>
  <c r="R10"/>
  <c r="F10"/>
  <c r="Q10"/>
  <c r="K22"/>
  <c r="S22"/>
  <c r="H22"/>
  <c r="P22"/>
  <c r="O22"/>
  <c r="L22"/>
  <c r="F34"/>
  <c r="AC34" s="1"/>
  <c r="R34"/>
  <c r="N34"/>
  <c r="J34"/>
  <c r="L57"/>
  <c r="K57"/>
  <c r="S57"/>
  <c r="H57"/>
  <c r="P57"/>
  <c r="O57"/>
  <c r="R56"/>
  <c r="Q54"/>
  <c r="N56"/>
  <c r="J56"/>
  <c r="F56"/>
  <c r="AC56" s="1"/>
  <c r="L55"/>
  <c r="K55"/>
  <c r="S55"/>
  <c r="H55"/>
  <c r="P55"/>
  <c r="O55"/>
  <c r="P20" i="11"/>
  <c r="R20"/>
  <c r="O88" i="14"/>
  <c r="R45" i="12"/>
  <c r="N45"/>
  <c r="J45"/>
  <c r="F45"/>
  <c r="AC45" s="1"/>
  <c r="L44"/>
  <c r="K44"/>
  <c r="S44"/>
  <c r="H44"/>
  <c r="P44"/>
  <c r="O44"/>
  <c r="R43"/>
  <c r="N43"/>
  <c r="J43"/>
  <c r="F43"/>
  <c r="AC43" s="1"/>
  <c r="K33"/>
  <c r="S33"/>
  <c r="H33"/>
  <c r="P33"/>
  <c r="O33"/>
  <c r="L33"/>
  <c r="N32"/>
  <c r="R32"/>
  <c r="J32"/>
  <c r="F32"/>
  <c r="AC32" s="1"/>
  <c r="K31"/>
  <c r="S31"/>
  <c r="H31"/>
  <c r="P31"/>
  <c r="O31"/>
  <c r="L31"/>
  <c r="F21"/>
  <c r="Y21" s="1"/>
  <c r="R19"/>
  <c r="N19"/>
  <c r="J19"/>
  <c r="F19"/>
  <c r="Z19" s="1"/>
  <c r="H20"/>
  <c r="P20"/>
  <c r="O20"/>
  <c r="L20"/>
  <c r="K20"/>
  <c r="S20"/>
  <c r="R21"/>
  <c r="N21"/>
  <c r="J21"/>
  <c r="O9"/>
  <c r="L9"/>
  <c r="K9"/>
  <c r="S9"/>
  <c r="H9"/>
  <c r="P9"/>
  <c r="Q8"/>
  <c r="I8"/>
  <c r="K7"/>
  <c r="S7"/>
  <c r="H7"/>
  <c r="P7"/>
  <c r="O7"/>
  <c r="L7"/>
  <c r="AA6" i="11"/>
  <c r="P27" i="2"/>
  <c r="N20" i="11"/>
  <c r="AC27" i="2"/>
  <c r="AD12" i="10"/>
  <c r="AF22" i="2" s="1"/>
  <c r="AA5" i="10"/>
  <c r="P22" i="2"/>
  <c r="N12" i="10"/>
  <c r="O98" i="14"/>
  <c r="O103"/>
  <c r="O108"/>
  <c r="F250"/>
  <c r="G250" s="1"/>
  <c r="H250" s="1"/>
  <c r="I250" s="1"/>
  <c r="J250" s="1"/>
  <c r="K250" s="1"/>
  <c r="L250" s="1"/>
  <c r="M250" s="1"/>
  <c r="N250" s="1"/>
  <c r="E31" i="9"/>
  <c r="G6" i="2" s="1"/>
  <c r="G20" s="1"/>
  <c r="M31" i="9"/>
  <c r="O6" i="2" s="1"/>
  <c r="O20" s="1"/>
  <c r="N24" i="9"/>
  <c r="N28"/>
  <c r="P12" i="10"/>
  <c r="R22" i="2" s="1"/>
  <c r="T12" i="10"/>
  <c r="V22" i="2" s="1"/>
  <c r="X12" i="10"/>
  <c r="Z22" i="2" s="1"/>
  <c r="AA8" i="10"/>
  <c r="O20" i="11"/>
  <c r="S20"/>
  <c r="W20"/>
  <c r="AB5"/>
  <c r="AD25" i="2" s="1"/>
  <c r="AJ5" i="11"/>
  <c r="AA9"/>
  <c r="AB9"/>
  <c r="AA13"/>
  <c r="AB13"/>
  <c r="AA17"/>
  <c r="AB17"/>
  <c r="Q18" i="12"/>
  <c r="G61"/>
  <c r="AN61" s="1"/>
  <c r="AB63"/>
  <c r="G68"/>
  <c r="Z68"/>
  <c r="W70"/>
  <c r="AD70"/>
  <c r="G72"/>
  <c r="Z72"/>
  <c r="V79"/>
  <c r="P78"/>
  <c r="Z85"/>
  <c r="V87"/>
  <c r="Z94"/>
  <c r="V96"/>
  <c r="V107"/>
  <c r="U36" i="13"/>
  <c r="AG36"/>
  <c r="U37"/>
  <c r="U40"/>
  <c r="U41"/>
  <c r="U43"/>
  <c r="U44"/>
  <c r="U45"/>
  <c r="O36" i="14"/>
  <c r="O56"/>
  <c r="O240"/>
  <c r="AB240"/>
  <c r="AO240"/>
  <c r="P28" i="2"/>
  <c r="AC28"/>
  <c r="P32"/>
  <c r="AC32"/>
  <c r="P36"/>
  <c r="AC36"/>
  <c r="AB5" i="10"/>
  <c r="AB9"/>
  <c r="AN9" s="1"/>
  <c r="AB61" i="12"/>
  <c r="W63"/>
  <c r="AC64"/>
  <c r="X68"/>
  <c r="AE68"/>
  <c r="AB70"/>
  <c r="X72"/>
  <c r="AE72"/>
  <c r="L102"/>
  <c r="R36" i="13"/>
  <c r="Z36"/>
  <c r="R37"/>
  <c r="Z37"/>
  <c r="R40"/>
  <c r="Z40"/>
  <c r="R41"/>
  <c r="Z41"/>
  <c r="R44"/>
  <c r="Z44"/>
  <c r="R45"/>
  <c r="Z45"/>
  <c r="O193" i="14"/>
  <c r="P25" i="2"/>
  <c r="AC25"/>
  <c r="P29"/>
  <c r="AC29"/>
  <c r="P33"/>
  <c r="AC33"/>
  <c r="P37"/>
  <c r="AC37"/>
  <c r="P39"/>
  <c r="AC39"/>
  <c r="AP39"/>
  <c r="N26" i="9"/>
  <c r="N30"/>
  <c r="R12" i="10"/>
  <c r="T22" i="2" s="1"/>
  <c r="V12" i="10"/>
  <c r="X22" i="2" s="1"/>
  <c r="Z12" i="10"/>
  <c r="AB22" i="2" s="1"/>
  <c r="O12" i="10"/>
  <c r="Q22" i="2" s="1"/>
  <c r="S12" i="10"/>
  <c r="U22" i="2" s="1"/>
  <c r="W12" i="10"/>
  <c r="Y22" i="2" s="1"/>
  <c r="AA10" i="10"/>
  <c r="AF5" i="11"/>
  <c r="AA7"/>
  <c r="AB7"/>
  <c r="AA11"/>
  <c r="AB11"/>
  <c r="AA15"/>
  <c r="AB15"/>
  <c r="W61" i="12"/>
  <c r="AC62"/>
  <c r="X64"/>
  <c r="W68"/>
  <c r="AD68"/>
  <c r="G70"/>
  <c r="AR70" s="1"/>
  <c r="Z70"/>
  <c r="W72"/>
  <c r="AD72"/>
  <c r="Z74"/>
  <c r="Z109"/>
  <c r="AD123"/>
  <c r="Q36" i="13"/>
  <c r="Y36"/>
  <c r="Q37"/>
  <c r="Y37"/>
  <c r="Y38"/>
  <c r="Q40"/>
  <c r="Y40"/>
  <c r="Q41"/>
  <c r="Y41"/>
  <c r="U42"/>
  <c r="Q44"/>
  <c r="Y44"/>
  <c r="Q45"/>
  <c r="Y45"/>
  <c r="O62" i="14"/>
  <c r="O104"/>
  <c r="O120"/>
  <c r="O187"/>
  <c r="O234"/>
  <c r="P26" i="2"/>
  <c r="AC26"/>
  <c r="P30"/>
  <c r="AC30"/>
  <c r="P34"/>
  <c r="AC34"/>
  <c r="N25" i="9"/>
  <c r="N29"/>
  <c r="AA7" i="10"/>
  <c r="AB7"/>
  <c r="AN7" s="1"/>
  <c r="AA11"/>
  <c r="AB11"/>
  <c r="AA8" i="11"/>
  <c r="X62" i="12"/>
  <c r="G63"/>
  <c r="AN63" s="1"/>
  <c r="X70"/>
  <c r="V36" i="13"/>
  <c r="V37"/>
  <c r="Q38"/>
  <c r="V40"/>
  <c r="V41"/>
  <c r="V44"/>
  <c r="V45"/>
  <c r="O82" i="14"/>
  <c r="N21" i="9"/>
  <c r="AN15"/>
  <c r="AA15"/>
  <c r="J31"/>
  <c r="L6" i="2" s="1"/>
  <c r="L40" s="1"/>
  <c r="K31" i="9"/>
  <c r="M6" i="2" s="1"/>
  <c r="M40" s="1"/>
  <c r="I31" i="9"/>
  <c r="K6" i="2" s="1"/>
  <c r="K20" s="1"/>
  <c r="F31" i="9"/>
  <c r="H6" i="2" s="1"/>
  <c r="H20" s="1"/>
  <c r="N22" i="9"/>
  <c r="N15"/>
  <c r="H31"/>
  <c r="J6" i="2" s="1"/>
  <c r="J20" s="1"/>
  <c r="G31" i="9"/>
  <c r="I6" i="2" s="1"/>
  <c r="I40" s="1"/>
  <c r="D31" i="9"/>
  <c r="F6" i="2" s="1"/>
  <c r="F40" s="1"/>
  <c r="N23" i="9"/>
  <c r="C31"/>
  <c r="E6" i="2" s="1"/>
  <c r="E20" s="1"/>
  <c r="O77" i="14"/>
  <c r="O78"/>
  <c r="O26"/>
  <c r="O30"/>
  <c r="C4" i="16"/>
  <c r="C20" s="1"/>
  <c r="C4" i="13"/>
  <c r="C35" s="1"/>
  <c r="D5" i="14"/>
  <c r="I5" i="12"/>
  <c r="C4" i="9"/>
  <c r="C20" s="1"/>
  <c r="C4" i="11"/>
  <c r="C4" i="10"/>
  <c r="AG20" i="11"/>
  <c r="AI25" i="2"/>
  <c r="AN11" i="10"/>
  <c r="S14" i="12"/>
  <c r="O14"/>
  <c r="K14"/>
  <c r="P14"/>
  <c r="L14"/>
  <c r="H14"/>
  <c r="AC21"/>
  <c r="U21"/>
  <c r="AD21"/>
  <c r="Z21"/>
  <c r="AE21"/>
  <c r="AA21"/>
  <c r="W21"/>
  <c r="AF21"/>
  <c r="AB21"/>
  <c r="X21"/>
  <c r="E9" i="1"/>
  <c r="J8" i="2"/>
  <c r="D51"/>
  <c r="E14" i="7"/>
  <c r="E5" i="8"/>
  <c r="AJ36" i="14" s="1"/>
  <c r="E7" i="8"/>
  <c r="E9"/>
  <c r="E11"/>
  <c r="E13"/>
  <c r="Q21" i="9"/>
  <c r="U21"/>
  <c r="Y21"/>
  <c r="Q22"/>
  <c r="U22"/>
  <c r="Q23"/>
  <c r="U23"/>
  <c r="Y23"/>
  <c r="Q24"/>
  <c r="U24"/>
  <c r="Q25"/>
  <c r="U25"/>
  <c r="Y25"/>
  <c r="Q26"/>
  <c r="U26"/>
  <c r="Q27"/>
  <c r="U27"/>
  <c r="Y27"/>
  <c r="Q28"/>
  <c r="U28"/>
  <c r="Q29"/>
  <c r="U29"/>
  <c r="Y29"/>
  <c r="Q30"/>
  <c r="U30"/>
  <c r="B31"/>
  <c r="AE5" i="10"/>
  <c r="AE12" s="1"/>
  <c r="AG22" i="2" s="1"/>
  <c r="AI5" i="10"/>
  <c r="AI12" s="1"/>
  <c r="AK22" i="2" s="1"/>
  <c r="AM5" i="10"/>
  <c r="AM12" s="1"/>
  <c r="AO22" i="2" s="1"/>
  <c r="AB6" i="10"/>
  <c r="AF6"/>
  <c r="AF12" s="1"/>
  <c r="AH22" i="2" s="1"/>
  <c r="AJ6" i="10"/>
  <c r="AJ12" s="1"/>
  <c r="AL22" i="2" s="1"/>
  <c r="AB10" i="10"/>
  <c r="AN10" s="1"/>
  <c r="AA5" i="11"/>
  <c r="AE5"/>
  <c r="AI5"/>
  <c r="AM5"/>
  <c r="AB6"/>
  <c r="AB10"/>
  <c r="AB14"/>
  <c r="T20"/>
  <c r="F8" i="12"/>
  <c r="J12"/>
  <c r="R12"/>
  <c r="M14"/>
  <c r="U14"/>
  <c r="AC14"/>
  <c r="F16"/>
  <c r="Q42"/>
  <c r="P52" i="14"/>
  <c r="P57"/>
  <c r="X56"/>
  <c r="P56"/>
  <c r="Y51"/>
  <c r="Q51"/>
  <c r="X46"/>
  <c r="T46"/>
  <c r="P46"/>
  <c r="Y41"/>
  <c r="U41"/>
  <c r="Q41"/>
  <c r="Z36"/>
  <c r="V36"/>
  <c r="R36"/>
  <c r="Y56"/>
  <c r="Q56"/>
  <c r="Z51"/>
  <c r="R51"/>
  <c r="P37"/>
  <c r="T56"/>
  <c r="U51"/>
  <c r="P42"/>
  <c r="U56"/>
  <c r="V51"/>
  <c r="S46"/>
  <c r="X41"/>
  <c r="Y36"/>
  <c r="W46"/>
  <c r="P47"/>
  <c r="AA46"/>
  <c r="P41"/>
  <c r="Q36"/>
  <c r="T41"/>
  <c r="U36"/>
  <c r="U29" i="12"/>
  <c r="AG29" s="1"/>
  <c r="P99" i="14"/>
  <c r="Z108"/>
  <c r="V108"/>
  <c r="R108"/>
  <c r="P104"/>
  <c r="AA103"/>
  <c r="W103"/>
  <c r="S103"/>
  <c r="X98"/>
  <c r="T98"/>
  <c r="P98"/>
  <c r="Y93"/>
  <c r="U93"/>
  <c r="Q93"/>
  <c r="Z88"/>
  <c r="V88"/>
  <c r="R88"/>
  <c r="P109"/>
  <c r="P89"/>
  <c r="P94"/>
  <c r="U53" i="12"/>
  <c r="AG53" s="1"/>
  <c r="P156" i="14"/>
  <c r="P161"/>
  <c r="P141"/>
  <c r="Y160"/>
  <c r="Q160"/>
  <c r="Z155"/>
  <c r="R155"/>
  <c r="Z150"/>
  <c r="V150"/>
  <c r="R150"/>
  <c r="P146"/>
  <c r="AA145"/>
  <c r="W145"/>
  <c r="S145"/>
  <c r="X140"/>
  <c r="T140"/>
  <c r="P140"/>
  <c r="P151"/>
  <c r="U160"/>
  <c r="V155"/>
  <c r="U77" i="12"/>
  <c r="AG77" s="1"/>
  <c r="P213" i="14"/>
  <c r="P203"/>
  <c r="X212"/>
  <c r="P212"/>
  <c r="AA207"/>
  <c r="S207"/>
  <c r="Z212"/>
  <c r="R212"/>
  <c r="U207"/>
  <c r="V202"/>
  <c r="Q202"/>
  <c r="Z197"/>
  <c r="V197"/>
  <c r="R197"/>
  <c r="P193"/>
  <c r="AA192"/>
  <c r="W192"/>
  <c r="S192"/>
  <c r="T212"/>
  <c r="W207"/>
  <c r="P198"/>
  <c r="V212"/>
  <c r="P208"/>
  <c r="Y207"/>
  <c r="Q207"/>
  <c r="U101" i="12"/>
  <c r="AG101" s="1"/>
  <c r="X264" i="14"/>
  <c r="T264"/>
  <c r="P264"/>
  <c r="AB264" s="1"/>
  <c r="Y259"/>
  <c r="U259"/>
  <c r="Q259"/>
  <c r="Z254"/>
  <c r="V254"/>
  <c r="R254"/>
  <c r="P250"/>
  <c r="AA249"/>
  <c r="W249"/>
  <c r="S249"/>
  <c r="X244"/>
  <c r="T244"/>
  <c r="P244"/>
  <c r="AB244" s="1"/>
  <c r="Y264"/>
  <c r="U264"/>
  <c r="Q264"/>
  <c r="Z259"/>
  <c r="V259"/>
  <c r="R259"/>
  <c r="P255"/>
  <c r="AA254"/>
  <c r="W254"/>
  <c r="S254"/>
  <c r="X249"/>
  <c r="T249"/>
  <c r="P249"/>
  <c r="AB249" s="1"/>
  <c r="Y244"/>
  <c r="U244"/>
  <c r="Q244"/>
  <c r="Z264"/>
  <c r="V264"/>
  <c r="R264"/>
  <c r="P260"/>
  <c r="AA259"/>
  <c r="W259"/>
  <c r="S259"/>
  <c r="X254"/>
  <c r="T254"/>
  <c r="P254"/>
  <c r="AB254" s="1"/>
  <c r="Y249"/>
  <c r="U249"/>
  <c r="Q249"/>
  <c r="Z244"/>
  <c r="V244"/>
  <c r="R244"/>
  <c r="P265"/>
  <c r="AA264"/>
  <c r="W264"/>
  <c r="S264"/>
  <c r="X259"/>
  <c r="T259"/>
  <c r="P259"/>
  <c r="AB259" s="1"/>
  <c r="Y254"/>
  <c r="U254"/>
  <c r="Q254"/>
  <c r="Z249"/>
  <c r="V249"/>
  <c r="R249"/>
  <c r="P245"/>
  <c r="AA244"/>
  <c r="W244"/>
  <c r="S244"/>
  <c r="U125" i="12"/>
  <c r="AG125" s="1"/>
  <c r="AA18" i="11"/>
  <c r="AB18"/>
  <c r="S8" i="12"/>
  <c r="O8"/>
  <c r="K8"/>
  <c r="P8"/>
  <c r="L8"/>
  <c r="H8"/>
  <c r="AE10"/>
  <c r="AA10"/>
  <c r="W10"/>
  <c r="G10"/>
  <c r="AF10"/>
  <c r="AB10"/>
  <c r="X10"/>
  <c r="S16"/>
  <c r="O16"/>
  <c r="K16"/>
  <c r="P16"/>
  <c r="L16"/>
  <c r="H16"/>
  <c r="I8" i="2"/>
  <c r="M8"/>
  <c r="M10"/>
  <c r="M11"/>
  <c r="M12"/>
  <c r="C15" i="7"/>
  <c r="E52" i="2" s="1"/>
  <c r="P21" i="9"/>
  <c r="T21"/>
  <c r="X21"/>
  <c r="P22"/>
  <c r="T22"/>
  <c r="X22"/>
  <c r="P23"/>
  <c r="T23"/>
  <c r="X23"/>
  <c r="P24"/>
  <c r="T24"/>
  <c r="X24"/>
  <c r="P25"/>
  <c r="T25"/>
  <c r="X25"/>
  <c r="P26"/>
  <c r="T26"/>
  <c r="X26"/>
  <c r="P27"/>
  <c r="T27"/>
  <c r="X27"/>
  <c r="P28"/>
  <c r="T28"/>
  <c r="X28"/>
  <c r="P29"/>
  <c r="T29"/>
  <c r="X29"/>
  <c r="P30"/>
  <c r="T30"/>
  <c r="X30"/>
  <c r="B4" i="10"/>
  <c r="AA6"/>
  <c r="Q12"/>
  <c r="S22" i="2" s="1"/>
  <c r="U12" i="10"/>
  <c r="W22" i="2" s="1"/>
  <c r="Y12" i="10"/>
  <c r="AA22" i="2" s="1"/>
  <c r="AD20" i="11"/>
  <c r="AH20"/>
  <c r="AL20"/>
  <c r="M8" i="12"/>
  <c r="V10"/>
  <c r="AD10"/>
  <c r="I12"/>
  <c r="Q12"/>
  <c r="Z14"/>
  <c r="M16"/>
  <c r="B4" i="16"/>
  <c r="B20" s="1"/>
  <c r="C5" i="14"/>
  <c r="B4" i="13"/>
  <c r="B35" s="1"/>
  <c r="H5" i="12"/>
  <c r="S10"/>
  <c r="O10"/>
  <c r="K10"/>
  <c r="P10"/>
  <c r="L10"/>
  <c r="H10"/>
  <c r="AC19"/>
  <c r="AE19"/>
  <c r="AA19"/>
  <c r="W19"/>
  <c r="G19"/>
  <c r="AF19"/>
  <c r="AB19"/>
  <c r="X19"/>
  <c r="L8" i="2"/>
  <c r="L11"/>
  <c r="P45"/>
  <c r="C46"/>
  <c r="C45" s="1"/>
  <c r="B15" i="7"/>
  <c r="E51" i="2" s="1"/>
  <c r="E47" s="1"/>
  <c r="A16" i="7"/>
  <c r="E4" i="8"/>
  <c r="E6"/>
  <c r="E8"/>
  <c r="AH114" i="14" s="1"/>
  <c r="E10" i="8"/>
  <c r="E12"/>
  <c r="O21" i="9"/>
  <c r="S21"/>
  <c r="O22"/>
  <c r="S22"/>
  <c r="W22"/>
  <c r="O23"/>
  <c r="S23"/>
  <c r="O24"/>
  <c r="S24"/>
  <c r="W24"/>
  <c r="O25"/>
  <c r="S25"/>
  <c r="O26"/>
  <c r="S26"/>
  <c r="W26"/>
  <c r="O27"/>
  <c r="S27"/>
  <c r="O28"/>
  <c r="S28"/>
  <c r="W28"/>
  <c r="O29"/>
  <c r="S29"/>
  <c r="O30"/>
  <c r="S30"/>
  <c r="W30"/>
  <c r="AC5" i="10"/>
  <c r="AC12" s="1"/>
  <c r="AE22" i="2" s="1"/>
  <c r="AG5" i="10"/>
  <c r="AG12" s="1"/>
  <c r="AI22" i="2" s="1"/>
  <c r="AK5" i="10"/>
  <c r="AK12" s="1"/>
  <c r="AM22" i="2" s="1"/>
  <c r="AB8" i="10"/>
  <c r="AN8" s="1"/>
  <c r="Q20" i="11"/>
  <c r="U20"/>
  <c r="Y20"/>
  <c r="AC5"/>
  <c r="AK5"/>
  <c r="AB8"/>
  <c r="AB12"/>
  <c r="AB16"/>
  <c r="AN19"/>
  <c r="AA19"/>
  <c r="J8" i="12"/>
  <c r="R8"/>
  <c r="M10"/>
  <c r="U10"/>
  <c r="AC10"/>
  <c r="F12"/>
  <c r="I14"/>
  <c r="Q14"/>
  <c r="J16"/>
  <c r="R16"/>
  <c r="V19"/>
  <c r="Q30"/>
  <c r="X30" i="14"/>
  <c r="T30"/>
  <c r="P30"/>
  <c r="Y25"/>
  <c r="U25"/>
  <c r="Q25"/>
  <c r="Z20"/>
  <c r="V20"/>
  <c r="R20"/>
  <c r="P16"/>
  <c r="AA15"/>
  <c r="W15"/>
  <c r="S15"/>
  <c r="Y10"/>
  <c r="U10"/>
  <c r="Q10"/>
  <c r="P21"/>
  <c r="P26"/>
  <c r="P11"/>
  <c r="P31"/>
  <c r="AA30"/>
  <c r="P25"/>
  <c r="Q20"/>
  <c r="P10"/>
  <c r="T25"/>
  <c r="U20"/>
  <c r="R15"/>
  <c r="T10"/>
  <c r="S30"/>
  <c r="X25"/>
  <c r="Y20"/>
  <c r="V15"/>
  <c r="X10"/>
  <c r="W30"/>
  <c r="U17" i="12"/>
  <c r="AG17" s="1"/>
  <c r="Z15" i="14"/>
  <c r="P78"/>
  <c r="P83"/>
  <c r="AA82"/>
  <c r="W82"/>
  <c r="S82"/>
  <c r="X77"/>
  <c r="T77"/>
  <c r="P77"/>
  <c r="P68"/>
  <c r="P73"/>
  <c r="Q72"/>
  <c r="Y67"/>
  <c r="Q67"/>
  <c r="Z62"/>
  <c r="R62"/>
  <c r="U72"/>
  <c r="Z67"/>
  <c r="R67"/>
  <c r="AA62"/>
  <c r="S62"/>
  <c r="Y72"/>
  <c r="V67"/>
  <c r="P63"/>
  <c r="W62"/>
  <c r="U41" i="12"/>
  <c r="AG41" s="1"/>
  <c r="P120" i="14"/>
  <c r="Y134"/>
  <c r="U134"/>
  <c r="Q134"/>
  <c r="Z129"/>
  <c r="V129"/>
  <c r="R129"/>
  <c r="P125"/>
  <c r="AA124"/>
  <c r="W124"/>
  <c r="S124"/>
  <c r="X119"/>
  <c r="T119"/>
  <c r="P119"/>
  <c r="Y114"/>
  <c r="U114"/>
  <c r="Q114"/>
  <c r="P130"/>
  <c r="P135"/>
  <c r="P115"/>
  <c r="U65" i="12"/>
  <c r="AG65" s="1"/>
  <c r="P187" i="14"/>
  <c r="X186"/>
  <c r="T186"/>
  <c r="P186"/>
  <c r="Y181"/>
  <c r="U181"/>
  <c r="Q181"/>
  <c r="Z176"/>
  <c r="V176"/>
  <c r="R176"/>
  <c r="P172"/>
  <c r="AA171"/>
  <c r="W171"/>
  <c r="S171"/>
  <c r="P177"/>
  <c r="P182"/>
  <c r="AA166"/>
  <c r="S166"/>
  <c r="T166"/>
  <c r="P167"/>
  <c r="X166"/>
  <c r="P166"/>
  <c r="U89" i="12"/>
  <c r="AG89" s="1"/>
  <c r="Y238" i="14"/>
  <c r="U238"/>
  <c r="Q238"/>
  <c r="Z233"/>
  <c r="V233"/>
  <c r="R233"/>
  <c r="P229"/>
  <c r="AA228"/>
  <c r="W228"/>
  <c r="S228"/>
  <c r="X223"/>
  <c r="T223"/>
  <c r="P223"/>
  <c r="Y218"/>
  <c r="U218"/>
  <c r="Q218"/>
  <c r="P234"/>
  <c r="P239"/>
  <c r="AA238"/>
  <c r="W238"/>
  <c r="S238"/>
  <c r="X233"/>
  <c r="T233"/>
  <c r="P233"/>
  <c r="Y228"/>
  <c r="U228"/>
  <c r="Q228"/>
  <c r="Z223"/>
  <c r="V223"/>
  <c r="R223"/>
  <c r="X238"/>
  <c r="T238"/>
  <c r="P238"/>
  <c r="P224"/>
  <c r="S218"/>
  <c r="W218"/>
  <c r="P219"/>
  <c r="AA218"/>
  <c r="U113" i="12"/>
  <c r="AG113" s="1"/>
  <c r="S12"/>
  <c r="O12"/>
  <c r="K12"/>
  <c r="P12"/>
  <c r="L12"/>
  <c r="H12"/>
  <c r="AE14"/>
  <c r="AA14"/>
  <c r="W14"/>
  <c r="G14"/>
  <c r="AF14"/>
  <c r="AB14"/>
  <c r="X14"/>
  <c r="B4" i="9"/>
  <c r="B20" s="1"/>
  <c r="R21"/>
  <c r="V21"/>
  <c r="Z21"/>
  <c r="R22"/>
  <c r="V22"/>
  <c r="Z22"/>
  <c r="R23"/>
  <c r="V23"/>
  <c r="Z23"/>
  <c r="R24"/>
  <c r="V24"/>
  <c r="Z24"/>
  <c r="R25"/>
  <c r="V25"/>
  <c r="Z25"/>
  <c r="R26"/>
  <c r="V26"/>
  <c r="Z26"/>
  <c r="R27"/>
  <c r="V27"/>
  <c r="Z27"/>
  <c r="R28"/>
  <c r="V28"/>
  <c r="Z28"/>
  <c r="R29"/>
  <c r="V29"/>
  <c r="Z29"/>
  <c r="R30"/>
  <c r="V30"/>
  <c r="Z30"/>
  <c r="M12" i="12"/>
  <c r="V14"/>
  <c r="AD14"/>
  <c r="S62"/>
  <c r="O62"/>
  <c r="K62"/>
  <c r="S64"/>
  <c r="O64"/>
  <c r="K64"/>
  <c r="AC68"/>
  <c r="Y68"/>
  <c r="U68"/>
  <c r="AC70"/>
  <c r="Y70"/>
  <c r="U70"/>
  <c r="AC72"/>
  <c r="Y72"/>
  <c r="U72"/>
  <c r="AE74"/>
  <c r="AA74"/>
  <c r="W74"/>
  <c r="G74"/>
  <c r="AF74"/>
  <c r="AB74"/>
  <c r="X74"/>
  <c r="AC74"/>
  <c r="Y74"/>
  <c r="U74"/>
  <c r="AE79"/>
  <c r="AA79"/>
  <c r="W79"/>
  <c r="G79"/>
  <c r="AF79"/>
  <c r="AB79"/>
  <c r="X79"/>
  <c r="AC79"/>
  <c r="Y79"/>
  <c r="U79"/>
  <c r="AE87"/>
  <c r="AA87"/>
  <c r="W87"/>
  <c r="G87"/>
  <c r="AF87"/>
  <c r="AB87"/>
  <c r="X87"/>
  <c r="AC87"/>
  <c r="Y87"/>
  <c r="U87"/>
  <c r="AE96"/>
  <c r="AA96"/>
  <c r="W96"/>
  <c r="G96"/>
  <c r="AF96"/>
  <c r="AB96"/>
  <c r="X96"/>
  <c r="AC96"/>
  <c r="Y96"/>
  <c r="U96"/>
  <c r="AE109"/>
  <c r="AA109"/>
  <c r="W109"/>
  <c r="G109"/>
  <c r="AF109"/>
  <c r="AB109"/>
  <c r="X109"/>
  <c r="AC109"/>
  <c r="Y109"/>
  <c r="U109"/>
  <c r="AE123"/>
  <c r="AA123"/>
  <c r="W123"/>
  <c r="G123"/>
  <c r="AF123"/>
  <c r="AB123"/>
  <c r="X123"/>
  <c r="Y123"/>
  <c r="Z123"/>
  <c r="AC123"/>
  <c r="U123"/>
  <c r="P36" i="14"/>
  <c r="P32"/>
  <c r="T36"/>
  <c r="T32"/>
  <c r="X36"/>
  <c r="X32"/>
  <c r="AF32"/>
  <c r="AJ32"/>
  <c r="AN32"/>
  <c r="C41"/>
  <c r="C32"/>
  <c r="G41"/>
  <c r="G32"/>
  <c r="K41"/>
  <c r="K32"/>
  <c r="S41"/>
  <c r="S32"/>
  <c r="W41"/>
  <c r="W32"/>
  <c r="AA41"/>
  <c r="AA32"/>
  <c r="R32"/>
  <c r="R46"/>
  <c r="V32"/>
  <c r="V46"/>
  <c r="Z32"/>
  <c r="Z46"/>
  <c r="F7" i="12"/>
  <c r="J7"/>
  <c r="N7"/>
  <c r="R7"/>
  <c r="F9"/>
  <c r="J9"/>
  <c r="N9"/>
  <c r="R9"/>
  <c r="F11"/>
  <c r="J11"/>
  <c r="N11"/>
  <c r="R11"/>
  <c r="F13"/>
  <c r="J13"/>
  <c r="N13"/>
  <c r="R13"/>
  <c r="F15"/>
  <c r="J15"/>
  <c r="N15"/>
  <c r="R15"/>
  <c r="H19"/>
  <c r="L19"/>
  <c r="P19"/>
  <c r="F20"/>
  <c r="J20"/>
  <c r="N20"/>
  <c r="R20"/>
  <c r="H21"/>
  <c r="L21"/>
  <c r="P21"/>
  <c r="F22"/>
  <c r="J22"/>
  <c r="N22"/>
  <c r="R22"/>
  <c r="H23"/>
  <c r="L23"/>
  <c r="P23"/>
  <c r="X23"/>
  <c r="AB23"/>
  <c r="AF23"/>
  <c r="F24"/>
  <c r="J24"/>
  <c r="N24"/>
  <c r="R24"/>
  <c r="H25"/>
  <c r="L25"/>
  <c r="P25"/>
  <c r="X25"/>
  <c r="AB25"/>
  <c r="AF25"/>
  <c r="F26"/>
  <c r="J26"/>
  <c r="N26"/>
  <c r="R26"/>
  <c r="H27"/>
  <c r="L27"/>
  <c r="P27"/>
  <c r="X27"/>
  <c r="AB27"/>
  <c r="AF27"/>
  <c r="F28"/>
  <c r="J28"/>
  <c r="N28"/>
  <c r="R28"/>
  <c r="F31"/>
  <c r="J31"/>
  <c r="N31"/>
  <c r="R31"/>
  <c r="H32"/>
  <c r="L32"/>
  <c r="P32"/>
  <c r="X32"/>
  <c r="F33"/>
  <c r="J33"/>
  <c r="N33"/>
  <c r="R33"/>
  <c r="H34"/>
  <c r="L34"/>
  <c r="P34"/>
  <c r="X34"/>
  <c r="AB34"/>
  <c r="AF34"/>
  <c r="F35"/>
  <c r="J35"/>
  <c r="N35"/>
  <c r="R35"/>
  <c r="H36"/>
  <c r="L36"/>
  <c r="P36"/>
  <c r="X36"/>
  <c r="AB36"/>
  <c r="AF36"/>
  <c r="F37"/>
  <c r="J37"/>
  <c r="N37"/>
  <c r="R37"/>
  <c r="H38"/>
  <c r="L38"/>
  <c r="P38"/>
  <c r="X38"/>
  <c r="AB38"/>
  <c r="AF38"/>
  <c r="F39"/>
  <c r="J39"/>
  <c r="N39"/>
  <c r="R39"/>
  <c r="H40"/>
  <c r="L40"/>
  <c r="P40"/>
  <c r="X40"/>
  <c r="AB40"/>
  <c r="AF40"/>
  <c r="H43"/>
  <c r="L43"/>
  <c r="P43"/>
  <c r="X43"/>
  <c r="AB43"/>
  <c r="AF43"/>
  <c r="F44"/>
  <c r="J44"/>
  <c r="N44"/>
  <c r="R44"/>
  <c r="H45"/>
  <c r="L45"/>
  <c r="P45"/>
  <c r="X45"/>
  <c r="F46"/>
  <c r="J46"/>
  <c r="N46"/>
  <c r="R46"/>
  <c r="H47"/>
  <c r="L47"/>
  <c r="P47"/>
  <c r="X47"/>
  <c r="AB47"/>
  <c r="AF47"/>
  <c r="F48"/>
  <c r="J48"/>
  <c r="N48"/>
  <c r="R48"/>
  <c r="H49"/>
  <c r="L49"/>
  <c r="P49"/>
  <c r="X49"/>
  <c r="AB49"/>
  <c r="AF49"/>
  <c r="F50"/>
  <c r="J50"/>
  <c r="N50"/>
  <c r="R50"/>
  <c r="H51"/>
  <c r="L51"/>
  <c r="P51"/>
  <c r="X51"/>
  <c r="AB51"/>
  <c r="AF51"/>
  <c r="F52"/>
  <c r="J52"/>
  <c r="N52"/>
  <c r="R52"/>
  <c r="F55"/>
  <c r="J55"/>
  <c r="N55"/>
  <c r="R55"/>
  <c r="H56"/>
  <c r="L56"/>
  <c r="P56"/>
  <c r="X56"/>
  <c r="AB56"/>
  <c r="AF56"/>
  <c r="F57"/>
  <c r="J57"/>
  <c r="N57"/>
  <c r="R57"/>
  <c r="H58"/>
  <c r="L58"/>
  <c r="P58"/>
  <c r="X58"/>
  <c r="AB58"/>
  <c r="AF58"/>
  <c r="F59"/>
  <c r="J59"/>
  <c r="N59"/>
  <c r="R59"/>
  <c r="H60"/>
  <c r="L60"/>
  <c r="P60"/>
  <c r="X60"/>
  <c r="AB60"/>
  <c r="AF60"/>
  <c r="Z61"/>
  <c r="AE61"/>
  <c r="J62"/>
  <c r="P62"/>
  <c r="U62"/>
  <c r="Z62"/>
  <c r="AF62"/>
  <c r="Z63"/>
  <c r="AE63"/>
  <c r="J64"/>
  <c r="P64"/>
  <c r="U64"/>
  <c r="Z64"/>
  <c r="AF64"/>
  <c r="F67"/>
  <c r="L67"/>
  <c r="V68"/>
  <c r="AA68"/>
  <c r="AF68"/>
  <c r="AL68"/>
  <c r="AQ68"/>
  <c r="F69"/>
  <c r="L69"/>
  <c r="V70"/>
  <c r="AA70"/>
  <c r="AF70"/>
  <c r="F71"/>
  <c r="L71"/>
  <c r="V72"/>
  <c r="AA72"/>
  <c r="AF72"/>
  <c r="AM72"/>
  <c r="AD74"/>
  <c r="Z76"/>
  <c r="AD79"/>
  <c r="Z81"/>
  <c r="AD87"/>
  <c r="L90"/>
  <c r="AD96"/>
  <c r="Z98"/>
  <c r="Q102"/>
  <c r="Z103"/>
  <c r="AD109"/>
  <c r="Z111"/>
  <c r="AB33" i="14"/>
  <c r="O38"/>
  <c r="S67" i="12"/>
  <c r="O67"/>
  <c r="K67"/>
  <c r="S69"/>
  <c r="O69"/>
  <c r="K69"/>
  <c r="S71"/>
  <c r="O71"/>
  <c r="K71"/>
  <c r="AE85"/>
  <c r="AA85"/>
  <c r="W85"/>
  <c r="G85"/>
  <c r="AF85"/>
  <c r="AB85"/>
  <c r="X85"/>
  <c r="AC85"/>
  <c r="Y85"/>
  <c r="U85"/>
  <c r="AE94"/>
  <c r="AA94"/>
  <c r="W94"/>
  <c r="G94"/>
  <c r="AF94"/>
  <c r="AB94"/>
  <c r="X94"/>
  <c r="AC94"/>
  <c r="Y94"/>
  <c r="U94"/>
  <c r="AE107"/>
  <c r="AA107"/>
  <c r="W107"/>
  <c r="G107"/>
  <c r="AF107"/>
  <c r="AB107"/>
  <c r="X107"/>
  <c r="AC107"/>
  <c r="Y107"/>
  <c r="U107"/>
  <c r="S121"/>
  <c r="O121"/>
  <c r="K121"/>
  <c r="P121"/>
  <c r="L121"/>
  <c r="H121"/>
  <c r="N121"/>
  <c r="F121"/>
  <c r="Q121"/>
  <c r="I121"/>
  <c r="R121"/>
  <c r="J121"/>
  <c r="AL43" i="13"/>
  <c r="AH43"/>
  <c r="AD43"/>
  <c r="AM43"/>
  <c r="AI43"/>
  <c r="AE43"/>
  <c r="AJ43"/>
  <c r="AF43"/>
  <c r="AB43"/>
  <c r="AC43"/>
  <c r="AG43"/>
  <c r="Q6" i="14"/>
  <c r="Q15"/>
  <c r="U6"/>
  <c r="U15"/>
  <c r="Y6"/>
  <c r="Y15"/>
  <c r="I7" i="12"/>
  <c r="M7"/>
  <c r="I9"/>
  <c r="M9"/>
  <c r="I11"/>
  <c r="M11"/>
  <c r="I13"/>
  <c r="M13"/>
  <c r="I15"/>
  <c r="M15"/>
  <c r="K19"/>
  <c r="O19"/>
  <c r="S19"/>
  <c r="I20"/>
  <c r="M20"/>
  <c r="K21"/>
  <c r="O21"/>
  <c r="S21"/>
  <c r="I22"/>
  <c r="M22"/>
  <c r="G23"/>
  <c r="K23"/>
  <c r="O23"/>
  <c r="S23"/>
  <c r="W23"/>
  <c r="AA23"/>
  <c r="AE23"/>
  <c r="I24"/>
  <c r="M24"/>
  <c r="G25"/>
  <c r="K25"/>
  <c r="O25"/>
  <c r="S25"/>
  <c r="W25"/>
  <c r="AA25"/>
  <c r="AE25"/>
  <c r="I26"/>
  <c r="M26"/>
  <c r="G27"/>
  <c r="K27"/>
  <c r="O27"/>
  <c r="S27"/>
  <c r="W27"/>
  <c r="AA27"/>
  <c r="AE27"/>
  <c r="I28"/>
  <c r="M28"/>
  <c r="I31"/>
  <c r="M31"/>
  <c r="G32"/>
  <c r="K32"/>
  <c r="O32"/>
  <c r="S32"/>
  <c r="W32"/>
  <c r="I33"/>
  <c r="M33"/>
  <c r="G34"/>
  <c r="K34"/>
  <c r="O34"/>
  <c r="S34"/>
  <c r="W34"/>
  <c r="AA34"/>
  <c r="AE34"/>
  <c r="I35"/>
  <c r="T35" s="1"/>
  <c r="M35"/>
  <c r="G36"/>
  <c r="K36"/>
  <c r="O36"/>
  <c r="S36"/>
  <c r="W36"/>
  <c r="AA36"/>
  <c r="AE36"/>
  <c r="I37"/>
  <c r="M37"/>
  <c r="G38"/>
  <c r="K38"/>
  <c r="O38"/>
  <c r="S38"/>
  <c r="W38"/>
  <c r="AA38"/>
  <c r="AE38"/>
  <c r="I39"/>
  <c r="M39"/>
  <c r="G40"/>
  <c r="K40"/>
  <c r="O40"/>
  <c r="S40"/>
  <c r="W40"/>
  <c r="AA40"/>
  <c r="AE40"/>
  <c r="G43"/>
  <c r="K43"/>
  <c r="O43"/>
  <c r="S43"/>
  <c r="W43"/>
  <c r="AA43"/>
  <c r="AE43"/>
  <c r="I44"/>
  <c r="M44"/>
  <c r="G45"/>
  <c r="K45"/>
  <c r="O45"/>
  <c r="S45"/>
  <c r="W45"/>
  <c r="I46"/>
  <c r="M46"/>
  <c r="G47"/>
  <c r="K47"/>
  <c r="O47"/>
  <c r="S47"/>
  <c r="W47"/>
  <c r="AA47"/>
  <c r="AE47"/>
  <c r="I48"/>
  <c r="M48"/>
  <c r="G49"/>
  <c r="K49"/>
  <c r="O49"/>
  <c r="S49"/>
  <c r="W49"/>
  <c r="AA49"/>
  <c r="AE49"/>
  <c r="I50"/>
  <c r="M50"/>
  <c r="G51"/>
  <c r="K51"/>
  <c r="O51"/>
  <c r="S51"/>
  <c r="W51"/>
  <c r="AA51"/>
  <c r="AE51"/>
  <c r="I52"/>
  <c r="M52"/>
  <c r="I55"/>
  <c r="M55"/>
  <c r="G56"/>
  <c r="K56"/>
  <c r="O56"/>
  <c r="S56"/>
  <c r="W56"/>
  <c r="AA56"/>
  <c r="AE56"/>
  <c r="I57"/>
  <c r="M57"/>
  <c r="G58"/>
  <c r="K58"/>
  <c r="O58"/>
  <c r="S58"/>
  <c r="W58"/>
  <c r="AA58"/>
  <c r="AE58"/>
  <c r="I59"/>
  <c r="M59"/>
  <c r="G60"/>
  <c r="K60"/>
  <c r="O60"/>
  <c r="S60"/>
  <c r="W60"/>
  <c r="AA60"/>
  <c r="AE60"/>
  <c r="X61"/>
  <c r="AI61"/>
  <c r="Y62"/>
  <c r="X63"/>
  <c r="Y64"/>
  <c r="J67"/>
  <c r="P67"/>
  <c r="AJ68"/>
  <c r="J69"/>
  <c r="P69"/>
  <c r="J71"/>
  <c r="P71"/>
  <c r="Q78"/>
  <c r="AD85"/>
  <c r="H90"/>
  <c r="AD94"/>
  <c r="AD107"/>
  <c r="AK43" i="13"/>
  <c r="AD25" i="14"/>
  <c r="AH25"/>
  <c r="AL25"/>
  <c r="AC30"/>
  <c r="AG30"/>
  <c r="AK30"/>
  <c r="AS61" i="12"/>
  <c r="AO63"/>
  <c r="AE83"/>
  <c r="AA83"/>
  <c r="W83"/>
  <c r="G83"/>
  <c r="AF83"/>
  <c r="AB83"/>
  <c r="X83"/>
  <c r="AC83"/>
  <c r="Y83"/>
  <c r="U83"/>
  <c r="AE92"/>
  <c r="AA92"/>
  <c r="W92"/>
  <c r="G92"/>
  <c r="AF92"/>
  <c r="AB92"/>
  <c r="X92"/>
  <c r="AC92"/>
  <c r="Y92"/>
  <c r="U92"/>
  <c r="AE100"/>
  <c r="AA100"/>
  <c r="W100"/>
  <c r="G100"/>
  <c r="AF100"/>
  <c r="AB100"/>
  <c r="X100"/>
  <c r="AC100"/>
  <c r="Y100"/>
  <c r="U100"/>
  <c r="AE105"/>
  <c r="AA105"/>
  <c r="W105"/>
  <c r="G105"/>
  <c r="AF105"/>
  <c r="AB105"/>
  <c r="X105"/>
  <c r="AC105"/>
  <c r="Y105"/>
  <c r="U105"/>
  <c r="AL39" i="13"/>
  <c r="AH39"/>
  <c r="AD39"/>
  <c r="AM39"/>
  <c r="AI39"/>
  <c r="AE39"/>
  <c r="AJ39"/>
  <c r="AF39"/>
  <c r="AB39"/>
  <c r="AG39"/>
  <c r="AK39"/>
  <c r="V23" i="12"/>
  <c r="Z23"/>
  <c r="AD23"/>
  <c r="V25"/>
  <c r="Z25"/>
  <c r="AD25"/>
  <c r="V27"/>
  <c r="Z27"/>
  <c r="AD27"/>
  <c r="AD32"/>
  <c r="V34"/>
  <c r="Z34"/>
  <c r="AD34"/>
  <c r="V36"/>
  <c r="Z36"/>
  <c r="AD36"/>
  <c r="V38"/>
  <c r="Z38"/>
  <c r="AD38"/>
  <c r="V40"/>
  <c r="Z40"/>
  <c r="AD40"/>
  <c r="V43"/>
  <c r="Z43"/>
  <c r="AD43"/>
  <c r="V45"/>
  <c r="V47"/>
  <c r="Z47"/>
  <c r="AD47"/>
  <c r="V49"/>
  <c r="Z49"/>
  <c r="AD49"/>
  <c r="V51"/>
  <c r="Z51"/>
  <c r="AD51"/>
  <c r="V56"/>
  <c r="Z56"/>
  <c r="AD56"/>
  <c r="V58"/>
  <c r="Z58"/>
  <c r="AD58"/>
  <c r="V60"/>
  <c r="Z60"/>
  <c r="AD60"/>
  <c r="AH63"/>
  <c r="AD83"/>
  <c r="AD92"/>
  <c r="AD100"/>
  <c r="AD105"/>
  <c r="AC61"/>
  <c r="Y61"/>
  <c r="U61"/>
  <c r="AE62"/>
  <c r="AA62"/>
  <c r="W62"/>
  <c r="G62"/>
  <c r="AC63"/>
  <c r="Y63"/>
  <c r="U63"/>
  <c r="AE64"/>
  <c r="AA64"/>
  <c r="W64"/>
  <c r="G64"/>
  <c r="AS68"/>
  <c r="AO68"/>
  <c r="AK68"/>
  <c r="AS70"/>
  <c r="AR72"/>
  <c r="AN72"/>
  <c r="AJ72"/>
  <c r="AS72"/>
  <c r="AO72"/>
  <c r="AK72"/>
  <c r="AE76"/>
  <c r="AA76"/>
  <c r="W76"/>
  <c r="G76"/>
  <c r="AF76"/>
  <c r="AB76"/>
  <c r="X76"/>
  <c r="AC76"/>
  <c r="Y76"/>
  <c r="U76"/>
  <c r="AE81"/>
  <c r="AA81"/>
  <c r="W81"/>
  <c r="G81"/>
  <c r="AF81"/>
  <c r="AB81"/>
  <c r="X81"/>
  <c r="AC81"/>
  <c r="Y81"/>
  <c r="U81"/>
  <c r="AE98"/>
  <c r="AA98"/>
  <c r="W98"/>
  <c r="G98"/>
  <c r="AF98"/>
  <c r="AB98"/>
  <c r="X98"/>
  <c r="AC98"/>
  <c r="Y98"/>
  <c r="U98"/>
  <c r="AE103"/>
  <c r="AA103"/>
  <c r="W103"/>
  <c r="G103"/>
  <c r="AF103"/>
  <c r="AB103"/>
  <c r="X103"/>
  <c r="AC103"/>
  <c r="Y103"/>
  <c r="U103"/>
  <c r="AE111"/>
  <c r="AA111"/>
  <c r="W111"/>
  <c r="G111"/>
  <c r="AF111"/>
  <c r="AB111"/>
  <c r="X111"/>
  <c r="AC111"/>
  <c r="Y111"/>
  <c r="U111"/>
  <c r="D16" i="14"/>
  <c r="E16" s="1"/>
  <c r="F16" s="1"/>
  <c r="G16" s="1"/>
  <c r="H16" s="1"/>
  <c r="I16" s="1"/>
  <c r="J16" s="1"/>
  <c r="K16" s="1"/>
  <c r="L16" s="1"/>
  <c r="M16" s="1"/>
  <c r="N16" s="1"/>
  <c r="I19" i="12"/>
  <c r="M19"/>
  <c r="I21"/>
  <c r="M21"/>
  <c r="I23"/>
  <c r="M23"/>
  <c r="U23"/>
  <c r="Y23"/>
  <c r="I25"/>
  <c r="M25"/>
  <c r="U25"/>
  <c r="Y25"/>
  <c r="I27"/>
  <c r="M27"/>
  <c r="U27"/>
  <c r="Y27"/>
  <c r="I32"/>
  <c r="M32"/>
  <c r="I34"/>
  <c r="M34"/>
  <c r="U34"/>
  <c r="Y34"/>
  <c r="I36"/>
  <c r="M36"/>
  <c r="U36"/>
  <c r="Y36"/>
  <c r="I38"/>
  <c r="M38"/>
  <c r="U38"/>
  <c r="Y38"/>
  <c r="I40"/>
  <c r="M40"/>
  <c r="U40"/>
  <c r="Y40"/>
  <c r="I43"/>
  <c r="M43"/>
  <c r="U43"/>
  <c r="Y43"/>
  <c r="I45"/>
  <c r="M45"/>
  <c r="I47"/>
  <c r="M47"/>
  <c r="U47"/>
  <c r="Y47"/>
  <c r="I49"/>
  <c r="M49"/>
  <c r="U49"/>
  <c r="Y49"/>
  <c r="I51"/>
  <c r="M51"/>
  <c r="U51"/>
  <c r="Y51"/>
  <c r="I56"/>
  <c r="M56"/>
  <c r="U56"/>
  <c r="Y56"/>
  <c r="I58"/>
  <c r="M58"/>
  <c r="U58"/>
  <c r="Y58"/>
  <c r="I60"/>
  <c r="M60"/>
  <c r="U60"/>
  <c r="Y60"/>
  <c r="V61"/>
  <c r="AA61"/>
  <c r="AF61"/>
  <c r="AQ61"/>
  <c r="V62"/>
  <c r="AB62"/>
  <c r="V63"/>
  <c r="AA63"/>
  <c r="AF63"/>
  <c r="V64"/>
  <c r="AB64"/>
  <c r="AH68"/>
  <c r="AM68"/>
  <c r="AR68"/>
  <c r="AH72"/>
  <c r="AP72"/>
  <c r="AD76"/>
  <c r="H78"/>
  <c r="AD81"/>
  <c r="Z83"/>
  <c r="P90"/>
  <c r="Z92"/>
  <c r="AD98"/>
  <c r="Z100"/>
  <c r="AD103"/>
  <c r="Z105"/>
  <c r="AD111"/>
  <c r="AD10" i="14"/>
  <c r="AH10"/>
  <c r="AL10"/>
  <c r="S51"/>
  <c r="W51"/>
  <c r="AA51"/>
  <c r="S123" i="12"/>
  <c r="O123"/>
  <c r="K123"/>
  <c r="P123"/>
  <c r="L123"/>
  <c r="H123"/>
  <c r="Z39" i="13"/>
  <c r="V39"/>
  <c r="R39"/>
  <c r="W39"/>
  <c r="S39"/>
  <c r="O39"/>
  <c r="X39"/>
  <c r="T39"/>
  <c r="P39"/>
  <c r="AL40"/>
  <c r="AH40"/>
  <c r="AD40"/>
  <c r="AM40"/>
  <c r="AI40"/>
  <c r="AE40"/>
  <c r="AJ40"/>
  <c r="AF40"/>
  <c r="AB40"/>
  <c r="Z42"/>
  <c r="V42"/>
  <c r="R42"/>
  <c r="W42"/>
  <c r="S42"/>
  <c r="O42"/>
  <c r="E27"/>
  <c r="X42"/>
  <c r="T42"/>
  <c r="P42"/>
  <c r="AC6" i="14"/>
  <c r="AC15"/>
  <c r="AG6"/>
  <c r="AG15"/>
  <c r="AK6"/>
  <c r="AK15"/>
  <c r="D6"/>
  <c r="D20"/>
  <c r="H6"/>
  <c r="H20"/>
  <c r="L6"/>
  <c r="L20"/>
  <c r="AE32"/>
  <c r="AI32"/>
  <c r="AM32"/>
  <c r="AD32"/>
  <c r="AD46"/>
  <c r="AH32"/>
  <c r="AL32"/>
  <c r="AL46"/>
  <c r="I61" i="12"/>
  <c r="M61"/>
  <c r="I63"/>
  <c r="M63"/>
  <c r="I68"/>
  <c r="M68"/>
  <c r="I70"/>
  <c r="M70"/>
  <c r="I72"/>
  <c r="M72"/>
  <c r="K73"/>
  <c r="O73"/>
  <c r="S73"/>
  <c r="I74"/>
  <c r="M74"/>
  <c r="K75"/>
  <c r="O75"/>
  <c r="S75"/>
  <c r="I76"/>
  <c r="M76"/>
  <c r="I79"/>
  <c r="M79"/>
  <c r="K80"/>
  <c r="O80"/>
  <c r="S80"/>
  <c r="I81"/>
  <c r="M81"/>
  <c r="K82"/>
  <c r="O82"/>
  <c r="S82"/>
  <c r="I83"/>
  <c r="M83"/>
  <c r="K84"/>
  <c r="O84"/>
  <c r="S84"/>
  <c r="I85"/>
  <c r="M85"/>
  <c r="K86"/>
  <c r="O86"/>
  <c r="S86"/>
  <c r="I87"/>
  <c r="M87"/>
  <c r="K88"/>
  <c r="O88"/>
  <c r="S88"/>
  <c r="K91"/>
  <c r="O91"/>
  <c r="S91"/>
  <c r="I92"/>
  <c r="M92"/>
  <c r="K93"/>
  <c r="O93"/>
  <c r="S93"/>
  <c r="I94"/>
  <c r="M94"/>
  <c r="K95"/>
  <c r="O95"/>
  <c r="S95"/>
  <c r="I96"/>
  <c r="M96"/>
  <c r="K97"/>
  <c r="O97"/>
  <c r="S97"/>
  <c r="I98"/>
  <c r="M98"/>
  <c r="K99"/>
  <c r="O99"/>
  <c r="S99"/>
  <c r="I100"/>
  <c r="M100"/>
  <c r="I103"/>
  <c r="M103"/>
  <c r="K104"/>
  <c r="O104"/>
  <c r="S104"/>
  <c r="I105"/>
  <c r="M105"/>
  <c r="K106"/>
  <c r="O106"/>
  <c r="S106"/>
  <c r="I107"/>
  <c r="M107"/>
  <c r="K108"/>
  <c r="O108"/>
  <c r="S108"/>
  <c r="I109"/>
  <c r="M109"/>
  <c r="K110"/>
  <c r="O110"/>
  <c r="S110"/>
  <c r="I111"/>
  <c r="M111"/>
  <c r="K112"/>
  <c r="O112"/>
  <c r="S112"/>
  <c r="K115"/>
  <c r="O115"/>
  <c r="S115"/>
  <c r="F117"/>
  <c r="I119"/>
  <c r="Q119"/>
  <c r="Q114" s="1"/>
  <c r="M123"/>
  <c r="AD36" i="13"/>
  <c r="AL36"/>
  <c r="V38"/>
  <c r="Y39"/>
  <c r="AG40"/>
  <c r="N43"/>
  <c r="Q43"/>
  <c r="AB7" i="14"/>
  <c r="AO7"/>
  <c r="O12"/>
  <c r="P15"/>
  <c r="T15"/>
  <c r="X15"/>
  <c r="AO12"/>
  <c r="AO22"/>
  <c r="H32"/>
  <c r="S36"/>
  <c r="W36"/>
  <c r="AA36"/>
  <c r="AM36"/>
  <c r="R41"/>
  <c r="V41"/>
  <c r="Z41"/>
  <c r="Q46"/>
  <c r="U46"/>
  <c r="Y46"/>
  <c r="O47"/>
  <c r="AE51"/>
  <c r="O52"/>
  <c r="V62"/>
  <c r="U67"/>
  <c r="S117" i="12"/>
  <c r="O117"/>
  <c r="K117"/>
  <c r="P117"/>
  <c r="L117"/>
  <c r="H117"/>
  <c r="B33" i="14"/>
  <c r="B59"/>
  <c r="B7"/>
  <c r="P6"/>
  <c r="P20"/>
  <c r="T6"/>
  <c r="T20"/>
  <c r="X6"/>
  <c r="X20"/>
  <c r="AF6"/>
  <c r="AF20"/>
  <c r="AJ6"/>
  <c r="AJ20"/>
  <c r="AN6"/>
  <c r="AN20"/>
  <c r="F73" i="12"/>
  <c r="J73"/>
  <c r="N73"/>
  <c r="R73"/>
  <c r="F75"/>
  <c r="J75"/>
  <c r="N75"/>
  <c r="R75"/>
  <c r="F80"/>
  <c r="J80"/>
  <c r="N80"/>
  <c r="R80"/>
  <c r="F82"/>
  <c r="J82"/>
  <c r="N82"/>
  <c r="R82"/>
  <c r="F84"/>
  <c r="J84"/>
  <c r="N84"/>
  <c r="R84"/>
  <c r="F86"/>
  <c r="J86"/>
  <c r="N86"/>
  <c r="R86"/>
  <c r="F88"/>
  <c r="J88"/>
  <c r="N88"/>
  <c r="R88"/>
  <c r="F91"/>
  <c r="J91"/>
  <c r="N91"/>
  <c r="R91"/>
  <c r="F93"/>
  <c r="J93"/>
  <c r="N93"/>
  <c r="R93"/>
  <c r="F95"/>
  <c r="J95"/>
  <c r="N95"/>
  <c r="R95"/>
  <c r="F97"/>
  <c r="J97"/>
  <c r="N97"/>
  <c r="R97"/>
  <c r="F99"/>
  <c r="J99"/>
  <c r="N99"/>
  <c r="R99"/>
  <c r="F104"/>
  <c r="J104"/>
  <c r="N104"/>
  <c r="R104"/>
  <c r="F106"/>
  <c r="J106"/>
  <c r="N106"/>
  <c r="R106"/>
  <c r="F108"/>
  <c r="J108"/>
  <c r="N108"/>
  <c r="R108"/>
  <c r="F110"/>
  <c r="J110"/>
  <c r="N110"/>
  <c r="R110"/>
  <c r="F112"/>
  <c r="J112"/>
  <c r="N112"/>
  <c r="R112"/>
  <c r="F115"/>
  <c r="J115"/>
  <c r="N115"/>
  <c r="R115"/>
  <c r="M117"/>
  <c r="F119"/>
  <c r="E46" i="13"/>
  <c r="G7" i="2" s="1"/>
  <c r="I46" i="13"/>
  <c r="K7" i="2" s="1"/>
  <c r="M46" i="13"/>
  <c r="O7" i="2" s="1"/>
  <c r="AC36" i="13"/>
  <c r="U39"/>
  <c r="AC40"/>
  <c r="N41"/>
  <c r="Y42"/>
  <c r="N44"/>
  <c r="O10" i="14"/>
  <c r="O7"/>
  <c r="S10"/>
  <c r="W10"/>
  <c r="AA10"/>
  <c r="AF15"/>
  <c r="AJ15"/>
  <c r="AN15"/>
  <c r="AB17"/>
  <c r="O25"/>
  <c r="O22"/>
  <c r="S25"/>
  <c r="W25"/>
  <c r="AA25"/>
  <c r="R30"/>
  <c r="V30"/>
  <c r="Z30"/>
  <c r="AD41"/>
  <c r="O42"/>
  <c r="O43"/>
  <c r="AB43"/>
  <c r="AK46"/>
  <c r="AD62"/>
  <c r="AL62"/>
  <c r="AK67"/>
  <c r="S119" i="12"/>
  <c r="O119"/>
  <c r="K119"/>
  <c r="P119"/>
  <c r="L119"/>
  <c r="H119"/>
  <c r="AM36" i="13"/>
  <c r="AI36"/>
  <c r="AE36"/>
  <c r="AJ36"/>
  <c r="AF36"/>
  <c r="AB36"/>
  <c r="Z38"/>
  <c r="W38"/>
  <c r="S38"/>
  <c r="O38"/>
  <c r="E23"/>
  <c r="X38"/>
  <c r="T38"/>
  <c r="P38"/>
  <c r="Z43"/>
  <c r="V43"/>
  <c r="R43"/>
  <c r="W43"/>
  <c r="S43"/>
  <c r="O43"/>
  <c r="X43"/>
  <c r="T43"/>
  <c r="P43"/>
  <c r="E6" i="14"/>
  <c r="E15"/>
  <c r="I6"/>
  <c r="I15"/>
  <c r="M6"/>
  <c r="M15"/>
  <c r="F32"/>
  <c r="F46"/>
  <c r="J32"/>
  <c r="J46"/>
  <c r="N32"/>
  <c r="N46"/>
  <c r="I73" i="12"/>
  <c r="M73"/>
  <c r="I75"/>
  <c r="M75"/>
  <c r="I80"/>
  <c r="M80"/>
  <c r="I82"/>
  <c r="M82"/>
  <c r="I84"/>
  <c r="M84"/>
  <c r="I86"/>
  <c r="M86"/>
  <c r="I88"/>
  <c r="M88"/>
  <c r="I91"/>
  <c r="M91"/>
  <c r="I93"/>
  <c r="M93"/>
  <c r="I95"/>
  <c r="M95"/>
  <c r="I97"/>
  <c r="M97"/>
  <c r="I99"/>
  <c r="M99"/>
  <c r="I104"/>
  <c r="M104"/>
  <c r="I106"/>
  <c r="M106"/>
  <c r="I108"/>
  <c r="M108"/>
  <c r="I110"/>
  <c r="M110"/>
  <c r="I112"/>
  <c r="M112"/>
  <c r="I115"/>
  <c r="M115"/>
  <c r="M119"/>
  <c r="AH36" i="13"/>
  <c r="N37"/>
  <c r="R38"/>
  <c r="N39"/>
  <c r="Y43"/>
  <c r="R10" i="14"/>
  <c r="V10"/>
  <c r="Z10"/>
  <c r="AE10"/>
  <c r="AI10"/>
  <c r="AM10"/>
  <c r="S20"/>
  <c r="W20"/>
  <c r="AA20"/>
  <c r="AE20"/>
  <c r="AI20"/>
  <c r="AM20"/>
  <c r="R25"/>
  <c r="V25"/>
  <c r="Z25"/>
  <c r="AE25"/>
  <c r="AI25"/>
  <c r="AM25"/>
  <c r="Q30"/>
  <c r="U30"/>
  <c r="Y30"/>
  <c r="AD30"/>
  <c r="AH30"/>
  <c r="AL30"/>
  <c r="O31"/>
  <c r="AO33"/>
  <c r="AB38"/>
  <c r="R56"/>
  <c r="V56"/>
  <c r="Z56"/>
  <c r="F116" i="12"/>
  <c r="J116"/>
  <c r="N116"/>
  <c r="R116"/>
  <c r="F118"/>
  <c r="J118"/>
  <c r="N118"/>
  <c r="R118"/>
  <c r="F120"/>
  <c r="J120"/>
  <c r="N120"/>
  <c r="R120"/>
  <c r="F122"/>
  <c r="J122"/>
  <c r="N122"/>
  <c r="R122"/>
  <c r="F124"/>
  <c r="J124"/>
  <c r="N124"/>
  <c r="R124"/>
  <c r="E22" i="13"/>
  <c r="E26"/>
  <c r="E30"/>
  <c r="P36"/>
  <c r="T36"/>
  <c r="X36"/>
  <c r="P37"/>
  <c r="T37"/>
  <c r="X37"/>
  <c r="P40"/>
  <c r="T40"/>
  <c r="X40"/>
  <c r="P41"/>
  <c r="T41"/>
  <c r="X41"/>
  <c r="P44"/>
  <c r="T44"/>
  <c r="X44"/>
  <c r="P45"/>
  <c r="T45"/>
  <c r="X45"/>
  <c r="D11" i="14"/>
  <c r="E11" s="1"/>
  <c r="F11" s="1"/>
  <c r="G11" s="1"/>
  <c r="H11" s="1"/>
  <c r="I11" s="1"/>
  <c r="J11" s="1"/>
  <c r="K11" s="1"/>
  <c r="L11" s="1"/>
  <c r="M11" s="1"/>
  <c r="N11" s="1"/>
  <c r="AB12"/>
  <c r="O17"/>
  <c r="AO27"/>
  <c r="O33"/>
  <c r="AO43"/>
  <c r="AO53"/>
  <c r="AF62"/>
  <c r="AJ62"/>
  <c r="AN62"/>
  <c r="S67"/>
  <c r="W67"/>
  <c r="AA67"/>
  <c r="AE67"/>
  <c r="AI67"/>
  <c r="AM67"/>
  <c r="O68"/>
  <c r="Q77"/>
  <c r="U77"/>
  <c r="Y77"/>
  <c r="AD77"/>
  <c r="AH77"/>
  <c r="AL77"/>
  <c r="AF82"/>
  <c r="AJ82"/>
  <c r="AN82"/>
  <c r="O83"/>
  <c r="S88"/>
  <c r="W88"/>
  <c r="AA88"/>
  <c r="AF88"/>
  <c r="AJ88"/>
  <c r="AN88"/>
  <c r="S93"/>
  <c r="W93"/>
  <c r="AA93"/>
  <c r="AF93"/>
  <c r="AJ93"/>
  <c r="AN93"/>
  <c r="S98"/>
  <c r="W98"/>
  <c r="AA98"/>
  <c r="O99"/>
  <c r="Q103"/>
  <c r="U103"/>
  <c r="Y103"/>
  <c r="AD103"/>
  <c r="AH103"/>
  <c r="AL103"/>
  <c r="T108"/>
  <c r="X108"/>
  <c r="AC108"/>
  <c r="AG108"/>
  <c r="AK108"/>
  <c r="AL114"/>
  <c r="Q119"/>
  <c r="U119"/>
  <c r="Y119"/>
  <c r="AD119"/>
  <c r="AJ124"/>
  <c r="O125"/>
  <c r="AI129"/>
  <c r="R134"/>
  <c r="V134"/>
  <c r="Z134"/>
  <c r="S140"/>
  <c r="W140"/>
  <c r="AA140"/>
  <c r="O141"/>
  <c r="Q145"/>
  <c r="U145"/>
  <c r="Y145"/>
  <c r="AD145"/>
  <c r="AH145"/>
  <c r="AL145"/>
  <c r="Q150"/>
  <c r="U150"/>
  <c r="Y150"/>
  <c r="Q155"/>
  <c r="U155"/>
  <c r="Y155"/>
  <c r="P160"/>
  <c r="T160"/>
  <c r="X160"/>
  <c r="I116" i="12"/>
  <c r="M116"/>
  <c r="I118"/>
  <c r="M118"/>
  <c r="I120"/>
  <c r="M120"/>
  <c r="I122"/>
  <c r="M122"/>
  <c r="I124"/>
  <c r="M124"/>
  <c r="O36" i="13"/>
  <c r="S36"/>
  <c r="O37"/>
  <c r="S37"/>
  <c r="O40"/>
  <c r="S40"/>
  <c r="O41"/>
  <c r="S41"/>
  <c r="O44"/>
  <c r="S44"/>
  <c r="O45"/>
  <c r="S45"/>
  <c r="D21" i="14"/>
  <c r="E21" s="1"/>
  <c r="F21" s="1"/>
  <c r="G21" s="1"/>
  <c r="H21" s="1"/>
  <c r="I21" s="1"/>
  <c r="J21" s="1"/>
  <c r="K21" s="1"/>
  <c r="L21" s="1"/>
  <c r="M21" s="1"/>
  <c r="N21" s="1"/>
  <c r="D37"/>
  <c r="E37" s="1"/>
  <c r="F37" s="1"/>
  <c r="G37" s="1"/>
  <c r="H37" s="1"/>
  <c r="I37" s="1"/>
  <c r="J37" s="1"/>
  <c r="K37" s="1"/>
  <c r="L37" s="1"/>
  <c r="M37" s="1"/>
  <c r="N37" s="1"/>
  <c r="O63"/>
  <c r="AC67"/>
  <c r="R72"/>
  <c r="V72"/>
  <c r="Z72"/>
  <c r="AD72"/>
  <c r="AH72"/>
  <c r="AL72"/>
  <c r="AC77"/>
  <c r="AG77"/>
  <c r="AK77"/>
  <c r="R82"/>
  <c r="V82"/>
  <c r="Z82"/>
  <c r="AE88"/>
  <c r="AI88"/>
  <c r="AM88"/>
  <c r="R93"/>
  <c r="V93"/>
  <c r="Z93"/>
  <c r="AE93"/>
  <c r="AI93"/>
  <c r="AM93"/>
  <c r="R98"/>
  <c r="V98"/>
  <c r="Z98"/>
  <c r="AE98"/>
  <c r="AI98"/>
  <c r="AM98"/>
  <c r="P103"/>
  <c r="T103"/>
  <c r="X103"/>
  <c r="AG103"/>
  <c r="AK103"/>
  <c r="S108"/>
  <c r="W108"/>
  <c r="AA108"/>
  <c r="AF108"/>
  <c r="AJ108"/>
  <c r="AN108"/>
  <c r="P114"/>
  <c r="T114"/>
  <c r="X114"/>
  <c r="AK119"/>
  <c r="R124"/>
  <c r="V124"/>
  <c r="Z124"/>
  <c r="Q129"/>
  <c r="U129"/>
  <c r="Y129"/>
  <c r="AH134"/>
  <c r="R140"/>
  <c r="V140"/>
  <c r="Z140"/>
  <c r="AE140"/>
  <c r="AI140"/>
  <c r="AM140"/>
  <c r="P145"/>
  <c r="T145"/>
  <c r="X145"/>
  <c r="AG145"/>
  <c r="AK145"/>
  <c r="T150"/>
  <c r="X150"/>
  <c r="AC150"/>
  <c r="AG150"/>
  <c r="AK150"/>
  <c r="AG155"/>
  <c r="AK155"/>
  <c r="AF160"/>
  <c r="AJ160"/>
  <c r="AN160"/>
  <c r="D67"/>
  <c r="D58"/>
  <c r="H67"/>
  <c r="H58"/>
  <c r="L67"/>
  <c r="L58"/>
  <c r="P51"/>
  <c r="T51"/>
  <c r="X51"/>
  <c r="AB48"/>
  <c r="O53"/>
  <c r="S56"/>
  <c r="W56"/>
  <c r="AA56"/>
  <c r="AE56"/>
  <c r="Q62"/>
  <c r="U62"/>
  <c r="Y62"/>
  <c r="AO69"/>
  <c r="O74"/>
  <c r="S77"/>
  <c r="W77"/>
  <c r="AA77"/>
  <c r="Q82"/>
  <c r="U82"/>
  <c r="Y82"/>
  <c r="AD82"/>
  <c r="AH82"/>
  <c r="AL82"/>
  <c r="Q88"/>
  <c r="U88"/>
  <c r="Y88"/>
  <c r="AD93"/>
  <c r="AH93"/>
  <c r="AL93"/>
  <c r="Q98"/>
  <c r="U98"/>
  <c r="Y98"/>
  <c r="AD98"/>
  <c r="AH98"/>
  <c r="AL98"/>
  <c r="AF103"/>
  <c r="AJ103"/>
  <c r="AN103"/>
  <c r="AE108"/>
  <c r="AI108"/>
  <c r="AM108"/>
  <c r="S114"/>
  <c r="W114"/>
  <c r="AA114"/>
  <c r="AN114"/>
  <c r="S119"/>
  <c r="W119"/>
  <c r="AA119"/>
  <c r="Q124"/>
  <c r="U124"/>
  <c r="Y124"/>
  <c r="AH124"/>
  <c r="T129"/>
  <c r="X129"/>
  <c r="AC129"/>
  <c r="P134"/>
  <c r="T134"/>
  <c r="X134"/>
  <c r="Q140"/>
  <c r="U140"/>
  <c r="Y140"/>
  <c r="AD140"/>
  <c r="AH140"/>
  <c r="AL140"/>
  <c r="AF145"/>
  <c r="AJ145"/>
  <c r="AN145"/>
  <c r="S150"/>
  <c r="W150"/>
  <c r="AA150"/>
  <c r="AF150"/>
  <c r="AJ150"/>
  <c r="AN150"/>
  <c r="P67"/>
  <c r="P58"/>
  <c r="T67"/>
  <c r="T58"/>
  <c r="X67"/>
  <c r="X58"/>
  <c r="AF67"/>
  <c r="AF58"/>
  <c r="AJ67"/>
  <c r="AJ58"/>
  <c r="AN67"/>
  <c r="AN58"/>
  <c r="O69"/>
  <c r="C58"/>
  <c r="C72"/>
  <c r="G58"/>
  <c r="G72"/>
  <c r="K58"/>
  <c r="K72"/>
  <c r="P62"/>
  <c r="T62"/>
  <c r="X62"/>
  <c r="AC62"/>
  <c r="AG62"/>
  <c r="AK62"/>
  <c r="AO59"/>
  <c r="AB64"/>
  <c r="P72"/>
  <c r="T72"/>
  <c r="X72"/>
  <c r="AB69"/>
  <c r="AF72"/>
  <c r="AJ72"/>
  <c r="AN72"/>
  <c r="R77"/>
  <c r="V77"/>
  <c r="Z77"/>
  <c r="AE77"/>
  <c r="AI77"/>
  <c r="AM77"/>
  <c r="P82"/>
  <c r="T82"/>
  <c r="X82"/>
  <c r="AG82"/>
  <c r="AK82"/>
  <c r="T88"/>
  <c r="X88"/>
  <c r="AC88"/>
  <c r="AG88"/>
  <c r="AK88"/>
  <c r="P93"/>
  <c r="T93"/>
  <c r="X93"/>
  <c r="AC98"/>
  <c r="AG98"/>
  <c r="AK98"/>
  <c r="R103"/>
  <c r="V103"/>
  <c r="Z103"/>
  <c r="Q108"/>
  <c r="U108"/>
  <c r="Y108"/>
  <c r="R114"/>
  <c r="V114"/>
  <c r="Z114"/>
  <c r="AM114"/>
  <c r="R119"/>
  <c r="V119"/>
  <c r="Z119"/>
  <c r="AE119"/>
  <c r="P124"/>
  <c r="T124"/>
  <c r="X124"/>
  <c r="S129"/>
  <c r="W129"/>
  <c r="AA129"/>
  <c r="AJ129"/>
  <c r="S134"/>
  <c r="W134"/>
  <c r="AA134"/>
  <c r="AC140"/>
  <c r="AG140"/>
  <c r="AK140"/>
  <c r="R145"/>
  <c r="V145"/>
  <c r="Z145"/>
  <c r="AE150"/>
  <c r="AI150"/>
  <c r="AM150"/>
  <c r="O48"/>
  <c r="D57"/>
  <c r="E57" s="1"/>
  <c r="F57" s="1"/>
  <c r="G57" s="1"/>
  <c r="H57" s="1"/>
  <c r="I57" s="1"/>
  <c r="J57" s="1"/>
  <c r="K57" s="1"/>
  <c r="L57" s="1"/>
  <c r="M57" s="1"/>
  <c r="N57" s="1"/>
  <c r="AB59"/>
  <c r="O64"/>
  <c r="S72"/>
  <c r="W72"/>
  <c r="AA72"/>
  <c r="AE72"/>
  <c r="AI72"/>
  <c r="AM72"/>
  <c r="D73"/>
  <c r="E73" s="1"/>
  <c r="F73" s="1"/>
  <c r="G73" s="1"/>
  <c r="H73" s="1"/>
  <c r="I73" s="1"/>
  <c r="J73" s="1"/>
  <c r="K73" s="1"/>
  <c r="L73" s="1"/>
  <c r="M73" s="1"/>
  <c r="N73" s="1"/>
  <c r="AO74"/>
  <c r="AB79"/>
  <c r="AC82"/>
  <c r="F84"/>
  <c r="J84"/>
  <c r="N84"/>
  <c r="R84"/>
  <c r="V84"/>
  <c r="Z84"/>
  <c r="AD84"/>
  <c r="AH84"/>
  <c r="AL84"/>
  <c r="O85"/>
  <c r="P88"/>
  <c r="C93"/>
  <c r="O93" s="1"/>
  <c r="D94"/>
  <c r="E94" s="1"/>
  <c r="F94" s="1"/>
  <c r="G94" s="1"/>
  <c r="H94" s="1"/>
  <c r="I94" s="1"/>
  <c r="J94" s="1"/>
  <c r="K94" s="1"/>
  <c r="L94" s="1"/>
  <c r="M94" s="1"/>
  <c r="N94" s="1"/>
  <c r="AO95"/>
  <c r="AB100"/>
  <c r="AC103"/>
  <c r="O105"/>
  <c r="P108"/>
  <c r="E110"/>
  <c r="I110"/>
  <c r="M110"/>
  <c r="Q110"/>
  <c r="U110"/>
  <c r="Y110"/>
  <c r="AC110"/>
  <c r="AG110"/>
  <c r="AK110"/>
  <c r="C114"/>
  <c r="O114" s="1"/>
  <c r="D115"/>
  <c r="E115" s="1"/>
  <c r="F115" s="1"/>
  <c r="G115" s="1"/>
  <c r="H115" s="1"/>
  <c r="I115" s="1"/>
  <c r="J115" s="1"/>
  <c r="K115" s="1"/>
  <c r="L115" s="1"/>
  <c r="M115" s="1"/>
  <c r="N115" s="1"/>
  <c r="AO116"/>
  <c r="AB121"/>
  <c r="O126"/>
  <c r="P129"/>
  <c r="AB129" s="1"/>
  <c r="C134"/>
  <c r="O134" s="1"/>
  <c r="D135"/>
  <c r="E135" s="1"/>
  <c r="F135" s="1"/>
  <c r="G135" s="1"/>
  <c r="H135" s="1"/>
  <c r="I135" s="1"/>
  <c r="J135" s="1"/>
  <c r="K135" s="1"/>
  <c r="L135" s="1"/>
  <c r="M135" s="1"/>
  <c r="N135" s="1"/>
  <c r="D136"/>
  <c r="H136"/>
  <c r="L136"/>
  <c r="P136"/>
  <c r="T136"/>
  <c r="X136"/>
  <c r="AF136"/>
  <c r="AJ136"/>
  <c r="AN136"/>
  <c r="AO137"/>
  <c r="AB142"/>
  <c r="AC145"/>
  <c r="O147"/>
  <c r="P150"/>
  <c r="AB150" s="1"/>
  <c r="S155"/>
  <c r="W155"/>
  <c r="AA155"/>
  <c r="AE155"/>
  <c r="AI155"/>
  <c r="AM155"/>
  <c r="O156"/>
  <c r="R160"/>
  <c r="V160"/>
  <c r="Z160"/>
  <c r="AD160"/>
  <c r="AH160"/>
  <c r="AL160"/>
  <c r="J162"/>
  <c r="O163"/>
  <c r="R171"/>
  <c r="V171"/>
  <c r="Z171"/>
  <c r="Q176"/>
  <c r="U176"/>
  <c r="Y176"/>
  <c r="AD181"/>
  <c r="AH181"/>
  <c r="AL181"/>
  <c r="Q186"/>
  <c r="U186"/>
  <c r="Y186"/>
  <c r="AD186"/>
  <c r="AH186"/>
  <c r="AL186"/>
  <c r="P192"/>
  <c r="T192"/>
  <c r="X192"/>
  <c r="AG192"/>
  <c r="AK192"/>
  <c r="S197"/>
  <c r="W197"/>
  <c r="AA197"/>
  <c r="AF197"/>
  <c r="AJ197"/>
  <c r="AN197"/>
  <c r="S202"/>
  <c r="AF202"/>
  <c r="AJ202"/>
  <c r="AN202"/>
  <c r="E84"/>
  <c r="I84"/>
  <c r="M84"/>
  <c r="Q84"/>
  <c r="U84"/>
  <c r="Y84"/>
  <c r="AC84"/>
  <c r="AG84"/>
  <c r="AK84"/>
  <c r="D89"/>
  <c r="E89" s="1"/>
  <c r="F89" s="1"/>
  <c r="G89" s="1"/>
  <c r="H89" s="1"/>
  <c r="I89" s="1"/>
  <c r="J89" s="1"/>
  <c r="K89" s="1"/>
  <c r="L89" s="1"/>
  <c r="M89" s="1"/>
  <c r="N89" s="1"/>
  <c r="D109"/>
  <c r="E109" s="1"/>
  <c r="F109" s="1"/>
  <c r="G109" s="1"/>
  <c r="H109" s="1"/>
  <c r="I109" s="1"/>
  <c r="J109" s="1"/>
  <c r="K109" s="1"/>
  <c r="L109" s="1"/>
  <c r="M109" s="1"/>
  <c r="N109" s="1"/>
  <c r="D110"/>
  <c r="H110"/>
  <c r="L110"/>
  <c r="P110"/>
  <c r="T110"/>
  <c r="X110"/>
  <c r="AF110"/>
  <c r="AJ110"/>
  <c r="AN110"/>
  <c r="D130"/>
  <c r="E130" s="1"/>
  <c r="F130" s="1"/>
  <c r="G130" s="1"/>
  <c r="H130" s="1"/>
  <c r="I130" s="1"/>
  <c r="J130" s="1"/>
  <c r="K130" s="1"/>
  <c r="L130" s="1"/>
  <c r="M130" s="1"/>
  <c r="N130" s="1"/>
  <c r="C136"/>
  <c r="G136"/>
  <c r="K136"/>
  <c r="S136"/>
  <c r="W136"/>
  <c r="AA136"/>
  <c r="AA266" s="1"/>
  <c r="AB13" i="2" s="1"/>
  <c r="AE136" i="14"/>
  <c r="AI136"/>
  <c r="AM136"/>
  <c r="AM266" s="1"/>
  <c r="AN13" i="2" s="1"/>
  <c r="D151" i="14"/>
  <c r="E151" s="1"/>
  <c r="F151" s="1"/>
  <c r="G151" s="1"/>
  <c r="H151" s="1"/>
  <c r="I151" s="1"/>
  <c r="J151" s="1"/>
  <c r="K151" s="1"/>
  <c r="L151" s="1"/>
  <c r="M151" s="1"/>
  <c r="N151" s="1"/>
  <c r="AC155"/>
  <c r="AO157"/>
  <c r="O161"/>
  <c r="R166"/>
  <c r="V166"/>
  <c r="Z166"/>
  <c r="G166"/>
  <c r="O166" s="1"/>
  <c r="W166"/>
  <c r="AE166"/>
  <c r="AM166"/>
  <c r="Q171"/>
  <c r="U171"/>
  <c r="Y171"/>
  <c r="AD171"/>
  <c r="AH171"/>
  <c r="AL171"/>
  <c r="T176"/>
  <c r="X176"/>
  <c r="AC176"/>
  <c r="AG176"/>
  <c r="AK176"/>
  <c r="P181"/>
  <c r="T181"/>
  <c r="X181"/>
  <c r="AC186"/>
  <c r="AG186"/>
  <c r="AK186"/>
  <c r="AF192"/>
  <c r="AJ192"/>
  <c r="AN192"/>
  <c r="AE197"/>
  <c r="AI197"/>
  <c r="AM197"/>
  <c r="R202"/>
  <c r="Z202"/>
  <c r="AO85"/>
  <c r="AB90"/>
  <c r="O95"/>
  <c r="AO105"/>
  <c r="AB111"/>
  <c r="O116"/>
  <c r="AO126"/>
  <c r="AB131"/>
  <c r="O137"/>
  <c r="D146"/>
  <c r="E146" s="1"/>
  <c r="F146" s="1"/>
  <c r="G146" s="1"/>
  <c r="H146" s="1"/>
  <c r="I146" s="1"/>
  <c r="J146" s="1"/>
  <c r="K146" s="1"/>
  <c r="L146" s="1"/>
  <c r="M146" s="1"/>
  <c r="N146" s="1"/>
  <c r="AO147"/>
  <c r="AB157"/>
  <c r="Q166"/>
  <c r="U166"/>
  <c r="Y166"/>
  <c r="AD166"/>
  <c r="AH166"/>
  <c r="AL166"/>
  <c r="O168"/>
  <c r="P171"/>
  <c r="T171"/>
  <c r="X171"/>
  <c r="AG171"/>
  <c r="AK171"/>
  <c r="S176"/>
  <c r="W176"/>
  <c r="AA176"/>
  <c r="AF176"/>
  <c r="AJ176"/>
  <c r="AN176"/>
  <c r="S181"/>
  <c r="W181"/>
  <c r="AA181"/>
  <c r="AF181"/>
  <c r="AJ181"/>
  <c r="AN181"/>
  <c r="S186"/>
  <c r="W186"/>
  <c r="AA186"/>
  <c r="R192"/>
  <c r="V192"/>
  <c r="Z192"/>
  <c r="Q197"/>
  <c r="U197"/>
  <c r="Y197"/>
  <c r="AH202"/>
  <c r="P155"/>
  <c r="T155"/>
  <c r="X155"/>
  <c r="AB152"/>
  <c r="AF155"/>
  <c r="AJ155"/>
  <c r="AN155"/>
  <c r="O157"/>
  <c r="S160"/>
  <c r="W160"/>
  <c r="AA160"/>
  <c r="AE160"/>
  <c r="AI160"/>
  <c r="AM160"/>
  <c r="AC166"/>
  <c r="AG166"/>
  <c r="AK166"/>
  <c r="O167"/>
  <c r="AF171"/>
  <c r="AJ171"/>
  <c r="AN171"/>
  <c r="O172"/>
  <c r="AE176"/>
  <c r="AI176"/>
  <c r="AM176"/>
  <c r="R181"/>
  <c r="V181"/>
  <c r="Z181"/>
  <c r="AE181"/>
  <c r="AI181"/>
  <c r="AM181"/>
  <c r="R186"/>
  <c r="V186"/>
  <c r="Z186"/>
  <c r="AE186"/>
  <c r="AI186"/>
  <c r="AM186"/>
  <c r="Q192"/>
  <c r="U192"/>
  <c r="Y192"/>
  <c r="AD192"/>
  <c r="AH192"/>
  <c r="AL192"/>
  <c r="T197"/>
  <c r="X197"/>
  <c r="AC197"/>
  <c r="AG197"/>
  <c r="AK197"/>
  <c r="P202"/>
  <c r="T202"/>
  <c r="X202"/>
  <c r="AD218"/>
  <c r="AD214"/>
  <c r="AH218"/>
  <c r="AH214"/>
  <c r="AL218"/>
  <c r="AL214"/>
  <c r="G265"/>
  <c r="H265" s="1"/>
  <c r="I265" s="1"/>
  <c r="J265" s="1"/>
  <c r="K265" s="1"/>
  <c r="L265" s="1"/>
  <c r="M265" s="1"/>
  <c r="N265" s="1"/>
  <c r="O152"/>
  <c r="D162"/>
  <c r="H162"/>
  <c r="L162"/>
  <c r="P162"/>
  <c r="T162"/>
  <c r="X162"/>
  <c r="AF162"/>
  <c r="AJ162"/>
  <c r="AN162"/>
  <c r="AO163"/>
  <c r="AB168"/>
  <c r="AC171"/>
  <c r="O173"/>
  <c r="P176"/>
  <c r="C181"/>
  <c r="O181" s="1"/>
  <c r="D182"/>
  <c r="E182" s="1"/>
  <c r="F182" s="1"/>
  <c r="G182" s="1"/>
  <c r="H182" s="1"/>
  <c r="I182" s="1"/>
  <c r="J182" s="1"/>
  <c r="K182" s="1"/>
  <c r="L182" s="1"/>
  <c r="M182" s="1"/>
  <c r="N182" s="1"/>
  <c r="AO183"/>
  <c r="C188"/>
  <c r="G188"/>
  <c r="K188"/>
  <c r="S188"/>
  <c r="AB189"/>
  <c r="AC192"/>
  <c r="O194"/>
  <c r="P197"/>
  <c r="AB197" s="1"/>
  <c r="C202"/>
  <c r="O202" s="1"/>
  <c r="O204"/>
  <c r="P207"/>
  <c r="T207"/>
  <c r="X207"/>
  <c r="AB204"/>
  <c r="AF207"/>
  <c r="AJ207"/>
  <c r="AN207"/>
  <c r="AE212"/>
  <c r="AI212"/>
  <c r="AM212"/>
  <c r="O219"/>
  <c r="Q223"/>
  <c r="U223"/>
  <c r="Y223"/>
  <c r="AD228"/>
  <c r="AH228"/>
  <c r="AL228"/>
  <c r="Q233"/>
  <c r="U233"/>
  <c r="Y233"/>
  <c r="D177"/>
  <c r="E177" s="1"/>
  <c r="F177" s="1"/>
  <c r="G177" s="1"/>
  <c r="H177" s="1"/>
  <c r="I177" s="1"/>
  <c r="J177" s="1"/>
  <c r="K177" s="1"/>
  <c r="L177" s="1"/>
  <c r="M177" s="1"/>
  <c r="N177" s="1"/>
  <c r="F188"/>
  <c r="J188"/>
  <c r="N188"/>
  <c r="R188"/>
  <c r="V188"/>
  <c r="Z188"/>
  <c r="AD188"/>
  <c r="AH188"/>
  <c r="AL188"/>
  <c r="D198"/>
  <c r="E198" s="1"/>
  <c r="F198" s="1"/>
  <c r="G198" s="1"/>
  <c r="H198" s="1"/>
  <c r="I198" s="1"/>
  <c r="J198" s="1"/>
  <c r="K198" s="1"/>
  <c r="L198" s="1"/>
  <c r="M198" s="1"/>
  <c r="N198" s="1"/>
  <c r="U202"/>
  <c r="Y202"/>
  <c r="AC202"/>
  <c r="AG202"/>
  <c r="AK202"/>
  <c r="AO199"/>
  <c r="Q212"/>
  <c r="U212"/>
  <c r="Y212"/>
  <c r="I214"/>
  <c r="O215"/>
  <c r="AB215"/>
  <c r="AO215"/>
  <c r="O220"/>
  <c r="AC223"/>
  <c r="AG223"/>
  <c r="AK223"/>
  <c r="AO220"/>
  <c r="P228"/>
  <c r="T228"/>
  <c r="X228"/>
  <c r="AG233"/>
  <c r="AK233"/>
  <c r="F218"/>
  <c r="F214"/>
  <c r="J218"/>
  <c r="J214"/>
  <c r="N218"/>
  <c r="N214"/>
  <c r="AO173"/>
  <c r="AB178"/>
  <c r="O183"/>
  <c r="AO194"/>
  <c r="AB199"/>
  <c r="O203"/>
  <c r="R207"/>
  <c r="V207"/>
  <c r="Z207"/>
  <c r="AD207"/>
  <c r="AH207"/>
  <c r="AL207"/>
  <c r="AC212"/>
  <c r="AG212"/>
  <c r="AK212"/>
  <c r="AO209"/>
  <c r="S223"/>
  <c r="W223"/>
  <c r="AA223"/>
  <c r="AF228"/>
  <c r="AJ228"/>
  <c r="AN228"/>
  <c r="S233"/>
  <c r="W233"/>
  <c r="AA233"/>
  <c r="V238"/>
  <c r="Z238"/>
  <c r="R218"/>
  <c r="R214"/>
  <c r="V218"/>
  <c r="V214"/>
  <c r="Z218"/>
  <c r="Z214"/>
  <c r="G245"/>
  <c r="H245" s="1"/>
  <c r="I245" s="1"/>
  <c r="J245" s="1"/>
  <c r="K245" s="1"/>
  <c r="L245" s="1"/>
  <c r="M245" s="1"/>
  <c r="N245" s="1"/>
  <c r="W202"/>
  <c r="AA202"/>
  <c r="AE202"/>
  <c r="AI202"/>
  <c r="AM202"/>
  <c r="O208"/>
  <c r="O209"/>
  <c r="S212"/>
  <c r="W212"/>
  <c r="AA212"/>
  <c r="AE223"/>
  <c r="AI223"/>
  <c r="AM223"/>
  <c r="R228"/>
  <c r="V228"/>
  <c r="Z228"/>
  <c r="AE233"/>
  <c r="AI233"/>
  <c r="AM233"/>
  <c r="AD238"/>
  <c r="AH238"/>
  <c r="AL238"/>
  <c r="O260"/>
  <c r="D218"/>
  <c r="H218"/>
  <c r="L218"/>
  <c r="P218"/>
  <c r="T218"/>
  <c r="X218"/>
  <c r="AF218"/>
  <c r="AJ218"/>
  <c r="AN218"/>
  <c r="C223"/>
  <c r="O223" s="1"/>
  <c r="D224"/>
  <c r="E224" s="1"/>
  <c r="F224" s="1"/>
  <c r="G224" s="1"/>
  <c r="H224" s="1"/>
  <c r="I224" s="1"/>
  <c r="J224" s="1"/>
  <c r="K224" s="1"/>
  <c r="L224" s="1"/>
  <c r="M224" s="1"/>
  <c r="N224" s="1"/>
  <c r="AO225"/>
  <c r="O229"/>
  <c r="AB230"/>
  <c r="AC233"/>
  <c r="O235"/>
  <c r="E239"/>
  <c r="F239" s="1"/>
  <c r="G239" s="1"/>
  <c r="H239" s="1"/>
  <c r="I239" s="1"/>
  <c r="J239" s="1"/>
  <c r="K239" s="1"/>
  <c r="L239" s="1"/>
  <c r="M239" s="1"/>
  <c r="N239" s="1"/>
  <c r="F255"/>
  <c r="G255" s="1"/>
  <c r="H255" s="1"/>
  <c r="I255" s="1"/>
  <c r="J255" s="1"/>
  <c r="K255" s="1"/>
  <c r="L255" s="1"/>
  <c r="M255" s="1"/>
  <c r="N255" s="1"/>
  <c r="AB225"/>
  <c r="O230"/>
  <c r="D213"/>
  <c r="E213" s="1"/>
  <c r="F213" s="1"/>
  <c r="G213" s="1"/>
  <c r="H213" s="1"/>
  <c r="I213" s="1"/>
  <c r="J213" s="1"/>
  <c r="K213" s="1"/>
  <c r="L213" s="1"/>
  <c r="M213" s="1"/>
  <c r="N213" s="1"/>
  <c r="P214"/>
  <c r="O225"/>
  <c r="AO235"/>
  <c r="R238"/>
  <c r="P102" i="12" l="1"/>
  <c r="K6"/>
  <c r="E11" i="2"/>
  <c r="O218" i="14"/>
  <c r="O40" i="2"/>
  <c r="N8"/>
  <c r="F8"/>
  <c r="H102" i="12"/>
  <c r="S6"/>
  <c r="E12" i="2"/>
  <c r="E10"/>
  <c r="F11"/>
  <c r="AG44" i="13"/>
  <c r="AM44"/>
  <c r="L12" i="2"/>
  <c r="I11"/>
  <c r="H12"/>
  <c r="H10"/>
  <c r="I12"/>
  <c r="AF44" i="13"/>
  <c r="H11" i="2"/>
  <c r="H9" s="1"/>
  <c r="N12"/>
  <c r="N11"/>
  <c r="F12"/>
  <c r="J11"/>
  <c r="D8"/>
  <c r="J10"/>
  <c r="T107" i="12"/>
  <c r="T100"/>
  <c r="T92"/>
  <c r="AB218" i="14"/>
  <c r="AB228"/>
  <c r="AB233"/>
  <c r="AB238"/>
  <c r="AB223"/>
  <c r="AB202"/>
  <c r="AB192"/>
  <c r="AB207"/>
  <c r="AB212"/>
  <c r="N40" i="2"/>
  <c r="O20" i="14"/>
  <c r="AB88"/>
  <c r="AF134"/>
  <c r="AN129"/>
  <c r="AI119"/>
  <c r="AG129"/>
  <c r="AL124"/>
  <c r="AI56"/>
  <c r="AF51"/>
  <c r="AB51"/>
  <c r="AL134"/>
  <c r="T122" i="12"/>
  <c r="AE134" i="14"/>
  <c r="AM129"/>
  <c r="AN124"/>
  <c r="AH119"/>
  <c r="R46" i="13"/>
  <c r="T7" i="2" s="1"/>
  <c r="T11" s="1"/>
  <c r="AB44" i="13"/>
  <c r="AI44"/>
  <c r="AL44"/>
  <c r="W46"/>
  <c r="Y7" i="2" s="1"/>
  <c r="Y8" s="1"/>
  <c r="AH41" i="14"/>
  <c r="U46" i="13"/>
  <c r="W7" i="2" s="1"/>
  <c r="W8" s="1"/>
  <c r="AI51" i="14"/>
  <c r="Q46" i="13"/>
  <c r="S7" i="2" s="1"/>
  <c r="S8" s="1"/>
  <c r="AM41" i="14"/>
  <c r="AE41"/>
  <c r="AH70" i="12"/>
  <c r="AO70"/>
  <c r="AM63"/>
  <c r="AH61"/>
  <c r="Z45"/>
  <c r="AK63"/>
  <c r="AO61"/>
  <c r="AD56" i="14"/>
  <c r="AA45" i="12"/>
  <c r="AA32"/>
  <c r="AL70"/>
  <c r="AJ61"/>
  <c r="AB45"/>
  <c r="AB32"/>
  <c r="AN36" i="14"/>
  <c r="AF36"/>
  <c r="G21" i="12"/>
  <c r="V21"/>
  <c r="AB214" i="14"/>
  <c r="AB176"/>
  <c r="AC124"/>
  <c r="AJ134"/>
  <c r="AG124"/>
  <c r="AM119"/>
  <c r="AE114"/>
  <c r="AK129"/>
  <c r="AF114"/>
  <c r="AM56"/>
  <c r="AJ51"/>
  <c r="AC119"/>
  <c r="AI134"/>
  <c r="AL119"/>
  <c r="AD114"/>
  <c r="T108" i="12"/>
  <c r="T97"/>
  <c r="T88"/>
  <c r="T80"/>
  <c r="AE44" i="13"/>
  <c r="AH44"/>
  <c r="AC46" i="14"/>
  <c r="AL41"/>
  <c r="AM51"/>
  <c r="AE36"/>
  <c r="T109" i="12"/>
  <c r="T94"/>
  <c r="T81"/>
  <c r="T74"/>
  <c r="AH46" i="14"/>
  <c r="AM70" i="12"/>
  <c r="AL63"/>
  <c r="AG60"/>
  <c r="AG58"/>
  <c r="AG56"/>
  <c r="U45"/>
  <c r="U32"/>
  <c r="AG32" s="1"/>
  <c r="AK70"/>
  <c r="AR63"/>
  <c r="AM61"/>
  <c r="AD45"/>
  <c r="V32"/>
  <c r="AK61"/>
  <c r="AH56" i="14"/>
  <c r="AJ70" i="12"/>
  <c r="T59"/>
  <c r="AE45"/>
  <c r="AE32"/>
  <c r="T31"/>
  <c r="AQ70"/>
  <c r="AJ63"/>
  <c r="AP61"/>
  <c r="AF45"/>
  <c r="AF32"/>
  <c r="AB12" i="10"/>
  <c r="AD19" i="12"/>
  <c r="AC44" i="13"/>
  <c r="O250" i="14"/>
  <c r="AO188"/>
  <c r="AO162"/>
  <c r="AB171"/>
  <c r="W266"/>
  <c r="X13" i="2" s="1"/>
  <c r="X14" s="1"/>
  <c r="AN134" i="14"/>
  <c r="AF129"/>
  <c r="AK124"/>
  <c r="AI114"/>
  <c r="AD124"/>
  <c r="AJ114"/>
  <c r="AN51"/>
  <c r="AD134"/>
  <c r="AG119"/>
  <c r="T120" i="12"/>
  <c r="AM134" i="14"/>
  <c r="AE129"/>
  <c r="AF124"/>
  <c r="AJ44" i="13"/>
  <c r="AD44"/>
  <c r="AG46" i="14"/>
  <c r="AI36"/>
  <c r="T111" i="12"/>
  <c r="T103"/>
  <c r="T96"/>
  <c r="AI41" i="14"/>
  <c r="AQ63" i="12"/>
  <c r="AL61"/>
  <c r="Y45"/>
  <c r="Y32"/>
  <c r="AR61"/>
  <c r="Z32"/>
  <c r="AS63"/>
  <c r="AL56" i="14"/>
  <c r="AI63" i="12"/>
  <c r="AP63"/>
  <c r="AQ39" i="2"/>
  <c r="T83" i="12"/>
  <c r="T28"/>
  <c r="T87"/>
  <c r="T67"/>
  <c r="T71"/>
  <c r="T69"/>
  <c r="T73"/>
  <c r="T72"/>
  <c r="T76"/>
  <c r="T70"/>
  <c r="AB110" i="14"/>
  <c r="T62" i="12"/>
  <c r="T63"/>
  <c r="AB166" i="14"/>
  <c r="AB181"/>
  <c r="AB186"/>
  <c r="AB155"/>
  <c r="AB140"/>
  <c r="AB145"/>
  <c r="AB160"/>
  <c r="AB124"/>
  <c r="AB134"/>
  <c r="AB114"/>
  <c r="AB119"/>
  <c r="G40" i="2"/>
  <c r="P7"/>
  <c r="D12"/>
  <c r="D11"/>
  <c r="T24" i="12"/>
  <c r="Y10"/>
  <c r="Z10"/>
  <c r="I20" i="2"/>
  <c r="L20"/>
  <c r="AB93" i="14"/>
  <c r="AB108"/>
  <c r="Y19" i="12"/>
  <c r="U19"/>
  <c r="AG49"/>
  <c r="AG51"/>
  <c r="AG47"/>
  <c r="T48"/>
  <c r="T52"/>
  <c r="T44"/>
  <c r="AB103" i="14"/>
  <c r="AB98"/>
  <c r="AN11" i="11"/>
  <c r="AD31" i="2"/>
  <c r="AP31" s="1"/>
  <c r="AQ31" s="1"/>
  <c r="AF20" i="11"/>
  <c r="AH25" i="2"/>
  <c r="O162" i="14"/>
  <c r="O84"/>
  <c r="R266"/>
  <c r="S13" i="2" s="1"/>
  <c r="S16" s="1"/>
  <c r="O67" i="14"/>
  <c r="M66" i="12"/>
  <c r="H114"/>
  <c r="S102"/>
  <c r="K78"/>
  <c r="AL266" i="14"/>
  <c r="AM13" i="2" s="1"/>
  <c r="AM14" s="1"/>
  <c r="AD266" i="14"/>
  <c r="AE13" i="2" s="1"/>
  <c r="AE18" s="1"/>
  <c r="O54" i="12"/>
  <c r="T64"/>
  <c r="R42"/>
  <c r="AA20" i="11"/>
  <c r="AP70" i="12"/>
  <c r="AI70"/>
  <c r="AN70"/>
  <c r="AN13" i="11"/>
  <c r="AD33" i="2"/>
  <c r="AP33" s="1"/>
  <c r="AQ33" s="1"/>
  <c r="AJ20" i="11"/>
  <c r="AL25" i="2"/>
  <c r="O245" i="14"/>
  <c r="O265"/>
  <c r="V266"/>
  <c r="W13" i="2" s="1"/>
  <c r="W16" s="1"/>
  <c r="O135" i="14"/>
  <c r="G266"/>
  <c r="H13" i="2" s="1"/>
  <c r="H17" s="1"/>
  <c r="T110" i="12"/>
  <c r="T95"/>
  <c r="T86"/>
  <c r="T75"/>
  <c r="N266" i="14"/>
  <c r="O13" i="2" s="1"/>
  <c r="O18" s="1"/>
  <c r="F266" i="14"/>
  <c r="G13" i="2" s="1"/>
  <c r="G17" s="1"/>
  <c r="Z46" i="13"/>
  <c r="AB7" i="2" s="1"/>
  <c r="AB10" s="1"/>
  <c r="J102" i="12"/>
  <c r="J78"/>
  <c r="T105"/>
  <c r="T98"/>
  <c r="T85"/>
  <c r="O78"/>
  <c r="AI266" i="14"/>
  <c r="AJ13" i="2" s="1"/>
  <c r="AJ14" s="1"/>
  <c r="T57" i="12"/>
  <c r="S54"/>
  <c r="T50"/>
  <c r="H54"/>
  <c r="H30"/>
  <c r="J18"/>
  <c r="AN15" i="11"/>
  <c r="AD35" i="2"/>
  <c r="AP35" s="1"/>
  <c r="AQ35" s="1"/>
  <c r="AN7" i="11"/>
  <c r="AD27" i="2"/>
  <c r="AP27" s="1"/>
  <c r="AQ27" s="1"/>
  <c r="O239" i="14"/>
  <c r="O214"/>
  <c r="AO84"/>
  <c r="Z266"/>
  <c r="AA13" i="2" s="1"/>
  <c r="AA14" s="1"/>
  <c r="AB82" i="14"/>
  <c r="O46"/>
  <c r="T119" i="12"/>
  <c r="N102"/>
  <c r="N78"/>
  <c r="P114"/>
  <c r="V46" i="13"/>
  <c r="X7" i="2" s="1"/>
  <c r="X8" s="1"/>
  <c r="K102" i="12"/>
  <c r="S78"/>
  <c r="I66"/>
  <c r="T61"/>
  <c r="AH266" i="14"/>
  <c r="AI13" i="2" s="1"/>
  <c r="AI18" s="1"/>
  <c r="L54" i="12"/>
  <c r="J42"/>
  <c r="N18"/>
  <c r="W31" i="9"/>
  <c r="Y6" i="2" s="1"/>
  <c r="Y20" s="1"/>
  <c r="AL72" i="12"/>
  <c r="AQ72"/>
  <c r="AI72"/>
  <c r="AP68"/>
  <c r="AT68" s="1"/>
  <c r="AN68"/>
  <c r="AI68"/>
  <c r="AN17" i="11"/>
  <c r="AD37" i="2"/>
  <c r="AP37" s="1"/>
  <c r="AQ37" s="1"/>
  <c r="AN9" i="11"/>
  <c r="AD29" i="2"/>
  <c r="AP29" s="1"/>
  <c r="AQ29" s="1"/>
  <c r="AB188" i="14"/>
  <c r="AO136"/>
  <c r="O110"/>
  <c r="AB84"/>
  <c r="K266"/>
  <c r="L13" i="2" s="1"/>
  <c r="L18" s="1"/>
  <c r="R102" i="12"/>
  <c r="R78"/>
  <c r="L114"/>
  <c r="Y46" i="13"/>
  <c r="AA7" i="2" s="1"/>
  <c r="AA11" s="1"/>
  <c r="O102" i="12"/>
  <c r="AE266" i="14"/>
  <c r="AF13" i="2" s="1"/>
  <c r="AF14" s="1"/>
  <c r="AG25" i="12"/>
  <c r="K54"/>
  <c r="T46"/>
  <c r="P54"/>
  <c r="N42"/>
  <c r="F9" i="2"/>
  <c r="AO58" i="14"/>
  <c r="AG40" i="12"/>
  <c r="AG38"/>
  <c r="AG36"/>
  <c r="AG34"/>
  <c r="S30"/>
  <c r="P30"/>
  <c r="O30"/>
  <c r="Q6"/>
  <c r="Q126" s="1"/>
  <c r="M24" i="2" s="1"/>
  <c r="M23" s="1"/>
  <c r="P6" i="12"/>
  <c r="J40" i="2"/>
  <c r="T15" i="12"/>
  <c r="K40" i="2"/>
  <c r="O6" i="12"/>
  <c r="T10"/>
  <c r="L6"/>
  <c r="O6" i="14"/>
  <c r="T13" i="12"/>
  <c r="F20" i="2"/>
  <c r="AO32" i="14"/>
  <c r="AG27" i="12"/>
  <c r="AG23"/>
  <c r="S266" i="14"/>
  <c r="T13" i="2" s="1"/>
  <c r="T18" s="1"/>
  <c r="R18" i="12"/>
  <c r="J266" i="14"/>
  <c r="K13" i="2" s="1"/>
  <c r="K17" s="1"/>
  <c r="M20"/>
  <c r="T26" i="12"/>
  <c r="T22"/>
  <c r="H40" i="2"/>
  <c r="T20" i="12"/>
  <c r="E40" i="2"/>
  <c r="T37" i="12"/>
  <c r="T39"/>
  <c r="T33"/>
  <c r="K30"/>
  <c r="L30"/>
  <c r="AB67" i="14"/>
  <c r="AB77"/>
  <c r="O72"/>
  <c r="AB72"/>
  <c r="AB62"/>
  <c r="O41"/>
  <c r="AB36"/>
  <c r="AB41"/>
  <c r="AB56"/>
  <c r="AB46"/>
  <c r="O15"/>
  <c r="AN18" i="2"/>
  <c r="AN17"/>
  <c r="AN16"/>
  <c r="AN14"/>
  <c r="AB18"/>
  <c r="AB17"/>
  <c r="AB16"/>
  <c r="AB14"/>
  <c r="O46" i="13"/>
  <c r="AA36"/>
  <c r="AL45"/>
  <c r="AH45"/>
  <c r="AD45"/>
  <c r="AM45"/>
  <c r="AI45"/>
  <c r="AE45"/>
  <c r="AJ45"/>
  <c r="AF45"/>
  <c r="AB45"/>
  <c r="AC45"/>
  <c r="AG45"/>
  <c r="AK45"/>
  <c r="I114" i="12"/>
  <c r="T115"/>
  <c r="I90"/>
  <c r="T91"/>
  <c r="AL38" i="13"/>
  <c r="AH38"/>
  <c r="AD38"/>
  <c r="AM38"/>
  <c r="AI38"/>
  <c r="AE38"/>
  <c r="AJ38"/>
  <c r="AF38"/>
  <c r="AB38"/>
  <c r="AC38"/>
  <c r="AG38"/>
  <c r="AK38"/>
  <c r="AE119" i="12"/>
  <c r="AA119"/>
  <c r="W119"/>
  <c r="G119"/>
  <c r="AF119"/>
  <c r="AB119"/>
  <c r="X119"/>
  <c r="AC119"/>
  <c r="U119"/>
  <c r="AD119"/>
  <c r="V119"/>
  <c r="Y119"/>
  <c r="Z119"/>
  <c r="AQ111"/>
  <c r="AM111"/>
  <c r="AI111"/>
  <c r="AR111"/>
  <c r="AN111"/>
  <c r="AJ111"/>
  <c r="AS111"/>
  <c r="AO111"/>
  <c r="AK111"/>
  <c r="AH111"/>
  <c r="AL111"/>
  <c r="AP111"/>
  <c r="AG103"/>
  <c r="AQ98"/>
  <c r="AM98"/>
  <c r="AI98"/>
  <c r="AR98"/>
  <c r="AN98"/>
  <c r="AJ98"/>
  <c r="AS98"/>
  <c r="AO98"/>
  <c r="AK98"/>
  <c r="AH98"/>
  <c r="AL98"/>
  <c r="AP98"/>
  <c r="AQ76"/>
  <c r="AM76"/>
  <c r="AI76"/>
  <c r="AR76"/>
  <c r="AN76"/>
  <c r="AJ76"/>
  <c r="AS76"/>
  <c r="AO76"/>
  <c r="AK76"/>
  <c r="AH76"/>
  <c r="AL76"/>
  <c r="AP76"/>
  <c r="AQ64"/>
  <c r="AM64"/>
  <c r="AI64"/>
  <c r="AR64"/>
  <c r="AL64"/>
  <c r="AS64"/>
  <c r="AN64"/>
  <c r="AH64"/>
  <c r="AO64"/>
  <c r="AJ64"/>
  <c r="AP64"/>
  <c r="AK64"/>
  <c r="AS58"/>
  <c r="AO58"/>
  <c r="AK58"/>
  <c r="AP58"/>
  <c r="AL58"/>
  <c r="AH58"/>
  <c r="AQ58"/>
  <c r="AM58"/>
  <c r="AI58"/>
  <c r="AR58"/>
  <c r="AN58"/>
  <c r="AJ58"/>
  <c r="AS51"/>
  <c r="AO51"/>
  <c r="AK51"/>
  <c r="AP51"/>
  <c r="AL51"/>
  <c r="AH51"/>
  <c r="AQ51"/>
  <c r="AM51"/>
  <c r="AI51"/>
  <c r="AR51"/>
  <c r="AN51"/>
  <c r="AJ51"/>
  <c r="AS43"/>
  <c r="AO43"/>
  <c r="AK43"/>
  <c r="AP43"/>
  <c r="AL43"/>
  <c r="AH43"/>
  <c r="AQ43"/>
  <c r="AM43"/>
  <c r="AI43"/>
  <c r="AR43"/>
  <c r="AN43"/>
  <c r="AJ43"/>
  <c r="AS38"/>
  <c r="AO38"/>
  <c r="AK38"/>
  <c r="AP38"/>
  <c r="AL38"/>
  <c r="AH38"/>
  <c r="AQ38"/>
  <c r="AM38"/>
  <c r="AI38"/>
  <c r="AR38"/>
  <c r="AN38"/>
  <c r="AJ38"/>
  <c r="AS23"/>
  <c r="AO23"/>
  <c r="AK23"/>
  <c r="AP23"/>
  <c r="AL23"/>
  <c r="AH23"/>
  <c r="AQ23"/>
  <c r="AM23"/>
  <c r="AI23"/>
  <c r="AR23"/>
  <c r="AN23"/>
  <c r="AJ23"/>
  <c r="AQ107"/>
  <c r="AM107"/>
  <c r="AI107"/>
  <c r="AR107"/>
  <c r="AN107"/>
  <c r="AJ107"/>
  <c r="AS107"/>
  <c r="AO107"/>
  <c r="AK107"/>
  <c r="AL107"/>
  <c r="AP107"/>
  <c r="AH107"/>
  <c r="AQ85"/>
  <c r="AM85"/>
  <c r="AI85"/>
  <c r="AR85"/>
  <c r="AN85"/>
  <c r="AJ85"/>
  <c r="AS85"/>
  <c r="AO85"/>
  <c r="AK85"/>
  <c r="AL85"/>
  <c r="AP85"/>
  <c r="AH85"/>
  <c r="AE50"/>
  <c r="AA50"/>
  <c r="W50"/>
  <c r="G50"/>
  <c r="AF50"/>
  <c r="AB50"/>
  <c r="X50"/>
  <c r="AC50"/>
  <c r="Y50"/>
  <c r="U50"/>
  <c r="AD50"/>
  <c r="Z50"/>
  <c r="V50"/>
  <c r="AE46"/>
  <c r="AA46"/>
  <c r="W46"/>
  <c r="G46"/>
  <c r="AF46"/>
  <c r="AB46"/>
  <c r="X46"/>
  <c r="AC46"/>
  <c r="Y46"/>
  <c r="U46"/>
  <c r="AD46"/>
  <c r="Z46"/>
  <c r="V46"/>
  <c r="H42"/>
  <c r="T43"/>
  <c r="AE37"/>
  <c r="AA37"/>
  <c r="W37"/>
  <c r="G37"/>
  <c r="AF37"/>
  <c r="AB37"/>
  <c r="X37"/>
  <c r="AC37"/>
  <c r="Y37"/>
  <c r="U37"/>
  <c r="AD37"/>
  <c r="Z37"/>
  <c r="V37"/>
  <c r="AE33"/>
  <c r="AA33"/>
  <c r="W33"/>
  <c r="G33"/>
  <c r="AF33"/>
  <c r="AB33"/>
  <c r="X33"/>
  <c r="AC33"/>
  <c r="Y33"/>
  <c r="U33"/>
  <c r="AD33"/>
  <c r="Z33"/>
  <c r="V33"/>
  <c r="AE20"/>
  <c r="AA20"/>
  <c r="W20"/>
  <c r="G20"/>
  <c r="AC20"/>
  <c r="Y20"/>
  <c r="U20"/>
  <c r="AD20"/>
  <c r="Z20"/>
  <c r="V20"/>
  <c r="X20"/>
  <c r="AB20"/>
  <c r="AF20"/>
  <c r="AQ14"/>
  <c r="AM14"/>
  <c r="AI14"/>
  <c r="AR14"/>
  <c r="AN14"/>
  <c r="AJ14"/>
  <c r="AL14"/>
  <c r="AO14"/>
  <c r="AP14"/>
  <c r="AH14"/>
  <c r="AS14"/>
  <c r="AK14"/>
  <c r="Q219" i="14"/>
  <c r="R219" s="1"/>
  <c r="S219" s="1"/>
  <c r="T219" s="1"/>
  <c r="U219" s="1"/>
  <c r="V219" s="1"/>
  <c r="W219" s="1"/>
  <c r="X219" s="1"/>
  <c r="Y219" s="1"/>
  <c r="Z219" s="1"/>
  <c r="AA219" s="1"/>
  <c r="Q234"/>
  <c r="R234" s="1"/>
  <c r="S234" s="1"/>
  <c r="T234" s="1"/>
  <c r="U234" s="1"/>
  <c r="V234" s="1"/>
  <c r="W234" s="1"/>
  <c r="X234" s="1"/>
  <c r="Y234" s="1"/>
  <c r="Z234" s="1"/>
  <c r="AA234" s="1"/>
  <c r="Q167"/>
  <c r="R167" s="1"/>
  <c r="S167" s="1"/>
  <c r="T167" s="1"/>
  <c r="U167" s="1"/>
  <c r="V167" s="1"/>
  <c r="W167" s="1"/>
  <c r="X167" s="1"/>
  <c r="Y167" s="1"/>
  <c r="Z167" s="1"/>
  <c r="AA167" s="1"/>
  <c r="Q182"/>
  <c r="R182" s="1"/>
  <c r="S182" s="1"/>
  <c r="T182" s="1"/>
  <c r="U182" s="1"/>
  <c r="V182" s="1"/>
  <c r="W182" s="1"/>
  <c r="X182" s="1"/>
  <c r="Y182" s="1"/>
  <c r="Z182" s="1"/>
  <c r="AA182" s="1"/>
  <c r="Q120"/>
  <c r="R120" s="1"/>
  <c r="S120" s="1"/>
  <c r="T120" s="1"/>
  <c r="U120" s="1"/>
  <c r="V120" s="1"/>
  <c r="W120" s="1"/>
  <c r="X120" s="1"/>
  <c r="Y120" s="1"/>
  <c r="Z120" s="1"/>
  <c r="AA120" s="1"/>
  <c r="Q73"/>
  <c r="R73" s="1"/>
  <c r="S73" s="1"/>
  <c r="T73" s="1"/>
  <c r="U73" s="1"/>
  <c r="V73" s="1"/>
  <c r="W73" s="1"/>
  <c r="X73" s="1"/>
  <c r="Y73" s="1"/>
  <c r="Z73" s="1"/>
  <c r="AA73" s="1"/>
  <c r="Q83"/>
  <c r="R83" s="1"/>
  <c r="S83" s="1"/>
  <c r="T83" s="1"/>
  <c r="U83" s="1"/>
  <c r="V83" s="1"/>
  <c r="W83" s="1"/>
  <c r="X83" s="1"/>
  <c r="Y83" s="1"/>
  <c r="Z83" s="1"/>
  <c r="AA83" s="1"/>
  <c r="Q26"/>
  <c r="R26" s="1"/>
  <c r="S26" s="1"/>
  <c r="T26" s="1"/>
  <c r="U26" s="1"/>
  <c r="V26" s="1"/>
  <c r="W26" s="1"/>
  <c r="X26" s="1"/>
  <c r="Y26" s="1"/>
  <c r="Z26" s="1"/>
  <c r="AA26" s="1"/>
  <c r="Q16"/>
  <c r="R16" s="1"/>
  <c r="S16" s="1"/>
  <c r="T16" s="1"/>
  <c r="U16" s="1"/>
  <c r="V16" s="1"/>
  <c r="W16" s="1"/>
  <c r="X16" s="1"/>
  <c r="Y16" s="1"/>
  <c r="Z16" s="1"/>
  <c r="AA16" s="1"/>
  <c r="AK20" i="11"/>
  <c r="AM25" i="2"/>
  <c r="AC182" i="14"/>
  <c r="AC187"/>
  <c r="AN186"/>
  <c r="AJ186"/>
  <c r="AF186"/>
  <c r="AK181"/>
  <c r="AG181"/>
  <c r="AC181"/>
  <c r="AO181" s="1"/>
  <c r="AL176"/>
  <c r="AH176"/>
  <c r="AD176"/>
  <c r="AM171"/>
  <c r="AI171"/>
  <c r="AE171"/>
  <c r="AO171" s="1"/>
  <c r="AC172"/>
  <c r="AC177"/>
  <c r="AI166"/>
  <c r="AC167"/>
  <c r="AJ166"/>
  <c r="AN166"/>
  <c r="AF166"/>
  <c r="AH89" i="12"/>
  <c r="AT89" s="1"/>
  <c r="AL27" i="9"/>
  <c r="AH27"/>
  <c r="AD27"/>
  <c r="AM27"/>
  <c r="AI27"/>
  <c r="AE27"/>
  <c r="AJ27"/>
  <c r="AF27"/>
  <c r="AB27"/>
  <c r="AK27"/>
  <c r="AG27"/>
  <c r="AC27"/>
  <c r="A17" i="7"/>
  <c r="B16"/>
  <c r="F51" i="2" s="1"/>
  <c r="F47" s="1"/>
  <c r="C16" i="7"/>
  <c r="F52" i="2" s="1"/>
  <c r="AS19" i="12"/>
  <c r="AO19"/>
  <c r="AK19"/>
  <c r="AQ19"/>
  <c r="AM19"/>
  <c r="AI19"/>
  <c r="AR19"/>
  <c r="AN19"/>
  <c r="AJ19"/>
  <c r="AH19"/>
  <c r="AL19"/>
  <c r="AP19"/>
  <c r="Q255" i="14"/>
  <c r="R255" s="1"/>
  <c r="S255" s="1"/>
  <c r="T255" s="1"/>
  <c r="U255" s="1"/>
  <c r="V255" s="1"/>
  <c r="W255" s="1"/>
  <c r="X255" s="1"/>
  <c r="Y255" s="1"/>
  <c r="Z255" s="1"/>
  <c r="AA255" s="1"/>
  <c r="Q198"/>
  <c r="R198" s="1"/>
  <c r="S198" s="1"/>
  <c r="T198" s="1"/>
  <c r="U198" s="1"/>
  <c r="V198" s="1"/>
  <c r="W198" s="1"/>
  <c r="X198" s="1"/>
  <c r="Y198" s="1"/>
  <c r="Z198" s="1"/>
  <c r="AA198" s="1"/>
  <c r="Q213"/>
  <c r="R213" s="1"/>
  <c r="S213" s="1"/>
  <c r="T213" s="1"/>
  <c r="U213" s="1"/>
  <c r="V213" s="1"/>
  <c r="W213" s="1"/>
  <c r="X213" s="1"/>
  <c r="Y213" s="1"/>
  <c r="Z213" s="1"/>
  <c r="AA213" s="1"/>
  <c r="Q151"/>
  <c r="R151" s="1"/>
  <c r="S151" s="1"/>
  <c r="T151" s="1"/>
  <c r="U151" s="1"/>
  <c r="V151" s="1"/>
  <c r="W151" s="1"/>
  <c r="X151" s="1"/>
  <c r="Y151" s="1"/>
  <c r="Z151" s="1"/>
  <c r="AA151" s="1"/>
  <c r="Q161"/>
  <c r="R161" s="1"/>
  <c r="S161" s="1"/>
  <c r="T161" s="1"/>
  <c r="U161" s="1"/>
  <c r="V161" s="1"/>
  <c r="W161" s="1"/>
  <c r="X161" s="1"/>
  <c r="Y161" s="1"/>
  <c r="Z161" s="1"/>
  <c r="AA161" s="1"/>
  <c r="Q89"/>
  <c r="R89" s="1"/>
  <c r="S89" s="1"/>
  <c r="T89" s="1"/>
  <c r="U89" s="1"/>
  <c r="V89" s="1"/>
  <c r="W89" s="1"/>
  <c r="X89" s="1"/>
  <c r="Y89" s="1"/>
  <c r="Z89" s="1"/>
  <c r="AA89" s="1"/>
  <c r="Q42"/>
  <c r="R42" s="1"/>
  <c r="S42" s="1"/>
  <c r="T42" s="1"/>
  <c r="U42" s="1"/>
  <c r="V42" s="1"/>
  <c r="W42" s="1"/>
  <c r="X42" s="1"/>
  <c r="Y42" s="1"/>
  <c r="Z42" s="1"/>
  <c r="AA42" s="1"/>
  <c r="AD34" i="2"/>
  <c r="AP34" s="1"/>
  <c r="AQ34" s="1"/>
  <c r="AN14" i="11"/>
  <c r="AI20"/>
  <c r="AK25" i="2"/>
  <c r="AC265" i="14"/>
  <c r="AN264"/>
  <c r="AJ264"/>
  <c r="AF264"/>
  <c r="AK259"/>
  <c r="AG259"/>
  <c r="AC259"/>
  <c r="AO259" s="1"/>
  <c r="AL254"/>
  <c r="AH254"/>
  <c r="AD254"/>
  <c r="AM249"/>
  <c r="AI249"/>
  <c r="AE249"/>
  <c r="AC245"/>
  <c r="AN244"/>
  <c r="AJ244"/>
  <c r="AF244"/>
  <c r="AK264"/>
  <c r="AG264"/>
  <c r="AC264"/>
  <c r="AO264" s="1"/>
  <c r="AL259"/>
  <c r="AH259"/>
  <c r="AD259"/>
  <c r="AM254"/>
  <c r="AI254"/>
  <c r="AE254"/>
  <c r="AC250"/>
  <c r="AN249"/>
  <c r="AJ249"/>
  <c r="AF249"/>
  <c r="AK244"/>
  <c r="AG244"/>
  <c r="AC244"/>
  <c r="AO244" s="1"/>
  <c r="AL264"/>
  <c r="AH264"/>
  <c r="AD264"/>
  <c r="AM259"/>
  <c r="AI259"/>
  <c r="AE259"/>
  <c r="AC255"/>
  <c r="AN254"/>
  <c r="AJ254"/>
  <c r="AF254"/>
  <c r="AK249"/>
  <c r="AG249"/>
  <c r="AC249"/>
  <c r="AO249" s="1"/>
  <c r="AL244"/>
  <c r="AH244"/>
  <c r="AD244"/>
  <c r="AM264"/>
  <c r="AI264"/>
  <c r="AE264"/>
  <c r="AC260"/>
  <c r="AN259"/>
  <c r="AJ259"/>
  <c r="AF259"/>
  <c r="AK254"/>
  <c r="AG254"/>
  <c r="AC254"/>
  <c r="AO254" s="1"/>
  <c r="AL249"/>
  <c r="AH249"/>
  <c r="AD249"/>
  <c r="AM244"/>
  <c r="AI244"/>
  <c r="AE244"/>
  <c r="AH113" i="12"/>
  <c r="AT113" s="1"/>
  <c r="AH125"/>
  <c r="AT125" s="1"/>
  <c r="AL30" i="9"/>
  <c r="AH30"/>
  <c r="AD30"/>
  <c r="AM30"/>
  <c r="AI30"/>
  <c r="AE30"/>
  <c r="AJ30"/>
  <c r="AF30"/>
  <c r="AB30"/>
  <c r="AK30"/>
  <c r="AG30"/>
  <c r="AC30"/>
  <c r="AC52" i="14"/>
  <c r="AN56"/>
  <c r="AF56"/>
  <c r="AG51"/>
  <c r="AC47"/>
  <c r="AN46"/>
  <c r="AJ46"/>
  <c r="AF46"/>
  <c r="AK41"/>
  <c r="AG41"/>
  <c r="AC41"/>
  <c r="AL36"/>
  <c r="AH36"/>
  <c r="AD36"/>
  <c r="AG56"/>
  <c r="AH51"/>
  <c r="AJ56"/>
  <c r="AK51"/>
  <c r="AC51"/>
  <c r="AC37"/>
  <c r="AI46"/>
  <c r="AN41"/>
  <c r="AC56"/>
  <c r="AD51"/>
  <c r="AM46"/>
  <c r="AC42"/>
  <c r="AC36"/>
  <c r="AK56"/>
  <c r="AL51"/>
  <c r="AF41"/>
  <c r="AG36"/>
  <c r="AC57"/>
  <c r="AE46"/>
  <c r="AO46" s="1"/>
  <c r="AH29" i="12"/>
  <c r="AT29" s="1"/>
  <c r="AJ41" i="14"/>
  <c r="AK36"/>
  <c r="AL22" i="9"/>
  <c r="AH22"/>
  <c r="AD22"/>
  <c r="AM22"/>
  <c r="AI22"/>
  <c r="AE22"/>
  <c r="AJ22"/>
  <c r="AF22"/>
  <c r="AB22"/>
  <c r="AK22"/>
  <c r="AG22"/>
  <c r="AC22"/>
  <c r="F5" i="2"/>
  <c r="F9" i="1"/>
  <c r="AS21" i="12"/>
  <c r="AO21"/>
  <c r="AK21"/>
  <c r="AP21"/>
  <c r="AL21"/>
  <c r="AH21"/>
  <c r="AQ21"/>
  <c r="AM21"/>
  <c r="AI21"/>
  <c r="AR21"/>
  <c r="AN21"/>
  <c r="AJ21"/>
  <c r="O255" i="14"/>
  <c r="O136"/>
  <c r="AB136"/>
  <c r="O58"/>
  <c r="AB58"/>
  <c r="AA44" i="13"/>
  <c r="AA40"/>
  <c r="T118" i="12"/>
  <c r="T106"/>
  <c r="T99"/>
  <c r="T82"/>
  <c r="I266" i="14"/>
  <c r="J13" i="2" s="1"/>
  <c r="J114" i="12"/>
  <c r="J90"/>
  <c r="AB20" i="14"/>
  <c r="K114" i="12"/>
  <c r="M102"/>
  <c r="S90"/>
  <c r="AA42" i="13"/>
  <c r="T123" i="12"/>
  <c r="O16" i="14"/>
  <c r="AG81" i="12"/>
  <c r="AG63"/>
  <c r="AT63"/>
  <c r="M30"/>
  <c r="S18"/>
  <c r="T11"/>
  <c r="I6"/>
  <c r="U266" i="14"/>
  <c r="V13" i="2" s="1"/>
  <c r="T121" i="12"/>
  <c r="AG94"/>
  <c r="S66"/>
  <c r="L66"/>
  <c r="AG64"/>
  <c r="J54"/>
  <c r="T51"/>
  <c r="T47"/>
  <c r="T38"/>
  <c r="T34"/>
  <c r="N30"/>
  <c r="T21"/>
  <c r="R6"/>
  <c r="O32" i="14"/>
  <c r="AB32"/>
  <c r="AG123" i="12"/>
  <c r="AG70"/>
  <c r="T12"/>
  <c r="AB25" i="14"/>
  <c r="AA30" i="9"/>
  <c r="AA25"/>
  <c r="AA22"/>
  <c r="X31"/>
  <c r="Z6" i="2" s="1"/>
  <c r="T16" i="12"/>
  <c r="AC22" i="2"/>
  <c r="G12"/>
  <c r="G11"/>
  <c r="G10"/>
  <c r="G8"/>
  <c r="AC266" i="14"/>
  <c r="AO6"/>
  <c r="AL42" i="13"/>
  <c r="AH42"/>
  <c r="AD42"/>
  <c r="AM42"/>
  <c r="AI42"/>
  <c r="AE42"/>
  <c r="AJ42"/>
  <c r="AF42"/>
  <c r="AB42"/>
  <c r="AK42"/>
  <c r="AC42"/>
  <c r="AG42"/>
  <c r="AQ62" i="12"/>
  <c r="AM62"/>
  <c r="AI62"/>
  <c r="AR62"/>
  <c r="AL62"/>
  <c r="AS62"/>
  <c r="AN62"/>
  <c r="AH62"/>
  <c r="AO62"/>
  <c r="AJ62"/>
  <c r="AP62"/>
  <c r="AK62"/>
  <c r="AQ100"/>
  <c r="AM100"/>
  <c r="AI100"/>
  <c r="AR100"/>
  <c r="AN100"/>
  <c r="AJ100"/>
  <c r="AS100"/>
  <c r="AO100"/>
  <c r="AK100"/>
  <c r="AP100"/>
  <c r="AH100"/>
  <c r="AL100"/>
  <c r="AQ83"/>
  <c r="AM83"/>
  <c r="AI83"/>
  <c r="AR83"/>
  <c r="AN83"/>
  <c r="AJ83"/>
  <c r="AS83"/>
  <c r="AO83"/>
  <c r="AK83"/>
  <c r="AP83"/>
  <c r="AH83"/>
  <c r="AL83"/>
  <c r="AQ60"/>
  <c r="AM60"/>
  <c r="AI60"/>
  <c r="AR60"/>
  <c r="AL60"/>
  <c r="AS60"/>
  <c r="AN60"/>
  <c r="AH60"/>
  <c r="AO60"/>
  <c r="AJ60"/>
  <c r="AP60"/>
  <c r="AK60"/>
  <c r="AS45"/>
  <c r="AO45"/>
  <c r="AK45"/>
  <c r="AP45"/>
  <c r="AL45"/>
  <c r="AH45"/>
  <c r="AQ45"/>
  <c r="AM45"/>
  <c r="AI45"/>
  <c r="AR45"/>
  <c r="AN45"/>
  <c r="AJ45"/>
  <c r="AS40"/>
  <c r="AO40"/>
  <c r="AK40"/>
  <c r="AP40"/>
  <c r="AL40"/>
  <c r="AH40"/>
  <c r="AQ40"/>
  <c r="AM40"/>
  <c r="AI40"/>
  <c r="AR40"/>
  <c r="AN40"/>
  <c r="AJ40"/>
  <c r="AS32"/>
  <c r="AO32"/>
  <c r="AK32"/>
  <c r="AP32"/>
  <c r="AL32"/>
  <c r="AH32"/>
  <c r="AQ32"/>
  <c r="AM32"/>
  <c r="AI32"/>
  <c r="AR32"/>
  <c r="AN32"/>
  <c r="AJ32"/>
  <c r="AS25"/>
  <c r="AO25"/>
  <c r="AK25"/>
  <c r="AP25"/>
  <c r="AL25"/>
  <c r="AH25"/>
  <c r="AQ25"/>
  <c r="AM25"/>
  <c r="AI25"/>
  <c r="AR25"/>
  <c r="AN25"/>
  <c r="AJ25"/>
  <c r="AE71"/>
  <c r="AA71"/>
  <c r="W71"/>
  <c r="G71"/>
  <c r="AC71"/>
  <c r="X71"/>
  <c r="AD71"/>
  <c r="Y71"/>
  <c r="AF71"/>
  <c r="Z71"/>
  <c r="U71"/>
  <c r="AB71"/>
  <c r="V71"/>
  <c r="AE57"/>
  <c r="AA57"/>
  <c r="W57"/>
  <c r="G57"/>
  <c r="AF57"/>
  <c r="AB57"/>
  <c r="X57"/>
  <c r="AC57"/>
  <c r="Y57"/>
  <c r="U57"/>
  <c r="AD57"/>
  <c r="Z57"/>
  <c r="V57"/>
  <c r="AE28"/>
  <c r="AA28"/>
  <c r="W28"/>
  <c r="G28"/>
  <c r="AF28"/>
  <c r="AB28"/>
  <c r="X28"/>
  <c r="AC28"/>
  <c r="Y28"/>
  <c r="U28"/>
  <c r="AD28"/>
  <c r="Z28"/>
  <c r="V28"/>
  <c r="AE24"/>
  <c r="AA24"/>
  <c r="W24"/>
  <c r="G24"/>
  <c r="AF24"/>
  <c r="AB24"/>
  <c r="X24"/>
  <c r="AC24"/>
  <c r="Y24"/>
  <c r="U24"/>
  <c r="AD24"/>
  <c r="Z24"/>
  <c r="V24"/>
  <c r="T19"/>
  <c r="H18"/>
  <c r="AC15"/>
  <c r="Y15"/>
  <c r="U15"/>
  <c r="AD15"/>
  <c r="Z15"/>
  <c r="V15"/>
  <c r="AA15"/>
  <c r="AB15"/>
  <c r="AE15"/>
  <c r="W15"/>
  <c r="G15"/>
  <c r="AF15"/>
  <c r="X15"/>
  <c r="AC13"/>
  <c r="Y13"/>
  <c r="U13"/>
  <c r="AD13"/>
  <c r="Z13"/>
  <c r="V13"/>
  <c r="AF13"/>
  <c r="X13"/>
  <c r="AA13"/>
  <c r="AB13"/>
  <c r="AE13"/>
  <c r="W13"/>
  <c r="G13"/>
  <c r="AC11"/>
  <c r="Y11"/>
  <c r="U11"/>
  <c r="AD11"/>
  <c r="Z11"/>
  <c r="V11"/>
  <c r="AE11"/>
  <c r="W11"/>
  <c r="G11"/>
  <c r="AF11"/>
  <c r="X11"/>
  <c r="AA11"/>
  <c r="AB11"/>
  <c r="AC9"/>
  <c r="Y9"/>
  <c r="U9"/>
  <c r="AD9"/>
  <c r="Z9"/>
  <c r="V9"/>
  <c r="AB9"/>
  <c r="AE9"/>
  <c r="W9"/>
  <c r="G9"/>
  <c r="AF9"/>
  <c r="X9"/>
  <c r="AA9"/>
  <c r="AC7"/>
  <c r="Y7"/>
  <c r="U7"/>
  <c r="AD7"/>
  <c r="Z7"/>
  <c r="V7"/>
  <c r="AA7"/>
  <c r="AB7"/>
  <c r="AE7"/>
  <c r="W7"/>
  <c r="G7"/>
  <c r="AF7"/>
  <c r="X7"/>
  <c r="AQ123"/>
  <c r="AM123"/>
  <c r="AI123"/>
  <c r="AR123"/>
  <c r="AN123"/>
  <c r="AJ123"/>
  <c r="AO123"/>
  <c r="AP123"/>
  <c r="AH123"/>
  <c r="AS123"/>
  <c r="AK123"/>
  <c r="AL123"/>
  <c r="AQ96"/>
  <c r="AM96"/>
  <c r="AI96"/>
  <c r="AR96"/>
  <c r="AN96"/>
  <c r="AJ96"/>
  <c r="AS96"/>
  <c r="AO96"/>
  <c r="AK96"/>
  <c r="AH96"/>
  <c r="AL96"/>
  <c r="AP96"/>
  <c r="AQ79"/>
  <c r="AM79"/>
  <c r="AI79"/>
  <c r="AR79"/>
  <c r="AN79"/>
  <c r="AJ79"/>
  <c r="AS79"/>
  <c r="AO79"/>
  <c r="AK79"/>
  <c r="AH79"/>
  <c r="AL79"/>
  <c r="AP79"/>
  <c r="Q224" i="14"/>
  <c r="R224" s="1"/>
  <c r="S224" s="1"/>
  <c r="T224" s="1"/>
  <c r="U224" s="1"/>
  <c r="V224" s="1"/>
  <c r="W224" s="1"/>
  <c r="X224" s="1"/>
  <c r="Y224" s="1"/>
  <c r="Z224" s="1"/>
  <c r="AA224" s="1"/>
  <c r="Q239"/>
  <c r="R239" s="1"/>
  <c r="S239" s="1"/>
  <c r="T239" s="1"/>
  <c r="U239" s="1"/>
  <c r="V239" s="1"/>
  <c r="W239" s="1"/>
  <c r="X239" s="1"/>
  <c r="Y239" s="1"/>
  <c r="Z239" s="1"/>
  <c r="AA239" s="1"/>
  <c r="Q187"/>
  <c r="R187" s="1"/>
  <c r="S187" s="1"/>
  <c r="T187" s="1"/>
  <c r="U187" s="1"/>
  <c r="V187" s="1"/>
  <c r="W187" s="1"/>
  <c r="X187" s="1"/>
  <c r="Y187" s="1"/>
  <c r="Z187" s="1"/>
  <c r="AA187" s="1"/>
  <c r="Q130"/>
  <c r="R130" s="1"/>
  <c r="S130" s="1"/>
  <c r="T130" s="1"/>
  <c r="U130" s="1"/>
  <c r="V130" s="1"/>
  <c r="W130" s="1"/>
  <c r="X130" s="1"/>
  <c r="Y130" s="1"/>
  <c r="Z130" s="1"/>
  <c r="AA130" s="1"/>
  <c r="Q63"/>
  <c r="R63" s="1"/>
  <c r="S63" s="1"/>
  <c r="T63" s="1"/>
  <c r="U63" s="1"/>
  <c r="V63" s="1"/>
  <c r="W63" s="1"/>
  <c r="X63" s="1"/>
  <c r="Y63" s="1"/>
  <c r="Z63" s="1"/>
  <c r="AA63" s="1"/>
  <c r="Q11"/>
  <c r="R11" s="1"/>
  <c r="S11" s="1"/>
  <c r="T11" s="1"/>
  <c r="U11" s="1"/>
  <c r="V11" s="1"/>
  <c r="W11" s="1"/>
  <c r="X11" s="1"/>
  <c r="Y11" s="1"/>
  <c r="Z11" s="1"/>
  <c r="AA11" s="1"/>
  <c r="AE12" i="12"/>
  <c r="AA12"/>
  <c r="W12"/>
  <c r="G12"/>
  <c r="AF12"/>
  <c r="AB12"/>
  <c r="X12"/>
  <c r="AC12"/>
  <c r="U12"/>
  <c r="AD12"/>
  <c r="V12"/>
  <c r="Y12"/>
  <c r="Z12"/>
  <c r="AN8" i="11"/>
  <c r="AD28" i="2"/>
  <c r="AP28" s="1"/>
  <c r="AQ28" s="1"/>
  <c r="AK238" i="14"/>
  <c r="AG238"/>
  <c r="AC238"/>
  <c r="AL233"/>
  <c r="AH233"/>
  <c r="AD233"/>
  <c r="AM228"/>
  <c r="AI228"/>
  <c r="AE228"/>
  <c r="AC224"/>
  <c r="AN223"/>
  <c r="AJ223"/>
  <c r="AF223"/>
  <c r="AK218"/>
  <c r="AG218"/>
  <c r="AC218"/>
  <c r="AC229"/>
  <c r="AM238"/>
  <c r="AI238"/>
  <c r="AE238"/>
  <c r="AC234"/>
  <c r="AN233"/>
  <c r="AJ233"/>
  <c r="AF233"/>
  <c r="AK228"/>
  <c r="AG228"/>
  <c r="AC228"/>
  <c r="AL223"/>
  <c r="AH223"/>
  <c r="AD223"/>
  <c r="AO223" s="1"/>
  <c r="AC239"/>
  <c r="AN238"/>
  <c r="AJ238"/>
  <c r="AF238"/>
  <c r="AC219"/>
  <c r="AE218"/>
  <c r="AI218"/>
  <c r="AM218"/>
  <c r="AL29" i="9"/>
  <c r="AH29"/>
  <c r="AD29"/>
  <c r="AM29"/>
  <c r="AI29"/>
  <c r="AE29"/>
  <c r="AJ29"/>
  <c r="AF29"/>
  <c r="AB29"/>
  <c r="AK29"/>
  <c r="AG29"/>
  <c r="AC29"/>
  <c r="AC31" i="14"/>
  <c r="AN30"/>
  <c r="AJ30"/>
  <c r="AF30"/>
  <c r="AK25"/>
  <c r="AG25"/>
  <c r="AC25"/>
  <c r="AL20"/>
  <c r="AH20"/>
  <c r="AD20"/>
  <c r="AM15"/>
  <c r="AI15"/>
  <c r="AE15"/>
  <c r="AK10"/>
  <c r="AG10"/>
  <c r="AC10"/>
  <c r="AC16"/>
  <c r="AC21"/>
  <c r="AF25"/>
  <c r="AG20"/>
  <c r="AD15"/>
  <c r="AF10"/>
  <c r="AE30"/>
  <c r="AJ25"/>
  <c r="AK20"/>
  <c r="AH15"/>
  <c r="AJ10"/>
  <c r="AI30"/>
  <c r="AN25"/>
  <c r="AL15"/>
  <c r="AC11"/>
  <c r="AN10"/>
  <c r="AM30"/>
  <c r="AC26"/>
  <c r="AC20"/>
  <c r="AH17" i="12"/>
  <c r="AT17" s="1"/>
  <c r="AL21" i="9"/>
  <c r="AH21"/>
  <c r="AD21"/>
  <c r="AM21"/>
  <c r="AI21"/>
  <c r="AE21"/>
  <c r="AJ21"/>
  <c r="AF21"/>
  <c r="AB21"/>
  <c r="AK21"/>
  <c r="AG21"/>
  <c r="AC21"/>
  <c r="AN18" i="11"/>
  <c r="AD38" i="2"/>
  <c r="AP38" s="1"/>
  <c r="AQ38" s="1"/>
  <c r="Q260" i="14"/>
  <c r="R260" s="1"/>
  <c r="S260" s="1"/>
  <c r="T260" s="1"/>
  <c r="U260" s="1"/>
  <c r="V260" s="1"/>
  <c r="W260" s="1"/>
  <c r="X260" s="1"/>
  <c r="Y260" s="1"/>
  <c r="Z260" s="1"/>
  <c r="AA260" s="1"/>
  <c r="Q203"/>
  <c r="R203" s="1"/>
  <c r="S203" s="1"/>
  <c r="T203" s="1"/>
  <c r="U203" s="1"/>
  <c r="V203" s="1"/>
  <c r="W203" s="1"/>
  <c r="X203" s="1"/>
  <c r="Y203" s="1"/>
  <c r="Z203" s="1"/>
  <c r="AA203" s="1"/>
  <c r="Q146"/>
  <c r="R146" s="1"/>
  <c r="S146" s="1"/>
  <c r="T146" s="1"/>
  <c r="U146" s="1"/>
  <c r="V146" s="1"/>
  <c r="W146" s="1"/>
  <c r="X146" s="1"/>
  <c r="Y146" s="1"/>
  <c r="Z146" s="1"/>
  <c r="AA146" s="1"/>
  <c r="Q141"/>
  <c r="R141" s="1"/>
  <c r="S141" s="1"/>
  <c r="T141" s="1"/>
  <c r="U141" s="1"/>
  <c r="V141" s="1"/>
  <c r="W141" s="1"/>
  <c r="X141" s="1"/>
  <c r="Y141" s="1"/>
  <c r="Z141" s="1"/>
  <c r="AA141" s="1"/>
  <c r="Q94"/>
  <c r="R94" s="1"/>
  <c r="S94" s="1"/>
  <c r="T94" s="1"/>
  <c r="U94" s="1"/>
  <c r="V94" s="1"/>
  <c r="W94" s="1"/>
  <c r="X94" s="1"/>
  <c r="Y94" s="1"/>
  <c r="Z94" s="1"/>
  <c r="AA94" s="1"/>
  <c r="Q37"/>
  <c r="R37" s="1"/>
  <c r="S37" s="1"/>
  <c r="T37" s="1"/>
  <c r="U37" s="1"/>
  <c r="V37" s="1"/>
  <c r="W37" s="1"/>
  <c r="X37" s="1"/>
  <c r="Y37" s="1"/>
  <c r="Z37" s="1"/>
  <c r="AA37" s="1"/>
  <c r="AE8" i="12"/>
  <c r="AA8"/>
  <c r="W8"/>
  <c r="G8"/>
  <c r="AF8"/>
  <c r="AB8"/>
  <c r="X8"/>
  <c r="Y8"/>
  <c r="Z8"/>
  <c r="AC8"/>
  <c r="U8"/>
  <c r="AD8"/>
  <c r="V8"/>
  <c r="AM20" i="11"/>
  <c r="AO25" i="2"/>
  <c r="AC94" i="14"/>
  <c r="AL108"/>
  <c r="AH108"/>
  <c r="AD108"/>
  <c r="AM103"/>
  <c r="AI103"/>
  <c r="AE103"/>
  <c r="AC99"/>
  <c r="AN98"/>
  <c r="AJ98"/>
  <c r="AF98"/>
  <c r="AK93"/>
  <c r="AG93"/>
  <c r="AC93"/>
  <c r="AL88"/>
  <c r="AH88"/>
  <c r="AD88"/>
  <c r="AC104"/>
  <c r="AC109"/>
  <c r="AC89"/>
  <c r="AH53" i="12"/>
  <c r="AT53" s="1"/>
  <c r="AL24" i="9"/>
  <c r="AH24"/>
  <c r="AD24"/>
  <c r="AM24"/>
  <c r="AI24"/>
  <c r="AE24"/>
  <c r="AJ24"/>
  <c r="AF24"/>
  <c r="AB24"/>
  <c r="AK24"/>
  <c r="AG24"/>
  <c r="AC24"/>
  <c r="D47" i="2"/>
  <c r="AB162" i="14"/>
  <c r="AO110"/>
  <c r="O151"/>
  <c r="S46" i="13"/>
  <c r="U7" i="2" s="1"/>
  <c r="O94" i="14"/>
  <c r="O73"/>
  <c r="P46" i="13"/>
  <c r="R7" i="2" s="1"/>
  <c r="M114" i="12"/>
  <c r="M90"/>
  <c r="AA43" i="13"/>
  <c r="N114" i="12"/>
  <c r="N90"/>
  <c r="N66"/>
  <c r="AN266" i="14"/>
  <c r="AO13" i="2" s="1"/>
  <c r="AF266" i="14"/>
  <c r="AG13" i="2" s="1"/>
  <c r="T266" i="14"/>
  <c r="U13" i="2" s="1"/>
  <c r="AB15" i="14"/>
  <c r="O114" i="12"/>
  <c r="I78"/>
  <c r="H266" i="14"/>
  <c r="I13" i="2" s="1"/>
  <c r="AK266" i="14"/>
  <c r="AL13" i="2" s="1"/>
  <c r="I42" i="12"/>
  <c r="I18"/>
  <c r="AG61"/>
  <c r="AT61"/>
  <c r="AG105"/>
  <c r="AG92"/>
  <c r="I54"/>
  <c r="K42"/>
  <c r="M6"/>
  <c r="O66"/>
  <c r="T58"/>
  <c r="N54"/>
  <c r="L42"/>
  <c r="R30"/>
  <c r="T25"/>
  <c r="C266" i="14"/>
  <c r="AG109" i="12"/>
  <c r="AG87"/>
  <c r="AG74"/>
  <c r="AG68"/>
  <c r="R31" i="9"/>
  <c r="T6" i="2" s="1"/>
  <c r="AB30" i="14"/>
  <c r="T68" i="12"/>
  <c r="AA27" i="9"/>
  <c r="AA24"/>
  <c r="I9" i="2"/>
  <c r="AG14" i="12"/>
  <c r="Q31" i="9"/>
  <c r="S6" i="2" s="1"/>
  <c r="J9"/>
  <c r="AG21" i="12"/>
  <c r="E15" i="7"/>
  <c r="AM37" i="13"/>
  <c r="AI37"/>
  <c r="AE37"/>
  <c r="AJ37"/>
  <c r="AF37"/>
  <c r="AB37"/>
  <c r="AL37"/>
  <c r="AD37"/>
  <c r="AG37"/>
  <c r="AH37"/>
  <c r="AC37"/>
  <c r="AK37"/>
  <c r="AC124" i="12"/>
  <c r="Y124"/>
  <c r="U124"/>
  <c r="AD124"/>
  <c r="Z124"/>
  <c r="V124"/>
  <c r="AB124"/>
  <c r="AE124"/>
  <c r="W124"/>
  <c r="G124"/>
  <c r="AF124"/>
  <c r="X124"/>
  <c r="AA124"/>
  <c r="AC122"/>
  <c r="Y122"/>
  <c r="U122"/>
  <c r="AD122"/>
  <c r="Z122"/>
  <c r="V122"/>
  <c r="AA122"/>
  <c r="AB122"/>
  <c r="AE122"/>
  <c r="W122"/>
  <c r="G122"/>
  <c r="AF122"/>
  <c r="X122"/>
  <c r="AC120"/>
  <c r="Y120"/>
  <c r="U120"/>
  <c r="AD120"/>
  <c r="Z120"/>
  <c r="V120"/>
  <c r="AF120"/>
  <c r="X120"/>
  <c r="AA120"/>
  <c r="AB120"/>
  <c r="AE120"/>
  <c r="G120"/>
  <c r="W120"/>
  <c r="AC118"/>
  <c r="Y118"/>
  <c r="U118"/>
  <c r="AD118"/>
  <c r="Z118"/>
  <c r="V118"/>
  <c r="AE118"/>
  <c r="W118"/>
  <c r="G118"/>
  <c r="AF118"/>
  <c r="X118"/>
  <c r="AA118"/>
  <c r="AB118"/>
  <c r="AC116"/>
  <c r="Y116"/>
  <c r="U116"/>
  <c r="AD116"/>
  <c r="Z116"/>
  <c r="V116"/>
  <c r="AB116"/>
  <c r="AE116"/>
  <c r="W116"/>
  <c r="G116"/>
  <c r="AF116"/>
  <c r="X116"/>
  <c r="AA116"/>
  <c r="K12" i="2"/>
  <c r="K11"/>
  <c r="K10"/>
  <c r="K8"/>
  <c r="AQ103" i="12"/>
  <c r="AM103"/>
  <c r="AI103"/>
  <c r="AR103"/>
  <c r="AN103"/>
  <c r="AJ103"/>
  <c r="AS103"/>
  <c r="AO103"/>
  <c r="AK103"/>
  <c r="AH103"/>
  <c r="AL103"/>
  <c r="AP103"/>
  <c r="AQ81"/>
  <c r="AM81"/>
  <c r="AI81"/>
  <c r="AR81"/>
  <c r="AN81"/>
  <c r="AJ81"/>
  <c r="AS81"/>
  <c r="AO81"/>
  <c r="AK81"/>
  <c r="AH81"/>
  <c r="AL81"/>
  <c r="AP81"/>
  <c r="AS47"/>
  <c r="AO47"/>
  <c r="AK47"/>
  <c r="AP47"/>
  <c r="AL47"/>
  <c r="AH47"/>
  <c r="AQ47"/>
  <c r="AM47"/>
  <c r="AI47"/>
  <c r="AR47"/>
  <c r="AN47"/>
  <c r="AJ47"/>
  <c r="AS34"/>
  <c r="AO34"/>
  <c r="AK34"/>
  <c r="AP34"/>
  <c r="AL34"/>
  <c r="AH34"/>
  <c r="AQ34"/>
  <c r="AM34"/>
  <c r="AI34"/>
  <c r="AR34"/>
  <c r="AN34"/>
  <c r="AJ34"/>
  <c r="AS27"/>
  <c r="AO27"/>
  <c r="AK27"/>
  <c r="AP27"/>
  <c r="AL27"/>
  <c r="AH27"/>
  <c r="AQ27"/>
  <c r="AM27"/>
  <c r="AI27"/>
  <c r="AR27"/>
  <c r="AN27"/>
  <c r="AJ27"/>
  <c r="AE121"/>
  <c r="AA121"/>
  <c r="W121"/>
  <c r="G121"/>
  <c r="AF121"/>
  <c r="AB121"/>
  <c r="X121"/>
  <c r="AD121"/>
  <c r="V121"/>
  <c r="Y121"/>
  <c r="Z121"/>
  <c r="U121"/>
  <c r="AG121" s="1"/>
  <c r="AC121"/>
  <c r="AQ94"/>
  <c r="AM94"/>
  <c r="AI94"/>
  <c r="AR94"/>
  <c r="AN94"/>
  <c r="AJ94"/>
  <c r="AS94"/>
  <c r="AO94"/>
  <c r="AK94"/>
  <c r="AL94"/>
  <c r="AP94"/>
  <c r="AH94"/>
  <c r="AE69"/>
  <c r="AA69"/>
  <c r="W69"/>
  <c r="G69"/>
  <c r="AC69"/>
  <c r="X69"/>
  <c r="AD69"/>
  <c r="Y69"/>
  <c r="AF69"/>
  <c r="Z69"/>
  <c r="U69"/>
  <c r="AB69"/>
  <c r="V69"/>
  <c r="AE52"/>
  <c r="AA52"/>
  <c r="W52"/>
  <c r="G52"/>
  <c r="AF52"/>
  <c r="AB52"/>
  <c r="X52"/>
  <c r="AC52"/>
  <c r="Y52"/>
  <c r="U52"/>
  <c r="AD52"/>
  <c r="Z52"/>
  <c r="V52"/>
  <c r="AE48"/>
  <c r="AA48"/>
  <c r="W48"/>
  <c r="G48"/>
  <c r="AF48"/>
  <c r="AB48"/>
  <c r="X48"/>
  <c r="AC48"/>
  <c r="Y48"/>
  <c r="U48"/>
  <c r="AD48"/>
  <c r="Z48"/>
  <c r="V48"/>
  <c r="AE44"/>
  <c r="AA44"/>
  <c r="W44"/>
  <c r="G44"/>
  <c r="AF44"/>
  <c r="AB44"/>
  <c r="AB42" s="1"/>
  <c r="X44"/>
  <c r="AC44"/>
  <c r="Y44"/>
  <c r="U44"/>
  <c r="AD44"/>
  <c r="Z44"/>
  <c r="V44"/>
  <c r="AE39"/>
  <c r="AA39"/>
  <c r="W39"/>
  <c r="G39"/>
  <c r="AF39"/>
  <c r="AB39"/>
  <c r="X39"/>
  <c r="AC39"/>
  <c r="Y39"/>
  <c r="U39"/>
  <c r="AD39"/>
  <c r="Z39"/>
  <c r="V39"/>
  <c r="AE35"/>
  <c r="AA35"/>
  <c r="W35"/>
  <c r="G35"/>
  <c r="AF35"/>
  <c r="AB35"/>
  <c r="X35"/>
  <c r="AC35"/>
  <c r="Y35"/>
  <c r="U35"/>
  <c r="AD35"/>
  <c r="Z35"/>
  <c r="V35"/>
  <c r="AE31"/>
  <c r="AE30" s="1"/>
  <c r="AA31"/>
  <c r="W31"/>
  <c r="G31"/>
  <c r="AF31"/>
  <c r="AF30" s="1"/>
  <c r="AB31"/>
  <c r="X31"/>
  <c r="AC31"/>
  <c r="Y31"/>
  <c r="U31"/>
  <c r="AD31"/>
  <c r="Z31"/>
  <c r="V31"/>
  <c r="V30" s="1"/>
  <c r="Q229" i="14"/>
  <c r="R229" s="1"/>
  <c r="S229" s="1"/>
  <c r="T229" s="1"/>
  <c r="U229" s="1"/>
  <c r="V229" s="1"/>
  <c r="W229" s="1"/>
  <c r="X229" s="1"/>
  <c r="Y229" s="1"/>
  <c r="Z229" s="1"/>
  <c r="AA229" s="1"/>
  <c r="Q135"/>
  <c r="R135" s="1"/>
  <c r="S135" s="1"/>
  <c r="T135" s="1"/>
  <c r="U135" s="1"/>
  <c r="V135" s="1"/>
  <c r="W135" s="1"/>
  <c r="X135" s="1"/>
  <c r="Y135" s="1"/>
  <c r="Z135" s="1"/>
  <c r="AA135" s="1"/>
  <c r="Q31"/>
  <c r="R31" s="1"/>
  <c r="S31" s="1"/>
  <c r="T31" s="1"/>
  <c r="U31" s="1"/>
  <c r="V31" s="1"/>
  <c r="W31" s="1"/>
  <c r="X31" s="1"/>
  <c r="Y31" s="1"/>
  <c r="Z31" s="1"/>
  <c r="AA31" s="1"/>
  <c r="AN12" i="11"/>
  <c r="AD32" i="2"/>
  <c r="AP32" s="1"/>
  <c r="AQ32" s="1"/>
  <c r="O31" i="9"/>
  <c r="AA21"/>
  <c r="AC73" i="14"/>
  <c r="AM82"/>
  <c r="AI82"/>
  <c r="AE82"/>
  <c r="AC78"/>
  <c r="AN77"/>
  <c r="AJ77"/>
  <c r="AF77"/>
  <c r="AC83"/>
  <c r="AC63"/>
  <c r="AC68"/>
  <c r="AG72"/>
  <c r="AG67"/>
  <c r="AH62"/>
  <c r="AK72"/>
  <c r="AH67"/>
  <c r="AI62"/>
  <c r="AC72"/>
  <c r="AL67"/>
  <c r="AD67"/>
  <c r="AM62"/>
  <c r="AE62"/>
  <c r="AH41" i="12"/>
  <c r="AT41" s="1"/>
  <c r="AL23" i="9"/>
  <c r="AH23"/>
  <c r="AD23"/>
  <c r="AM23"/>
  <c r="AI23"/>
  <c r="AE23"/>
  <c r="AJ23"/>
  <c r="AF23"/>
  <c r="AB23"/>
  <c r="AK23"/>
  <c r="AG23"/>
  <c r="AC23"/>
  <c r="C58" i="2"/>
  <c r="C62" s="1"/>
  <c r="C54"/>
  <c r="C55" s="1"/>
  <c r="Q265" i="14"/>
  <c r="R265" s="1"/>
  <c r="S265" s="1"/>
  <c r="T265" s="1"/>
  <c r="U265" s="1"/>
  <c r="V265" s="1"/>
  <c r="W265" s="1"/>
  <c r="X265" s="1"/>
  <c r="Y265" s="1"/>
  <c r="Z265" s="1"/>
  <c r="AA265" s="1"/>
  <c r="Q208"/>
  <c r="R208" s="1"/>
  <c r="S208" s="1"/>
  <c r="T208" s="1"/>
  <c r="U208" s="1"/>
  <c r="V208" s="1"/>
  <c r="W208" s="1"/>
  <c r="X208" s="1"/>
  <c r="Y208" s="1"/>
  <c r="Z208" s="1"/>
  <c r="AA208" s="1"/>
  <c r="Q193"/>
  <c r="R193" s="1"/>
  <c r="S193" s="1"/>
  <c r="T193" s="1"/>
  <c r="U193" s="1"/>
  <c r="V193" s="1"/>
  <c r="W193" s="1"/>
  <c r="X193" s="1"/>
  <c r="Y193" s="1"/>
  <c r="Z193" s="1"/>
  <c r="AA193" s="1"/>
  <c r="Q104"/>
  <c r="R104" s="1"/>
  <c r="S104" s="1"/>
  <c r="T104" s="1"/>
  <c r="U104" s="1"/>
  <c r="V104" s="1"/>
  <c r="W104" s="1"/>
  <c r="X104" s="1"/>
  <c r="Y104" s="1"/>
  <c r="Z104" s="1"/>
  <c r="AA104" s="1"/>
  <c r="Q99"/>
  <c r="R99" s="1"/>
  <c r="S99" s="1"/>
  <c r="T99" s="1"/>
  <c r="U99" s="1"/>
  <c r="V99" s="1"/>
  <c r="W99" s="1"/>
  <c r="X99" s="1"/>
  <c r="Y99" s="1"/>
  <c r="Z99" s="1"/>
  <c r="AA99" s="1"/>
  <c r="Q52"/>
  <c r="R52" s="1"/>
  <c r="S52" s="1"/>
  <c r="T52" s="1"/>
  <c r="U52" s="1"/>
  <c r="V52" s="1"/>
  <c r="W52" s="1"/>
  <c r="X52" s="1"/>
  <c r="Y52" s="1"/>
  <c r="Z52" s="1"/>
  <c r="AA52" s="1"/>
  <c r="AD26" i="2"/>
  <c r="AP26" s="1"/>
  <c r="AQ26" s="1"/>
  <c r="AN6" i="11"/>
  <c r="D6" i="2"/>
  <c r="N31" i="9"/>
  <c r="AC151" i="14"/>
  <c r="AC156"/>
  <c r="AC161"/>
  <c r="AG160"/>
  <c r="AH155"/>
  <c r="AL150"/>
  <c r="AH150"/>
  <c r="AD150"/>
  <c r="AM145"/>
  <c r="AI145"/>
  <c r="AE145"/>
  <c r="AC141"/>
  <c r="AN140"/>
  <c r="AJ140"/>
  <c r="AF140"/>
  <c r="AC146"/>
  <c r="AK160"/>
  <c r="AC160"/>
  <c r="AL155"/>
  <c r="AD155"/>
  <c r="AH77" i="12"/>
  <c r="AT77" s="1"/>
  <c r="AL26" i="9"/>
  <c r="AH26"/>
  <c r="AD26"/>
  <c r="AM26"/>
  <c r="AI26"/>
  <c r="AE26"/>
  <c r="AJ26"/>
  <c r="AF26"/>
  <c r="AB26"/>
  <c r="AK26"/>
  <c r="AG26"/>
  <c r="AC26"/>
  <c r="O224" i="14"/>
  <c r="AO214"/>
  <c r="O182"/>
  <c r="O198"/>
  <c r="O130"/>
  <c r="O146"/>
  <c r="AA45" i="13"/>
  <c r="AA41"/>
  <c r="AA37"/>
  <c r="T124" i="12"/>
  <c r="T116"/>
  <c r="O89" i="14"/>
  <c r="O57"/>
  <c r="T46" i="13"/>
  <c r="V7" i="2" s="1"/>
  <c r="T112" i="12"/>
  <c r="T104"/>
  <c r="T93"/>
  <c r="T84"/>
  <c r="M266" i="14"/>
  <c r="N13" i="2" s="1"/>
  <c r="E266" i="14"/>
  <c r="F13" i="2" s="1"/>
  <c r="R114" i="12"/>
  <c r="R90"/>
  <c r="R66"/>
  <c r="S114"/>
  <c r="K90"/>
  <c r="M78"/>
  <c r="T78" s="1"/>
  <c r="AN40" i="13"/>
  <c r="AA39"/>
  <c r="AT72" i="12"/>
  <c r="M42"/>
  <c r="M18"/>
  <c r="AG111"/>
  <c r="AG98"/>
  <c r="AG76"/>
  <c r="AN39" i="13"/>
  <c r="O21" i="14"/>
  <c r="O11"/>
  <c r="J66" i="12"/>
  <c r="M54"/>
  <c r="O42"/>
  <c r="K18"/>
  <c r="T9"/>
  <c r="Y266" i="14"/>
  <c r="Z13" i="2" s="1"/>
  <c r="Q266" i="14"/>
  <c r="R13" i="2" s="1"/>
  <c r="AG107" i="12"/>
  <c r="AG85"/>
  <c r="K66"/>
  <c r="R54"/>
  <c r="T49"/>
  <c r="T45"/>
  <c r="P42"/>
  <c r="T40"/>
  <c r="T36"/>
  <c r="T32"/>
  <c r="L18"/>
  <c r="J6"/>
  <c r="V31" i="9"/>
  <c r="X6" i="2" s="1"/>
  <c r="AB10" i="14"/>
  <c r="AA29" i="9"/>
  <c r="AA26"/>
  <c r="L9" i="2"/>
  <c r="P31" i="9"/>
  <c r="R6" i="2" s="1"/>
  <c r="M9"/>
  <c r="T55" i="12"/>
  <c r="AB20" i="11"/>
  <c r="AN6" i="10"/>
  <c r="U31" i="9"/>
  <c r="W6" i="2" s="1"/>
  <c r="N9"/>
  <c r="T14" i="12"/>
  <c r="AL41" i="13"/>
  <c r="AH41"/>
  <c r="AD41"/>
  <c r="AM41"/>
  <c r="AM46" s="1"/>
  <c r="AO7" i="2" s="1"/>
  <c r="AI41" i="13"/>
  <c r="AI46" s="1"/>
  <c r="AK7" i="2" s="1"/>
  <c r="AE41" i="13"/>
  <c r="AJ41"/>
  <c r="AJ46" s="1"/>
  <c r="AL7" i="2" s="1"/>
  <c r="AF41" i="13"/>
  <c r="AF46" s="1"/>
  <c r="AH7" i="2" s="1"/>
  <c r="AB41" i="13"/>
  <c r="AG41"/>
  <c r="AK41"/>
  <c r="AC41"/>
  <c r="AN36"/>
  <c r="O12" i="2"/>
  <c r="O11"/>
  <c r="O10"/>
  <c r="O8"/>
  <c r="AF115" i="12"/>
  <c r="AC115"/>
  <c r="Y115"/>
  <c r="U115"/>
  <c r="AD115"/>
  <c r="Z115"/>
  <c r="V115"/>
  <c r="AE115"/>
  <c r="AA115"/>
  <c r="W115"/>
  <c r="G115"/>
  <c r="AB115"/>
  <c r="X115"/>
  <c r="AC112"/>
  <c r="Y112"/>
  <c r="U112"/>
  <c r="AD112"/>
  <c r="Z112"/>
  <c r="V112"/>
  <c r="AE112"/>
  <c r="AA112"/>
  <c r="W112"/>
  <c r="G112"/>
  <c r="AF112"/>
  <c r="X112"/>
  <c r="AB112"/>
  <c r="AC110"/>
  <c r="Y110"/>
  <c r="U110"/>
  <c r="AD110"/>
  <c r="Z110"/>
  <c r="V110"/>
  <c r="AE110"/>
  <c r="AA110"/>
  <c r="W110"/>
  <c r="G110"/>
  <c r="X110"/>
  <c r="AB110"/>
  <c r="AF110"/>
  <c r="AC108"/>
  <c r="Y108"/>
  <c r="U108"/>
  <c r="AD108"/>
  <c r="Z108"/>
  <c r="V108"/>
  <c r="AE108"/>
  <c r="AA108"/>
  <c r="W108"/>
  <c r="G108"/>
  <c r="X108"/>
  <c r="AB108"/>
  <c r="AF108"/>
  <c r="AC106"/>
  <c r="Y106"/>
  <c r="U106"/>
  <c r="AD106"/>
  <c r="AD102" s="1"/>
  <c r="Z106"/>
  <c r="V106"/>
  <c r="AE106"/>
  <c r="AA106"/>
  <c r="W106"/>
  <c r="G106"/>
  <c r="AB106"/>
  <c r="AF106"/>
  <c r="X106"/>
  <c r="AC104"/>
  <c r="Y104"/>
  <c r="Y102" s="1"/>
  <c r="U104"/>
  <c r="AD104"/>
  <c r="Z104"/>
  <c r="V104"/>
  <c r="AE104"/>
  <c r="AA104"/>
  <c r="W104"/>
  <c r="G104"/>
  <c r="AF104"/>
  <c r="X104"/>
  <c r="X102" s="1"/>
  <c r="AB104"/>
  <c r="AC99"/>
  <c r="Y99"/>
  <c r="U99"/>
  <c r="AD99"/>
  <c r="Z99"/>
  <c r="V99"/>
  <c r="AE99"/>
  <c r="AA99"/>
  <c r="W99"/>
  <c r="G99"/>
  <c r="AF99"/>
  <c r="X99"/>
  <c r="AB99"/>
  <c r="AC97"/>
  <c r="Y97"/>
  <c r="U97"/>
  <c r="AD97"/>
  <c r="Z97"/>
  <c r="V97"/>
  <c r="AE97"/>
  <c r="AA97"/>
  <c r="W97"/>
  <c r="G97"/>
  <c r="X97"/>
  <c r="AB97"/>
  <c r="AF97"/>
  <c r="AC95"/>
  <c r="Y95"/>
  <c r="U95"/>
  <c r="AD95"/>
  <c r="Z95"/>
  <c r="V95"/>
  <c r="AE95"/>
  <c r="AA95"/>
  <c r="W95"/>
  <c r="G95"/>
  <c r="X95"/>
  <c r="AB95"/>
  <c r="AF95"/>
  <c r="AC93"/>
  <c r="Y93"/>
  <c r="U93"/>
  <c r="AD93"/>
  <c r="Z93"/>
  <c r="V93"/>
  <c r="AE93"/>
  <c r="AA93"/>
  <c r="W93"/>
  <c r="G93"/>
  <c r="AB93"/>
  <c r="AF93"/>
  <c r="X93"/>
  <c r="AC91"/>
  <c r="AC90" s="1"/>
  <c r="Y91"/>
  <c r="U91"/>
  <c r="AD91"/>
  <c r="Z91"/>
  <c r="Z90" s="1"/>
  <c r="V91"/>
  <c r="AE91"/>
  <c r="AA91"/>
  <c r="W91"/>
  <c r="W90" s="1"/>
  <c r="G91"/>
  <c r="AF91"/>
  <c r="X91"/>
  <c r="AB91"/>
  <c r="AB90" s="1"/>
  <c r="AC88"/>
  <c r="Y88"/>
  <c r="U88"/>
  <c r="AD88"/>
  <c r="Z88"/>
  <c r="V88"/>
  <c r="AE88"/>
  <c r="AA88"/>
  <c r="W88"/>
  <c r="G88"/>
  <c r="X88"/>
  <c r="AB88"/>
  <c r="AF88"/>
  <c r="AC86"/>
  <c r="Y86"/>
  <c r="U86"/>
  <c r="AD86"/>
  <c r="Z86"/>
  <c r="V86"/>
  <c r="AE86"/>
  <c r="AA86"/>
  <c r="W86"/>
  <c r="G86"/>
  <c r="X86"/>
  <c r="AB86"/>
  <c r="AF86"/>
  <c r="AC84"/>
  <c r="Y84"/>
  <c r="U84"/>
  <c r="AD84"/>
  <c r="Z84"/>
  <c r="V84"/>
  <c r="AE84"/>
  <c r="AA84"/>
  <c r="W84"/>
  <c r="G84"/>
  <c r="AB84"/>
  <c r="AF84"/>
  <c r="X84"/>
  <c r="AC82"/>
  <c r="Y82"/>
  <c r="U82"/>
  <c r="AD82"/>
  <c r="Z82"/>
  <c r="V82"/>
  <c r="AE82"/>
  <c r="AA82"/>
  <c r="W82"/>
  <c r="G82"/>
  <c r="AF82"/>
  <c r="X82"/>
  <c r="AB82"/>
  <c r="AC80"/>
  <c r="Y80"/>
  <c r="U80"/>
  <c r="AD80"/>
  <c r="AD78" s="1"/>
  <c r="Z80"/>
  <c r="V80"/>
  <c r="AE80"/>
  <c r="AA80"/>
  <c r="W80"/>
  <c r="G80"/>
  <c r="X80"/>
  <c r="AB80"/>
  <c r="AF80"/>
  <c r="AC75"/>
  <c r="Y75"/>
  <c r="U75"/>
  <c r="AD75"/>
  <c r="Z75"/>
  <c r="V75"/>
  <c r="AE75"/>
  <c r="AA75"/>
  <c r="W75"/>
  <c r="G75"/>
  <c r="X75"/>
  <c r="AB75"/>
  <c r="AF75"/>
  <c r="AC73"/>
  <c r="Y73"/>
  <c r="U73"/>
  <c r="AD73"/>
  <c r="Z73"/>
  <c r="V73"/>
  <c r="AE73"/>
  <c r="AA73"/>
  <c r="W73"/>
  <c r="G73"/>
  <c r="X73"/>
  <c r="AB73"/>
  <c r="AF73"/>
  <c r="P266" i="14"/>
  <c r="AB6"/>
  <c r="AE117" i="12"/>
  <c r="AA117"/>
  <c r="W117"/>
  <c r="G117"/>
  <c r="AF117"/>
  <c r="AB117"/>
  <c r="X117"/>
  <c r="Z117"/>
  <c r="AC117"/>
  <c r="U117"/>
  <c r="AD117"/>
  <c r="V117"/>
  <c r="Y117"/>
  <c r="AG43"/>
  <c r="U42"/>
  <c r="AQ105"/>
  <c r="AM105"/>
  <c r="AI105"/>
  <c r="AR105"/>
  <c r="AN105"/>
  <c r="AJ105"/>
  <c r="AS105"/>
  <c r="AO105"/>
  <c r="AK105"/>
  <c r="AP105"/>
  <c r="AH105"/>
  <c r="AL105"/>
  <c r="AQ92"/>
  <c r="AM92"/>
  <c r="AI92"/>
  <c r="AR92"/>
  <c r="AN92"/>
  <c r="AJ92"/>
  <c r="AS92"/>
  <c r="AO92"/>
  <c r="AK92"/>
  <c r="AP92"/>
  <c r="AH92"/>
  <c r="AL92"/>
  <c r="AS56"/>
  <c r="AO56"/>
  <c r="AK56"/>
  <c r="AP56"/>
  <c r="AL56"/>
  <c r="AH56"/>
  <c r="AQ56"/>
  <c r="AM56"/>
  <c r="AI56"/>
  <c r="AR56"/>
  <c r="AN56"/>
  <c r="AJ56"/>
  <c r="AS49"/>
  <c r="AO49"/>
  <c r="AK49"/>
  <c r="AP49"/>
  <c r="AL49"/>
  <c r="AH49"/>
  <c r="AQ49"/>
  <c r="AM49"/>
  <c r="AI49"/>
  <c r="AR49"/>
  <c r="AN49"/>
  <c r="AJ49"/>
  <c r="AS36"/>
  <c r="AO36"/>
  <c r="AK36"/>
  <c r="AP36"/>
  <c r="AL36"/>
  <c r="AH36"/>
  <c r="AQ36"/>
  <c r="AM36"/>
  <c r="AI36"/>
  <c r="AR36"/>
  <c r="AN36"/>
  <c r="AJ36"/>
  <c r="AE67"/>
  <c r="AA67"/>
  <c r="W67"/>
  <c r="G67"/>
  <c r="AC67"/>
  <c r="AC66" s="1"/>
  <c r="X67"/>
  <c r="AD67"/>
  <c r="Y67"/>
  <c r="AF67"/>
  <c r="AF66" s="1"/>
  <c r="Z67"/>
  <c r="U67"/>
  <c r="AB67"/>
  <c r="V67"/>
  <c r="AE59"/>
  <c r="AA59"/>
  <c r="W59"/>
  <c r="G59"/>
  <c r="AF59"/>
  <c r="AB59"/>
  <c r="X59"/>
  <c r="AC59"/>
  <c r="Y59"/>
  <c r="U59"/>
  <c r="AD59"/>
  <c r="Z59"/>
  <c r="V59"/>
  <c r="AE55"/>
  <c r="AA55"/>
  <c r="AA54" s="1"/>
  <c r="W55"/>
  <c r="G55"/>
  <c r="AF55"/>
  <c r="AB55"/>
  <c r="AB54" s="1"/>
  <c r="X55"/>
  <c r="AC55"/>
  <c r="Y55"/>
  <c r="U55"/>
  <c r="AD55"/>
  <c r="Z55"/>
  <c r="V55"/>
  <c r="AE26"/>
  <c r="AA26"/>
  <c r="W26"/>
  <c r="G26"/>
  <c r="AF26"/>
  <c r="AB26"/>
  <c r="X26"/>
  <c r="AC26"/>
  <c r="Y26"/>
  <c r="Y18" s="1"/>
  <c r="U26"/>
  <c r="AD26"/>
  <c r="Z26"/>
  <c r="V26"/>
  <c r="AE22"/>
  <c r="AA22"/>
  <c r="W22"/>
  <c r="G22"/>
  <c r="AF22"/>
  <c r="AB22"/>
  <c r="X22"/>
  <c r="AC22"/>
  <c r="Y22"/>
  <c r="U22"/>
  <c r="AD22"/>
  <c r="Z22"/>
  <c r="V22"/>
  <c r="AQ109"/>
  <c r="AM109"/>
  <c r="AI109"/>
  <c r="AR109"/>
  <c r="AN109"/>
  <c r="AJ109"/>
  <c r="AS109"/>
  <c r="AO109"/>
  <c r="AK109"/>
  <c r="AH109"/>
  <c r="AL109"/>
  <c r="AP109"/>
  <c r="AQ87"/>
  <c r="AM87"/>
  <c r="AI87"/>
  <c r="AR87"/>
  <c r="AN87"/>
  <c r="AJ87"/>
  <c r="AS87"/>
  <c r="AO87"/>
  <c r="AK87"/>
  <c r="AH87"/>
  <c r="AL87"/>
  <c r="AP87"/>
  <c r="AG79"/>
  <c r="AQ74"/>
  <c r="AM74"/>
  <c r="AI74"/>
  <c r="AR74"/>
  <c r="AN74"/>
  <c r="AJ74"/>
  <c r="AS74"/>
  <c r="AO74"/>
  <c r="AK74"/>
  <c r="AH74"/>
  <c r="AL74"/>
  <c r="AP74"/>
  <c r="Q177" i="14"/>
  <c r="R177" s="1"/>
  <c r="S177" s="1"/>
  <c r="T177" s="1"/>
  <c r="U177" s="1"/>
  <c r="V177" s="1"/>
  <c r="W177" s="1"/>
  <c r="X177" s="1"/>
  <c r="Y177" s="1"/>
  <c r="Z177" s="1"/>
  <c r="AA177" s="1"/>
  <c r="Q172"/>
  <c r="R172" s="1"/>
  <c r="S172" s="1"/>
  <c r="T172" s="1"/>
  <c r="U172" s="1"/>
  <c r="V172" s="1"/>
  <c r="W172" s="1"/>
  <c r="X172" s="1"/>
  <c r="Y172" s="1"/>
  <c r="Z172" s="1"/>
  <c r="AA172" s="1"/>
  <c r="Q115"/>
  <c r="R115" s="1"/>
  <c r="S115" s="1"/>
  <c r="T115" s="1"/>
  <c r="U115" s="1"/>
  <c r="V115" s="1"/>
  <c r="W115" s="1"/>
  <c r="X115" s="1"/>
  <c r="Y115" s="1"/>
  <c r="Z115" s="1"/>
  <c r="AA115" s="1"/>
  <c r="Q125"/>
  <c r="R125" s="1"/>
  <c r="S125" s="1"/>
  <c r="T125" s="1"/>
  <c r="U125" s="1"/>
  <c r="V125" s="1"/>
  <c r="W125" s="1"/>
  <c r="X125" s="1"/>
  <c r="Y125" s="1"/>
  <c r="Z125" s="1"/>
  <c r="AA125" s="1"/>
  <c r="Q68"/>
  <c r="R68" s="1"/>
  <c r="S68" s="1"/>
  <c r="T68" s="1"/>
  <c r="U68" s="1"/>
  <c r="V68" s="1"/>
  <c r="W68" s="1"/>
  <c r="X68" s="1"/>
  <c r="Y68" s="1"/>
  <c r="Z68" s="1"/>
  <c r="AA68" s="1"/>
  <c r="Q78"/>
  <c r="R78" s="1"/>
  <c r="S78" s="1"/>
  <c r="T78" s="1"/>
  <c r="U78" s="1"/>
  <c r="V78" s="1"/>
  <c r="W78" s="1"/>
  <c r="X78" s="1"/>
  <c r="Y78" s="1"/>
  <c r="Z78" s="1"/>
  <c r="AA78" s="1"/>
  <c r="Q21"/>
  <c r="R21" s="1"/>
  <c r="S21" s="1"/>
  <c r="T21" s="1"/>
  <c r="U21" s="1"/>
  <c r="V21" s="1"/>
  <c r="W21" s="1"/>
  <c r="X21" s="1"/>
  <c r="Y21" s="1"/>
  <c r="Z21" s="1"/>
  <c r="AA21" s="1"/>
  <c r="AN16" i="11"/>
  <c r="AD36" i="2"/>
  <c r="AP36" s="1"/>
  <c r="AQ36" s="1"/>
  <c r="AC20" i="11"/>
  <c r="AE25" i="2"/>
  <c r="AN12" i="10"/>
  <c r="AD22" i="2"/>
  <c r="AP22" s="1"/>
  <c r="AC135" i="14"/>
  <c r="AC115"/>
  <c r="AK134"/>
  <c r="AG134"/>
  <c r="AC134"/>
  <c r="AL129"/>
  <c r="AH129"/>
  <c r="AD129"/>
  <c r="AM124"/>
  <c r="AI124"/>
  <c r="AE124"/>
  <c r="AO124" s="1"/>
  <c r="AC120"/>
  <c r="AN119"/>
  <c r="AJ119"/>
  <c r="AF119"/>
  <c r="AO119" s="1"/>
  <c r="AK114"/>
  <c r="AG114"/>
  <c r="AC114"/>
  <c r="AO114" s="1"/>
  <c r="AC125"/>
  <c r="AC130"/>
  <c r="AH65" i="12"/>
  <c r="AT65" s="1"/>
  <c r="AL25" i="9"/>
  <c r="AH25"/>
  <c r="AD25"/>
  <c r="AM25"/>
  <c r="AI25"/>
  <c r="AE25"/>
  <c r="AJ25"/>
  <c r="AF25"/>
  <c r="AB25"/>
  <c r="AK25"/>
  <c r="AG25"/>
  <c r="AC25"/>
  <c r="AQ10" i="12"/>
  <c r="AM10"/>
  <c r="AI10"/>
  <c r="AR10"/>
  <c r="AN10"/>
  <c r="AJ10"/>
  <c r="AP10"/>
  <c r="AH10"/>
  <c r="AS10"/>
  <c r="AK10"/>
  <c r="AL10"/>
  <c r="AO10"/>
  <c r="Q245" i="14"/>
  <c r="R245" s="1"/>
  <c r="S245" s="1"/>
  <c r="T245" s="1"/>
  <c r="U245" s="1"/>
  <c r="V245" s="1"/>
  <c r="W245" s="1"/>
  <c r="X245" s="1"/>
  <c r="Y245" s="1"/>
  <c r="Z245" s="1"/>
  <c r="AA245" s="1"/>
  <c r="Q250"/>
  <c r="R250" s="1"/>
  <c r="S250" s="1"/>
  <c r="T250" s="1"/>
  <c r="U250" s="1"/>
  <c r="V250" s="1"/>
  <c r="W250" s="1"/>
  <c r="X250" s="1"/>
  <c r="Y250" s="1"/>
  <c r="Z250" s="1"/>
  <c r="AA250" s="1"/>
  <c r="Q156"/>
  <c r="R156" s="1"/>
  <c r="S156" s="1"/>
  <c r="T156" s="1"/>
  <c r="U156" s="1"/>
  <c r="V156" s="1"/>
  <c r="W156" s="1"/>
  <c r="X156" s="1"/>
  <c r="Y156" s="1"/>
  <c r="Z156" s="1"/>
  <c r="AA156" s="1"/>
  <c r="Q109"/>
  <c r="R109" s="1"/>
  <c r="S109" s="1"/>
  <c r="T109" s="1"/>
  <c r="U109" s="1"/>
  <c r="V109" s="1"/>
  <c r="W109" s="1"/>
  <c r="X109" s="1"/>
  <c r="Y109" s="1"/>
  <c r="Z109" s="1"/>
  <c r="AA109" s="1"/>
  <c r="Q47"/>
  <c r="R47" s="1"/>
  <c r="S47" s="1"/>
  <c r="T47" s="1"/>
  <c r="U47" s="1"/>
  <c r="V47" s="1"/>
  <c r="W47" s="1"/>
  <c r="X47" s="1"/>
  <c r="Y47" s="1"/>
  <c r="Z47" s="1"/>
  <c r="AA47" s="1"/>
  <c r="Q57"/>
  <c r="R57" s="1"/>
  <c r="S57" s="1"/>
  <c r="T57" s="1"/>
  <c r="U57" s="1"/>
  <c r="V57" s="1"/>
  <c r="W57" s="1"/>
  <c r="X57" s="1"/>
  <c r="Y57" s="1"/>
  <c r="Z57" s="1"/>
  <c r="AA57" s="1"/>
  <c r="AC16" i="12"/>
  <c r="AE16"/>
  <c r="AA16"/>
  <c r="W16"/>
  <c r="G16"/>
  <c r="AF16"/>
  <c r="AB16"/>
  <c r="X16"/>
  <c r="Y16"/>
  <c r="Z16"/>
  <c r="AD16"/>
  <c r="U16"/>
  <c r="V16"/>
  <c r="AD30" i="2"/>
  <c r="AP30" s="1"/>
  <c r="AQ30" s="1"/>
  <c r="AN10" i="11"/>
  <c r="AE20"/>
  <c r="AG25" i="2"/>
  <c r="AL212" i="14"/>
  <c r="AH212"/>
  <c r="AC208"/>
  <c r="AF212"/>
  <c r="AI207"/>
  <c r="AC203"/>
  <c r="AJ212"/>
  <c r="AK207"/>
  <c r="AC207"/>
  <c r="AL202"/>
  <c r="AD202"/>
  <c r="AL197"/>
  <c r="AH197"/>
  <c r="AD197"/>
  <c r="AO197" s="1"/>
  <c r="AM192"/>
  <c r="AI192"/>
  <c r="AE192"/>
  <c r="AC213"/>
  <c r="AN212"/>
  <c r="AM207"/>
  <c r="AE207"/>
  <c r="AC193"/>
  <c r="AD212"/>
  <c r="AO212" s="1"/>
  <c r="AG207"/>
  <c r="AC198"/>
  <c r="AH101" i="12"/>
  <c r="AT101" s="1"/>
  <c r="AL28" i="9"/>
  <c r="AH28"/>
  <c r="AD28"/>
  <c r="AM28"/>
  <c r="AI28"/>
  <c r="AE28"/>
  <c r="AJ28"/>
  <c r="AF28"/>
  <c r="AB28"/>
  <c r="AK28"/>
  <c r="AG28"/>
  <c r="AC28"/>
  <c r="O213" i="14"/>
  <c r="O188"/>
  <c r="O177"/>
  <c r="O115"/>
  <c r="O109"/>
  <c r="X46" i="13"/>
  <c r="Z7" i="2" s="1"/>
  <c r="AH46" i="13"/>
  <c r="AJ7" i="2" s="1"/>
  <c r="AA38" i="13"/>
  <c r="O37" i="14"/>
  <c r="AJ266"/>
  <c r="AK13" i="2" s="1"/>
  <c r="X266" i="14"/>
  <c r="Y13" i="2" s="1"/>
  <c r="T117" i="12"/>
  <c r="AD46" i="13"/>
  <c r="AF7" i="2" s="1"/>
  <c r="I102" i="12"/>
  <c r="O90"/>
  <c r="L266" i="14"/>
  <c r="M13" i="2" s="1"/>
  <c r="D266" i="14"/>
  <c r="E13" i="2" s="1"/>
  <c r="AG266" i="14"/>
  <c r="AH13" i="2" s="1"/>
  <c r="T79" i="12"/>
  <c r="AF102"/>
  <c r="AE102"/>
  <c r="AG100"/>
  <c r="AG83"/>
  <c r="N46" i="13"/>
  <c r="T90" i="12"/>
  <c r="P66"/>
  <c r="S42"/>
  <c r="I30"/>
  <c r="O18"/>
  <c r="AN43" i="13"/>
  <c r="AG62" i="12"/>
  <c r="T60"/>
  <c r="T56"/>
  <c r="X42"/>
  <c r="J30"/>
  <c r="T27"/>
  <c r="T23"/>
  <c r="P18"/>
  <c r="N6"/>
  <c r="N126" s="1"/>
  <c r="J24" i="2" s="1"/>
  <c r="J23" s="1"/>
  <c r="AG96" i="12"/>
  <c r="AB78"/>
  <c r="AA78"/>
  <c r="AG72"/>
  <c r="Z31" i="9"/>
  <c r="AB6" i="2" s="1"/>
  <c r="T7" i="12"/>
  <c r="AA28" i="9"/>
  <c r="AA23"/>
  <c r="S31"/>
  <c r="U6" i="2" s="1"/>
  <c r="T31" i="9"/>
  <c r="V6" i="2" s="1"/>
  <c r="T8" i="12"/>
  <c r="H6"/>
  <c r="Y31" i="9"/>
  <c r="AA6" i="2" s="1"/>
  <c r="D15" i="7"/>
  <c r="AN5" i="11"/>
  <c r="AA12" i="10"/>
  <c r="AN5"/>
  <c r="T10" i="2" l="1"/>
  <c r="E9"/>
  <c r="T102" i="12"/>
  <c r="S12" i="2"/>
  <c r="AN44" i="13"/>
  <c r="T8" i="2"/>
  <c r="T12"/>
  <c r="Y12"/>
  <c r="Y10"/>
  <c r="S10"/>
  <c r="X12"/>
  <c r="W12"/>
  <c r="X10"/>
  <c r="X9" s="1"/>
  <c r="W10"/>
  <c r="Y11"/>
  <c r="X11"/>
  <c r="S11"/>
  <c r="W11"/>
  <c r="AG45" i="12"/>
  <c r="X18" i="2"/>
  <c r="Z42" i="12"/>
  <c r="AE66"/>
  <c r="Y78"/>
  <c r="AA102"/>
  <c r="V102"/>
  <c r="X16" i="2"/>
  <c r="X17"/>
  <c r="AO202" i="14"/>
  <c r="AO192"/>
  <c r="AO233"/>
  <c r="AO228"/>
  <c r="AO30"/>
  <c r="AO218"/>
  <c r="AO238"/>
  <c r="AO207"/>
  <c r="AO129"/>
  <c r="AO98"/>
  <c r="AO103"/>
  <c r="V18" i="12"/>
  <c r="AF18"/>
  <c r="AC78"/>
  <c r="V90"/>
  <c r="Y90"/>
  <c r="U102"/>
  <c r="AO155" i="14"/>
  <c r="AO150"/>
  <c r="AB208"/>
  <c r="Z30" i="12"/>
  <c r="AC30"/>
  <c r="W42"/>
  <c r="AT100"/>
  <c r="AO166" i="14"/>
  <c r="AO186"/>
  <c r="AN38" i="13"/>
  <c r="AN45"/>
  <c r="AT70" i="12"/>
  <c r="X18"/>
  <c r="V54"/>
  <c r="Y54"/>
  <c r="AF54"/>
  <c r="AE54"/>
  <c r="AE78"/>
  <c r="U78"/>
  <c r="AB102"/>
  <c r="W102"/>
  <c r="Z102"/>
  <c r="AC102"/>
  <c r="AO160" i="14"/>
  <c r="V42" i="12"/>
  <c r="Y42"/>
  <c r="AO176" i="14"/>
  <c r="L126" i="12"/>
  <c r="H24" i="2" s="1"/>
  <c r="H23" s="1"/>
  <c r="D9"/>
  <c r="P12"/>
  <c r="AG19" i="12"/>
  <c r="AB135" i="14"/>
  <c r="P11" i="2"/>
  <c r="AO15" i="14"/>
  <c r="W14" i="2"/>
  <c r="AA17"/>
  <c r="S14"/>
  <c r="G16"/>
  <c r="G18"/>
  <c r="H16"/>
  <c r="AC46" i="13"/>
  <c r="AE7" i="2" s="1"/>
  <c r="AE10" s="1"/>
  <c r="AT83" i="12"/>
  <c r="AF78"/>
  <c r="Z78"/>
  <c r="X78"/>
  <c r="W78"/>
  <c r="S18" i="2"/>
  <c r="G14"/>
  <c r="AE14"/>
  <c r="Y66" i="12"/>
  <c r="Z66"/>
  <c r="V66"/>
  <c r="H14" i="2"/>
  <c r="AI17"/>
  <c r="AT74" i="12"/>
  <c r="AA18" i="2"/>
  <c r="AB66" i="12"/>
  <c r="AG71"/>
  <c r="W18" i="2"/>
  <c r="W17"/>
  <c r="W66" i="12"/>
  <c r="AG69"/>
  <c r="L14" i="2"/>
  <c r="K16"/>
  <c r="H18"/>
  <c r="AJ17"/>
  <c r="AE17"/>
  <c r="AE16"/>
  <c r="AD54" i="12"/>
  <c r="X54"/>
  <c r="W54"/>
  <c r="AA16" i="2"/>
  <c r="AA15" s="1"/>
  <c r="S17"/>
  <c r="L17"/>
  <c r="AN27" i="9"/>
  <c r="AO140" i="14"/>
  <c r="AO145"/>
  <c r="AB156"/>
  <c r="AO134"/>
  <c r="AO108"/>
  <c r="AO67"/>
  <c r="AO82"/>
  <c r="AO62"/>
  <c r="AB46" i="13"/>
  <c r="AD7" i="2" s="1"/>
  <c r="AB8"/>
  <c r="AA12"/>
  <c r="AA10"/>
  <c r="AB11"/>
  <c r="AA8"/>
  <c r="AB12"/>
  <c r="AM18"/>
  <c r="AM17"/>
  <c r="AE18" i="12"/>
  <c r="AC18"/>
  <c r="L16" i="2"/>
  <c r="AG10" i="12"/>
  <c r="AG57"/>
  <c r="AO77" i="14"/>
  <c r="AO20"/>
  <c r="AO88"/>
  <c r="Y40" i="2"/>
  <c r="AD42" i="12"/>
  <c r="AE42"/>
  <c r="AM16" i="2"/>
  <c r="AJ18"/>
  <c r="AJ16"/>
  <c r="AI16"/>
  <c r="AI14"/>
  <c r="AF17"/>
  <c r="AF18"/>
  <c r="AF16"/>
  <c r="AF42" i="12"/>
  <c r="AC42"/>
  <c r="AA42"/>
  <c r="AG52"/>
  <c r="O17" i="2"/>
  <c r="O16"/>
  <c r="O14"/>
  <c r="AB99" i="14"/>
  <c r="AO93"/>
  <c r="AN28" i="9"/>
  <c r="T54" i="12"/>
  <c r="AN24" i="9"/>
  <c r="P10" i="2"/>
  <c r="AB219" i="14"/>
  <c r="W18" i="12"/>
  <c r="AB18"/>
  <c r="AA18"/>
  <c r="P8" i="2"/>
  <c r="AB260" i="14"/>
  <c r="AB187"/>
  <c r="S126" i="12"/>
  <c r="O24" i="2" s="1"/>
  <c r="O23" s="1"/>
  <c r="AB234" i="14"/>
  <c r="AG50" i="12"/>
  <c r="AT76"/>
  <c r="AT98"/>
  <c r="AN25" i="9"/>
  <c r="AB115" i="14"/>
  <c r="K126" i="12"/>
  <c r="G24" i="2" s="1"/>
  <c r="G23" s="1"/>
  <c r="T66" i="12"/>
  <c r="AB193" i="14"/>
  <c r="T114" i="12"/>
  <c r="AL46" i="13"/>
  <c r="AN7" i="2" s="1"/>
  <c r="AN12" s="1"/>
  <c r="AE46" i="13"/>
  <c r="AG7" i="2" s="1"/>
  <c r="AG11" s="1"/>
  <c r="AO56" i="14"/>
  <c r="Y30" i="12"/>
  <c r="AG35"/>
  <c r="AG37"/>
  <c r="P126"/>
  <c r="L24" i="2" s="1"/>
  <c r="L23" s="1"/>
  <c r="O126" i="12"/>
  <c r="K24" i="2" s="1"/>
  <c r="K23" s="1"/>
  <c r="T17"/>
  <c r="T14"/>
  <c r="AG16" i="12"/>
  <c r="AB15" i="2"/>
  <c r="T16"/>
  <c r="AG26" i="12"/>
  <c r="K14" i="2"/>
  <c r="K18"/>
  <c r="T30" i="12"/>
  <c r="AO72" i="14"/>
  <c r="AO36"/>
  <c r="AO51"/>
  <c r="AO41"/>
  <c r="AB26"/>
  <c r="AB31"/>
  <c r="AL12" i="2"/>
  <c r="AL11"/>
  <c r="AL10"/>
  <c r="AL8"/>
  <c r="AE11"/>
  <c r="AH12"/>
  <c r="AH11"/>
  <c r="AH10"/>
  <c r="AH8"/>
  <c r="AO12"/>
  <c r="AO11"/>
  <c r="AO10"/>
  <c r="AO8"/>
  <c r="AA20"/>
  <c r="AA40"/>
  <c r="AK12"/>
  <c r="AK11"/>
  <c r="AK10"/>
  <c r="AK8"/>
  <c r="V40"/>
  <c r="V20"/>
  <c r="E18"/>
  <c r="E17"/>
  <c r="E16"/>
  <c r="E14"/>
  <c r="AS16" i="12"/>
  <c r="AO16"/>
  <c r="AK16"/>
  <c r="AQ16"/>
  <c r="AM16"/>
  <c r="AI16"/>
  <c r="AR16"/>
  <c r="AN16"/>
  <c r="AJ16"/>
  <c r="AL16"/>
  <c r="AP16"/>
  <c r="AH16"/>
  <c r="AH18" i="2"/>
  <c r="AH17"/>
  <c r="AH16"/>
  <c r="AH14"/>
  <c r="AK18"/>
  <c r="AK17"/>
  <c r="AK16"/>
  <c r="AK14"/>
  <c r="AJ12"/>
  <c r="AJ11"/>
  <c r="AJ10"/>
  <c r="AJ8"/>
  <c r="AD198" i="14"/>
  <c r="AE198" s="1"/>
  <c r="AF198" s="1"/>
  <c r="AG198" s="1"/>
  <c r="AH198" s="1"/>
  <c r="AI198" s="1"/>
  <c r="AJ198" s="1"/>
  <c r="AK198" s="1"/>
  <c r="AL198" s="1"/>
  <c r="AM198" s="1"/>
  <c r="AN198" s="1"/>
  <c r="AD125"/>
  <c r="AE125" s="1"/>
  <c r="AF125" s="1"/>
  <c r="AG125" s="1"/>
  <c r="AH125" s="1"/>
  <c r="AI125" s="1"/>
  <c r="AJ125" s="1"/>
  <c r="AK125" s="1"/>
  <c r="AL125" s="1"/>
  <c r="AM125" s="1"/>
  <c r="AN125" s="1"/>
  <c r="AQ55" i="12"/>
  <c r="AM55"/>
  <c r="AI55"/>
  <c r="AR55"/>
  <c r="AN55"/>
  <c r="AJ55"/>
  <c r="AS55"/>
  <c r="AO55"/>
  <c r="AK55"/>
  <c r="AP55"/>
  <c r="AL55"/>
  <c r="AH55"/>
  <c r="AS80"/>
  <c r="AO80"/>
  <c r="AK80"/>
  <c r="AP80"/>
  <c r="AL80"/>
  <c r="AH80"/>
  <c r="AQ80"/>
  <c r="AM80"/>
  <c r="AI80"/>
  <c r="AJ80"/>
  <c r="AN80"/>
  <c r="AR80"/>
  <c r="AS88"/>
  <c r="AO88"/>
  <c r="AK88"/>
  <c r="AP88"/>
  <c r="AL88"/>
  <c r="AH88"/>
  <c r="AQ88"/>
  <c r="AM88"/>
  <c r="AI88"/>
  <c r="AJ88"/>
  <c r="AN88"/>
  <c r="AR88"/>
  <c r="AG91"/>
  <c r="U90"/>
  <c r="AS97"/>
  <c r="AO97"/>
  <c r="AK97"/>
  <c r="AP97"/>
  <c r="AL97"/>
  <c r="AH97"/>
  <c r="AQ97"/>
  <c r="AM97"/>
  <c r="AI97"/>
  <c r="AJ97"/>
  <c r="AN97"/>
  <c r="AR97"/>
  <c r="AS108"/>
  <c r="AO108"/>
  <c r="AK108"/>
  <c r="AP108"/>
  <c r="AL108"/>
  <c r="AH108"/>
  <c r="AQ108"/>
  <c r="AM108"/>
  <c r="AI108"/>
  <c r="AN108"/>
  <c r="AR108"/>
  <c r="AJ108"/>
  <c r="X40" i="2"/>
  <c r="X20"/>
  <c r="AD156" i="14"/>
  <c r="AE156" s="1"/>
  <c r="AF156" s="1"/>
  <c r="AG156" s="1"/>
  <c r="AH156" s="1"/>
  <c r="AI156" s="1"/>
  <c r="AJ156" s="1"/>
  <c r="AK156" s="1"/>
  <c r="AL156" s="1"/>
  <c r="AM156" s="1"/>
  <c r="AN156" s="1"/>
  <c r="AD68"/>
  <c r="AE68" s="1"/>
  <c r="AF68" s="1"/>
  <c r="AG68" s="1"/>
  <c r="AH68" s="1"/>
  <c r="AI68" s="1"/>
  <c r="AJ68" s="1"/>
  <c r="AK68" s="1"/>
  <c r="AL68" s="1"/>
  <c r="AM68" s="1"/>
  <c r="AN68" s="1"/>
  <c r="AA31" i="9"/>
  <c r="Q6" i="2"/>
  <c r="U30" i="12"/>
  <c r="AG31"/>
  <c r="AQ39"/>
  <c r="AM39"/>
  <c r="AI39"/>
  <c r="AR39"/>
  <c r="AN39"/>
  <c r="AJ39"/>
  <c r="AS39"/>
  <c r="AO39"/>
  <c r="AK39"/>
  <c r="AP39"/>
  <c r="AL39"/>
  <c r="AH39"/>
  <c r="AQ69"/>
  <c r="AM69"/>
  <c r="AI69"/>
  <c r="AS69"/>
  <c r="AN69"/>
  <c r="AH69"/>
  <c r="AO69"/>
  <c r="AJ69"/>
  <c r="AP69"/>
  <c r="AK69"/>
  <c r="AR69"/>
  <c r="AL69"/>
  <c r="S20" i="2"/>
  <c r="S40"/>
  <c r="O266" i="14"/>
  <c r="D13" i="2"/>
  <c r="AG18"/>
  <c r="AG17"/>
  <c r="AG16"/>
  <c r="AG14"/>
  <c r="AD89" i="14"/>
  <c r="AE89" s="1"/>
  <c r="AF89" s="1"/>
  <c r="AG89" s="1"/>
  <c r="AH89" s="1"/>
  <c r="AI89" s="1"/>
  <c r="AJ89" s="1"/>
  <c r="AK89" s="1"/>
  <c r="AL89" s="1"/>
  <c r="AM89" s="1"/>
  <c r="AN89" s="1"/>
  <c r="AD99"/>
  <c r="AE99" s="1"/>
  <c r="AF99" s="1"/>
  <c r="AG99" s="1"/>
  <c r="AH99" s="1"/>
  <c r="AI99" s="1"/>
  <c r="AJ99" s="1"/>
  <c r="AK99" s="1"/>
  <c r="AL99" s="1"/>
  <c r="AM99" s="1"/>
  <c r="AN99" s="1"/>
  <c r="AB31" i="9"/>
  <c r="AN21"/>
  <c r="AD16" i="14"/>
  <c r="AE16" s="1"/>
  <c r="AF16" s="1"/>
  <c r="AG16" s="1"/>
  <c r="AH16" s="1"/>
  <c r="AI16" s="1"/>
  <c r="AJ16" s="1"/>
  <c r="AK16" s="1"/>
  <c r="AL16" s="1"/>
  <c r="AM16" s="1"/>
  <c r="AN16" s="1"/>
  <c r="AD31"/>
  <c r="AE31" s="1"/>
  <c r="AF31" s="1"/>
  <c r="AG31" s="1"/>
  <c r="AH31" s="1"/>
  <c r="AI31" s="1"/>
  <c r="AJ31" s="1"/>
  <c r="AK31" s="1"/>
  <c r="AL31" s="1"/>
  <c r="AM31" s="1"/>
  <c r="AN31" s="1"/>
  <c r="AD219"/>
  <c r="AE219" s="1"/>
  <c r="AF219" s="1"/>
  <c r="AG219" s="1"/>
  <c r="AH219" s="1"/>
  <c r="AI219" s="1"/>
  <c r="AJ219" s="1"/>
  <c r="AK219" s="1"/>
  <c r="AL219" s="1"/>
  <c r="AM219" s="1"/>
  <c r="AN219" s="1"/>
  <c r="AD239"/>
  <c r="AE239" s="1"/>
  <c r="AF239" s="1"/>
  <c r="AG239" s="1"/>
  <c r="AH239" s="1"/>
  <c r="AI239" s="1"/>
  <c r="AJ239" s="1"/>
  <c r="AK239" s="1"/>
  <c r="AL239" s="1"/>
  <c r="AM239" s="1"/>
  <c r="AN239" s="1"/>
  <c r="AT79" i="12"/>
  <c r="AS7"/>
  <c r="AO7"/>
  <c r="AK7"/>
  <c r="AP7"/>
  <c r="AL7"/>
  <c r="AH7"/>
  <c r="AQ7"/>
  <c r="AI7"/>
  <c r="AR7"/>
  <c r="AJ7"/>
  <c r="AM7"/>
  <c r="AN7"/>
  <c r="AG7"/>
  <c r="U6"/>
  <c r="AS11"/>
  <c r="AO11"/>
  <c r="AK11"/>
  <c r="AP11"/>
  <c r="AL11"/>
  <c r="AH11"/>
  <c r="AM11"/>
  <c r="AN11"/>
  <c r="AQ11"/>
  <c r="AI11"/>
  <c r="AR11"/>
  <c r="AJ11"/>
  <c r="AS15"/>
  <c r="AO15"/>
  <c r="AK15"/>
  <c r="AP15"/>
  <c r="AL15"/>
  <c r="AH15"/>
  <c r="AQ15"/>
  <c r="AI15"/>
  <c r="AR15"/>
  <c r="AJ15"/>
  <c r="AM15"/>
  <c r="AN15"/>
  <c r="AQ57"/>
  <c r="AM57"/>
  <c r="AI57"/>
  <c r="AR57"/>
  <c r="AN57"/>
  <c r="AJ57"/>
  <c r="AS57"/>
  <c r="AO57"/>
  <c r="AK57"/>
  <c r="AP57"/>
  <c r="AL57"/>
  <c r="AH57"/>
  <c r="AD57" i="14"/>
  <c r="AE57" s="1"/>
  <c r="AF57" s="1"/>
  <c r="AG57" s="1"/>
  <c r="AH57" s="1"/>
  <c r="AI57" s="1"/>
  <c r="AJ57" s="1"/>
  <c r="AK57" s="1"/>
  <c r="AL57" s="1"/>
  <c r="AM57" s="1"/>
  <c r="AN57" s="1"/>
  <c r="AD37"/>
  <c r="AE37" s="1"/>
  <c r="AF37" s="1"/>
  <c r="AG37" s="1"/>
  <c r="AH37" s="1"/>
  <c r="AI37" s="1"/>
  <c r="AJ37" s="1"/>
  <c r="AK37" s="1"/>
  <c r="AL37" s="1"/>
  <c r="AM37" s="1"/>
  <c r="AN37" s="1"/>
  <c r="AD250"/>
  <c r="AE250" s="1"/>
  <c r="AF250" s="1"/>
  <c r="AG250" s="1"/>
  <c r="AH250" s="1"/>
  <c r="AI250" s="1"/>
  <c r="AJ250" s="1"/>
  <c r="AK250" s="1"/>
  <c r="AL250" s="1"/>
  <c r="AM250" s="1"/>
  <c r="AN250" s="1"/>
  <c r="AD177"/>
  <c r="AE177" s="1"/>
  <c r="AF177" s="1"/>
  <c r="AG177" s="1"/>
  <c r="AH177" s="1"/>
  <c r="AI177" s="1"/>
  <c r="AJ177" s="1"/>
  <c r="AK177" s="1"/>
  <c r="AL177" s="1"/>
  <c r="AM177" s="1"/>
  <c r="AN177" s="1"/>
  <c r="AB47"/>
  <c r="AB245"/>
  <c r="AB78"/>
  <c r="AB125"/>
  <c r="AB172"/>
  <c r="AG22" i="12"/>
  <c r="Z54"/>
  <c r="AC54"/>
  <c r="X66"/>
  <c r="AA66"/>
  <c r="AT36"/>
  <c r="AT49"/>
  <c r="AT56"/>
  <c r="V78"/>
  <c r="AG82"/>
  <c r="AF90"/>
  <c r="AE90"/>
  <c r="AG99"/>
  <c r="AG110"/>
  <c r="X114"/>
  <c r="AA114"/>
  <c r="AD114"/>
  <c r="AF114"/>
  <c r="J126"/>
  <c r="F24" i="2" s="1"/>
  <c r="F23" s="1"/>
  <c r="AN26" i="9"/>
  <c r="AB265" i="14"/>
  <c r="AB229"/>
  <c r="AB30" i="12"/>
  <c r="AA30"/>
  <c r="AG48"/>
  <c r="AT94"/>
  <c r="AG116"/>
  <c r="AG124"/>
  <c r="AG8"/>
  <c r="AB37" i="14"/>
  <c r="AB141"/>
  <c r="AB203"/>
  <c r="AI31" i="9"/>
  <c r="AK6" i="2" s="1"/>
  <c r="AL31" i="9"/>
  <c r="AN6" i="2" s="1"/>
  <c r="AN29" i="9"/>
  <c r="AB63" i="14"/>
  <c r="AB224"/>
  <c r="AT96" i="12"/>
  <c r="AA6"/>
  <c r="AG15"/>
  <c r="AG24"/>
  <c r="AN42" i="13"/>
  <c r="AT21" i="12"/>
  <c r="AB42" i="14"/>
  <c r="AB161"/>
  <c r="AB213"/>
  <c r="AB255"/>
  <c r="E16" i="7"/>
  <c r="AB73" i="14"/>
  <c r="AB182"/>
  <c r="Z18" i="12"/>
  <c r="AG33"/>
  <c r="T42"/>
  <c r="AG46"/>
  <c r="O15" i="2"/>
  <c r="AN15"/>
  <c r="M18"/>
  <c r="M17"/>
  <c r="M16"/>
  <c r="M14"/>
  <c r="Z12"/>
  <c r="Z11"/>
  <c r="Z10"/>
  <c r="Z8"/>
  <c r="H126" i="12"/>
  <c r="T6"/>
  <c r="Y18" i="2"/>
  <c r="Y17"/>
  <c r="Y16"/>
  <c r="Y14"/>
  <c r="AD193" i="14"/>
  <c r="AE193" s="1"/>
  <c r="AF193" s="1"/>
  <c r="AG193" s="1"/>
  <c r="AH193" s="1"/>
  <c r="AI193" s="1"/>
  <c r="AJ193" s="1"/>
  <c r="AK193" s="1"/>
  <c r="AL193" s="1"/>
  <c r="AM193" s="1"/>
  <c r="AN193" s="1"/>
  <c r="AD213"/>
  <c r="AE213" s="1"/>
  <c r="AF213" s="1"/>
  <c r="AG213" s="1"/>
  <c r="AH213" s="1"/>
  <c r="AI213" s="1"/>
  <c r="AJ213" s="1"/>
  <c r="AK213" s="1"/>
  <c r="AL213" s="1"/>
  <c r="AM213" s="1"/>
  <c r="AN213" s="1"/>
  <c r="AD203"/>
  <c r="AE203" s="1"/>
  <c r="AF203" s="1"/>
  <c r="AG203" s="1"/>
  <c r="AH203" s="1"/>
  <c r="AI203" s="1"/>
  <c r="AJ203" s="1"/>
  <c r="AK203" s="1"/>
  <c r="AL203" s="1"/>
  <c r="AM203" s="1"/>
  <c r="AN203" s="1"/>
  <c r="AD130"/>
  <c r="AE130" s="1"/>
  <c r="AF130" s="1"/>
  <c r="AG130" s="1"/>
  <c r="AH130" s="1"/>
  <c r="AI130" s="1"/>
  <c r="AJ130" s="1"/>
  <c r="AK130" s="1"/>
  <c r="AL130" s="1"/>
  <c r="AM130" s="1"/>
  <c r="AN130" s="1"/>
  <c r="AD120"/>
  <c r="AE120" s="1"/>
  <c r="AF120" s="1"/>
  <c r="AG120" s="1"/>
  <c r="AH120" s="1"/>
  <c r="AI120" s="1"/>
  <c r="AJ120" s="1"/>
  <c r="AK120" s="1"/>
  <c r="AL120" s="1"/>
  <c r="AM120" s="1"/>
  <c r="AN120" s="1"/>
  <c r="AQ26" i="12"/>
  <c r="AM26"/>
  <c r="AI26"/>
  <c r="AR26"/>
  <c r="AN26"/>
  <c r="AJ26"/>
  <c r="AS26"/>
  <c r="AO26"/>
  <c r="AK26"/>
  <c r="AP26"/>
  <c r="AL26"/>
  <c r="AH26"/>
  <c r="U66"/>
  <c r="AG67"/>
  <c r="AS75"/>
  <c r="AO75"/>
  <c r="AK75"/>
  <c r="AP75"/>
  <c r="AL75"/>
  <c r="AH75"/>
  <c r="AQ75"/>
  <c r="AM75"/>
  <c r="AI75"/>
  <c r="AJ75"/>
  <c r="AN75"/>
  <c r="AR75"/>
  <c r="AS86"/>
  <c r="AO86"/>
  <c r="AK86"/>
  <c r="AP86"/>
  <c r="AL86"/>
  <c r="AH86"/>
  <c r="AQ86"/>
  <c r="AM86"/>
  <c r="AI86"/>
  <c r="AN86"/>
  <c r="AR86"/>
  <c r="AJ86"/>
  <c r="AS95"/>
  <c r="AO95"/>
  <c r="AK95"/>
  <c r="AP95"/>
  <c r="AL95"/>
  <c r="AH95"/>
  <c r="AQ95"/>
  <c r="AM95"/>
  <c r="AI95"/>
  <c r="AN95"/>
  <c r="AR95"/>
  <c r="AJ95"/>
  <c r="AS106"/>
  <c r="AO106"/>
  <c r="AK106"/>
  <c r="AP106"/>
  <c r="AL106"/>
  <c r="AH106"/>
  <c r="AQ106"/>
  <c r="AM106"/>
  <c r="AI106"/>
  <c r="AR106"/>
  <c r="AJ106"/>
  <c r="AN106"/>
  <c r="V12" i="2"/>
  <c r="V11"/>
  <c r="V10"/>
  <c r="V8"/>
  <c r="AD161" i="14"/>
  <c r="AE161" s="1"/>
  <c r="AF161" s="1"/>
  <c r="AG161" s="1"/>
  <c r="AH161" s="1"/>
  <c r="AI161" s="1"/>
  <c r="AJ161" s="1"/>
  <c r="AK161" s="1"/>
  <c r="AL161" s="1"/>
  <c r="AM161" s="1"/>
  <c r="AN161" s="1"/>
  <c r="D40" i="2"/>
  <c r="P40" s="1"/>
  <c r="D20"/>
  <c r="P6"/>
  <c r="AQ35" i="12"/>
  <c r="AM35"/>
  <c r="AI35"/>
  <c r="AR35"/>
  <c r="AN35"/>
  <c r="AJ35"/>
  <c r="AS35"/>
  <c r="AO35"/>
  <c r="AK35"/>
  <c r="AP35"/>
  <c r="AL35"/>
  <c r="AH35"/>
  <c r="AQ52"/>
  <c r="AM52"/>
  <c r="AI52"/>
  <c r="AR52"/>
  <c r="AN52"/>
  <c r="AJ52"/>
  <c r="AS52"/>
  <c r="AO52"/>
  <c r="AK52"/>
  <c r="AP52"/>
  <c r="AL52"/>
  <c r="AH52"/>
  <c r="AT103"/>
  <c r="AS118"/>
  <c r="AO118"/>
  <c r="AK118"/>
  <c r="AP118"/>
  <c r="AL118"/>
  <c r="AH118"/>
  <c r="AM118"/>
  <c r="AN118"/>
  <c r="AQ118"/>
  <c r="AI118"/>
  <c r="AR118"/>
  <c r="AJ118"/>
  <c r="AS122"/>
  <c r="AO122"/>
  <c r="AK122"/>
  <c r="AP122"/>
  <c r="AL122"/>
  <c r="AH122"/>
  <c r="AQ122"/>
  <c r="AI122"/>
  <c r="AR122"/>
  <c r="AJ122"/>
  <c r="AM122"/>
  <c r="AN122"/>
  <c r="I18" i="2"/>
  <c r="I17"/>
  <c r="I16"/>
  <c r="I14"/>
  <c r="U18"/>
  <c r="U17"/>
  <c r="U16"/>
  <c r="U14"/>
  <c r="AD94" i="14"/>
  <c r="AE94" s="1"/>
  <c r="AF94" s="1"/>
  <c r="AG94" s="1"/>
  <c r="AH94" s="1"/>
  <c r="AI94" s="1"/>
  <c r="AJ94" s="1"/>
  <c r="AK94" s="1"/>
  <c r="AL94" s="1"/>
  <c r="AM94" s="1"/>
  <c r="AN94" s="1"/>
  <c r="AQ8" i="12"/>
  <c r="AM8"/>
  <c r="AI8"/>
  <c r="AR8"/>
  <c r="AN8"/>
  <c r="AJ8"/>
  <c r="AO8"/>
  <c r="AP8"/>
  <c r="AH8"/>
  <c r="AS8"/>
  <c r="AK8"/>
  <c r="AL8"/>
  <c r="AD26" i="14"/>
  <c r="AE26" s="1"/>
  <c r="AF26" s="1"/>
  <c r="AG26" s="1"/>
  <c r="AH26" s="1"/>
  <c r="AI26" s="1"/>
  <c r="AJ26" s="1"/>
  <c r="AK26" s="1"/>
  <c r="AL26" s="1"/>
  <c r="AM26" s="1"/>
  <c r="AN26" s="1"/>
  <c r="AD21"/>
  <c r="AE21" s="1"/>
  <c r="AF21" s="1"/>
  <c r="AG21" s="1"/>
  <c r="AH21" s="1"/>
  <c r="AI21" s="1"/>
  <c r="AJ21" s="1"/>
  <c r="AK21" s="1"/>
  <c r="AL21" s="1"/>
  <c r="AM21" s="1"/>
  <c r="AN21" s="1"/>
  <c r="AQ28" i="12"/>
  <c r="AM28"/>
  <c r="AI28"/>
  <c r="AR28"/>
  <c r="AN28"/>
  <c r="AJ28"/>
  <c r="AS28"/>
  <c r="AO28"/>
  <c r="AK28"/>
  <c r="AP28"/>
  <c r="AL28"/>
  <c r="AH28"/>
  <c r="D4" i="16"/>
  <c r="D20" s="1"/>
  <c r="E5" i="14"/>
  <c r="D4" i="13"/>
  <c r="D35" s="1"/>
  <c r="D4" i="11"/>
  <c r="D4" i="10"/>
  <c r="J5" i="12"/>
  <c r="D4" i="9"/>
  <c r="D20" s="1"/>
  <c r="AD47" i="14"/>
  <c r="AE47" s="1"/>
  <c r="AF47" s="1"/>
  <c r="AG47" s="1"/>
  <c r="AH47" s="1"/>
  <c r="AI47" s="1"/>
  <c r="AJ47" s="1"/>
  <c r="AK47" s="1"/>
  <c r="AL47" s="1"/>
  <c r="AM47" s="1"/>
  <c r="AN47" s="1"/>
  <c r="AD52"/>
  <c r="AE52" s="1"/>
  <c r="AF52" s="1"/>
  <c r="AG52" s="1"/>
  <c r="AH52" s="1"/>
  <c r="AI52" s="1"/>
  <c r="AJ52" s="1"/>
  <c r="AK52" s="1"/>
  <c r="AL52" s="1"/>
  <c r="AM52" s="1"/>
  <c r="AN52" s="1"/>
  <c r="AD255"/>
  <c r="AE255" s="1"/>
  <c r="AF255" s="1"/>
  <c r="AG255" s="1"/>
  <c r="AH255" s="1"/>
  <c r="AI255" s="1"/>
  <c r="AJ255" s="1"/>
  <c r="AK255" s="1"/>
  <c r="AL255" s="1"/>
  <c r="AM255" s="1"/>
  <c r="AN255" s="1"/>
  <c r="C17" i="7"/>
  <c r="G52" i="2" s="1"/>
  <c r="A18" i="7"/>
  <c r="B17"/>
  <c r="G51" i="2" s="1"/>
  <c r="AD182" i="14"/>
  <c r="AE182" s="1"/>
  <c r="AF182" s="1"/>
  <c r="AG182" s="1"/>
  <c r="AH182" s="1"/>
  <c r="AI182" s="1"/>
  <c r="AJ182" s="1"/>
  <c r="AK182" s="1"/>
  <c r="AL182" s="1"/>
  <c r="AM182" s="1"/>
  <c r="AN182" s="1"/>
  <c r="AQ37" i="12"/>
  <c r="AM37"/>
  <c r="AI37"/>
  <c r="AR37"/>
  <c r="AN37"/>
  <c r="AJ37"/>
  <c r="AS37"/>
  <c r="AO37"/>
  <c r="AK37"/>
  <c r="AP37"/>
  <c r="AL37"/>
  <c r="AH37"/>
  <c r="AQ50"/>
  <c r="AM50"/>
  <c r="AI50"/>
  <c r="AR50"/>
  <c r="AN50"/>
  <c r="AJ50"/>
  <c r="AS50"/>
  <c r="AO50"/>
  <c r="AK50"/>
  <c r="AP50"/>
  <c r="AL50"/>
  <c r="AH50"/>
  <c r="AA46" i="13"/>
  <c r="Q7" i="2"/>
  <c r="AB57" i="14"/>
  <c r="AB109"/>
  <c r="AB250"/>
  <c r="AT87" i="12"/>
  <c r="AT109"/>
  <c r="AG59"/>
  <c r="AD66"/>
  <c r="AT92"/>
  <c r="AT105"/>
  <c r="AG117"/>
  <c r="AG80"/>
  <c r="AG88"/>
  <c r="X90"/>
  <c r="AA90"/>
  <c r="AD90"/>
  <c r="AG97"/>
  <c r="AG108"/>
  <c r="W114"/>
  <c r="Z114"/>
  <c r="AC114"/>
  <c r="O9" i="2"/>
  <c r="AN41" i="13"/>
  <c r="AN20" i="11"/>
  <c r="AB52" i="14"/>
  <c r="AB104"/>
  <c r="AN23" i="9"/>
  <c r="AD30" i="12"/>
  <c r="X30"/>
  <c r="W30"/>
  <c r="AG44"/>
  <c r="AT27"/>
  <c r="AT34"/>
  <c r="AT47"/>
  <c r="AT81"/>
  <c r="K9" i="2"/>
  <c r="AG122" i="12"/>
  <c r="AK46" i="13"/>
  <c r="AM7" i="2" s="1"/>
  <c r="AK31" i="9"/>
  <c r="AM6" i="2" s="1"/>
  <c r="AE31" i="9"/>
  <c r="AG6" i="2" s="1"/>
  <c r="AH31" i="9"/>
  <c r="AJ6" i="2" s="1"/>
  <c r="AB11" i="14"/>
  <c r="AB130"/>
  <c r="AB239"/>
  <c r="AF6" i="12"/>
  <c r="AB6"/>
  <c r="AD6"/>
  <c r="AG13"/>
  <c r="T18"/>
  <c r="AT25"/>
  <c r="AT32"/>
  <c r="AT40"/>
  <c r="AT45"/>
  <c r="AQ22" i="2"/>
  <c r="R126" i="12"/>
  <c r="N24" i="2" s="1"/>
  <c r="N23" s="1"/>
  <c r="I126" i="12"/>
  <c r="E24" i="2" s="1"/>
  <c r="E23" s="1"/>
  <c r="AN22" i="9"/>
  <c r="AN30"/>
  <c r="AB16" i="14"/>
  <c r="AB83"/>
  <c r="AB120"/>
  <c r="AB167"/>
  <c r="AT85" i="12"/>
  <c r="AT107"/>
  <c r="AT64"/>
  <c r="AT111"/>
  <c r="S9" i="2"/>
  <c r="AB9"/>
  <c r="AB40"/>
  <c r="AB20"/>
  <c r="AD208" i="14"/>
  <c r="AE208" s="1"/>
  <c r="AF208" s="1"/>
  <c r="AG208" s="1"/>
  <c r="AH208" s="1"/>
  <c r="AI208" s="1"/>
  <c r="AJ208" s="1"/>
  <c r="AK208" s="1"/>
  <c r="AL208" s="1"/>
  <c r="AM208" s="1"/>
  <c r="AN208" s="1"/>
  <c r="AD135"/>
  <c r="AE135" s="1"/>
  <c r="AF135" s="1"/>
  <c r="AG135" s="1"/>
  <c r="AH135" s="1"/>
  <c r="AI135" s="1"/>
  <c r="AJ135" s="1"/>
  <c r="AK135" s="1"/>
  <c r="AL135" s="1"/>
  <c r="AM135" s="1"/>
  <c r="AN135" s="1"/>
  <c r="AQ22" i="12"/>
  <c r="AM22"/>
  <c r="AI22"/>
  <c r="AR22"/>
  <c r="AN22"/>
  <c r="AJ22"/>
  <c r="AS22"/>
  <c r="AO22"/>
  <c r="AK22"/>
  <c r="AP22"/>
  <c r="AL22"/>
  <c r="AH22"/>
  <c r="U54"/>
  <c r="AG55"/>
  <c r="AQ67"/>
  <c r="AM67"/>
  <c r="AI67"/>
  <c r="AS67"/>
  <c r="AN67"/>
  <c r="AH67"/>
  <c r="AO67"/>
  <c r="AJ67"/>
  <c r="AP67"/>
  <c r="AK67"/>
  <c r="AR67"/>
  <c r="AL67"/>
  <c r="AB266" i="14"/>
  <c r="Q13" i="2"/>
  <c r="AS73" i="12"/>
  <c r="AO73"/>
  <c r="AK73"/>
  <c r="AP73"/>
  <c r="AL73"/>
  <c r="AH73"/>
  <c r="AQ73"/>
  <c r="AM73"/>
  <c r="AI73"/>
  <c r="AN73"/>
  <c r="AR73"/>
  <c r="AJ73"/>
  <c r="AS84"/>
  <c r="AO84"/>
  <c r="AK84"/>
  <c r="AP84"/>
  <c r="AL84"/>
  <c r="AH84"/>
  <c r="AQ84"/>
  <c r="AM84"/>
  <c r="AI84"/>
  <c r="AR84"/>
  <c r="AJ84"/>
  <c r="AN84"/>
  <c r="AS93"/>
  <c r="AO93"/>
  <c r="AK93"/>
  <c r="AP93"/>
  <c r="AL93"/>
  <c r="AH93"/>
  <c r="AQ93"/>
  <c r="AM93"/>
  <c r="AI93"/>
  <c r="AR93"/>
  <c r="AJ93"/>
  <c r="AN93"/>
  <c r="AS104"/>
  <c r="AO104"/>
  <c r="AK104"/>
  <c r="AP104"/>
  <c r="AL104"/>
  <c r="AH104"/>
  <c r="AQ104"/>
  <c r="AM104"/>
  <c r="AI104"/>
  <c r="AJ104"/>
  <c r="AN104"/>
  <c r="AR104"/>
  <c r="AS112"/>
  <c r="AO112"/>
  <c r="AK112"/>
  <c r="AP112"/>
  <c r="AL112"/>
  <c r="AH112"/>
  <c r="AQ112"/>
  <c r="AM112"/>
  <c r="AI112"/>
  <c r="AJ112"/>
  <c r="AN112"/>
  <c r="AR112"/>
  <c r="AQ115"/>
  <c r="AM115"/>
  <c r="AR115"/>
  <c r="AN115"/>
  <c r="AJ115"/>
  <c r="AO115"/>
  <c r="AH115"/>
  <c r="AP115"/>
  <c r="AI115"/>
  <c r="AS115"/>
  <c r="AK115"/>
  <c r="AL115"/>
  <c r="R40" i="2"/>
  <c r="R20"/>
  <c r="Z18"/>
  <c r="Z17"/>
  <c r="Z16"/>
  <c r="Z14"/>
  <c r="N18"/>
  <c r="N17"/>
  <c r="N16"/>
  <c r="N14"/>
  <c r="AD146" i="14"/>
  <c r="AE146" s="1"/>
  <c r="AF146" s="1"/>
  <c r="AG146" s="1"/>
  <c r="AH146" s="1"/>
  <c r="AI146" s="1"/>
  <c r="AJ146" s="1"/>
  <c r="AK146" s="1"/>
  <c r="AL146" s="1"/>
  <c r="AM146" s="1"/>
  <c r="AN146" s="1"/>
  <c r="AD141"/>
  <c r="AE141" s="1"/>
  <c r="AF141" s="1"/>
  <c r="AG141" s="1"/>
  <c r="AH141" s="1"/>
  <c r="AI141" s="1"/>
  <c r="AJ141" s="1"/>
  <c r="AK141" s="1"/>
  <c r="AL141" s="1"/>
  <c r="AM141" s="1"/>
  <c r="AN141" s="1"/>
  <c r="AD83"/>
  <c r="AE83" s="1"/>
  <c r="AF83" s="1"/>
  <c r="AG83" s="1"/>
  <c r="AH83" s="1"/>
  <c r="AI83" s="1"/>
  <c r="AJ83" s="1"/>
  <c r="AK83" s="1"/>
  <c r="AL83" s="1"/>
  <c r="AM83" s="1"/>
  <c r="AN83" s="1"/>
  <c r="AD78"/>
  <c r="AE78" s="1"/>
  <c r="AF78" s="1"/>
  <c r="AG78" s="1"/>
  <c r="AH78" s="1"/>
  <c r="AI78" s="1"/>
  <c r="AJ78" s="1"/>
  <c r="AK78" s="1"/>
  <c r="AL78" s="1"/>
  <c r="AM78" s="1"/>
  <c r="AN78" s="1"/>
  <c r="AD73"/>
  <c r="AE73" s="1"/>
  <c r="AF73" s="1"/>
  <c r="AG73" s="1"/>
  <c r="AH73" s="1"/>
  <c r="AI73" s="1"/>
  <c r="AJ73" s="1"/>
  <c r="AK73" s="1"/>
  <c r="AL73" s="1"/>
  <c r="AM73" s="1"/>
  <c r="AN73" s="1"/>
  <c r="AQ31" i="12"/>
  <c r="AM31"/>
  <c r="AI31"/>
  <c r="AR31"/>
  <c r="AN31"/>
  <c r="AJ31"/>
  <c r="AS31"/>
  <c r="AO31"/>
  <c r="AK31"/>
  <c r="AP31"/>
  <c r="AL31"/>
  <c r="AH31"/>
  <c r="AQ48"/>
  <c r="AM48"/>
  <c r="AI48"/>
  <c r="AR48"/>
  <c r="AN48"/>
  <c r="AJ48"/>
  <c r="AS48"/>
  <c r="AO48"/>
  <c r="AK48"/>
  <c r="AP48"/>
  <c r="AL48"/>
  <c r="AH48"/>
  <c r="T40" i="2"/>
  <c r="T20"/>
  <c r="AL18"/>
  <c r="AL17"/>
  <c r="AL16"/>
  <c r="AL14"/>
  <c r="R12"/>
  <c r="R11"/>
  <c r="R10"/>
  <c r="R8"/>
  <c r="AD104" i="14"/>
  <c r="AE104" s="1"/>
  <c r="AF104" s="1"/>
  <c r="AG104" s="1"/>
  <c r="AH104" s="1"/>
  <c r="AI104" s="1"/>
  <c r="AJ104" s="1"/>
  <c r="AK104" s="1"/>
  <c r="AL104" s="1"/>
  <c r="AM104" s="1"/>
  <c r="AN104" s="1"/>
  <c r="AD11"/>
  <c r="AE11" s="1"/>
  <c r="AF11" s="1"/>
  <c r="AG11" s="1"/>
  <c r="AH11" s="1"/>
  <c r="AI11" s="1"/>
  <c r="AJ11" s="1"/>
  <c r="AK11" s="1"/>
  <c r="AL11" s="1"/>
  <c r="AM11" s="1"/>
  <c r="AN11" s="1"/>
  <c r="AO11" s="1"/>
  <c r="AD234"/>
  <c r="AE234" s="1"/>
  <c r="AF234" s="1"/>
  <c r="AG234" s="1"/>
  <c r="AH234" s="1"/>
  <c r="AI234" s="1"/>
  <c r="AJ234" s="1"/>
  <c r="AK234" s="1"/>
  <c r="AL234" s="1"/>
  <c r="AM234" s="1"/>
  <c r="AN234" s="1"/>
  <c r="AD229"/>
  <c r="AE229" s="1"/>
  <c r="AF229" s="1"/>
  <c r="AG229" s="1"/>
  <c r="AH229" s="1"/>
  <c r="AI229" s="1"/>
  <c r="AJ229" s="1"/>
  <c r="AK229" s="1"/>
  <c r="AL229" s="1"/>
  <c r="AM229" s="1"/>
  <c r="AN229" s="1"/>
  <c r="AQ12" i="12"/>
  <c r="AM12"/>
  <c r="AI12"/>
  <c r="AR12"/>
  <c r="AN12"/>
  <c r="AJ12"/>
  <c r="AS12"/>
  <c r="AK12"/>
  <c r="AL12"/>
  <c r="AO12"/>
  <c r="AP12"/>
  <c r="AH12"/>
  <c r="AS9"/>
  <c r="AO9"/>
  <c r="AK9"/>
  <c r="AP9"/>
  <c r="AL9"/>
  <c r="AH9"/>
  <c r="AR9"/>
  <c r="AJ9"/>
  <c r="AM9"/>
  <c r="AN9"/>
  <c r="AQ9"/>
  <c r="AI9"/>
  <c r="AQ24"/>
  <c r="AM24"/>
  <c r="AI24"/>
  <c r="AR24"/>
  <c r="AN24"/>
  <c r="AJ24"/>
  <c r="AS24"/>
  <c r="AO24"/>
  <c r="AK24"/>
  <c r="AP24"/>
  <c r="AL24"/>
  <c r="AH24"/>
  <c r="AO266" i="14"/>
  <c r="AD13" i="2"/>
  <c r="Z40"/>
  <c r="Z20"/>
  <c r="V18"/>
  <c r="V17"/>
  <c r="V16"/>
  <c r="V14"/>
  <c r="J18"/>
  <c r="J17"/>
  <c r="J16"/>
  <c r="J14"/>
  <c r="G9" i="1"/>
  <c r="G5" i="2"/>
  <c r="AD42" i="14"/>
  <c r="AE42" s="1"/>
  <c r="AF42" s="1"/>
  <c r="AG42" s="1"/>
  <c r="AH42" s="1"/>
  <c r="AI42" s="1"/>
  <c r="AJ42" s="1"/>
  <c r="AK42" s="1"/>
  <c r="AL42" s="1"/>
  <c r="AM42" s="1"/>
  <c r="AN42" s="1"/>
  <c r="AD260"/>
  <c r="AE260" s="1"/>
  <c r="AF260" s="1"/>
  <c r="AG260" s="1"/>
  <c r="AH260" s="1"/>
  <c r="AI260" s="1"/>
  <c r="AJ260" s="1"/>
  <c r="AK260" s="1"/>
  <c r="AL260" s="1"/>
  <c r="AM260" s="1"/>
  <c r="AN260" s="1"/>
  <c r="AD265"/>
  <c r="AE265" s="1"/>
  <c r="AF265" s="1"/>
  <c r="AG265" s="1"/>
  <c r="AH265" s="1"/>
  <c r="AI265" s="1"/>
  <c r="AJ265" s="1"/>
  <c r="AK265" s="1"/>
  <c r="AL265" s="1"/>
  <c r="AM265" s="1"/>
  <c r="AN265" s="1"/>
  <c r="AD167"/>
  <c r="AE167" s="1"/>
  <c r="AF167" s="1"/>
  <c r="AG167" s="1"/>
  <c r="AH167" s="1"/>
  <c r="AI167" s="1"/>
  <c r="AJ167" s="1"/>
  <c r="AK167" s="1"/>
  <c r="AL167" s="1"/>
  <c r="AM167" s="1"/>
  <c r="AN167" s="1"/>
  <c r="AD187"/>
  <c r="AE187" s="1"/>
  <c r="AF187" s="1"/>
  <c r="AG187" s="1"/>
  <c r="AH187" s="1"/>
  <c r="AI187" s="1"/>
  <c r="AJ187" s="1"/>
  <c r="AK187" s="1"/>
  <c r="AL187" s="1"/>
  <c r="AM187" s="1"/>
  <c r="AN187" s="1"/>
  <c r="AQ33" i="12"/>
  <c r="AM33"/>
  <c r="AI33"/>
  <c r="AR33"/>
  <c r="AN33"/>
  <c r="AJ33"/>
  <c r="AS33"/>
  <c r="AO33"/>
  <c r="AK33"/>
  <c r="AP33"/>
  <c r="AL33"/>
  <c r="AH33"/>
  <c r="AQ46"/>
  <c r="AM46"/>
  <c r="AI46"/>
  <c r="AR46"/>
  <c r="AN46"/>
  <c r="AJ46"/>
  <c r="AS46"/>
  <c r="AO46"/>
  <c r="AK46"/>
  <c r="AP46"/>
  <c r="AL46"/>
  <c r="AH46"/>
  <c r="AQ119"/>
  <c r="AM119"/>
  <c r="AI119"/>
  <c r="AR119"/>
  <c r="AN119"/>
  <c r="AJ119"/>
  <c r="AS119"/>
  <c r="AK119"/>
  <c r="AL119"/>
  <c r="AO119"/>
  <c r="AH119"/>
  <c r="AP119"/>
  <c r="AT10"/>
  <c r="AB21" i="14"/>
  <c r="AB68"/>
  <c r="AB177"/>
  <c r="AG75" i="12"/>
  <c r="AG86"/>
  <c r="AG95"/>
  <c r="AG106"/>
  <c r="V114"/>
  <c r="Y114"/>
  <c r="AG39"/>
  <c r="AG120"/>
  <c r="AG46" i="13"/>
  <c r="AI7" i="2" s="1"/>
  <c r="AB146" i="14"/>
  <c r="AG31" i="9"/>
  <c r="AI6" i="2" s="1"/>
  <c r="AJ31" i="9"/>
  <c r="AL6" i="2" s="1"/>
  <c r="AD31" i="9"/>
  <c r="AF6" i="2" s="1"/>
  <c r="AO25" i="14"/>
  <c r="X6" i="12"/>
  <c r="AE6"/>
  <c r="Z6"/>
  <c r="AC6"/>
  <c r="AG11"/>
  <c r="AB89" i="14"/>
  <c r="AB151"/>
  <c r="AB198"/>
  <c r="AT14" i="12"/>
  <c r="AG20"/>
  <c r="U40" i="2"/>
  <c r="U20"/>
  <c r="AF12"/>
  <c r="AF11"/>
  <c r="AF10"/>
  <c r="AF8"/>
  <c r="AD115" i="14"/>
  <c r="AE115" s="1"/>
  <c r="AF115" s="1"/>
  <c r="AG115" s="1"/>
  <c r="AH115" s="1"/>
  <c r="AI115" s="1"/>
  <c r="AJ115" s="1"/>
  <c r="AK115" s="1"/>
  <c r="AL115" s="1"/>
  <c r="AM115" s="1"/>
  <c r="AN115" s="1"/>
  <c r="AQ59" i="12"/>
  <c r="AM59"/>
  <c r="AI59"/>
  <c r="AR59"/>
  <c r="AN59"/>
  <c r="AJ59"/>
  <c r="AS59"/>
  <c r="AO59"/>
  <c r="AK59"/>
  <c r="AP59"/>
  <c r="AL59"/>
  <c r="AH59"/>
  <c r="AQ117"/>
  <c r="AM117"/>
  <c r="AI117"/>
  <c r="AR117"/>
  <c r="AN117"/>
  <c r="AJ117"/>
  <c r="AP117"/>
  <c r="AH117"/>
  <c r="AS117"/>
  <c r="AK117"/>
  <c r="AL117"/>
  <c r="AO117"/>
  <c r="AS82"/>
  <c r="AO82"/>
  <c r="AO78" s="1"/>
  <c r="AK82"/>
  <c r="AP82"/>
  <c r="AP78" s="1"/>
  <c r="AL82"/>
  <c r="AH82"/>
  <c r="AQ82"/>
  <c r="AM82"/>
  <c r="AM78" s="1"/>
  <c r="AI82"/>
  <c r="AJ82"/>
  <c r="AJ78" s="1"/>
  <c r="AN82"/>
  <c r="AN78" s="1"/>
  <c r="AR82"/>
  <c r="AR78" s="1"/>
  <c r="AS91"/>
  <c r="AO91"/>
  <c r="AK91"/>
  <c r="AP91"/>
  <c r="AL91"/>
  <c r="AH91"/>
  <c r="AQ91"/>
  <c r="AM91"/>
  <c r="AI91"/>
  <c r="AJ91"/>
  <c r="AN91"/>
  <c r="AR91"/>
  <c r="AS99"/>
  <c r="AO99"/>
  <c r="AK99"/>
  <c r="AP99"/>
  <c r="AL99"/>
  <c r="AH99"/>
  <c r="AQ99"/>
  <c r="AM99"/>
  <c r="AI99"/>
  <c r="AJ99"/>
  <c r="AN99"/>
  <c r="AR99"/>
  <c r="AS110"/>
  <c r="AO110"/>
  <c r="AK110"/>
  <c r="AP110"/>
  <c r="AL110"/>
  <c r="AH110"/>
  <c r="AQ110"/>
  <c r="AM110"/>
  <c r="AI110"/>
  <c r="AJ110"/>
  <c r="AN110"/>
  <c r="AR110"/>
  <c r="U114"/>
  <c r="AG115"/>
  <c r="W20" i="2"/>
  <c r="W40"/>
  <c r="R18"/>
  <c r="R17"/>
  <c r="R16"/>
  <c r="R14"/>
  <c r="F18"/>
  <c r="F17"/>
  <c r="F16"/>
  <c r="F14"/>
  <c r="AD151" i="14"/>
  <c r="AE151" s="1"/>
  <c r="AF151" s="1"/>
  <c r="AG151" s="1"/>
  <c r="AH151" s="1"/>
  <c r="AI151" s="1"/>
  <c r="AJ151" s="1"/>
  <c r="AK151" s="1"/>
  <c r="AL151" s="1"/>
  <c r="AM151" s="1"/>
  <c r="AN151" s="1"/>
  <c r="AD63"/>
  <c r="AE63" s="1"/>
  <c r="AF63" s="1"/>
  <c r="AG63" s="1"/>
  <c r="AH63" s="1"/>
  <c r="AI63" s="1"/>
  <c r="AJ63" s="1"/>
  <c r="AK63" s="1"/>
  <c r="AL63" s="1"/>
  <c r="AM63" s="1"/>
  <c r="AN63" s="1"/>
  <c r="AQ44" i="12"/>
  <c r="AM44"/>
  <c r="AI44"/>
  <c r="AR44"/>
  <c r="AN44"/>
  <c r="AJ44"/>
  <c r="AS44"/>
  <c r="AO44"/>
  <c r="AO42" s="1"/>
  <c r="AK44"/>
  <c r="AP44"/>
  <c r="AL44"/>
  <c r="AH44"/>
  <c r="AQ121"/>
  <c r="AM121"/>
  <c r="AI121"/>
  <c r="AR121"/>
  <c r="AN121"/>
  <c r="AJ121"/>
  <c r="AL121"/>
  <c r="AO121"/>
  <c r="AP121"/>
  <c r="AH121"/>
  <c r="AK121"/>
  <c r="AS121"/>
  <c r="AS116"/>
  <c r="AO116"/>
  <c r="AK116"/>
  <c r="AP116"/>
  <c r="AL116"/>
  <c r="AH116"/>
  <c r="AR116"/>
  <c r="AJ116"/>
  <c r="AM116"/>
  <c r="AN116"/>
  <c r="AI116"/>
  <c r="AQ116"/>
  <c r="AS120"/>
  <c r="AO120"/>
  <c r="AK120"/>
  <c r="AP120"/>
  <c r="AL120"/>
  <c r="AH120"/>
  <c r="AN120"/>
  <c r="AQ120"/>
  <c r="AI120"/>
  <c r="AR120"/>
  <c r="AJ120"/>
  <c r="AM120"/>
  <c r="AS124"/>
  <c r="AO124"/>
  <c r="AK124"/>
  <c r="AP124"/>
  <c r="AL124"/>
  <c r="AH124"/>
  <c r="AR124"/>
  <c r="AJ124"/>
  <c r="AM124"/>
  <c r="AN124"/>
  <c r="AI124"/>
  <c r="AQ124"/>
  <c r="AO18" i="2"/>
  <c r="AO17"/>
  <c r="AO16"/>
  <c r="AO14"/>
  <c r="U12"/>
  <c r="U11"/>
  <c r="U10"/>
  <c r="U8"/>
  <c r="AD109" i="14"/>
  <c r="AE109" s="1"/>
  <c r="AF109" s="1"/>
  <c r="AG109" s="1"/>
  <c r="AH109" s="1"/>
  <c r="AI109" s="1"/>
  <c r="AJ109" s="1"/>
  <c r="AK109" s="1"/>
  <c r="AL109" s="1"/>
  <c r="AM109" s="1"/>
  <c r="AN109" s="1"/>
  <c r="AD224"/>
  <c r="AE224" s="1"/>
  <c r="AF224" s="1"/>
  <c r="AG224" s="1"/>
  <c r="AH224" s="1"/>
  <c r="AI224" s="1"/>
  <c r="AJ224" s="1"/>
  <c r="AK224" s="1"/>
  <c r="AL224" s="1"/>
  <c r="AM224" s="1"/>
  <c r="AN224" s="1"/>
  <c r="AS13" i="12"/>
  <c r="AO13"/>
  <c r="AK13"/>
  <c r="AP13"/>
  <c r="AL13"/>
  <c r="AH13"/>
  <c r="AN13"/>
  <c r="AQ13"/>
  <c r="AI13"/>
  <c r="AR13"/>
  <c r="AJ13"/>
  <c r="AM13"/>
  <c r="AQ71"/>
  <c r="AM71"/>
  <c r="AI71"/>
  <c r="AS71"/>
  <c r="AN71"/>
  <c r="AH71"/>
  <c r="AO71"/>
  <c r="AJ71"/>
  <c r="AP71"/>
  <c r="AK71"/>
  <c r="AR71"/>
  <c r="AL71"/>
  <c r="AD245" i="14"/>
  <c r="AE245" s="1"/>
  <c r="AF245" s="1"/>
  <c r="AG245" s="1"/>
  <c r="AH245" s="1"/>
  <c r="AI245" s="1"/>
  <c r="AJ245" s="1"/>
  <c r="AK245" s="1"/>
  <c r="AL245" s="1"/>
  <c r="AM245" s="1"/>
  <c r="AN245" s="1"/>
  <c r="AT19" i="12"/>
  <c r="AD172" i="14"/>
  <c r="AE172" s="1"/>
  <c r="AF172" s="1"/>
  <c r="AG172" s="1"/>
  <c r="AH172" s="1"/>
  <c r="AI172" s="1"/>
  <c r="AJ172" s="1"/>
  <c r="AK172" s="1"/>
  <c r="AL172" s="1"/>
  <c r="AM172" s="1"/>
  <c r="AN172" s="1"/>
  <c r="AQ20" i="12"/>
  <c r="AQ18" s="1"/>
  <c r="AM20"/>
  <c r="AI20"/>
  <c r="AI18" s="1"/>
  <c r="AS20"/>
  <c r="AO20"/>
  <c r="AK20"/>
  <c r="AK18" s="1"/>
  <c r="AP20"/>
  <c r="AL20"/>
  <c r="AL18" s="1"/>
  <c r="AH20"/>
  <c r="AN20"/>
  <c r="AN18" s="1"/>
  <c r="AR20"/>
  <c r="AR18" s="1"/>
  <c r="AJ20"/>
  <c r="AT43"/>
  <c r="AP25" i="2"/>
  <c r="AQ25" s="1"/>
  <c r="AG73" i="12"/>
  <c r="AG84"/>
  <c r="AG93"/>
  <c r="AG104"/>
  <c r="AG112"/>
  <c r="AB114"/>
  <c r="AE114"/>
  <c r="AP102"/>
  <c r="AO102"/>
  <c r="AR102"/>
  <c r="AG118"/>
  <c r="AN37" i="13"/>
  <c r="M126" i="12"/>
  <c r="I24" i="2" s="1"/>
  <c r="I23" s="1"/>
  <c r="AB94" i="14"/>
  <c r="AC31" i="9"/>
  <c r="AE6" i="2" s="1"/>
  <c r="AF31" i="9"/>
  <c r="AH6" i="2" s="1"/>
  <c r="AM31" i="9"/>
  <c r="AO6" i="2" s="1"/>
  <c r="AO10" i="14"/>
  <c r="AG12" i="12"/>
  <c r="AT123"/>
  <c r="W6"/>
  <c r="V6"/>
  <c r="V126" s="1"/>
  <c r="R24" i="2" s="1"/>
  <c r="R23" s="1"/>
  <c r="Y6" i="12"/>
  <c r="Y126" s="1"/>
  <c r="U24" i="2" s="1"/>
  <c r="U23" s="1"/>
  <c r="AG9" i="12"/>
  <c r="AG28"/>
  <c r="AT60"/>
  <c r="AT62"/>
  <c r="G9" i="2"/>
  <c r="T9"/>
  <c r="U18" i="12"/>
  <c r="D16" i="7"/>
  <c r="AD18" i="12"/>
  <c r="AT23"/>
  <c r="AT38"/>
  <c r="AT51"/>
  <c r="AT58"/>
  <c r="AG119"/>
  <c r="AI102" l="1"/>
  <c r="AL102"/>
  <c r="AS102"/>
  <c r="AG102"/>
  <c r="AE12" i="2"/>
  <c r="AE8"/>
  <c r="Y9"/>
  <c r="AA9"/>
  <c r="W9"/>
  <c r="AN10"/>
  <c r="AN8"/>
  <c r="AR42" i="12"/>
  <c r="AP42"/>
  <c r="AM42"/>
  <c r="X15" i="2"/>
  <c r="AF126" i="12"/>
  <c r="AB24" i="2" s="1"/>
  <c r="AB23" s="1"/>
  <c r="AB41" s="1"/>
  <c r="AO239" i="14"/>
  <c r="AQ78" i="12"/>
  <c r="AK78"/>
  <c r="AG12" i="2"/>
  <c r="AO18" i="12"/>
  <c r="AP18"/>
  <c r="AH42"/>
  <c r="AC126"/>
  <c r="Y24" i="2" s="1"/>
  <c r="Y23" s="1"/>
  <c r="AT57" i="12"/>
  <c r="AL42"/>
  <c r="AS42"/>
  <c r="AK42"/>
  <c r="AN42"/>
  <c r="S15" i="2"/>
  <c r="G15"/>
  <c r="G41" s="1"/>
  <c r="E9" i="16" s="1"/>
  <c r="L15" i="2"/>
  <c r="L41" s="1"/>
  <c r="J22" i="16" s="1"/>
  <c r="H15" i="2"/>
  <c r="H41" s="1"/>
  <c r="F26" i="16" s="1"/>
  <c r="W15" i="2"/>
  <c r="AI15"/>
  <c r="AI78" i="12"/>
  <c r="AL78"/>
  <c r="AS78"/>
  <c r="AF15" i="2"/>
  <c r="AE15"/>
  <c r="AG78" i="12"/>
  <c r="AM15" i="2"/>
  <c r="X126" i="12"/>
  <c r="T24" i="2" s="1"/>
  <c r="T23" s="1"/>
  <c r="O41"/>
  <c r="M9" i="16" s="1"/>
  <c r="K15" i="2"/>
  <c r="K41" s="1"/>
  <c r="I9" i="16" s="1"/>
  <c r="AJ15" i="2"/>
  <c r="T15"/>
  <c r="AO151" i="14"/>
  <c r="AO161"/>
  <c r="AO135"/>
  <c r="AG10" i="2"/>
  <c r="AG8"/>
  <c r="AN11"/>
  <c r="AH9"/>
  <c r="AM18" i="12"/>
  <c r="AG54"/>
  <c r="AG42"/>
  <c r="W126"/>
  <c r="S24" i="2" s="1"/>
  <c r="S23" s="1"/>
  <c r="S41" s="1"/>
  <c r="AQ42" i="12"/>
  <c r="AJ42"/>
  <c r="AI42"/>
  <c r="AT52"/>
  <c r="AO109" i="14"/>
  <c r="AO224"/>
  <c r="U9" i="2"/>
  <c r="AF9"/>
  <c r="N15"/>
  <c r="N41" s="1"/>
  <c r="L10" i="16" s="1"/>
  <c r="AO193" i="14"/>
  <c r="Z9" i="2"/>
  <c r="AO219" i="14"/>
  <c r="AT44" i="12"/>
  <c r="AO234" i="14"/>
  <c r="AP30" i="12"/>
  <c r="AJ102"/>
  <c r="AO52" i="14"/>
  <c r="AO120"/>
  <c r="AO89"/>
  <c r="AO156"/>
  <c r="AO104"/>
  <c r="AN102" i="12"/>
  <c r="AQ102"/>
  <c r="AK102"/>
  <c r="AO26" i="14"/>
  <c r="AO177"/>
  <c r="AO141"/>
  <c r="AM102" i="12"/>
  <c r="AO255" i="14"/>
  <c r="AO47"/>
  <c r="AO198"/>
  <c r="AM30" i="12"/>
  <c r="AT35"/>
  <c r="AJ30"/>
  <c r="Z15" i="2"/>
  <c r="Y15"/>
  <c r="AS18" i="12"/>
  <c r="AO15" i="2"/>
  <c r="AJ18" i="12"/>
  <c r="AT28"/>
  <c r="AT20"/>
  <c r="Z126"/>
  <c r="V24" i="2" s="1"/>
  <c r="V23" s="1"/>
  <c r="V15"/>
  <c r="AG18" i="12"/>
  <c r="J15" i="2"/>
  <c r="J41" s="1"/>
  <c r="H10" i="16" s="1"/>
  <c r="AO78" i="14"/>
  <c r="AO68"/>
  <c r="AO57"/>
  <c r="AO42"/>
  <c r="AF40" i="2"/>
  <c r="AF20"/>
  <c r="AM20"/>
  <c r="AM40"/>
  <c r="A19" i="7"/>
  <c r="B18"/>
  <c r="H51" i="2" s="1"/>
  <c r="C18" i="7"/>
  <c r="H52" i="2" s="1"/>
  <c r="P20"/>
  <c r="AK40"/>
  <c r="AK20"/>
  <c r="AN31" i="9"/>
  <c r="AD6" i="2"/>
  <c r="Q40"/>
  <c r="AC40" s="1"/>
  <c r="Q20"/>
  <c r="AC6"/>
  <c r="AH18" i="12"/>
  <c r="AG114"/>
  <c r="AI90"/>
  <c r="AL90"/>
  <c r="AS90"/>
  <c r="AT46"/>
  <c r="AT33"/>
  <c r="AK30"/>
  <c r="AN30"/>
  <c r="AQ30"/>
  <c r="AS114"/>
  <c r="AO114"/>
  <c r="AM114"/>
  <c r="AT112"/>
  <c r="AT104"/>
  <c r="AT93"/>
  <c r="AT84"/>
  <c r="AT73"/>
  <c r="AL66"/>
  <c r="AJ66"/>
  <c r="AS66"/>
  <c r="AO21" i="14"/>
  <c r="AO94"/>
  <c r="AO130"/>
  <c r="AO213"/>
  <c r="M15" i="2"/>
  <c r="M41" s="1"/>
  <c r="AA126" i="12"/>
  <c r="W24" i="2" s="1"/>
  <c r="W23" s="1"/>
  <c r="AO37" i="14"/>
  <c r="AR6" i="12"/>
  <c r="AL6"/>
  <c r="AS6"/>
  <c r="AO31" i="14"/>
  <c r="AT69" i="12"/>
  <c r="AL54"/>
  <c r="AS54"/>
  <c r="AI54"/>
  <c r="AO125" i="14"/>
  <c r="AJ9" i="2"/>
  <c r="AT16" i="12"/>
  <c r="AK9" i="2"/>
  <c r="AO40"/>
  <c r="AO20"/>
  <c r="AT91" i="12"/>
  <c r="AH90"/>
  <c r="H5" i="2"/>
  <c r="H9" i="1"/>
  <c r="AD18" i="2"/>
  <c r="AP18" s="1"/>
  <c r="AD17"/>
  <c r="AP17" s="1"/>
  <c r="AD16"/>
  <c r="AD14"/>
  <c r="AP14" s="1"/>
  <c r="AP13"/>
  <c r="AH114" i="12"/>
  <c r="AT115"/>
  <c r="AG40" i="2"/>
  <c r="AG20"/>
  <c r="Q12"/>
  <c r="AC12" s="1"/>
  <c r="Q11"/>
  <c r="AC11" s="1"/>
  <c r="Q10"/>
  <c r="Q8"/>
  <c r="AC8" s="1"/>
  <c r="AC7"/>
  <c r="G47"/>
  <c r="O21"/>
  <c r="O19" s="1"/>
  <c r="K21"/>
  <c r="K19" s="1"/>
  <c r="G21"/>
  <c r="G19" s="1"/>
  <c r="L21"/>
  <c r="L19" s="1"/>
  <c r="H21"/>
  <c r="H19" s="1"/>
  <c r="D21"/>
  <c r="D19" s="1"/>
  <c r="M21"/>
  <c r="M19" s="1"/>
  <c r="I21"/>
  <c r="I19" s="1"/>
  <c r="E21"/>
  <c r="E19" s="1"/>
  <c r="N21"/>
  <c r="N19" s="1"/>
  <c r="J21"/>
  <c r="J19" s="1"/>
  <c r="F21"/>
  <c r="F19" s="1"/>
  <c r="AN40"/>
  <c r="AN20"/>
  <c r="U126" i="12"/>
  <c r="AG6"/>
  <c r="AT7"/>
  <c r="AH6"/>
  <c r="AH54"/>
  <c r="AT55"/>
  <c r="AT110"/>
  <c r="AT99"/>
  <c r="AJ90"/>
  <c r="AO90"/>
  <c r="AT82"/>
  <c r="AT9"/>
  <c r="AL15" i="2"/>
  <c r="AK114" i="12"/>
  <c r="AR114"/>
  <c r="AP66"/>
  <c r="AN66"/>
  <c r="AQ66"/>
  <c r="AT122"/>
  <c r="AT118"/>
  <c r="AN46" i="13"/>
  <c r="AJ6" i="12"/>
  <c r="AO6"/>
  <c r="AG30"/>
  <c r="AT108"/>
  <c r="AT97"/>
  <c r="AO54"/>
  <c r="AR54"/>
  <c r="AE20" i="2"/>
  <c r="AE40"/>
  <c r="AI20"/>
  <c r="AI40"/>
  <c r="E4" i="16"/>
  <c r="E20" s="1"/>
  <c r="F5" i="14"/>
  <c r="E4" i="13"/>
  <c r="E35" s="1"/>
  <c r="E4" i="11"/>
  <c r="E4" i="10"/>
  <c r="K5" i="12"/>
  <c r="E4" i="9"/>
  <c r="E20" s="1"/>
  <c r="Q18" i="2"/>
  <c r="AC18" s="1"/>
  <c r="Q17"/>
  <c r="AC17" s="1"/>
  <c r="Q16"/>
  <c r="Q14"/>
  <c r="AC14" s="1"/>
  <c r="AC13"/>
  <c r="AH66" i="12"/>
  <c r="AT67"/>
  <c r="AJ40" i="2"/>
  <c r="AJ20"/>
  <c r="AM12"/>
  <c r="AM11"/>
  <c r="AM10"/>
  <c r="AM8"/>
  <c r="AD12"/>
  <c r="AD11"/>
  <c r="AD10"/>
  <c r="AD8"/>
  <c r="AP7"/>
  <c r="AO172" i="14"/>
  <c r="AO245"/>
  <c r="AT124" i="12"/>
  <c r="AT120"/>
  <c r="AT116"/>
  <c r="AT121"/>
  <c r="AN90"/>
  <c r="AQ90"/>
  <c r="AK90"/>
  <c r="AO115" i="14"/>
  <c r="AE126" i="12"/>
  <c r="AA24" i="2" s="1"/>
  <c r="AA23" s="1"/>
  <c r="AA41" s="1"/>
  <c r="AO167" i="14"/>
  <c r="AO260"/>
  <c r="AO229"/>
  <c r="R9" i="2"/>
  <c r="AL30" i="12"/>
  <c r="AS30"/>
  <c r="AI30"/>
  <c r="AO73" i="14"/>
  <c r="AO83"/>
  <c r="AO146"/>
  <c r="AL114" i="12"/>
  <c r="AP114"/>
  <c r="AN114"/>
  <c r="AK66"/>
  <c r="AM66"/>
  <c r="AT22"/>
  <c r="AB126"/>
  <c r="X24" i="2" s="1"/>
  <c r="X23" s="1"/>
  <c r="X41" s="1"/>
  <c r="AO182" i="14"/>
  <c r="D17" i="7"/>
  <c r="AT8" i="12"/>
  <c r="U15" i="2"/>
  <c r="I15"/>
  <c r="I41" s="1"/>
  <c r="AH102" i="12"/>
  <c r="AT102" s="1"/>
  <c r="V9" i="2"/>
  <c r="AT106" i="12"/>
  <c r="AT95"/>
  <c r="AT86"/>
  <c r="AT75"/>
  <c r="AT26"/>
  <c r="AO203" i="14"/>
  <c r="AO250"/>
  <c r="AM6" i="12"/>
  <c r="AQ6"/>
  <c r="AK6"/>
  <c r="AH78"/>
  <c r="AO16" i="14"/>
  <c r="AO99"/>
  <c r="AG15" i="2"/>
  <c r="AT39" i="12"/>
  <c r="AK54"/>
  <c r="AN54"/>
  <c r="AQ54"/>
  <c r="AO9" i="2"/>
  <c r="AL9"/>
  <c r="AH40"/>
  <c r="AH20"/>
  <c r="AL40"/>
  <c r="AL20"/>
  <c r="AI12"/>
  <c r="AI11"/>
  <c r="AI10"/>
  <c r="AI8"/>
  <c r="AH30" i="12"/>
  <c r="AT31"/>
  <c r="T126"/>
  <c r="D24" i="2"/>
  <c r="D18"/>
  <c r="P18" s="1"/>
  <c r="D17"/>
  <c r="P17" s="1"/>
  <c r="D16"/>
  <c r="D14"/>
  <c r="P14" s="1"/>
  <c r="P13"/>
  <c r="AT71" i="12"/>
  <c r="AT13"/>
  <c r="AO63" i="14"/>
  <c r="F15" i="2"/>
  <c r="F41" s="1"/>
  <c r="R15"/>
  <c r="AR90" i="12"/>
  <c r="AM90"/>
  <c r="AP90"/>
  <c r="AT117"/>
  <c r="AT59"/>
  <c r="AT119"/>
  <c r="AO187" i="14"/>
  <c r="AO265"/>
  <c r="AT24" i="12"/>
  <c r="AT12"/>
  <c r="AT48"/>
  <c r="AO30"/>
  <c r="AR30"/>
  <c r="AI114"/>
  <c r="AJ114"/>
  <c r="AQ114"/>
  <c r="AR66"/>
  <c r="AO66"/>
  <c r="AI66"/>
  <c r="AO208" i="14"/>
  <c r="AD126" i="12"/>
  <c r="Z24" i="2" s="1"/>
  <c r="Z23" s="1"/>
  <c r="AT50" i="12"/>
  <c r="AT37"/>
  <c r="E17" i="7"/>
  <c r="P9" i="2"/>
  <c r="AG66" i="12"/>
  <c r="AT15"/>
  <c r="AT11"/>
  <c r="AN6"/>
  <c r="AI6"/>
  <c r="AP6"/>
  <c r="AG90"/>
  <c r="AT88"/>
  <c r="AT80"/>
  <c r="AP54"/>
  <c r="AJ54"/>
  <c r="AM54"/>
  <c r="AK15" i="2"/>
  <c r="AH15"/>
  <c r="E15"/>
  <c r="E41" s="1"/>
  <c r="AN9"/>
  <c r="AE9"/>
  <c r="Z41" l="1"/>
  <c r="Y41"/>
  <c r="AG9"/>
  <c r="U41"/>
  <c r="AT78" i="12"/>
  <c r="M26" i="16"/>
  <c r="T41" i="2"/>
  <c r="M27" i="16"/>
  <c r="M5"/>
  <c r="M10"/>
  <c r="F9"/>
  <c r="M21"/>
  <c r="F25"/>
  <c r="F24"/>
  <c r="F22"/>
  <c r="F14"/>
  <c r="F12"/>
  <c r="F29"/>
  <c r="F13"/>
  <c r="M11"/>
  <c r="M28"/>
  <c r="M12"/>
  <c r="M7"/>
  <c r="M29"/>
  <c r="M24"/>
  <c r="M13"/>
  <c r="F21"/>
  <c r="F10"/>
  <c r="F5"/>
  <c r="F27"/>
  <c r="F30"/>
  <c r="M22"/>
  <c r="M6"/>
  <c r="M23"/>
  <c r="M8"/>
  <c r="M30"/>
  <c r="M25"/>
  <c r="M14"/>
  <c r="F11"/>
  <c r="F6"/>
  <c r="F28"/>
  <c r="F23"/>
  <c r="H42" i="2"/>
  <c r="H44" s="1"/>
  <c r="O42"/>
  <c r="O44" s="1"/>
  <c r="W41"/>
  <c r="L28" i="16"/>
  <c r="J30"/>
  <c r="E5"/>
  <c r="J13"/>
  <c r="E21"/>
  <c r="J25"/>
  <c r="J9"/>
  <c r="J29"/>
  <c r="J7"/>
  <c r="J24"/>
  <c r="J12"/>
  <c r="J14"/>
  <c r="J8"/>
  <c r="E26"/>
  <c r="J42" i="2"/>
  <c r="J44" s="1"/>
  <c r="J21" i="16"/>
  <c r="J10"/>
  <c r="J5"/>
  <c r="J27"/>
  <c r="J26"/>
  <c r="V41" i="2"/>
  <c r="L42"/>
  <c r="L44" s="1"/>
  <c r="J11" i="16"/>
  <c r="J6"/>
  <c r="J28"/>
  <c r="J23"/>
  <c r="L29"/>
  <c r="N42" i="2"/>
  <c r="N44" s="1"/>
  <c r="L30" i="16"/>
  <c r="I21"/>
  <c r="L9"/>
  <c r="L8"/>
  <c r="I26"/>
  <c r="L5"/>
  <c r="L27"/>
  <c r="L26"/>
  <c r="L25"/>
  <c r="L24"/>
  <c r="I5"/>
  <c r="L23"/>
  <c r="L22"/>
  <c r="L11"/>
  <c r="L14"/>
  <c r="I10"/>
  <c r="L13"/>
  <c r="L12"/>
  <c r="L7"/>
  <c r="L6"/>
  <c r="AT42" i="12"/>
  <c r="AI126"/>
  <c r="AE24" i="2" s="1"/>
  <c r="AE23" s="1"/>
  <c r="AE41" s="1"/>
  <c r="L21" i="16"/>
  <c r="I27"/>
  <c r="I22"/>
  <c r="I11"/>
  <c r="I6"/>
  <c r="I28"/>
  <c r="I23"/>
  <c r="K42" i="2"/>
  <c r="K44" s="1"/>
  <c r="I12" i="16"/>
  <c r="I7"/>
  <c r="I29"/>
  <c r="I24"/>
  <c r="I13"/>
  <c r="I8"/>
  <c r="I30"/>
  <c r="I25"/>
  <c r="I14"/>
  <c r="H11"/>
  <c r="H5"/>
  <c r="AQ126" i="12"/>
  <c r="AM24" i="2" s="1"/>
  <c r="AM23" s="1"/>
  <c r="H27" i="16"/>
  <c r="H6"/>
  <c r="AP8" i="2"/>
  <c r="AQ8" s="1"/>
  <c r="AQ7"/>
  <c r="H30" i="16"/>
  <c r="H8"/>
  <c r="H14"/>
  <c r="H9"/>
  <c r="H22"/>
  <c r="H21"/>
  <c r="H24"/>
  <c r="H23"/>
  <c r="H26"/>
  <c r="H25"/>
  <c r="H13"/>
  <c r="H12"/>
  <c r="H7"/>
  <c r="H29"/>
  <c r="H28"/>
  <c r="E10"/>
  <c r="G42" i="2"/>
  <c r="G44" s="1"/>
  <c r="G54" s="1"/>
  <c r="G43" s="1"/>
  <c r="E27" i="16"/>
  <c r="AJ126" i="12"/>
  <c r="AF24" i="2" s="1"/>
  <c r="AF23" s="1"/>
  <c r="AF41" s="1"/>
  <c r="AT18" i="12"/>
  <c r="AQ17" i="2"/>
  <c r="AQ13"/>
  <c r="AQ18"/>
  <c r="E11" i="16"/>
  <c r="E23"/>
  <c r="E12"/>
  <c r="E7"/>
  <c r="E29"/>
  <c r="E24"/>
  <c r="E13"/>
  <c r="E22"/>
  <c r="E6"/>
  <c r="E28"/>
  <c r="E8"/>
  <c r="E30"/>
  <c r="E25"/>
  <c r="E14"/>
  <c r="P16" i="2"/>
  <c r="D15"/>
  <c r="P24"/>
  <c r="D23"/>
  <c r="P23" s="1"/>
  <c r="AH126" i="12"/>
  <c r="AT6"/>
  <c r="K29" i="16"/>
  <c r="K25"/>
  <c r="K21"/>
  <c r="K11"/>
  <c r="K7"/>
  <c r="K30"/>
  <c r="K26"/>
  <c r="K22"/>
  <c r="K12"/>
  <c r="K8"/>
  <c r="K27"/>
  <c r="K23"/>
  <c r="K13"/>
  <c r="K9"/>
  <c r="K5"/>
  <c r="K28"/>
  <c r="K24"/>
  <c r="K14"/>
  <c r="K10"/>
  <c r="K6"/>
  <c r="M42" i="2"/>
  <c r="M44" s="1"/>
  <c r="AA21"/>
  <c r="AA19" s="1"/>
  <c r="AA42" s="1"/>
  <c r="AA44" s="1"/>
  <c r="W21"/>
  <c r="W19" s="1"/>
  <c r="S21"/>
  <c r="S19" s="1"/>
  <c r="S42" s="1"/>
  <c r="S44" s="1"/>
  <c r="AB21"/>
  <c r="AB19" s="1"/>
  <c r="AB42" s="1"/>
  <c r="AB44" s="1"/>
  <c r="X21"/>
  <c r="X19" s="1"/>
  <c r="X42" s="1"/>
  <c r="X44" s="1"/>
  <c r="T21"/>
  <c r="T19" s="1"/>
  <c r="Y21"/>
  <c r="Y19" s="1"/>
  <c r="Y42" s="1"/>
  <c r="Y44" s="1"/>
  <c r="U21"/>
  <c r="U19" s="1"/>
  <c r="U42" s="1"/>
  <c r="U44" s="1"/>
  <c r="Q21"/>
  <c r="Q19" s="1"/>
  <c r="Z21"/>
  <c r="Z19" s="1"/>
  <c r="Z42" s="1"/>
  <c r="Z44" s="1"/>
  <c r="V21"/>
  <c r="V19" s="1"/>
  <c r="R21"/>
  <c r="R19" s="1"/>
  <c r="AD40"/>
  <c r="AP40" s="1"/>
  <c r="AQ40" s="1"/>
  <c r="AD20"/>
  <c r="AP6"/>
  <c r="AR126" i="12"/>
  <c r="AN24" i="2" s="1"/>
  <c r="AN23" s="1"/>
  <c r="AN41" s="1"/>
  <c r="AP126" i="12"/>
  <c r="AL24" i="2" s="1"/>
  <c r="AL23" s="1"/>
  <c r="AL41" s="1"/>
  <c r="AQ14"/>
  <c r="AT30" i="12"/>
  <c r="AK126"/>
  <c r="AG24" i="2" s="1"/>
  <c r="AG23" s="1"/>
  <c r="AG41" s="1"/>
  <c r="AP12"/>
  <c r="AQ12" s="1"/>
  <c r="AM9"/>
  <c r="AO126" i="12"/>
  <c r="AK24" i="2" s="1"/>
  <c r="AK23" s="1"/>
  <c r="AK41" s="1"/>
  <c r="P21"/>
  <c r="AL126" i="12"/>
  <c r="AH24" i="2" s="1"/>
  <c r="AH23" s="1"/>
  <c r="AH41" s="1"/>
  <c r="D18" i="7"/>
  <c r="G29" i="16"/>
  <c r="G25"/>
  <c r="G21"/>
  <c r="G11"/>
  <c r="G7"/>
  <c r="G30"/>
  <c r="G26"/>
  <c r="G22"/>
  <c r="G12"/>
  <c r="G8"/>
  <c r="G27"/>
  <c r="G23"/>
  <c r="G13"/>
  <c r="G9"/>
  <c r="G5"/>
  <c r="G28"/>
  <c r="G24"/>
  <c r="G14"/>
  <c r="G10"/>
  <c r="G6"/>
  <c r="I42" i="2"/>
  <c r="I44" s="1"/>
  <c r="AC20"/>
  <c r="D28" i="16"/>
  <c r="D24"/>
  <c r="D14"/>
  <c r="D10"/>
  <c r="D6"/>
  <c r="D29"/>
  <c r="D25"/>
  <c r="D21"/>
  <c r="D11"/>
  <c r="D7"/>
  <c r="D30"/>
  <c r="D26"/>
  <c r="D22"/>
  <c r="D12"/>
  <c r="D8"/>
  <c r="D27"/>
  <c r="D23"/>
  <c r="D13"/>
  <c r="D9"/>
  <c r="D5"/>
  <c r="F42" i="2"/>
  <c r="F44" s="1"/>
  <c r="F54" s="1"/>
  <c r="F43" s="1"/>
  <c r="AG126" i="12"/>
  <c r="Q24" i="2"/>
  <c r="AC10"/>
  <c r="Q9"/>
  <c r="E19" i="7"/>
  <c r="A20"/>
  <c r="B19"/>
  <c r="I51" i="2" s="1"/>
  <c r="C19" i="7"/>
  <c r="I52" i="2" s="1"/>
  <c r="P19"/>
  <c r="AI9"/>
  <c r="AP11"/>
  <c r="AQ11" s="1"/>
  <c r="AT66" i="12"/>
  <c r="AT54"/>
  <c r="AT114"/>
  <c r="AT90"/>
  <c r="AS126"/>
  <c r="AO24" i="2" s="1"/>
  <c r="AO23" s="1"/>
  <c r="AO41" s="1"/>
  <c r="E18" i="7"/>
  <c r="I5" i="2"/>
  <c r="I9" i="1"/>
  <c r="C29" i="16"/>
  <c r="C25"/>
  <c r="C21"/>
  <c r="C11"/>
  <c r="C7"/>
  <c r="C30"/>
  <c r="C26"/>
  <c r="C22"/>
  <c r="C12"/>
  <c r="C8"/>
  <c r="C27"/>
  <c r="C23"/>
  <c r="C13"/>
  <c r="C9"/>
  <c r="C5"/>
  <c r="C28"/>
  <c r="C24"/>
  <c r="C14"/>
  <c r="C10"/>
  <c r="C6"/>
  <c r="E42" i="2"/>
  <c r="E44" s="1"/>
  <c r="E54" s="1"/>
  <c r="E43" s="1"/>
  <c r="AP10"/>
  <c r="AD9"/>
  <c r="AC16"/>
  <c r="Q15"/>
  <c r="AC15" s="1"/>
  <c r="AP16"/>
  <c r="AD15"/>
  <c r="AP15" s="1"/>
  <c r="F4" i="16"/>
  <c r="F20" s="1"/>
  <c r="G5" i="14"/>
  <c r="F4" i="13"/>
  <c r="F35" s="1"/>
  <c r="L5" i="12"/>
  <c r="F4" i="9"/>
  <c r="F20" s="1"/>
  <c r="F4" i="11"/>
  <c r="F4" i="10"/>
  <c r="AN126" i="12"/>
  <c r="AJ24" i="2" s="1"/>
  <c r="AJ23" s="1"/>
  <c r="AJ41" s="1"/>
  <c r="AM126" i="12"/>
  <c r="AI24" i="2" s="1"/>
  <c r="AI23" s="1"/>
  <c r="R41"/>
  <c r="H47"/>
  <c r="H54" l="1"/>
  <c r="H43" s="1"/>
  <c r="F7" i="16" s="1"/>
  <c r="T42" i="2"/>
  <c r="T44" s="1"/>
  <c r="F31" i="16"/>
  <c r="M31"/>
  <c r="M15"/>
  <c r="W42" i="2"/>
  <c r="W44" s="1"/>
  <c r="AM41"/>
  <c r="V42"/>
  <c r="V44" s="1"/>
  <c r="J31" i="16"/>
  <c r="J15"/>
  <c r="L15"/>
  <c r="L31"/>
  <c r="I15"/>
  <c r="I31"/>
  <c r="E15"/>
  <c r="H15"/>
  <c r="H31"/>
  <c r="E31"/>
  <c r="C15"/>
  <c r="R42" i="2"/>
  <c r="R44" s="1"/>
  <c r="K31" i="16"/>
  <c r="K15"/>
  <c r="G15"/>
  <c r="G31"/>
  <c r="D15"/>
  <c r="D31"/>
  <c r="C31"/>
  <c r="AC19" i="2"/>
  <c r="AP9"/>
  <c r="J9" i="1"/>
  <c r="J5" i="2"/>
  <c r="A21" i="7"/>
  <c r="B20"/>
  <c r="J51" i="2" s="1"/>
  <c r="C20" i="7"/>
  <c r="J52" i="2" s="1"/>
  <c r="AC24"/>
  <c r="Q23"/>
  <c r="AC23" s="1"/>
  <c r="AT126" i="12"/>
  <c r="AD24" i="2"/>
  <c r="AQ16"/>
  <c r="G4" i="16"/>
  <c r="G20" s="1"/>
  <c r="G4" i="13"/>
  <c r="G35" s="1"/>
  <c r="H5" i="14"/>
  <c r="M5" i="12"/>
  <c r="G4" i="9"/>
  <c r="G20" s="1"/>
  <c r="G4" i="11"/>
  <c r="G4" i="10"/>
  <c r="I47" i="2"/>
  <c r="AP20"/>
  <c r="AQ20" s="1"/>
  <c r="P15"/>
  <c r="AQ15" s="1"/>
  <c r="D41"/>
  <c r="D19" i="7"/>
  <c r="AI41" i="2"/>
  <c r="AQ10"/>
  <c r="AC9"/>
  <c r="AM21"/>
  <c r="AM19" s="1"/>
  <c r="AI21"/>
  <c r="AI19" s="1"/>
  <c r="AE21"/>
  <c r="AE19" s="1"/>
  <c r="AE42" s="1"/>
  <c r="AE44" s="1"/>
  <c r="AN21"/>
  <c r="AN19" s="1"/>
  <c r="AN42" s="1"/>
  <c r="AN44" s="1"/>
  <c r="AJ21"/>
  <c r="AJ19" s="1"/>
  <c r="AJ42" s="1"/>
  <c r="AJ44" s="1"/>
  <c r="AF21"/>
  <c r="AF19" s="1"/>
  <c r="AF42" s="1"/>
  <c r="AF44" s="1"/>
  <c r="AO21"/>
  <c r="AO19" s="1"/>
  <c r="AO42" s="1"/>
  <c r="AO44" s="1"/>
  <c r="AK21"/>
  <c r="AK19" s="1"/>
  <c r="AK42" s="1"/>
  <c r="AK44" s="1"/>
  <c r="AG21"/>
  <c r="AG19" s="1"/>
  <c r="AL21"/>
  <c r="AL19" s="1"/>
  <c r="AL42" s="1"/>
  <c r="AL44" s="1"/>
  <c r="AH21"/>
  <c r="AH19" s="1"/>
  <c r="AH42" s="1"/>
  <c r="AH44" s="1"/>
  <c r="AD21"/>
  <c r="AQ6"/>
  <c r="I54"/>
  <c r="I43" s="1"/>
  <c r="AC21"/>
  <c r="F8" i="16" l="1"/>
  <c r="F15" s="1"/>
  <c r="AG42" i="2"/>
  <c r="AG44" s="1"/>
  <c r="AM42"/>
  <c r="AM44" s="1"/>
  <c r="AQ9"/>
  <c r="Q41"/>
  <c r="Q42" s="1"/>
  <c r="C21" i="7"/>
  <c r="K52" i="2" s="1"/>
  <c r="E21" i="7"/>
  <c r="A22"/>
  <c r="B21"/>
  <c r="K51" i="2" s="1"/>
  <c r="K5"/>
  <c r="K9" i="1"/>
  <c r="AP21" i="2"/>
  <c r="AQ21" s="1"/>
  <c r="AI42"/>
  <c r="AI44" s="1"/>
  <c r="B30" i="16"/>
  <c r="B26"/>
  <c r="B22"/>
  <c r="B12"/>
  <c r="B8"/>
  <c r="B27"/>
  <c r="B23"/>
  <c r="B13"/>
  <c r="B9"/>
  <c r="B5"/>
  <c r="B28"/>
  <c r="B24"/>
  <c r="B14"/>
  <c r="B10"/>
  <c r="B6"/>
  <c r="B29"/>
  <c r="B25"/>
  <c r="B21"/>
  <c r="B11"/>
  <c r="B7"/>
  <c r="D42" i="2"/>
  <c r="P41"/>
  <c r="H4" i="16"/>
  <c r="H20" s="1"/>
  <c r="I5" i="14"/>
  <c r="H4" i="13"/>
  <c r="H35" s="1"/>
  <c r="N5" i="12"/>
  <c r="H4" i="11"/>
  <c r="H4" i="10"/>
  <c r="H4" i="9"/>
  <c r="H20" s="1"/>
  <c r="J47" i="2"/>
  <c r="J54" s="1"/>
  <c r="J43" s="1"/>
  <c r="AP24"/>
  <c r="AQ24" s="1"/>
  <c r="AD23"/>
  <c r="D20" i="7"/>
  <c r="AD19" i="2"/>
  <c r="AP19" s="1"/>
  <c r="AQ19" s="1"/>
  <c r="E20" i="7"/>
  <c r="B15" i="16" l="1"/>
  <c r="AC41" i="2"/>
  <c r="B31" i="16"/>
  <c r="K47" i="2"/>
  <c r="K54" s="1"/>
  <c r="K43" s="1"/>
  <c r="P42"/>
  <c r="D44"/>
  <c r="AP23"/>
  <c r="AQ23" s="1"/>
  <c r="AD41"/>
  <c r="I4" i="16"/>
  <c r="I20" s="1"/>
  <c r="J5" i="14"/>
  <c r="I4" i="13"/>
  <c r="I35" s="1"/>
  <c r="O5" i="12"/>
  <c r="I4" i="11"/>
  <c r="I4" i="10"/>
  <c r="I4" i="9"/>
  <c r="I20" s="1"/>
  <c r="D21" i="7"/>
  <c r="L5" i="2"/>
  <c r="L9" i="1"/>
  <c r="AC42" i="2"/>
  <c r="Q44"/>
  <c r="A23" i="7"/>
  <c r="B22"/>
  <c r="L51" i="2" s="1"/>
  <c r="L47" s="1"/>
  <c r="L54" s="1"/>
  <c r="L43" s="1"/>
  <c r="C22" i="7"/>
  <c r="L52" i="2" s="1"/>
  <c r="AC44" l="1"/>
  <c r="D54"/>
  <c r="P44"/>
  <c r="A24" i="7"/>
  <c r="B23"/>
  <c r="M51" i="2" s="1"/>
  <c r="M47" s="1"/>
  <c r="M54" s="1"/>
  <c r="M43" s="1"/>
  <c r="C23" i="7"/>
  <c r="M52" i="2" s="1"/>
  <c r="J4" i="16"/>
  <c r="J20" s="1"/>
  <c r="K5" i="14"/>
  <c r="J4" i="13"/>
  <c r="J35" s="1"/>
  <c r="P5" i="12"/>
  <c r="J4" i="9"/>
  <c r="J20" s="1"/>
  <c r="J4" i="11"/>
  <c r="J4" i="10"/>
  <c r="D22" i="7"/>
  <c r="E22"/>
  <c r="M5" i="2"/>
  <c r="M9" i="1"/>
  <c r="AD42" i="2"/>
  <c r="AP41"/>
  <c r="AQ41" s="1"/>
  <c r="N9" i="1" l="1"/>
  <c r="O5" i="2" s="1"/>
  <c r="N5"/>
  <c r="D23" i="7"/>
  <c r="E23"/>
  <c r="K4" i="16"/>
  <c r="K20" s="1"/>
  <c r="K4" i="13"/>
  <c r="K35" s="1"/>
  <c r="L5" i="14"/>
  <c r="Q5" i="12"/>
  <c r="K4" i="9"/>
  <c r="K20" s="1"/>
  <c r="K4" i="11"/>
  <c r="K4" i="10"/>
  <c r="AP42" i="2"/>
  <c r="AQ42" s="1"/>
  <c r="AD44"/>
  <c r="A25" i="7"/>
  <c r="B24"/>
  <c r="N51" i="2" s="1"/>
  <c r="C24" i="7"/>
  <c r="N52" i="2" s="1"/>
  <c r="D43"/>
  <c r="D55"/>
  <c r="M4" i="16" l="1"/>
  <c r="M20" s="1"/>
  <c r="N5" i="14"/>
  <c r="M4" i="13"/>
  <c r="M35" s="1"/>
  <c r="M4" i="11"/>
  <c r="M4" i="10"/>
  <c r="Q5" i="2"/>
  <c r="S5" i="12"/>
  <c r="M4" i="9"/>
  <c r="M20" s="1"/>
  <c r="L4" i="16"/>
  <c r="L20" s="1"/>
  <c r="M5" i="14"/>
  <c r="L4" i="13"/>
  <c r="L35" s="1"/>
  <c r="L4" i="11"/>
  <c r="L4" i="10"/>
  <c r="R5" i="12"/>
  <c r="L4" i="9"/>
  <c r="L20" s="1"/>
  <c r="E55" i="2"/>
  <c r="D58"/>
  <c r="D59" s="1"/>
  <c r="AP44"/>
  <c r="C25" i="7"/>
  <c r="O52" i="2" s="1"/>
  <c r="P52" s="1"/>
  <c r="D25" i="7"/>
  <c r="E25"/>
  <c r="A26"/>
  <c r="B25"/>
  <c r="O51" i="2" s="1"/>
  <c r="N47"/>
  <c r="N54" s="1"/>
  <c r="N43" s="1"/>
  <c r="D24" i="7"/>
  <c r="E24"/>
  <c r="P5" i="14" l="1"/>
  <c r="O4" i="13"/>
  <c r="O35" s="1"/>
  <c r="U5" i="12"/>
  <c r="O4" i="9"/>
  <c r="O20" s="1"/>
  <c r="O4" i="11"/>
  <c r="O4" i="10"/>
  <c r="R5" i="2"/>
  <c r="AQ44"/>
  <c r="A27" i="7"/>
  <c r="B26"/>
  <c r="Q51" i="2" s="1"/>
  <c r="C26" i="7"/>
  <c r="Q52" i="2" s="1"/>
  <c r="D26" i="7"/>
  <c r="E26"/>
  <c r="O47" i="2"/>
  <c r="O54" s="1"/>
  <c r="O43" s="1"/>
  <c r="P51"/>
  <c r="E58"/>
  <c r="E59" s="1"/>
  <c r="F55"/>
  <c r="G55" l="1"/>
  <c r="F58"/>
  <c r="F59" s="1"/>
  <c r="P47"/>
  <c r="A28" i="7"/>
  <c r="B27"/>
  <c r="R51" i="2" s="1"/>
  <c r="C27" i="7"/>
  <c r="R52" i="2" s="1"/>
  <c r="Q47"/>
  <c r="Q54" s="1"/>
  <c r="Q43" s="1"/>
  <c r="P4" i="13"/>
  <c r="P35" s="1"/>
  <c r="Q5" i="14"/>
  <c r="V5" i="12"/>
  <c r="P4" i="9"/>
  <c r="P20" s="1"/>
  <c r="P4" i="11"/>
  <c r="P4" i="10"/>
  <c r="S5" i="2"/>
  <c r="R5" i="14" l="1"/>
  <c r="Q4" i="13"/>
  <c r="Q35" s="1"/>
  <c r="W5" i="12"/>
  <c r="Q4" i="11"/>
  <c r="Q4" i="10"/>
  <c r="Q4" i="9"/>
  <c r="Q20" s="1"/>
  <c r="T5" i="2"/>
  <c r="A29" i="7"/>
  <c r="B28"/>
  <c r="S51" i="2" s="1"/>
  <c r="S47" s="1"/>
  <c r="S54" s="1"/>
  <c r="S43" s="1"/>
  <c r="C28" i="7"/>
  <c r="S52" i="2" s="1"/>
  <c r="P54"/>
  <c r="H55"/>
  <c r="G58"/>
  <c r="G59" s="1"/>
  <c r="R47"/>
  <c r="R54" s="1"/>
  <c r="R43" s="1"/>
  <c r="D27" i="7"/>
  <c r="E27"/>
  <c r="I55" i="2" l="1"/>
  <c r="H58"/>
  <c r="H59" s="1"/>
  <c r="P43"/>
  <c r="D62"/>
  <c r="C29" i="7"/>
  <c r="T52" i="2" s="1"/>
  <c r="A30" i="7"/>
  <c r="B29"/>
  <c r="T51" i="2" s="1"/>
  <c r="S5" i="14"/>
  <c r="R4" i="13"/>
  <c r="R35" s="1"/>
  <c r="X5" i="12"/>
  <c r="R4" i="11"/>
  <c r="R4" i="10"/>
  <c r="U5" i="2"/>
  <c r="R4" i="9"/>
  <c r="R20" s="1"/>
  <c r="D28" i="7"/>
  <c r="E28"/>
  <c r="T47" i="2" l="1"/>
  <c r="T54" s="1"/>
  <c r="T43" s="1"/>
  <c r="E29" i="7"/>
  <c r="I58" i="2"/>
  <c r="I59" s="1"/>
  <c r="J55"/>
  <c r="T5" i="14"/>
  <c r="S4" i="13"/>
  <c r="S35" s="1"/>
  <c r="Y5" i="12"/>
  <c r="S4" i="9"/>
  <c r="S20" s="1"/>
  <c r="S4" i="11"/>
  <c r="S4" i="10"/>
  <c r="V5" i="2"/>
  <c r="A31" i="7"/>
  <c r="B30"/>
  <c r="U51" i="2" s="1"/>
  <c r="C30" i="7"/>
  <c r="U52" i="2" s="1"/>
  <c r="E30" i="7"/>
  <c r="D29"/>
  <c r="U47" i="2" l="1"/>
  <c r="U54" s="1"/>
  <c r="U43" s="1"/>
  <c r="E31" i="7"/>
  <c r="A32"/>
  <c r="B31"/>
  <c r="V51" i="2" s="1"/>
  <c r="C31" i="7"/>
  <c r="V52" i="2" s="1"/>
  <c r="T4" i="13"/>
  <c r="T35" s="1"/>
  <c r="U5" i="14"/>
  <c r="Z5" i="12"/>
  <c r="T4" i="9"/>
  <c r="T20" s="1"/>
  <c r="T4" i="11"/>
  <c r="T4" i="10"/>
  <c r="W5" i="2"/>
  <c r="K55"/>
  <c r="J58"/>
  <c r="J59" s="1"/>
  <c r="D30" i="7"/>
  <c r="D31" l="1"/>
  <c r="V5" i="14"/>
  <c r="U4" i="13"/>
  <c r="U35" s="1"/>
  <c r="U4" i="11"/>
  <c r="U4" i="10"/>
  <c r="X5" i="2"/>
  <c r="AA5" i="12"/>
  <c r="U4" i="9"/>
  <c r="U20" s="1"/>
  <c r="L55" i="2"/>
  <c r="K58"/>
  <c r="K59" s="1"/>
  <c r="A33" i="7"/>
  <c r="B32"/>
  <c r="W51" i="2" s="1"/>
  <c r="C32" i="7"/>
  <c r="W52" i="2" s="1"/>
  <c r="V47"/>
  <c r="V54" s="1"/>
  <c r="V43" s="1"/>
  <c r="W47" l="1"/>
  <c r="W54" s="1"/>
  <c r="W43" s="1"/>
  <c r="C33" i="7"/>
  <c r="X52" i="2" s="1"/>
  <c r="D33" i="7"/>
  <c r="A34"/>
  <c r="B33"/>
  <c r="X51" i="2" s="1"/>
  <c r="X47" s="1"/>
  <c r="X54" s="1"/>
  <c r="X43" s="1"/>
  <c r="M55"/>
  <c r="L58"/>
  <c r="L59" s="1"/>
  <c r="E32" i="7"/>
  <c r="W5" i="14"/>
  <c r="V4" i="13"/>
  <c r="V35" s="1"/>
  <c r="V4" i="11"/>
  <c r="V4" i="10"/>
  <c r="Y5" i="2"/>
  <c r="AB5" i="12"/>
  <c r="V4" i="9"/>
  <c r="V20" s="1"/>
  <c r="D32" i="7"/>
  <c r="X5" i="14" l="1"/>
  <c r="W4" i="13"/>
  <c r="W35" s="1"/>
  <c r="AC5" i="12"/>
  <c r="W4" i="9"/>
  <c r="W20" s="1"/>
  <c r="W4" i="11"/>
  <c r="W4" i="10"/>
  <c r="Z5" i="2"/>
  <c r="M58"/>
  <c r="M59" s="1"/>
  <c r="N55"/>
  <c r="E33" i="7"/>
  <c r="A35"/>
  <c r="B34"/>
  <c r="Y51" i="2" s="1"/>
  <c r="C34" i="7"/>
  <c r="Y52" i="2" s="1"/>
  <c r="D34" i="7"/>
  <c r="E34"/>
  <c r="Y47" i="2" l="1"/>
  <c r="Y54" s="1"/>
  <c r="Y43" s="1"/>
  <c r="O55"/>
  <c r="N58"/>
  <c r="N59" s="1"/>
  <c r="A36" i="7"/>
  <c r="B35"/>
  <c r="Z51" i="2" s="1"/>
  <c r="C35" i="7"/>
  <c r="Z52" i="2" s="1"/>
  <c r="X4" i="13"/>
  <c r="X35" s="1"/>
  <c r="Y5" i="14"/>
  <c r="AD5" i="12"/>
  <c r="X4" i="9"/>
  <c r="X20" s="1"/>
  <c r="X4" i="11"/>
  <c r="X4" i="10"/>
  <c r="AA5" i="2"/>
  <c r="P55" l="1"/>
  <c r="Q55" s="1"/>
  <c r="O58"/>
  <c r="O59" s="1"/>
  <c r="C59" s="1"/>
  <c r="E9" i="15" s="1"/>
  <c r="Z47" i="2"/>
  <c r="Z54" s="1"/>
  <c r="Z43" s="1"/>
  <c r="E35" i="7"/>
  <c r="Z5" i="14"/>
  <c r="Y4" i="13"/>
  <c r="Y35" s="1"/>
  <c r="AE5" i="12"/>
  <c r="Y4" i="11"/>
  <c r="Y4" i="10"/>
  <c r="Y4" i="9"/>
  <c r="Y20" s="1"/>
  <c r="AB5" i="2"/>
  <c r="A37" i="7"/>
  <c r="B36"/>
  <c r="AA51" i="2" s="1"/>
  <c r="C36" i="7"/>
  <c r="AA52" i="2" s="1"/>
  <c r="D35" i="7"/>
  <c r="AA47" i="2" l="1"/>
  <c r="AA54" s="1"/>
  <c r="AA43" s="1"/>
  <c r="P58"/>
  <c r="P59" s="1"/>
  <c r="R55"/>
  <c r="D36" i="7"/>
  <c r="E36"/>
  <c r="C37"/>
  <c r="AB52" i="2" s="1"/>
  <c r="AC52" s="1"/>
  <c r="A38" i="7"/>
  <c r="B37"/>
  <c r="AB51" i="2" s="1"/>
  <c r="AA5" i="14"/>
  <c r="Z4" i="13"/>
  <c r="Z35" s="1"/>
  <c r="AF5" i="12"/>
  <c r="Z4" i="11"/>
  <c r="Z4" i="10"/>
  <c r="AD5" i="2"/>
  <c r="Z4" i="9"/>
  <c r="Z20" s="1"/>
  <c r="Q58" i="2" l="1"/>
  <c r="Q59" s="1"/>
  <c r="S55"/>
  <c r="D37" i="7"/>
  <c r="AC5" i="14"/>
  <c r="AB4" i="13"/>
  <c r="AB35" s="1"/>
  <c r="AH5" i="12"/>
  <c r="AB4" i="9"/>
  <c r="AB20" s="1"/>
  <c r="AB4" i="11"/>
  <c r="AB4" i="10"/>
  <c r="AE5" i="2"/>
  <c r="E37" i="7"/>
  <c r="AB47" i="2"/>
  <c r="AB54" s="1"/>
  <c r="AB43" s="1"/>
  <c r="AC51"/>
  <c r="A39" i="7"/>
  <c r="B38"/>
  <c r="AD51" i="2" s="1"/>
  <c r="C38" i="7"/>
  <c r="AD52" i="2" s="1"/>
  <c r="AD47" l="1"/>
  <c r="AD54" s="1"/>
  <c r="AD43" s="1"/>
  <c r="AC47"/>
  <c r="A40" i="7"/>
  <c r="B39"/>
  <c r="AE51" i="2" s="1"/>
  <c r="C39" i="7"/>
  <c r="AE52" i="2" s="1"/>
  <c r="AC4" i="13"/>
  <c r="AC35" s="1"/>
  <c r="AD5" i="14"/>
  <c r="AI5" i="12"/>
  <c r="AC4" i="9"/>
  <c r="AC20" s="1"/>
  <c r="AC4" i="11"/>
  <c r="AC4" i="10"/>
  <c r="AF5" i="2"/>
  <c r="R58"/>
  <c r="R59" s="1"/>
  <c r="T55"/>
  <c r="D38" i="7"/>
  <c r="E38"/>
  <c r="AE47" i="2" l="1"/>
  <c r="AE54" s="1"/>
  <c r="AE43" s="1"/>
  <c r="AE5" i="14"/>
  <c r="AD4" i="13"/>
  <c r="AD35" s="1"/>
  <c r="AD4" i="11"/>
  <c r="AD4" i="10"/>
  <c r="AG5" i="2"/>
  <c r="AJ5" i="12"/>
  <c r="AD4" i="9"/>
  <c r="AD20" s="1"/>
  <c r="S58" i="2"/>
  <c r="S59" s="1"/>
  <c r="U55"/>
  <c r="A41" i="7"/>
  <c r="B40"/>
  <c r="AF51" i="2" s="1"/>
  <c r="C40" i="7"/>
  <c r="AF52" i="2" s="1"/>
  <c r="D39" i="7"/>
  <c r="E39"/>
  <c r="AC54" i="2"/>
  <c r="C41" i="7" l="1"/>
  <c r="AG52" i="2" s="1"/>
  <c r="D41" i="7"/>
  <c r="A42"/>
  <c r="B41"/>
  <c r="AG51" i="2" s="1"/>
  <c r="D40" i="7"/>
  <c r="E40"/>
  <c r="AF5" i="14"/>
  <c r="AE4" i="13"/>
  <c r="AE35" s="1"/>
  <c r="AE4" i="11"/>
  <c r="AE4" i="10"/>
  <c r="AH5" i="2"/>
  <c r="AK5" i="12"/>
  <c r="AE4" i="9"/>
  <c r="AE20" s="1"/>
  <c r="E62" i="2"/>
  <c r="AC43"/>
  <c r="T58"/>
  <c r="T59" s="1"/>
  <c r="V55"/>
  <c r="AF47"/>
  <c r="AF54" s="1"/>
  <c r="AF43" s="1"/>
  <c r="AG47" l="1"/>
  <c r="AG54" s="1"/>
  <c r="AG43" s="1"/>
  <c r="U58"/>
  <c r="U59" s="1"/>
  <c r="W55"/>
  <c r="E41" i="7"/>
  <c r="AG5" i="14"/>
  <c r="AF4" i="13"/>
  <c r="AF35" s="1"/>
  <c r="AL5" i="12"/>
  <c r="AF4" i="9"/>
  <c r="AF20" s="1"/>
  <c r="AF4" i="11"/>
  <c r="AF4" i="10"/>
  <c r="AI5" i="2"/>
  <c r="A43" i="7"/>
  <c r="B42"/>
  <c r="AH51" i="2" s="1"/>
  <c r="C42" i="7"/>
  <c r="AH52" i="2" s="1"/>
  <c r="D42" i="7"/>
  <c r="AH47" i="2" l="1"/>
  <c r="AH54" s="1"/>
  <c r="AH43" s="1"/>
  <c r="V58"/>
  <c r="V59" s="1"/>
  <c r="X55"/>
  <c r="AG4" i="13"/>
  <c r="AG35" s="1"/>
  <c r="AH5" i="14"/>
  <c r="AM5" i="12"/>
  <c r="AG4" i="9"/>
  <c r="AG20" s="1"/>
  <c r="AG4" i="11"/>
  <c r="AG4" i="10"/>
  <c r="AJ5" i="2"/>
  <c r="A44" i="7"/>
  <c r="B43"/>
  <c r="AI51" i="2" s="1"/>
  <c r="C43" i="7"/>
  <c r="AI52" i="2" s="1"/>
  <c r="E42" i="7"/>
  <c r="A45" l="1"/>
  <c r="B44"/>
  <c r="AJ51" i="2" s="1"/>
  <c r="C44" i="7"/>
  <c r="AJ52" i="2" s="1"/>
  <c r="AI47"/>
  <c r="AI54" s="1"/>
  <c r="AI43" s="1"/>
  <c r="AI5" i="14"/>
  <c r="AH4" i="13"/>
  <c r="AH35" s="1"/>
  <c r="AN5" i="12"/>
  <c r="AH4" i="11"/>
  <c r="AH4" i="10"/>
  <c r="AK5" i="2"/>
  <c r="AH4" i="9"/>
  <c r="AH20" s="1"/>
  <c r="W58" i="2"/>
  <c r="W59" s="1"/>
  <c r="Y55"/>
  <c r="D43" i="7"/>
  <c r="E43"/>
  <c r="E44" l="1"/>
  <c r="X58" i="2"/>
  <c r="X59" s="1"/>
  <c r="Z55"/>
  <c r="C45" i="7"/>
  <c r="AK52" i="2" s="1"/>
  <c r="D45" i="7"/>
  <c r="A46"/>
  <c r="B45"/>
  <c r="AK51" i="2" s="1"/>
  <c r="AK47" s="1"/>
  <c r="AK54" s="1"/>
  <c r="AK43" s="1"/>
  <c r="D44" i="7"/>
  <c r="AJ5" i="14"/>
  <c r="AI4" i="13"/>
  <c r="AI35" s="1"/>
  <c r="AO5" i="12"/>
  <c r="AI4" i="11"/>
  <c r="AI4" i="10"/>
  <c r="AL5" i="2"/>
  <c r="AI4" i="9"/>
  <c r="AI20" s="1"/>
  <c r="AJ47" i="2"/>
  <c r="AJ54" s="1"/>
  <c r="AJ43" s="1"/>
  <c r="E45" i="7" l="1"/>
  <c r="AK5" i="14"/>
  <c r="AJ4" i="13"/>
  <c r="AJ35" s="1"/>
  <c r="AP5" i="12"/>
  <c r="AJ4" i="9"/>
  <c r="AJ20" s="1"/>
  <c r="AJ4" i="11"/>
  <c r="AJ4" i="10"/>
  <c r="AM5" i="2"/>
  <c r="A47" i="7"/>
  <c r="B46"/>
  <c r="AL51" i="2" s="1"/>
  <c r="C46" i="7"/>
  <c r="AL52" i="2" s="1"/>
  <c r="E46" i="7"/>
  <c r="Y58" i="2"/>
  <c r="Y59" s="1"/>
  <c r="AA55"/>
  <c r="A48" i="7" l="1"/>
  <c r="B47"/>
  <c r="AM51" i="2" s="1"/>
  <c r="C47" i="7"/>
  <c r="AM52" i="2" s="1"/>
  <c r="AL47"/>
  <c r="AL54" s="1"/>
  <c r="AL43" s="1"/>
  <c r="Z58"/>
  <c r="Z59" s="1"/>
  <c r="AB55"/>
  <c r="AK4" i="13"/>
  <c r="AK35" s="1"/>
  <c r="AL5" i="14"/>
  <c r="AQ5" i="12"/>
  <c r="AK4" i="9"/>
  <c r="AK20" s="1"/>
  <c r="AK4" i="11"/>
  <c r="AK4" i="10"/>
  <c r="AN5" i="2"/>
  <c r="D46" i="7"/>
  <c r="AM5" i="14" l="1"/>
  <c r="AL4" i="13"/>
  <c r="AL35" s="1"/>
  <c r="AL4" i="11"/>
  <c r="AL4" i="10"/>
  <c r="AO5" i="2"/>
  <c r="AR5" i="12"/>
  <c r="AL4" i="9"/>
  <c r="AL20" s="1"/>
  <c r="AA58" i="2"/>
  <c r="AA59" s="1"/>
  <c r="AC55"/>
  <c r="AD55" s="1"/>
  <c r="D47" i="7"/>
  <c r="E47"/>
  <c r="E48"/>
  <c r="A49"/>
  <c r="B48"/>
  <c r="AN51" i="2" s="1"/>
  <c r="C48" i="7"/>
  <c r="AN52" i="2" s="1"/>
  <c r="AM47"/>
  <c r="AM54" s="1"/>
  <c r="AM43" s="1"/>
  <c r="AE55" l="1"/>
  <c r="AB58"/>
  <c r="AB59" s="1"/>
  <c r="AN5" i="14"/>
  <c r="AM4" i="13"/>
  <c r="AM35" s="1"/>
  <c r="AM4" i="11"/>
  <c r="AM4" i="10"/>
  <c r="AS5" i="12"/>
  <c r="AM4" i="9"/>
  <c r="AM20" s="1"/>
  <c r="C49" i="7"/>
  <c r="AO52" i="2" s="1"/>
  <c r="AP52" s="1"/>
  <c r="AQ52" s="1"/>
  <c r="A50" i="7"/>
  <c r="B49"/>
  <c r="AO51" i="2" s="1"/>
  <c r="D48" i="7"/>
  <c r="AN47" i="2"/>
  <c r="AN54" s="1"/>
  <c r="AN43" s="1"/>
  <c r="AC58" l="1"/>
  <c r="AC59" s="1"/>
  <c r="AF55"/>
  <c r="AO47"/>
  <c r="AO54" s="1"/>
  <c r="AO43" s="1"/>
  <c r="AP51"/>
  <c r="E49" i="7"/>
  <c r="B50"/>
  <c r="C50"/>
  <c r="D50"/>
  <c r="E50"/>
  <c r="D49"/>
  <c r="AD58" i="2" l="1"/>
  <c r="AD59" s="1"/>
  <c r="AG55"/>
  <c r="AP47"/>
  <c r="AQ51"/>
  <c r="AE58" l="1"/>
  <c r="AE59" s="1"/>
  <c r="AH55"/>
  <c r="AP54"/>
  <c r="AQ47"/>
  <c r="AQ54" s="1"/>
  <c r="AQ43" s="1"/>
  <c r="AI55" l="1"/>
  <c r="AF58"/>
  <c r="AF59" s="1"/>
  <c r="F62"/>
  <c r="E8" i="15" s="1"/>
  <c r="AP43" i="2"/>
  <c r="E7" i="15"/>
  <c r="AG58" i="2" l="1"/>
  <c r="AG59" s="1"/>
  <c r="AJ55"/>
  <c r="AH58" l="1"/>
  <c r="AH59" s="1"/>
  <c r="AK55"/>
  <c r="AI58" l="1"/>
  <c r="AI59" s="1"/>
  <c r="AL55"/>
  <c r="AM55" l="1"/>
  <c r="AJ58"/>
  <c r="AJ59" s="1"/>
  <c r="AK58" l="1"/>
  <c r="AK59" s="1"/>
  <c r="AN55"/>
  <c r="AL58" l="1"/>
  <c r="AL59" s="1"/>
  <c r="AO55"/>
  <c r="AM58" l="1"/>
  <c r="AM59" s="1"/>
  <c r="AP55"/>
  <c r="AQ55" s="1"/>
</calcChain>
</file>

<file path=xl/sharedStrings.xml><?xml version="1.0" encoding="utf-8"?>
<sst xmlns="http://schemas.openxmlformats.org/spreadsheetml/2006/main" count="1051" uniqueCount="538">
  <si>
    <t xml:space="preserve">Вводные данные </t>
  </si>
  <si>
    <t>№</t>
  </si>
  <si>
    <t>Показатель</t>
  </si>
  <si>
    <t>1 год</t>
  </si>
  <si>
    <t>2 год</t>
  </si>
  <si>
    <t>3 год</t>
  </si>
  <si>
    <t xml:space="preserve">Инфляция </t>
  </si>
  <si>
    <t>Потери при сбыте готовой продукции/ реализации товара</t>
  </si>
  <si>
    <t>Размер обязательных взносов за ИП</t>
  </si>
  <si>
    <t>Сезонность продаж</t>
  </si>
  <si>
    <t>Месяц - начало продаж</t>
  </si>
  <si>
    <r>
      <t>*</t>
    </r>
    <r>
      <rPr>
        <u/>
        <sz val="12"/>
        <color theme="1"/>
        <rFont val="Times New Roman"/>
      </rPr>
      <t>Примечание</t>
    </r>
    <r>
      <rPr>
        <sz val="12"/>
        <color theme="1"/>
        <rFont val="Times New Roman"/>
      </rPr>
      <t>: в шапке таблицы "Сезонность продаж" самостоятельно прописать месяц и год начала продаж в первом столбце. Во всем документе будет произведено автоматическое обновление дат!!!</t>
    </r>
  </si>
  <si>
    <t>Месяц начала продаж должен идти после завершение всех этапов проекта!!!</t>
  </si>
  <si>
    <t>Расчет движения денежных средств</t>
  </si>
  <si>
    <t>Код</t>
  </si>
  <si>
    <t>Наименование статьи</t>
  </si>
  <si>
    <t>Инвестиционный месяц</t>
  </si>
  <si>
    <t>Итого за 1 год</t>
  </si>
  <si>
    <t>Итого за 2 год</t>
  </si>
  <si>
    <t>Итого за 3 год</t>
  </si>
  <si>
    <t>Итого по проекту</t>
  </si>
  <si>
    <t>Доходы</t>
  </si>
  <si>
    <t>Фонд оплаты труда (трудовые договора)</t>
  </si>
  <si>
    <t>2.1</t>
  </si>
  <si>
    <t>НДФЛ (ФОТ 13%)</t>
  </si>
  <si>
    <t>Взносы (ФОТ)</t>
  </si>
  <si>
    <t>3.1</t>
  </si>
  <si>
    <t>Пенсионный фонд (ФОТ 22%)</t>
  </si>
  <si>
    <t>3.2</t>
  </si>
  <si>
    <t>ФФОМС, ТФОМС (ФОТ 5,1%)</t>
  </si>
  <si>
    <t>3.3</t>
  </si>
  <si>
    <t>ФСС (ФОТ 0,2%+2,9%)</t>
  </si>
  <si>
    <t>Cдельная оплата труда</t>
  </si>
  <si>
    <t>4.1</t>
  </si>
  <si>
    <t>НДФЛ (Сдельная оплата труда 13%)</t>
  </si>
  <si>
    <t>Взносы (сдельная оплата труда)</t>
  </si>
  <si>
    <t>5.1</t>
  </si>
  <si>
    <t>Пенсионный фонд (22%)</t>
  </si>
  <si>
    <t>5.2</t>
  </si>
  <si>
    <t>ФФОМС, ТФОМС (5,1%)</t>
  </si>
  <si>
    <t>5.3</t>
  </si>
  <si>
    <t>ФСС (0,2%+2,9%)</t>
  </si>
  <si>
    <t>6</t>
  </si>
  <si>
    <t xml:space="preserve">Налог </t>
  </si>
  <si>
    <t>6.1</t>
  </si>
  <si>
    <t>Налог УСН 6% (например)</t>
  </si>
  <si>
    <t>6.2</t>
  </si>
  <si>
    <t>Взнос ИП фиксированный</t>
  </si>
  <si>
    <t>Маркетинговые расходы</t>
  </si>
  <si>
    <t>Административно-хозяйственные и производственные расходы</t>
  </si>
  <si>
    <t>8.1</t>
  </si>
  <si>
    <t>Производственные расходы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</si>
  <si>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</si>
  <si>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</si>
  <si>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</si>
  <si>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</si>
  <si>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</si>
  <si>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</si>
  <si>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</si>
  <si>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</si>
  <si>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</si>
  <si>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</si>
  <si>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</si>
  <si>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</si>
  <si>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</si>
  <si>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</si>
  <si>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</si>
  <si>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</si>
  <si>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Непредвиденные расходы (5%)</t>
  </si>
  <si>
    <t>Себестоимость без учета налога на прибыль:</t>
  </si>
  <si>
    <t>Итого себестоимость:</t>
  </si>
  <si>
    <t>Рентабельность продаж</t>
  </si>
  <si>
    <t>Денежный поток от операционной деятельности</t>
  </si>
  <si>
    <t>Инвестиционные расходы</t>
  </si>
  <si>
    <t>13.1</t>
  </si>
  <si>
    <t>Расходы на подготовку проекта</t>
  </si>
  <si>
    <t>14</t>
  </si>
  <si>
    <t>Денежный поток от финансовой деятельности</t>
  </si>
  <si>
    <t>14.1</t>
  </si>
  <si>
    <t xml:space="preserve">Собственный капитал </t>
  </si>
  <si>
    <t>14.2</t>
  </si>
  <si>
    <t xml:space="preserve">Заемный капитал </t>
  </si>
  <si>
    <t>14.3</t>
  </si>
  <si>
    <t xml:space="preserve">Невозвратное финансирование (гранты, пожертвование) </t>
  </si>
  <si>
    <t>14.4</t>
  </si>
  <si>
    <t>Погашение основного долга</t>
  </si>
  <si>
    <t>14.5</t>
  </si>
  <si>
    <t>Погашение процентов</t>
  </si>
  <si>
    <t>14.6</t>
  </si>
  <si>
    <t>Выплаты дивидендов</t>
  </si>
  <si>
    <t>Нераспределенная прибыль (CashFlow)</t>
  </si>
  <si>
    <t>Прибыль нарастающим итогом</t>
  </si>
  <si>
    <t>Номер месяца</t>
  </si>
  <si>
    <t>Накопленное сальдо</t>
  </si>
  <si>
    <t>Период</t>
  </si>
  <si>
    <t>Сальдо (годовое)</t>
  </si>
  <si>
    <t>План-график реализации проекта</t>
  </si>
  <si>
    <t>Этап проекта</t>
  </si>
  <si>
    <t>Начало этапа</t>
  </si>
  <si>
    <t>Длительность, день</t>
  </si>
  <si>
    <t xml:space="preserve">Конец этапа </t>
  </si>
  <si>
    <t>Стоимость этапа, руб.</t>
  </si>
  <si>
    <t>ИТОГО</t>
  </si>
  <si>
    <t>-</t>
  </si>
  <si>
    <r>
      <t>*</t>
    </r>
    <r>
      <rPr>
        <u/>
        <sz val="11"/>
        <rFont val="Times New Roman"/>
      </rPr>
      <t>Примечание:</t>
    </r>
    <r>
      <rPr>
        <sz val="11"/>
        <rFont val="Times New Roman"/>
      </rPr>
      <t xml:space="preserve"> при отсутствии затрат на этапе запуска проекта, в графе "Стоимость этапа" оставлять пустую ячейку!!!</t>
    </r>
  </si>
  <si>
    <t>Кредитный калькулятор (аннуитетные платежи)</t>
  </si>
  <si>
    <t>Сумма кредита, руб.</t>
  </si>
  <si>
    <t>Годовая ставка</t>
  </si>
  <si>
    <t>Срок кредита, мес.</t>
  </si>
  <si>
    <t>Сумма ежемес. Выплат, руб.</t>
  </si>
  <si>
    <t>Общая сумма выплат, руб.</t>
  </si>
  <si>
    <t>Переплата, руб.</t>
  </si>
  <si>
    <t>Выплата основного долга, руб.</t>
  </si>
  <si>
    <t>Выплата процентов, руб.</t>
  </si>
  <si>
    <t>Общая выплата, руб.</t>
  </si>
  <si>
    <t>Осталось выплатить, руб.</t>
  </si>
  <si>
    <t>Цены реализации</t>
  </si>
  <si>
    <t>Наименование продукта/услуги</t>
  </si>
  <si>
    <t>Ед. изм</t>
  </si>
  <si>
    <t>Цена, руб.</t>
  </si>
  <si>
    <t>Объем производства в натуральном выражении (шт, чел, тонн и пр.)</t>
  </si>
  <si>
    <t>ИТОГО за 1 год</t>
  </si>
  <si>
    <t>ИТОГО за 2 год</t>
  </si>
  <si>
    <t>ИТОГО за 3 год</t>
  </si>
  <si>
    <t xml:space="preserve">ИТОГО </t>
  </si>
  <si>
    <t>Прогноз выручки (с учетом % потерь при сбыте), руб.</t>
  </si>
  <si>
    <t>Бюджет маркетинга, руб.</t>
  </si>
  <si>
    <t>Название рекламы или метода продвижения</t>
  </si>
  <si>
    <t>3 ГОД</t>
  </si>
  <si>
    <t>Ежемесячные расходы, руб. (за исключением расходов на рекламу и персонал)</t>
  </si>
  <si>
    <t>Название расходов</t>
  </si>
  <si>
    <t>Расходы 10</t>
  </si>
  <si>
    <t>Расходы 11</t>
  </si>
  <si>
    <t>Расходы 12</t>
  </si>
  <si>
    <t>Расходы 13</t>
  </si>
  <si>
    <t>Расходы 14</t>
  </si>
  <si>
    <t>Расходы 15</t>
  </si>
  <si>
    <t>Себестоимость изготовления продукции / оказания услуг</t>
  </si>
  <si>
    <t>Наименование сырья и материалов</t>
  </si>
  <si>
    <t>Цена за 1 единицу, в руб</t>
  </si>
  <si>
    <t>Среднее количество, необходимое на единицу</t>
  </si>
  <si>
    <t>Сумма затрат на единицу продукцию, руб.</t>
  </si>
  <si>
    <t>1.1</t>
  </si>
  <si>
    <t>Сырье и материалы 1</t>
  </si>
  <si>
    <t>1.2</t>
  </si>
  <si>
    <t>Сырье и материалы 2</t>
  </si>
  <si>
    <t>1.3</t>
  </si>
  <si>
    <t>Сырье и материалы 3</t>
  </si>
  <si>
    <t>1.4</t>
  </si>
  <si>
    <t>Сырье и материалы 4</t>
  </si>
  <si>
    <t>1.5</t>
  </si>
  <si>
    <t>Сырье и материалы 5</t>
  </si>
  <si>
    <t>1.6</t>
  </si>
  <si>
    <t>Сырье и материалы 6</t>
  </si>
  <si>
    <t>1.7</t>
  </si>
  <si>
    <t>Сырье и материалы 7</t>
  </si>
  <si>
    <t>1.8</t>
  </si>
  <si>
    <t>Сырье и материалы 8</t>
  </si>
  <si>
    <t>1.9</t>
  </si>
  <si>
    <t>Сырье и материалы 9</t>
  </si>
  <si>
    <t>1.10</t>
  </si>
  <si>
    <t>Сырье и материалы 10</t>
  </si>
  <si>
    <t>1.11</t>
  </si>
  <si>
    <t>Cправочно стоимость услуги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</si>
  <si>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</si>
  <si>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</si>
  <si>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</si>
  <si>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</si>
  <si>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</si>
  <si>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</si>
  <si>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</si>
  <si>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</si>
  <si>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</si>
  <si>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</si>
  <si>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3.4</t>
  </si>
  <si>
    <t>3.5</t>
  </si>
  <si>
    <t>3.6</t>
  </si>
  <si>
    <t>3.7</t>
  </si>
  <si>
    <t>3.8</t>
  </si>
  <si>
    <t>3.9</t>
  </si>
  <si>
    <t>3.10</t>
  </si>
  <si>
    <t>3.11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</si>
  <si>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</si>
  <si>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</si>
  <si>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</si>
  <si>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</si>
  <si>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</si>
  <si>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</si>
  <si>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</si>
  <si>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</si>
  <si>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</si>
  <si>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</si>
  <si>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5.4</t>
  </si>
  <si>
    <t>5.5</t>
  </si>
  <si>
    <t>5.6</t>
  </si>
  <si>
    <t>5.7</t>
  </si>
  <si>
    <t>5.8</t>
  </si>
  <si>
    <t>5.9</t>
  </si>
  <si>
    <t>5.10</t>
  </si>
  <si>
    <t>5.11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</si>
  <si>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</si>
  <si>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</si>
  <si>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</si>
  <si>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</si>
  <si>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</si>
  <si>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</si>
  <si>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</si>
  <si>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</si>
  <si>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</si>
  <si>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</si>
  <si>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</si>
  <si>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</si>
  <si>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</si>
  <si>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</si>
  <si>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</si>
  <si>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</si>
  <si>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</si>
  <si>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</si>
  <si>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</si>
  <si>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</si>
  <si>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</si>
  <si>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</si>
  <si>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</si>
  <si>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</si>
  <si>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</si>
  <si>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</si>
  <si>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</si>
  <si>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</si>
  <si>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</si>
  <si>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</si>
  <si>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</si>
  <si>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</si>
  <si>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</si>
  <si>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</si>
  <si>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</si>
  <si>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</si>
  <si>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</si>
  <si>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</si>
  <si>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</si>
  <si>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</si>
  <si>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</si>
  <si>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</si>
  <si>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Кол-во сотрудников в штате (постоянные работники), чел.</t>
  </si>
  <si>
    <t>Наименование должности</t>
  </si>
  <si>
    <t>Среднее за 1 год</t>
  </si>
  <si>
    <t>Среднее за 2 год</t>
  </si>
  <si>
    <t>Среднее за 3 год</t>
  </si>
  <si>
    <t>Должность 1</t>
  </si>
  <si>
    <t>Должность 2</t>
  </si>
  <si>
    <t>Должность 3</t>
  </si>
  <si>
    <t>Должность 4</t>
  </si>
  <si>
    <t>Должность 5</t>
  </si>
  <si>
    <t>Фонд оплаты труда (штатное расписание)</t>
  </si>
  <si>
    <t>Тип договора</t>
  </si>
  <si>
    <t>Заработная плата 1 сотрудника, руб.</t>
  </si>
  <si>
    <t>Трудовой</t>
  </si>
  <si>
    <t>Итого ФОТ, руб.</t>
  </si>
  <si>
    <t>Расчет сдельной оплаты труда</t>
  </si>
  <si>
    <t>1.1.1</t>
  </si>
  <si>
    <t>Норма выработки на 1 единицу услуги</t>
  </si>
  <si>
    <t>1.1.2</t>
  </si>
  <si>
    <t>Тарифная ставка</t>
  </si>
  <si>
    <t>1.1.3</t>
  </si>
  <si>
    <t>В % от стоимости услуги</t>
  </si>
  <si>
    <t>1.1.4</t>
  </si>
  <si>
    <t>Справочно стоимость услуги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</si>
  <si>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</si>
  <si>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</si>
  <si>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</si>
  <si>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</si>
  <si>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</si>
  <si>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</si>
  <si>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</si>
  <si>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</si>
  <si>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1.4.1</t>
  </si>
  <si>
    <t>1.4.2</t>
  </si>
  <si>
    <t>1.4.3</t>
  </si>
  <si>
    <t>1.4.4</t>
  </si>
  <si>
    <t>1.5.1</t>
  </si>
  <si>
    <t>1.5.2</t>
  </si>
  <si>
    <t>1.5.3</t>
  </si>
  <si>
    <t>1.5.4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</si>
  <si>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</si>
  <si>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</si>
  <si>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</si>
  <si>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</si>
  <si>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</si>
  <si>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</si>
  <si>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</si>
  <si>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</si>
  <si>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</si>
  <si>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</si>
  <si>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</si>
  <si>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</si>
  <si>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2.4.1</t>
  </si>
  <si>
    <t>2.4.2</t>
  </si>
  <si>
    <t>2.4.3</t>
  </si>
  <si>
    <t>2.4.4</t>
  </si>
  <si>
    <t>2.5.1</t>
  </si>
  <si>
    <t>2.5.2</t>
  </si>
  <si>
    <t>2.5.3</t>
  </si>
  <si>
    <t>2.5.4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</si>
  <si>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</si>
  <si>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</si>
  <si>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</si>
  <si>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</si>
  <si>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</si>
  <si>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</si>
  <si>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</si>
  <si>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</si>
  <si>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3.3.1</t>
  </si>
  <si>
    <t>3.3.2</t>
  </si>
  <si>
    <t>3.3.3</t>
  </si>
  <si>
    <t>3.3.4</t>
  </si>
  <si>
    <t>3.4.1</t>
  </si>
  <si>
    <t>3.4.2</t>
  </si>
  <si>
    <t>3.4.3</t>
  </si>
  <si>
    <t>3.4.4</t>
  </si>
  <si>
    <t>3.5.1</t>
  </si>
  <si>
    <t>3.5.2</t>
  </si>
  <si>
    <t>3.5.3</t>
  </si>
  <si>
    <t>3.5.4</t>
  </si>
  <si>
    <t>4.1.1</t>
  </si>
  <si>
    <t>4.1.2</t>
  </si>
  <si>
    <t>4.1.3</t>
  </si>
  <si>
    <t>4.1.4</t>
  </si>
  <si>
    <t>4.2.1</t>
  </si>
  <si>
    <t>4.2.2</t>
  </si>
  <si>
    <t>4.2.3</t>
  </si>
  <si>
    <t>4.2.4</t>
  </si>
  <si>
    <t>4.3.1</t>
  </si>
  <si>
    <t>4.3.2</t>
  </si>
  <si>
    <t>4.3.3</t>
  </si>
  <si>
    <t>4.3.4</t>
  </si>
  <si>
    <t>4.4.1</t>
  </si>
  <si>
    <t>4.4.2</t>
  </si>
  <si>
    <t>4.4.3</t>
  </si>
  <si>
    <t>4.4.4</t>
  </si>
  <si>
    <t>4.5.1</t>
  </si>
  <si>
    <t>4.5.2</t>
  </si>
  <si>
    <t>4.5.3</t>
  </si>
  <si>
    <t>4.5.4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</si>
  <si>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</si>
  <si>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</si>
  <si>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</si>
  <si>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</si>
  <si>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</si>
  <si>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</si>
  <si>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</si>
  <si>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</si>
  <si>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</si>
  <si>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</si>
  <si>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</si>
  <si>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</si>
  <si>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5.4.1</t>
  </si>
  <si>
    <t>5.4.2</t>
  </si>
  <si>
    <t>5.4.3</t>
  </si>
  <si>
    <t>5.4.4</t>
  </si>
  <si>
    <t>5.5.1</t>
  </si>
  <si>
    <t>5.5.2</t>
  </si>
  <si>
    <t>5.5.3</t>
  </si>
  <si>
    <t>5.5.4</t>
  </si>
  <si>
    <t>6.1.1</t>
  </si>
  <si>
    <t>6.1.2</t>
  </si>
  <si>
    <t>6.1.3</t>
  </si>
  <si>
    <t>6.1.4</t>
  </si>
  <si>
    <t>6.2.1</t>
  </si>
  <si>
    <t>6.2.2</t>
  </si>
  <si>
    <t>6.2.3</t>
  </si>
  <si>
    <t>6.2.4</t>
  </si>
  <si>
    <t>6.3.1</t>
  </si>
  <si>
    <t>6.3.2</t>
  </si>
  <si>
    <t>6.3.3</t>
  </si>
  <si>
    <t>6.3.4</t>
  </si>
  <si>
    <t>6.4.1</t>
  </si>
  <si>
    <t>6.4.2</t>
  </si>
  <si>
    <t>6.4.3</t>
  </si>
  <si>
    <t>6.4.4</t>
  </si>
  <si>
    <t>6.5.1</t>
  </si>
  <si>
    <t>6.5.2</t>
  </si>
  <si>
    <t>6.5.3</t>
  </si>
  <si>
    <t>6.5.4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</si>
  <si>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</si>
  <si>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</si>
  <si>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</si>
  <si>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</si>
  <si>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</si>
  <si>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</si>
  <si>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</si>
  <si>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</si>
  <si>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7.3.1</t>
  </si>
  <si>
    <t>7.3.2</t>
  </si>
  <si>
    <t>7.3.3</t>
  </si>
  <si>
    <t>7.3.4</t>
  </si>
  <si>
    <t>7.4.1</t>
  </si>
  <si>
    <t>7.4.2</t>
  </si>
  <si>
    <t>7.4.3</t>
  </si>
  <si>
    <t>7.4.4</t>
  </si>
  <si>
    <t>7.5.1</t>
  </si>
  <si>
    <t>7.5.2</t>
  </si>
  <si>
    <t>7.5.3</t>
  </si>
  <si>
    <t>7.5.4</t>
  </si>
  <si>
    <t>8.1.1</t>
  </si>
  <si>
    <t>8.1.2</t>
  </si>
  <si>
    <t>8.1.3</t>
  </si>
  <si>
    <t>8.1.4</t>
  </si>
  <si>
    <t>8.2.1</t>
  </si>
  <si>
    <t>8.2.2</t>
  </si>
  <si>
    <t>8.2.3</t>
  </si>
  <si>
    <t>8.2.4</t>
  </si>
  <si>
    <t>8.3.1</t>
  </si>
  <si>
    <t>8.3.2</t>
  </si>
  <si>
    <t>8.3.3</t>
  </si>
  <si>
    <t>8.3.4</t>
  </si>
  <si>
    <t>8.4.1</t>
  </si>
  <si>
    <t>8.4.2</t>
  </si>
  <si>
    <t>8.4.3</t>
  </si>
  <si>
    <t>8.4.4</t>
  </si>
  <si>
    <t>8.5.1</t>
  </si>
  <si>
    <t>8.5.2</t>
  </si>
  <si>
    <t>8.5.3</t>
  </si>
  <si>
    <t>8.5.4</t>
  </si>
  <si>
    <t>9.1.1</t>
  </si>
  <si>
    <t>9.1.2</t>
  </si>
  <si>
    <t>9.1.3</t>
  </si>
  <si>
    <t>9.1.4</t>
  </si>
  <si>
    <t>9.2.1</t>
  </si>
  <si>
    <t>9.2.2</t>
  </si>
  <si>
    <t>9.2.3</t>
  </si>
  <si>
    <t>9.2.4</t>
  </si>
  <si>
    <t>9.3.1</t>
  </si>
  <si>
    <t>9.3.2</t>
  </si>
  <si>
    <t>9.3.3</t>
  </si>
  <si>
    <t>9.3.4</t>
  </si>
  <si>
    <t>9.4.1</t>
  </si>
  <si>
    <t>9.4.2</t>
  </si>
  <si>
    <t>9.4.3</t>
  </si>
  <si>
    <t>9.4.4</t>
  </si>
  <si>
    <t>9.5.1</t>
  </si>
  <si>
    <t>9.5.2</t>
  </si>
  <si>
    <t>9.5.3</t>
  </si>
  <si>
    <t>9.5.4</t>
  </si>
  <si>
    <t>10.1.1</t>
  </si>
  <si>
    <t>10.1.2</t>
  </si>
  <si>
    <t>10.1.3</t>
  </si>
  <si>
    <t>10.1.4</t>
  </si>
  <si>
    <t>10.2.1</t>
  </si>
  <si>
    <t>10.2.2</t>
  </si>
  <si>
    <t>10.2.3</t>
  </si>
  <si>
    <t>10.2.4</t>
  </si>
  <si>
    <t>10.3.1</t>
  </si>
  <si>
    <t>10.3.2</t>
  </si>
  <si>
    <t>10.3.3</t>
  </si>
  <si>
    <t>10.3.4</t>
  </si>
  <si>
    <t>10.4.1</t>
  </si>
  <si>
    <t>10.4.2</t>
  </si>
  <si>
    <t>10.4.3</t>
  </si>
  <si>
    <t>10.4.4</t>
  </si>
  <si>
    <t>10.5.1</t>
  </si>
  <si>
    <t>10.5.2</t>
  </si>
  <si>
    <t>10.5.3</t>
  </si>
  <si>
    <t>10.5.4</t>
  </si>
  <si>
    <t>Экономические показатели проекта</t>
  </si>
  <si>
    <t>№ п/п</t>
  </si>
  <si>
    <t>Наименование показателя</t>
  </si>
  <si>
    <t>Формула расчета</t>
  </si>
  <si>
    <t>Обозначения</t>
  </si>
  <si>
    <t>Значение</t>
  </si>
  <si>
    <t>Описание</t>
  </si>
  <si>
    <t>Общая стоимость инвестиционного проекта, руб.</t>
  </si>
  <si>
    <t>Инвестиционные затраты</t>
  </si>
  <si>
    <r>
      <rPr>
        <b/>
        <i/>
        <sz val="11"/>
        <rFont val="Times New Roman"/>
      </rPr>
      <t xml:space="preserve">I </t>
    </r>
    <r>
      <rPr>
        <sz val="11"/>
        <rFont val="Times New Roman"/>
      </rPr>
      <t>- первоначальные инвестиции</t>
    </r>
  </si>
  <si>
    <t>Сумма первоначальных вложений, необходимая для начала осуществления деятельности</t>
  </si>
  <si>
    <t>Ставка дисконтирования, %</t>
  </si>
  <si>
    <r>
      <t>r =</t>
    </r>
    <r>
      <rPr>
        <sz val="11"/>
        <rFont val="Times New Roman"/>
      </rPr>
      <t>безрисковая ставка+премии за риск</t>
    </r>
  </si>
  <si>
    <r>
      <t xml:space="preserve">r </t>
    </r>
    <r>
      <rPr>
        <sz val="11"/>
        <rFont val="Times New Roman"/>
      </rPr>
      <t>- ставка дисконтирования</t>
    </r>
  </si>
  <si>
    <t>Процентная ставка, используемая для перерасчета будущих потоков доходов в единую величину текущей стоимости. Ставка дисконтирования применяется при расчёте дисконтированной стоимости будущих денежных потоков NPV</t>
  </si>
  <si>
    <r>
      <t xml:space="preserve">Чистый приведенный доход </t>
    </r>
    <r>
      <rPr>
        <i/>
        <sz val="11"/>
        <rFont val="Times New Roman"/>
      </rPr>
      <t>(NPV</t>
    </r>
    <r>
      <rPr>
        <sz val="11"/>
        <rFont val="Times New Roman"/>
      </rPr>
      <t>), руб.</t>
    </r>
  </si>
  <si>
    <r>
      <t>Pt -</t>
    </r>
    <r>
      <rPr>
        <sz val="11"/>
        <rFont val="Times New Roman"/>
      </rPr>
      <t xml:space="preserve">денежные потоки;                     </t>
    </r>
    <r>
      <rPr>
        <b/>
        <i/>
        <sz val="11"/>
        <rFont val="Times New Roman"/>
      </rPr>
      <t xml:space="preserve">r </t>
    </r>
    <r>
      <rPr>
        <sz val="11"/>
        <rFont val="Times New Roman"/>
      </rPr>
      <t xml:space="preserve">- ставка дисконтирования;     </t>
    </r>
    <r>
      <rPr>
        <b/>
        <i/>
        <sz val="11"/>
        <rFont val="Times New Roman"/>
      </rPr>
      <t>I</t>
    </r>
    <r>
      <rPr>
        <sz val="11"/>
        <rFont val="Times New Roman"/>
      </rPr>
      <t xml:space="preserve"> - первоначальные инвестиции;              </t>
    </r>
    <r>
      <rPr>
        <b/>
        <sz val="11"/>
        <rFont val="Times New Roman"/>
      </rPr>
      <t>t</t>
    </r>
    <r>
      <rPr>
        <sz val="11"/>
        <rFont val="Times New Roman"/>
      </rPr>
      <t xml:space="preserve"> - кол-во периодов                 </t>
    </r>
  </si>
  <si>
    <t>Cумма накопленного сальдо денежных потоков проекта, приведенная к настоящему моменту (началу осуществления проекта) за вычетом первоначальных инвестиций. Если NPV проекта положителен, проект является эффективным (при данной норме дисконта). Чем больше NPV, тем эффективней проект</t>
  </si>
  <si>
    <r>
      <t>Внутренняя норма доходности проекта (</t>
    </r>
    <r>
      <rPr>
        <i/>
        <sz val="11"/>
        <rFont val="Times New Roman"/>
      </rPr>
      <t>IRR</t>
    </r>
    <r>
      <rPr>
        <sz val="11"/>
        <rFont val="Times New Roman"/>
      </rPr>
      <t>), %</t>
    </r>
  </si>
  <si>
    <r>
      <t>Pt -</t>
    </r>
    <r>
      <rPr>
        <sz val="11"/>
        <rFont val="Times New Roman"/>
      </rPr>
      <t xml:space="preserve">денежные потоки;                      </t>
    </r>
    <r>
      <rPr>
        <b/>
        <i/>
        <sz val="11"/>
        <rFont val="Times New Roman"/>
      </rPr>
      <t xml:space="preserve">r </t>
    </r>
    <r>
      <rPr>
        <sz val="11"/>
        <rFont val="Times New Roman"/>
      </rPr>
      <t xml:space="preserve">- ставка дисконтирования;     </t>
    </r>
    <r>
      <rPr>
        <b/>
        <i/>
        <sz val="11"/>
        <rFont val="Times New Roman"/>
      </rPr>
      <t>I</t>
    </r>
    <r>
      <rPr>
        <sz val="11"/>
        <rFont val="Times New Roman"/>
      </rPr>
      <t xml:space="preserve"> - первоначальные инвестиции;              </t>
    </r>
    <r>
      <rPr>
        <b/>
        <sz val="11"/>
        <rFont val="Times New Roman"/>
      </rPr>
      <t>t</t>
    </r>
    <r>
      <rPr>
        <sz val="11"/>
        <rFont val="Times New Roman"/>
      </rPr>
      <t xml:space="preserve"> - кол-во периодов                     </t>
    </r>
  </si>
  <si>
    <t>Процентная ставка, при которой чистый дисконтированный доход проекта обращается в ноль, т.е. современная стоимость будущих денежных поступлений равна первоначальному денежному вложению. Внутренняя норма доходности должна быть более чем альтернативные вложения, тогда проект считается рентабельным.</t>
  </si>
  <si>
    <r>
      <t>Срок окупаемости (</t>
    </r>
    <r>
      <rPr>
        <i/>
        <sz val="11"/>
        <rFont val="Times New Roman"/>
      </rPr>
      <t>Tок</t>
    </r>
    <r>
      <rPr>
        <sz val="11"/>
        <rFont val="Times New Roman"/>
      </rPr>
      <t>.), мес.</t>
    </r>
  </si>
  <si>
    <r>
      <t xml:space="preserve">Кол-во месяцев от начала осуществления проекта до месяца, когда накопленное сальдо превысит инвестиционные вложения (Накопленное сальдо </t>
    </r>
    <r>
      <rPr>
        <sz val="11"/>
        <rFont val="Times New Roman"/>
      </rPr>
      <t xml:space="preserve">³ </t>
    </r>
    <r>
      <rPr>
        <b/>
        <i/>
        <sz val="11"/>
        <rFont val="Times New Roman"/>
      </rPr>
      <t>I</t>
    </r>
    <r>
      <rPr>
        <sz val="11"/>
        <rFont val="Times New Roman"/>
      </rPr>
      <t>)</t>
    </r>
  </si>
  <si>
    <t>Период времени, необходимый для возмещения инвестиционных затрат.</t>
  </si>
  <si>
    <t>Точка безубыточности, шт.</t>
  </si>
  <si>
    <t>Точка безубыточности, руб.</t>
  </si>
  <si>
    <t>Точка безубыточности определяет значение объема сбыта в натуральном или денежном выражении, при котором операционная прибыль равняется нулю.</t>
  </si>
  <si>
    <t>Вышивка (логотип и т.д.)</t>
  </si>
  <si>
    <t>Упаковочный пакет</t>
  </si>
  <si>
    <t>Логист</t>
  </si>
  <si>
    <t>Гражданско-правовой</t>
  </si>
  <si>
    <t>Доставка до потребителя</t>
  </si>
  <si>
    <t>Регистрация юр. лица, договоры</t>
  </si>
  <si>
    <t>Разработка UX/UI и брендинг</t>
  </si>
  <si>
    <t>Fronted + Backend (MVP)</t>
  </si>
  <si>
    <t>DevOps, CI/CD, инфраструктура</t>
  </si>
  <si>
    <t>Тестирование (QA)</t>
  </si>
  <si>
    <t>Запуск MVP, первые клиенты</t>
  </si>
  <si>
    <t>Маркетинг, привлечение (1 мес.)</t>
  </si>
  <si>
    <t>Поддержка, итерации, доработки</t>
  </si>
  <si>
    <t>Поддержка системы</t>
  </si>
  <si>
    <t>Встроенная коммерция (доп. услуги)</t>
  </si>
  <si>
    <t>разово</t>
  </si>
  <si>
    <t>Реклама/партнёрства</t>
  </si>
  <si>
    <t>руб/мес</t>
  </si>
  <si>
    <t>Аренда системы: "Базовый" тариф</t>
  </si>
  <si>
    <t>мес/объект</t>
  </si>
  <si>
    <t>Аренда системы: "Продвинутый" тариф</t>
  </si>
  <si>
    <t>Аренда системы: "Бизнес" тариф</t>
  </si>
  <si>
    <t>мес/услуга</t>
  </si>
  <si>
    <t>Установка и настройка системы, онбординг</t>
  </si>
  <si>
    <t>Контекстная реклама</t>
  </si>
  <si>
    <t>Выставки и мероприятия</t>
  </si>
  <si>
    <t>Контент (блог)</t>
  </si>
  <si>
    <t>Таргетная реклама</t>
  </si>
  <si>
    <t>Бухгалтерия</t>
  </si>
  <si>
    <t>Юридические</t>
  </si>
  <si>
    <t>Офис аренда</t>
  </si>
  <si>
    <t>Прочее (связь, интернет, канцелярия)</t>
  </si>
  <si>
    <t>Хостинг и облака</t>
  </si>
  <si>
    <t>Домены, SSL, почта</t>
  </si>
  <si>
    <t>SaaS-сервисы</t>
  </si>
  <si>
    <t>Мониторинг и аналитика</t>
  </si>
  <si>
    <t>Дизайн (UX/UI)</t>
  </si>
  <si>
    <t>Fullstack-разработчик</t>
  </si>
  <si>
    <t>Mobile-разработчик</t>
  </si>
  <si>
    <t>Менеджер по продажам</t>
  </si>
  <si>
    <t>Программист (Fronted)</t>
  </si>
  <si>
    <t>Программист (Backend)</t>
  </si>
  <si>
    <t>CEO</t>
  </si>
  <si>
    <t>Сервер и облака</t>
  </si>
  <si>
    <t>Техподдержка</t>
  </si>
  <si>
    <t>Лицензии и API</t>
  </si>
  <si>
    <t>Хостинг + поддержка модуля</t>
  </si>
  <si>
    <t>Менеджер+разработчик+тестировщик</t>
  </si>
  <si>
    <t>Дизайн+настройка</t>
  </si>
</sst>
</file>

<file path=xl/styles.xml><?xml version="1.0" encoding="utf-8"?>
<styleSheet xmlns="http://schemas.openxmlformats.org/spreadsheetml/2006/main">
  <numFmts count="190">
    <numFmt numFmtId="8" formatCode="#,##0.00\ &quot;₽&quot;;[Red]\-#,##0.00\ &quot;₽&quot;"/>
    <numFmt numFmtId="43" formatCode="_-* #,##0.00\ _₽_-;\-* #,##0.00\ _₽_-;_-* &quot;-&quot;??\ _₽_-;_-@_-"/>
    <numFmt numFmtId="164" formatCode="00\ 00\ 00"/>
    <numFmt numFmtId="165" formatCode="_([$€-2]* #,##0.00_);_([$€-2]* \(#,##0.00\);_([$€-2]* &quot;-&quot;??_)"/>
    <numFmt numFmtId="166" formatCode="_-* #,##0.00[$€]_-;\-* #,##0.00[$€]_-;_-* &quot;-&quot;??[$€]_-;_-@_-"/>
    <numFmt numFmtId="167" formatCode="_-* #,##0.00[$€-1]_-;\-* #,##0.00[$€-1]_-;_-* &quot;-&quot;??[$€-1]_-"/>
    <numFmt numFmtId="168" formatCode="#,##0.0\ ;\(#,##0.0\)"/>
    <numFmt numFmtId="169" formatCode="[$$-409]#,##0_ ;[Red]\-[$$-409]#,##0\ "/>
    <numFmt numFmtId="170" formatCode="###0;\(###0\)"/>
    <numFmt numFmtId="171" formatCode="\€#,##0.0_);\(\€#,##0.0\);@_)"/>
    <numFmt numFmtId="172" formatCode="#"/>
    <numFmt numFmtId="173" formatCode="%#.00"/>
    <numFmt numFmtId="174" formatCode="@&quot; ($)&quot;"/>
    <numFmt numFmtId="175" formatCode="@&quot; (%)&quot;"/>
    <numFmt numFmtId="176" formatCode="@&quot; (£)&quot;"/>
    <numFmt numFmtId="177" formatCode="#,##0.0_);\(#,##0.0\)"/>
    <numFmt numFmtId="178" formatCode="\t0.00%"/>
    <numFmt numFmtId="179" formatCode="#,##0.0_);[Red]\(#,##0.0\)"/>
    <numFmt numFmtId="180" formatCode="\t#\ ??/??"/>
    <numFmt numFmtId="181" formatCode="#.00"/>
    <numFmt numFmtId="182" formatCode="&quot;$&quot;#.00"/>
    <numFmt numFmtId="183" formatCode="#."/>
    <numFmt numFmtId="184" formatCode="@\ *."/>
    <numFmt numFmtId="185" formatCode="0.0"/>
    <numFmt numFmtId="186" formatCode="_(* #,##0_);_(* \(#,##0\);_(* &quot;-&quot;??_);_(@_)"/>
    <numFmt numFmtId="187" formatCode="#,##0.0;\(#,##0.0\)"/>
    <numFmt numFmtId="188" formatCode="#,##0.00;\(#,##0.00\)"/>
    <numFmt numFmtId="189" formatCode="000000"/>
    <numFmt numFmtId="190" formatCode="#,##0;\(#,##0\)"/>
    <numFmt numFmtId="191" formatCode="_-* #,##0.00&quot; Pts&quot;_-;\-* #,##0.00&quot; Pts&quot;_-;_-* \-??&quot; Pts&quot;_-;_-@_-"/>
    <numFmt numFmtId="192" formatCode="0.0000000000000"/>
    <numFmt numFmtId="193" formatCode="###\ ##\ ##"/>
    <numFmt numFmtId="194" formatCode="0_);\(0\)"/>
    <numFmt numFmtId="195" formatCode="0.0_)"/>
    <numFmt numFmtId="196" formatCode="0.0%_);\(0.0%\)"/>
    <numFmt numFmtId="197" formatCode="_(* #,##0_);_(* \(#,##0\);_(* &quot;-&quot;_);_(@_)"/>
    <numFmt numFmtId="198" formatCode="#,##0_);[Red]\(#,##0\);&quot;-&quot;_);@"/>
    <numFmt numFmtId="199" formatCode="#,##0.0_);[Red]\(#,##0.0\);&quot;-&quot;_);[Blue]&quot;Error-&quot;@"/>
    <numFmt numFmtId="200" formatCode="#,##0.00_);[Red]\(#,##0.00\);&quot;-&quot;_);[Blue]&quot;Error-&quot;@"/>
    <numFmt numFmtId="201" formatCode="#,##0_);[Red]\(#,##0\);&quot;-&quot;_);[Blue]&quot;Error-&quot;@"/>
    <numFmt numFmtId="202" formatCode="&quot;£&quot;* #,##0,_);[Red]&quot;£&quot;* \(#,##0,\);&quot;£&quot;* &quot;-&quot;_);[Blue]&quot;Error-&quot;@"/>
    <numFmt numFmtId="203" formatCode="0.0000000"/>
    <numFmt numFmtId="204" formatCode="General_)"/>
    <numFmt numFmtId="205" formatCode="&quot;£&quot;* #,##0.0,_);[Red]&quot;£&quot;* \(#,##0.0,\);&quot;£&quot;* &quot;-&quot;_);[Blue]&quot;Error-&quot;@"/>
    <numFmt numFmtId="206" formatCode="&quot;£&quot;* #,##0.00,_);[Red]&quot;£&quot;* \(#,##0.00,\);&quot;£&quot;* &quot;-&quot;_);[Blue]&quot;Error-&quot;@"/>
    <numFmt numFmtId="207" formatCode="dd\ mmm\ yyyy_)"/>
    <numFmt numFmtId="208" formatCode="dd/mm/yy_)"/>
    <numFmt numFmtId="209" formatCode="0%_);[Red]\-0%_);0%_);[Blue]&quot;Error-&quot;@"/>
    <numFmt numFmtId="210" formatCode="0.000"/>
    <numFmt numFmtId="211" formatCode="0.000000000"/>
    <numFmt numFmtId="212" formatCode="0.0000000000"/>
    <numFmt numFmtId="213" formatCode="0.0%_);[Red]\-0.0%_);0.0%_);[Blue]&quot;Error-&quot;@"/>
    <numFmt numFmtId="214" formatCode="yyyy&quot;E&quot;"/>
    <numFmt numFmtId="215" formatCode="0.00000000000"/>
    <numFmt numFmtId="216" formatCode="&quot;$&quot;#,##0.00_);[Red]\(&quot;$&quot;#,##0.00\)"/>
    <numFmt numFmtId="217" formatCode="&quot;Fail&quot;;;&quot;Ok&quot;"/>
    <numFmt numFmtId="218" formatCode="0000"/>
    <numFmt numFmtId="219" formatCode="_-* #,##0\ _р_._-;\-* #,##0\ _р_._-;_-* &quot;-&quot;\ _р_._-;_-@_-"/>
    <numFmt numFmtId="220" formatCode="#,##0.0_);\(#,##0.0\);@_)"/>
    <numFmt numFmtId="221" formatCode="#,##0.00_);\(#,##0.00\);@_)"/>
    <numFmt numFmtId="222" formatCode="#,##0.000_);\(#,##0.000\);@_)"/>
    <numFmt numFmtId="223" formatCode="#,##0_%_);\(#,##0\)_%;#,##0_%_);@_%_)"/>
    <numFmt numFmtId="224" formatCode="#,##0_%_);\(#,##0\)_%;**;@_%_)"/>
    <numFmt numFmtId="225" formatCode="#,##0.00_%_);\(#,##0.00\)_%;#,##0.00_%_);@_%_)"/>
    <numFmt numFmtId="226" formatCode="_-* #,##0.00_р_._-;\-* #,##0.00_р_._-;_-* &quot;-&quot;??_р_._-;_-@_-"/>
    <numFmt numFmtId="227" formatCode="* \(#,##0\);* #,##0_);&quot;-&quot;??_);@"/>
    <numFmt numFmtId="228" formatCode="0.00_);\(0.00\);0.00"/>
    <numFmt numFmtId="229" formatCode="_(&quot;$&quot;* #,##0_);_(&quot;$&quot;* \(#,##0\);_(&quot;$&quot;* &quot;-&quot;_);_(@_)"/>
    <numFmt numFmtId="230" formatCode="_(&quot;$&quot;* #,##0.0_);_(&quot;$&quot;* \(#,##0.0\);@_)"/>
    <numFmt numFmtId="231" formatCode="_(&quot;$&quot;* #,##0.00_);_(&quot;$&quot;* \(#,##0.00\);@_)"/>
    <numFmt numFmtId="232" formatCode="_(&quot;$&quot;* #,##0.000_);_(&quot;$&quot;* \(#,##0.000\);@_)"/>
    <numFmt numFmtId="233" formatCode="&quot;$&quot;#,##0_%_);\(&quot;$&quot;#,##0\)_%;&quot;$&quot;#,##0_%_);@_%_)"/>
    <numFmt numFmtId="234" formatCode="&quot;$&quot;#,##0.00_%_);\(&quot;$&quot;#,##0.00\)_%;&quot;$&quot;#,##0.00_%_);@_%_)"/>
    <numFmt numFmtId="235" formatCode="0.000000"/>
    <numFmt numFmtId="236" formatCode="000"/>
    <numFmt numFmtId="237" formatCode="dd\ mmm\ yyyy_);;;&quot;  &quot;@"/>
    <numFmt numFmtId="238" formatCode="m/d/yy_%_)"/>
    <numFmt numFmtId="239" formatCode="dd\.mm\.yyyy&quot;г.&quot;"/>
    <numFmt numFmtId="240" formatCode="dd\ mmm\ yyyy"/>
    <numFmt numFmtId="241" formatCode="* #,##0_);* \(#,##0\);&quot;-&quot;??_);@"/>
    <numFmt numFmtId="242" formatCode="&quot;XXXXXX-XXX&quot;"/>
    <numFmt numFmtId="243" formatCode="_(* #,##0.00_);_(* \(#,##0.00\);_(* &quot;-&quot;??_);_(@_)"/>
    <numFmt numFmtId="244" formatCode="ddd\ dd\ mmm"/>
    <numFmt numFmtId="245" formatCode="0_%_);\(0\)_%;0_%_);@_%_)"/>
    <numFmt numFmtId="246" formatCode="_-* #,##0.00\ &quot;€&quot;_-;\-* #,##0.00\ &quot;€&quot;_-;_-* &quot;-&quot;??\ &quot;€&quot;_-;_-@_-"/>
    <numFmt numFmtId="247" formatCode="_ [$€]\ * #,##0.00_ ;_ [$€]\ * \-#,##0.00_ ;_ [$€]\ * &quot;-&quot;??_ ;_ @_ "/>
    <numFmt numFmtId="248" formatCode="#,##0_ ;[Red]\-#,##0\ "/>
    <numFmt numFmtId="249" formatCode="#,##0_-;\ \(#,##0\);_-* &quot;-&quot;??;_-@_-"/>
    <numFmt numFmtId="250" formatCode="0.0%"/>
    <numFmt numFmtId="251" formatCode="0.0\%_);\(0.0\%\);0.0\%_);@_%_)"/>
    <numFmt numFmtId="252" formatCode="#,##0.0"/>
    <numFmt numFmtId="253" formatCode="0.00000%"/>
    <numFmt numFmtId="254" formatCode="#,##0;\(#,##0\);\-_)"/>
    <numFmt numFmtId="255" formatCode="#,##0.0_);\(#,##0.0\);\-_)"/>
    <numFmt numFmtId="256" formatCode="#,##0.00_);\(#,##0.00\);\-_)"/>
    <numFmt numFmtId="257" formatCode="0\ \ \ \ \ "/>
    <numFmt numFmtId="258" formatCode="&quot;₽&quot;"/>
    <numFmt numFmtId="259" formatCode="0.00_);\(0.00\);0.00_)"/>
    <numFmt numFmtId="260" formatCode="#,##0.00_ ;[Red]\(#,##0.00&quot;) &quot;"/>
    <numFmt numFmtId="261" formatCode="\£#,##0"/>
    <numFmt numFmtId="262" formatCode="0;@"/>
    <numFmt numFmtId="263" formatCode="#,##0_);\(#,##0\);0_);@"/>
    <numFmt numFmtId="264" formatCode="[$-409]d\ mmmm\ yyyy;@"/>
    <numFmt numFmtId="265" formatCode="[$-FC19]d\ mmmm\ yyyy;@"/>
    <numFmt numFmtId="266" formatCode="[$-409]d\ mmm\ yyyy;@"/>
    <numFmt numFmtId="267" formatCode="[$-419]d\ mmm/\ yyyy;@"/>
    <numFmt numFmtId="268" formatCode="_-* #,##0\ _P_t_s_-;\-* #,##0\ _P_t_s_-;_-* &quot;- &quot;_P_t_s_-;_-@_-"/>
    <numFmt numFmtId="269" formatCode="_-* #,##0.00\ _P_t_s_-;\-* #,##0.00\ _P_t_s_-;_-* \-??\ _P_t_s_-;_-@_-"/>
    <numFmt numFmtId="270" formatCode="0.0&quot;, &quot;_);\(0.0&quot;, )&quot;;\-_0_)"/>
    <numFmt numFmtId="271" formatCode="#,##0__\ \ \ \ "/>
    <numFmt numFmtId="272" formatCode="_-* #,##0&quot; Pts&quot;_-;\-* #,##0&quot; Pts&quot;_-;_-* &quot;- Pts&quot;_-;_-@_-"/>
    <numFmt numFmtId="273" formatCode="#,##0.0\x;\(#,##0.0\x\);\-"/>
    <numFmt numFmtId="274" formatCode="#,##0_)\x;\(#,##0\)\x;@_)"/>
    <numFmt numFmtId="275" formatCode="#,##0.0_)\x;\(#,##0.0\)\x;@_)"/>
    <numFmt numFmtId="276" formatCode="#,##0.00_)\x;\(#,##0.00\)\x;@_)"/>
    <numFmt numFmtId="277" formatCode="#,##0.000_)\x;\(#,##0.000\)\x;@_)"/>
    <numFmt numFmtId="278" formatCode="0.0&quot;x&quot;;&quot;nm&quot;;\-_x"/>
    <numFmt numFmtId="279" formatCode="0.00&quot;x&quot;;&quot;nm&quot;;\-_x"/>
    <numFmt numFmtId="280" formatCode="0.0\ \x;&quot;NM &quot;"/>
    <numFmt numFmtId="281" formatCode="dd\-mm\-yyyy;@"/>
    <numFmt numFmtId="282" formatCode="#,##0_);\(#,##0\);&quot;-  &quot;"/>
    <numFmt numFmtId="283" formatCode="#,##0.0_);\(#,##0.0\);&quot;-  &quot;"/>
    <numFmt numFmtId="284" formatCode="#,##0.00\ ;\(#,##0.00\)"/>
    <numFmt numFmtId="285" formatCode="#,##0_);[Red]\(#,##0\);&quot;-----&quot;"/>
    <numFmt numFmtId="286" formatCode="#,##0.00_);[Red]\(#,##0.00\);&quot;-----&quot;"/>
    <numFmt numFmtId="287" formatCode="_-* #,##0_р_._-;\-* #,##0_р_._-;_-* &quot;-&quot;_р_._-;_-@_-"/>
    <numFmt numFmtId="288" formatCode="#,##0.0_)%;\(#,##0.0\)%;@_)"/>
    <numFmt numFmtId="289" formatCode="#,##0.000_)%;\(#,##0.000\)%;@_)"/>
    <numFmt numFmtId="290" formatCode="0.0%_);\(0.0%\);&quot;-  &quot;"/>
    <numFmt numFmtId="291" formatCode="0.0_%"/>
    <numFmt numFmtId="292" formatCode="#,##0.0\%_);\(#,##0.0\%\);#,##0.0\%_);@_%_)"/>
    <numFmt numFmtId="293" formatCode="0.0%_);\(0.0%\);\-_%_)"/>
    <numFmt numFmtId="294" formatCode="0%_);\(0%\);\-_%_)"/>
    <numFmt numFmtId="295" formatCode="0.00%_);\(0.00%\);\-_%_)"/>
    <numFmt numFmtId="296" formatCode="##0&quot;bp&quot;_);\(##0&quot;bp&quot;\);\-_b_p_)"/>
    <numFmt numFmtId="297" formatCode="0.0%;\(0.0\)%;\–\%"/>
    <numFmt numFmtId="298" formatCode="#,##0______;;&quot;------------      &quot;"/>
    <numFmt numFmtId="299" formatCode="&quot;$&quot;#,##0.0_);\(&quot;$&quot;#,##0.0\)"/>
    <numFmt numFmtId="300" formatCode="_(* #,##0.00&quot;x&quot;_);_(* \(#,##0.00&quot;x&quot;\);_(* &quot;-&quot;??_);_(@_)"/>
    <numFmt numFmtId="301" formatCode="0.00;\-0.00;0.00"/>
    <numFmt numFmtId="302" formatCode="#,##0.00_x"/>
    <numFmt numFmtId="303" formatCode="#,##0.00\x"/>
    <numFmt numFmtId="304" formatCode="0.00\x;\-0.00\x;0.00\x"/>
    <numFmt numFmtId="305" formatCode="#,##0.00&quot; &quot;[$руб.-419];[Red]&quot;-&quot;#,##0.00&quot; &quot;[$руб.-419]"/>
    <numFmt numFmtId="306" formatCode="#,##0.00\ [$руб.-419];[Red]\-#,##0.00\ [$руб.-419]"/>
    <numFmt numFmtId="307" formatCode="##0.00000"/>
    <numFmt numFmtId="308" formatCode="[$-C0A]mmm\-yy;@"/>
    <numFmt numFmtId="309" formatCode="_(* #,##0.000_);_(* \(#,##0.000\);_(* &quot;-&quot;???_);_(@_)"/>
    <numFmt numFmtId="310" formatCode="&quot;$&quot;#\ ?/?"/>
    <numFmt numFmtId="311" formatCode=";;;\ \ \ @"/>
    <numFmt numFmtId="312" formatCode=";;;\ \ \ \ \ @"/>
    <numFmt numFmtId="313" formatCode=";;;\ \ \ \ \ \ @"/>
    <numFmt numFmtId="314" formatCode="_-* #,##0_?_._-;\-* #,##0_?_._-;_-* &quot;-&quot;_?_._-;_-@_-"/>
    <numFmt numFmtId="315" formatCode="_-* #,##0.00&quot;?.&quot;_-;\-* #,##0.00&quot;?.&quot;_-;_-* &quot;-&quot;??&quot;?.&quot;_-;_-@_-"/>
    <numFmt numFmtId="316" formatCode="_(&quot;$&quot;* #,##0.00_);_(&quot;$&quot;* \(#,##0.00\);_(&quot;$&quot;* &quot;-&quot;??_);_(@_)"/>
    <numFmt numFmtId="317" formatCode="&quot;$&quot;#,##0_);[Red]\(&quot;$&quot;#,##0\)"/>
    <numFmt numFmtId="318" formatCode="_-&quot;Ј&quot;* #,##0_-;\-&quot;Ј&quot;* #,##0_-;_-&quot;Ј&quot;* &quot;-&quot;_-;_-@_-"/>
    <numFmt numFmtId="319" formatCode="_-&quot;Ј&quot;* #,##0.00_-;\-&quot;Ј&quot;* #,##0.00_-;_-&quot;Ј&quot;* &quot;-&quot;??_-;_-@_-"/>
    <numFmt numFmtId="320" formatCode="yyyy"/>
    <numFmt numFmtId="321" formatCode="yyyy&quot;A&quot;"/>
    <numFmt numFmtId="322" formatCode="yyyy\ &quot;год&quot;"/>
    <numFmt numFmtId="323" formatCode=";;;\ \ \ \ \ \ \ \ \ @"/>
    <numFmt numFmtId="324" formatCode="#,##0\в"/>
    <numFmt numFmtId="325" formatCode="_-* #,##0.00&quot;р.&quot;_-;\-* #,##0.00&quot;р.&quot;_-;_-* &quot;-&quot;??&quot;р.&quot;_-;_-@_-"/>
    <numFmt numFmtId="326" formatCode="&quot;$&quot;#,##0;[Red]\-&quot;$&quot;#,##0"/>
    <numFmt numFmtId="327" formatCode="&quot;$&quot;#,##0.00"/>
    <numFmt numFmtId="328" formatCode="_ * #,##0.00_)\ _$_ ;_ * \(#,##0.00\)\ _$_ ;_ * &quot;-&quot;??_)\ _$_ ;_ @_ "/>
    <numFmt numFmtId="329" formatCode="_ * #,##0.00_)\ &quot;$&quot;_ ;_ * \(#,##0.00\)\ &quot;$&quot;_ ;_ * &quot;-&quot;??_)\ &quot;$&quot;_ ;_ @_ "/>
    <numFmt numFmtId="330" formatCode="#,##0\т"/>
    <numFmt numFmtId="331" formatCode="0_)"/>
    <numFmt numFmtId="332" formatCode="[$-409]dddd\,\ mmmm\ dd\,\ yyyy"/>
    <numFmt numFmtId="333" formatCode="#,##0.0000_ ;[Red]\-#,##0.0000\ "/>
    <numFmt numFmtId="334" formatCode="#,##0%;\(#,##0\)%;\-&quot; &quot;"/>
    <numFmt numFmtId="335" formatCode="_(* #,##0.00%_);_(* \(#,##0.00%\);_(* &quot;-&quot;??_);_(@_)"/>
    <numFmt numFmtId="336" formatCode="#,##0.0%;\(#,##0.0\)%;\-&quot; &quot;"/>
    <numFmt numFmtId="337" formatCode="#,##0\ ;\(#,##0\);\-&quot; &quot;"/>
    <numFmt numFmtId="338" formatCode="#,###,;[Red]\-#,##0,"/>
    <numFmt numFmtId="339" formatCode="#\ ##0.0_ ;[Red]\-#\ ##0.0\ "/>
    <numFmt numFmtId="340" formatCode="#,##0.000_ ;[Red]\-#,##0.000\ "/>
    <numFmt numFmtId="341" formatCode="#,##0.0;[Red]\-#,##0.0"/>
    <numFmt numFmtId="342" formatCode="_-* #,##0.00_р_._-;\-* #,##0.00_р_._-;_-* \-??_р_._-;_-@_-"/>
    <numFmt numFmtId="343" formatCode="#,###.0000;[Red]\-#,###.0000"/>
    <numFmt numFmtId="344" formatCode="&quot;\&quot;#,##0.00;[Red]\-&quot;\&quot;#,##0.00"/>
    <numFmt numFmtId="345" formatCode="&quot;\&quot;#,##0;[Red]\-&quot;\&quot;#,##0"/>
    <numFmt numFmtId="346" formatCode="\$#,##0"/>
    <numFmt numFmtId="347" formatCode="&quot;\&quot;#,##0"/>
    <numFmt numFmtId="348" formatCode="dd/mm/yy;@"/>
    <numFmt numFmtId="349" formatCode="#,##0_ ;\-#,##0\ "/>
    <numFmt numFmtId="350" formatCode="_-* #,##0_р_._-;\-* #,##0_р_._-;_-* &quot;-&quot;??_р_._-;_-@_-"/>
    <numFmt numFmtId="351" formatCode="_-* #,##0.0_р_._-;\-* #,##0.0_р_._-;_-* &quot;-&quot;??_р_._-;_-@_-"/>
  </numFmts>
  <fonts count="268">
    <font>
      <sz val="10"/>
      <color theme="1"/>
      <name val="Arial Cyr"/>
    </font>
    <font>
      <sz val="1"/>
      <name val="Courier"/>
    </font>
    <font>
      <b/>
      <sz val="10"/>
      <name val="Arial Cyr"/>
    </font>
    <font>
      <sz val="8"/>
      <color indexed="4"/>
      <name val="Arial"/>
    </font>
    <font>
      <sz val="10"/>
      <name val="Helv"/>
    </font>
    <font>
      <sz val="11"/>
      <color theme="1"/>
      <name val="Calibri"/>
      <scheme val="minor"/>
    </font>
    <font>
      <b/>
      <sz val="10"/>
      <name val="MS Sans Serif"/>
    </font>
    <font>
      <sz val="10"/>
      <name val="Courier"/>
    </font>
    <font>
      <sz val="10"/>
      <name val="Arial"/>
    </font>
    <font>
      <sz val="9"/>
      <name val="Arial"/>
    </font>
    <font>
      <sz val="10"/>
      <name val="Arial Cyr"/>
    </font>
    <font>
      <sz val="12"/>
      <name val="Times New Roman"/>
    </font>
    <font>
      <sz val="10"/>
      <name val="Helvetica"/>
    </font>
    <font>
      <sz val="9"/>
      <name val="Helv"/>
    </font>
    <font>
      <sz val="10"/>
      <name val="Book Antiqua"/>
    </font>
    <font>
      <sz val="11"/>
      <name val="‚l‚r –?’©"/>
    </font>
    <font>
      <sz val="6"/>
      <name val="Courier"/>
    </font>
    <font>
      <sz val="6"/>
      <name val="Courier New"/>
    </font>
    <font>
      <sz val="10"/>
      <name val="Courier New"/>
    </font>
    <font>
      <u/>
      <sz val="10"/>
      <color indexed="4"/>
      <name val="Arial Cyr"/>
    </font>
    <font>
      <u/>
      <sz val="10"/>
      <color indexed="20"/>
      <name val="Arial Cyr"/>
    </font>
    <font>
      <sz val="10"/>
      <name val="Frutiger 45 Light"/>
    </font>
    <font>
      <sz val="11"/>
      <name val="?l?r ?o?S?V?b?N"/>
    </font>
    <font>
      <sz val="10"/>
      <name val="’†?S?V?b?N‘М"/>
    </font>
    <font>
      <sz val="10"/>
      <name val="NTHarmonica"/>
    </font>
    <font>
      <b/>
      <sz val="9"/>
      <name val="TimesET"/>
    </font>
    <font>
      <b/>
      <i/>
      <sz val="10"/>
      <name val="Arial Cyr"/>
    </font>
    <font>
      <b/>
      <sz val="22"/>
      <color indexed="18"/>
      <name val="Arial"/>
    </font>
    <font>
      <sz val="10"/>
      <name val="Times New Roman"/>
    </font>
    <font>
      <sz val="10"/>
      <name val="Verdana"/>
    </font>
    <font>
      <b/>
      <sz val="14"/>
      <color indexed="18"/>
      <name val="Arial"/>
    </font>
    <font>
      <b/>
      <sz val="10"/>
      <color indexed="18"/>
      <name val="Arial"/>
    </font>
    <font>
      <b/>
      <sz val="1"/>
      <name val="Courier"/>
    </font>
    <font>
      <sz val="8"/>
      <name val="Times"/>
    </font>
    <font>
      <sz val="8"/>
      <name val="Tms Rmn"/>
    </font>
    <font>
      <sz val="8.25"/>
      <name val="Helv"/>
    </font>
    <font>
      <sz val="8"/>
      <name val="Courier"/>
    </font>
    <font>
      <sz val="9"/>
      <name val="Courier"/>
    </font>
    <font>
      <b/>
      <i/>
      <sz val="10"/>
      <color indexed="65"/>
      <name val="Arial"/>
    </font>
    <font>
      <sz val="8"/>
      <name val="Helv"/>
    </font>
    <font>
      <sz val="10"/>
      <name val="MS Sans Serif"/>
    </font>
    <font>
      <sz val="11"/>
      <name val="Calibri"/>
    </font>
    <font>
      <sz val="10"/>
      <name val="PragmaticaCTT"/>
    </font>
    <font>
      <sz val="11"/>
      <color indexed="65"/>
      <name val="Calibri"/>
    </font>
    <font>
      <sz val="11"/>
      <color theme="0"/>
      <name val="Calibri"/>
      <scheme val="minor"/>
    </font>
    <font>
      <sz val="9"/>
      <color indexed="3"/>
      <name val="Arial"/>
    </font>
    <font>
      <sz val="10"/>
      <color indexed="4"/>
      <name val="Arial"/>
    </font>
    <font>
      <sz val="11"/>
      <name val="Arial"/>
    </font>
    <font>
      <b/>
      <sz val="9"/>
      <name val="Frutiger 45 Light"/>
    </font>
    <font>
      <b/>
      <sz val="10"/>
      <name val="Helv"/>
    </font>
    <font>
      <b/>
      <sz val="10"/>
      <name val="Helvetica"/>
    </font>
    <font>
      <sz val="12"/>
      <name val="Arial"/>
    </font>
    <font>
      <b/>
      <sz val="10"/>
      <name val="Arial"/>
    </font>
    <font>
      <sz val="8"/>
      <name val="Arial"/>
    </font>
    <font>
      <sz val="10"/>
      <color indexed="4"/>
      <name val="Helvetica-Narrow"/>
    </font>
    <font>
      <sz val="9"/>
      <name val="Times New Roman"/>
    </font>
    <font>
      <sz val="9"/>
      <name val="Frutiger 45 Light"/>
    </font>
    <font>
      <sz val="11"/>
      <color indexed="20"/>
      <name val="Calibri"/>
    </font>
    <font>
      <sz val="18"/>
      <name val="Geneva"/>
    </font>
    <font>
      <b/>
      <sz val="10"/>
      <color indexed="65"/>
      <name val="Times New Roman"/>
    </font>
    <font>
      <sz val="9"/>
      <color indexed="18"/>
      <name val="Frutiger 45 Light"/>
    </font>
    <font>
      <sz val="8"/>
      <name val="Times New Roman"/>
    </font>
    <font>
      <b/>
      <i/>
      <sz val="12"/>
      <name val="Times New Roman"/>
    </font>
    <font>
      <u val="singleAccounting"/>
      <sz val="10"/>
      <name val="Arial"/>
    </font>
    <font>
      <sz val="9"/>
      <name val="Arial Cyr"/>
    </font>
    <font>
      <sz val="10"/>
      <color indexed="55"/>
      <name val="Helvetica-Narrow"/>
    </font>
    <font>
      <b/>
      <sz val="11"/>
      <color indexed="65"/>
      <name val="Calibri"/>
    </font>
    <font>
      <b/>
      <sz val="8"/>
      <name val="Arial"/>
    </font>
    <font>
      <sz val="11"/>
      <color indexed="4"/>
      <name val="Arial"/>
    </font>
    <font>
      <sz val="10"/>
      <name val="Sabon"/>
    </font>
    <font>
      <sz val="8"/>
      <name val="Palatino"/>
    </font>
    <font>
      <sz val="10"/>
      <name val="Geneva"/>
    </font>
    <font>
      <sz val="10"/>
      <color indexed="22"/>
      <name val="Arial"/>
    </font>
    <font>
      <b/>
      <u/>
      <sz val="10"/>
      <color indexed="16"/>
      <name val="Arial"/>
    </font>
    <font>
      <b/>
      <sz val="11"/>
      <name val="Arial"/>
    </font>
    <font>
      <sz val="12"/>
      <name val="Helv"/>
    </font>
    <font>
      <b/>
      <sz val="11"/>
      <name val="Arial Cyr"/>
    </font>
    <font>
      <sz val="7"/>
      <name val="Arial"/>
    </font>
    <font>
      <i/>
      <sz val="10"/>
      <name val="Arial"/>
    </font>
    <font>
      <u val="doubleAccounting"/>
      <sz val="10"/>
      <name val="Arial"/>
    </font>
    <font>
      <sz val="10"/>
      <name val="Times New Roman CE"/>
    </font>
    <font>
      <sz val="12"/>
      <name val="Times"/>
    </font>
    <font>
      <sz val="12"/>
      <name val="Tms Rmn"/>
    </font>
    <font>
      <b/>
      <sz val="11"/>
      <name val="Calibri"/>
    </font>
    <font>
      <sz val="10"/>
      <name val="Helvetica-Narrow"/>
    </font>
    <font>
      <b/>
      <sz val="10"/>
      <color indexed="2"/>
      <name val="Arial"/>
    </font>
    <font>
      <sz val="10"/>
      <color indexed="4"/>
      <name val="Times New Roman CYR"/>
    </font>
    <font>
      <i/>
      <sz val="11"/>
      <color indexed="23"/>
      <name val="Calibri"/>
    </font>
    <font>
      <i/>
      <sz val="1"/>
      <name val="Courier"/>
    </font>
    <font>
      <b/>
      <sz val="10"/>
      <color indexed="55"/>
      <name val="Arial"/>
    </font>
    <font>
      <sz val="10"/>
      <name val="Arial Narrow"/>
    </font>
    <font>
      <sz val="10"/>
      <color indexed="23"/>
      <name val="Arial"/>
    </font>
    <font>
      <sz val="7"/>
      <name val="Palatino"/>
    </font>
    <font>
      <sz val="11"/>
      <color indexed="17"/>
      <name val="Calibri"/>
    </font>
    <font>
      <b/>
      <sz val="8"/>
      <name val="Courier"/>
    </font>
    <font>
      <b/>
      <u/>
      <sz val="10"/>
      <name val="Courier"/>
    </font>
    <font>
      <sz val="10"/>
      <color indexed="16"/>
      <name val="Arial"/>
    </font>
    <font>
      <sz val="9"/>
      <name val="Futura UBS Bk"/>
    </font>
    <font>
      <i/>
      <sz val="11"/>
      <name val="Helv"/>
    </font>
    <font>
      <sz val="18"/>
      <name val="Arial"/>
    </font>
    <font>
      <b/>
      <sz val="16"/>
      <color indexed="4"/>
      <name val="Arial"/>
    </font>
    <font>
      <b/>
      <sz val="12"/>
      <name val="Arial"/>
    </font>
    <font>
      <u/>
      <sz val="12"/>
      <name val="Arial"/>
    </font>
    <font>
      <b/>
      <i/>
      <sz val="8"/>
      <name val="Helv"/>
    </font>
    <font>
      <b/>
      <i/>
      <sz val="14"/>
      <name val="Arial"/>
    </font>
    <font>
      <b/>
      <i/>
      <sz val="16"/>
      <name val="Arial"/>
    </font>
    <font>
      <sz val="12"/>
      <color indexed="65"/>
      <name val="Arial Cyr"/>
    </font>
    <font>
      <b/>
      <sz val="14"/>
      <name val="Helv"/>
    </font>
    <font>
      <b/>
      <i/>
      <sz val="16"/>
      <color theme="1"/>
      <name val="Arial"/>
    </font>
    <font>
      <b/>
      <sz val="11"/>
      <name val="Arial Narrow"/>
    </font>
    <font>
      <i/>
      <sz val="14"/>
      <name val="Palatino"/>
    </font>
    <font>
      <b/>
      <sz val="9"/>
      <name val="Arial"/>
    </font>
    <font>
      <b/>
      <sz val="14"/>
      <name val="Arial"/>
    </font>
    <font>
      <b/>
      <sz val="18"/>
      <name val="Helv"/>
    </font>
    <font>
      <i/>
      <sz val="12"/>
      <name val="Arial"/>
    </font>
    <font>
      <b/>
      <i/>
      <sz val="22"/>
      <name val="Times New Roman"/>
    </font>
    <font>
      <b/>
      <sz val="18"/>
      <name val="Times New Roman"/>
    </font>
    <font>
      <b/>
      <sz val="14"/>
      <name val="Times New Roman"/>
    </font>
    <font>
      <sz val="14"/>
      <name val="Times New Roman"/>
    </font>
    <font>
      <sz val="8"/>
      <name val="Geneva"/>
    </font>
    <font>
      <sz val="11"/>
      <name val="‚l‚r –¾’©"/>
    </font>
    <font>
      <sz val="12"/>
      <name val="Optima"/>
    </font>
    <font>
      <sz val="10"/>
      <color indexed="4"/>
      <name val="MS Sans Serif"/>
    </font>
    <font>
      <sz val="9"/>
      <color indexed="4"/>
      <name val="Frutiger 45 Light"/>
    </font>
    <font>
      <sz val="9"/>
      <color indexed="4"/>
      <name val="Helv"/>
    </font>
    <font>
      <sz val="9"/>
      <color indexed="4"/>
      <name val="Helvetica"/>
    </font>
    <font>
      <sz val="10"/>
      <color indexed="65"/>
      <name val="Frutiger 45 Light"/>
    </font>
    <font>
      <b/>
      <u/>
      <sz val="16"/>
      <name val="Arial"/>
    </font>
    <font>
      <i/>
      <sz val="8"/>
      <name val="Helv"/>
    </font>
    <font>
      <sz val="10"/>
      <name val="HelveticaLT"/>
    </font>
    <font>
      <b/>
      <sz val="9"/>
      <name val="Helv"/>
    </font>
    <font>
      <sz val="18"/>
      <name val="Times New Roman"/>
    </font>
    <font>
      <b/>
      <sz val="13"/>
      <name val="Times New Roman"/>
    </font>
    <font>
      <i/>
      <sz val="12"/>
      <name val="Times New Roman"/>
    </font>
    <font>
      <sz val="11"/>
      <name val="Times New Roman"/>
    </font>
    <font>
      <b/>
      <sz val="8"/>
      <color theme="1"/>
      <name val="Calibri"/>
      <scheme val="minor"/>
    </font>
    <font>
      <b/>
      <sz val="12"/>
      <color theme="1"/>
      <name val="Cambria"/>
      <scheme val="major"/>
    </font>
    <font>
      <sz val="6"/>
      <name val="Arial"/>
    </font>
    <font>
      <b/>
      <sz val="8"/>
      <color theme="7"/>
      <name val="Arial"/>
    </font>
    <font>
      <b/>
      <sz val="9"/>
      <color theme="0"/>
      <name val="Arial"/>
    </font>
    <font>
      <i/>
      <sz val="8"/>
      <color indexed="62"/>
      <name val="Arial Cyr"/>
    </font>
    <font>
      <sz val="8"/>
      <color indexed="20"/>
      <name val="Arial Cyr"/>
    </font>
    <font>
      <b/>
      <sz val="10"/>
      <color indexed="4"/>
      <name val="Arial Cyr"/>
    </font>
    <font>
      <sz val="8"/>
      <color indexed="65"/>
      <name val="MS Sans Serif"/>
    </font>
    <font>
      <sz val="8"/>
      <name val="Arial Cyr"/>
    </font>
    <font>
      <sz val="11"/>
      <color indexed="52"/>
      <name val="Calibri"/>
    </font>
    <font>
      <sz val="10"/>
      <color indexed="17"/>
      <name val="Arial"/>
    </font>
    <font>
      <i/>
      <sz val="10"/>
      <name val="PragmaticaC"/>
    </font>
    <font>
      <b/>
      <sz val="11"/>
      <name val="Helv"/>
    </font>
    <font>
      <sz val="11"/>
      <color indexed="60"/>
      <name val="Calibri"/>
    </font>
    <font>
      <i/>
      <sz val="10"/>
      <name val="Frutiger 45 Light"/>
    </font>
    <font>
      <sz val="8"/>
      <name val="Tahoma"/>
    </font>
    <font>
      <sz val="11"/>
      <color theme="1"/>
      <name val="Arial"/>
    </font>
    <font>
      <sz val="10"/>
      <name val="Trebuchet MS"/>
    </font>
    <font>
      <sz val="14"/>
      <name val="NewtonC"/>
    </font>
    <font>
      <sz val="10"/>
      <name val="Arial CE"/>
    </font>
    <font>
      <sz val="8"/>
      <name val="Arial CE"/>
    </font>
    <font>
      <sz val="9"/>
      <color indexed="56"/>
      <name val="Frutiger 45 Light"/>
    </font>
    <font>
      <i/>
      <sz val="12"/>
      <name val="NewtonC"/>
    </font>
    <font>
      <sz val="12"/>
      <name val="NewtonC"/>
    </font>
    <font>
      <sz val="12"/>
      <name val="№ЩЕБГј"/>
    </font>
    <font>
      <sz val="10"/>
      <color indexed="59"/>
      <name val="Arial"/>
    </font>
    <font>
      <b/>
      <i/>
      <sz val="10"/>
      <name val="Arial"/>
    </font>
    <font>
      <b/>
      <sz val="11"/>
      <color indexed="63"/>
      <name val="Calibri"/>
    </font>
    <font>
      <b/>
      <sz val="20"/>
      <name val="Times New Roman"/>
    </font>
    <font>
      <sz val="10"/>
      <color indexed="16"/>
      <name val="Helvetica-Black"/>
    </font>
    <font>
      <b/>
      <u/>
      <sz val="10"/>
      <name val="Helv"/>
    </font>
    <font>
      <sz val="22"/>
      <name val="UBSHeadline"/>
    </font>
    <font>
      <i/>
      <sz val="12"/>
      <name val="Times"/>
    </font>
    <font>
      <i/>
      <sz val="12"/>
      <name val="Tms Rmn"/>
    </font>
    <font>
      <b/>
      <sz val="10"/>
      <name val="HelveticaLT"/>
    </font>
    <font>
      <b/>
      <sz val="10"/>
      <color indexed="56"/>
      <name val="Arial"/>
    </font>
    <font>
      <sz val="7"/>
      <color indexed="4"/>
      <name val="Arial"/>
    </font>
    <font>
      <sz val="9"/>
      <color indexed="6"/>
      <name val="Frutiger 45 Light"/>
    </font>
    <font>
      <sz val="8"/>
      <color indexed="2"/>
      <name val="Arial"/>
    </font>
    <font>
      <b/>
      <sz val="8"/>
      <name val="Palatino"/>
    </font>
    <font>
      <b/>
      <i/>
      <u/>
      <sz val="11"/>
      <color theme="1"/>
      <name val="Arial"/>
    </font>
    <font>
      <b/>
      <i/>
      <u/>
      <sz val="11"/>
      <name val="Arial"/>
    </font>
    <font>
      <b/>
      <sz val="10"/>
      <color indexed="4"/>
      <name val="Arial"/>
    </font>
    <font>
      <sz val="19"/>
      <color indexed="48"/>
      <name val="Arial"/>
    </font>
    <font>
      <sz val="10"/>
      <color indexed="2"/>
      <name val="Arial"/>
    </font>
    <font>
      <sz val="10"/>
      <color indexed="23"/>
      <name val="MS Sans Serif"/>
    </font>
    <font>
      <b/>
      <sz val="12"/>
      <name val="MS Sans Serif"/>
    </font>
    <font>
      <sz val="9"/>
      <color indexed="20"/>
      <name val="Arial"/>
    </font>
    <font>
      <b/>
      <sz val="18"/>
      <color indexed="4"/>
      <name val="Helvetica-Narrow"/>
    </font>
    <font>
      <b/>
      <sz val="10"/>
      <color indexed="65"/>
      <name val="Verdana"/>
    </font>
    <font>
      <sz val="10"/>
      <color indexed="65"/>
      <name val="Arial"/>
    </font>
    <font>
      <b/>
      <sz val="9"/>
      <name val="Palatino"/>
    </font>
    <font>
      <sz val="9"/>
      <color indexed="21"/>
      <name val="Helvetica-Black"/>
    </font>
    <font>
      <sz val="10"/>
      <color indexed="65"/>
      <name val="Helvetica-Narrow"/>
    </font>
    <font>
      <sz val="10"/>
      <color indexed="55"/>
      <name val="Arial"/>
    </font>
    <font>
      <sz val="10"/>
      <color indexed="22"/>
      <name val="Helvetica-Narrow"/>
    </font>
    <font>
      <sz val="11"/>
      <color indexed="2"/>
      <name val="Calibri"/>
    </font>
    <font>
      <sz val="11"/>
      <color indexed="62"/>
      <name val="Calibri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indexed="52"/>
      <name val="Calibri"/>
    </font>
    <font>
      <b/>
      <sz val="11"/>
      <color rgb="FFFA7D00"/>
      <name val="Calibri"/>
      <scheme val="minor"/>
    </font>
    <font>
      <u/>
      <sz val="10"/>
      <color indexed="4"/>
      <name val="Arial"/>
    </font>
    <font>
      <u/>
      <sz val="7.5"/>
      <color indexed="4"/>
      <name val="Arial"/>
    </font>
    <font>
      <u/>
      <sz val="11"/>
      <color theme="10"/>
      <name val="Calibri"/>
      <scheme val="minor"/>
    </font>
    <font>
      <u/>
      <sz val="7.7"/>
      <color theme="10"/>
      <name val="Calibri"/>
    </font>
    <font>
      <u/>
      <sz val="9"/>
      <color theme="10"/>
      <name val="Arial"/>
    </font>
    <font>
      <u/>
      <sz val="8"/>
      <color theme="10"/>
      <name val="Arial"/>
    </font>
    <font>
      <u/>
      <sz val="12"/>
      <color theme="10"/>
      <name val="Calibri"/>
      <scheme val="minor"/>
    </font>
    <font>
      <u/>
      <sz val="6.8"/>
      <color theme="10"/>
      <name val="Arial Cyr"/>
    </font>
    <font>
      <b/>
      <sz val="8"/>
      <color theme="2"/>
      <name val="Tahoma"/>
    </font>
    <font>
      <b/>
      <sz val="15"/>
      <color indexed="62"/>
      <name val="Calibri"/>
    </font>
    <font>
      <b/>
      <sz val="15"/>
      <color indexed="56"/>
      <name val="Calibri"/>
    </font>
    <font>
      <b/>
      <sz val="15"/>
      <color theme="3"/>
      <name val="Calibri"/>
      <scheme val="minor"/>
    </font>
    <font>
      <b/>
      <sz val="13"/>
      <color indexed="62"/>
      <name val="Calibri"/>
    </font>
    <font>
      <b/>
      <sz val="13"/>
      <color indexed="56"/>
      <name val="Calibri"/>
    </font>
    <font>
      <b/>
      <sz val="13"/>
      <color theme="3"/>
      <name val="Calibri"/>
      <scheme val="minor"/>
    </font>
    <font>
      <b/>
      <sz val="11"/>
      <color indexed="62"/>
      <name val="Calibri"/>
    </font>
    <font>
      <b/>
      <sz val="11"/>
      <color indexed="56"/>
      <name val="Calibri"/>
    </font>
    <font>
      <b/>
      <sz val="11"/>
      <color theme="3"/>
      <name val="Calibri"/>
      <scheme val="minor"/>
    </font>
    <font>
      <sz val="10"/>
      <name val="Lohit Hindi"/>
    </font>
    <font>
      <sz val="9"/>
      <name val="Tahoma"/>
    </font>
    <font>
      <b/>
      <sz val="11"/>
      <color theme="1"/>
      <name val="Calibri"/>
      <scheme val="minor"/>
    </font>
    <font>
      <b/>
      <sz val="8"/>
      <name val="Tahoma"/>
    </font>
    <font>
      <b/>
      <sz val="8"/>
      <name val="Calibri"/>
      <scheme val="minor"/>
    </font>
    <font>
      <b/>
      <sz val="11"/>
      <color theme="0"/>
      <name val="Calibri"/>
      <scheme val="minor"/>
    </font>
    <font>
      <b/>
      <sz val="18"/>
      <color indexed="62"/>
      <name val="Cambria"/>
    </font>
    <font>
      <b/>
      <sz val="18"/>
      <color indexed="56"/>
      <name val="Cambria"/>
    </font>
    <font>
      <b/>
      <sz val="18"/>
      <color theme="3"/>
      <name val="Cambria"/>
      <scheme val="major"/>
    </font>
    <font>
      <b/>
      <sz val="9"/>
      <color indexed="65"/>
      <name val="Tahoma"/>
    </font>
    <font>
      <sz val="11"/>
      <color rgb="FF9C6500"/>
      <name val="Calibri"/>
      <scheme val="minor"/>
    </font>
    <font>
      <sz val="10"/>
      <color theme="1"/>
      <name val="Calibri"/>
      <scheme val="minor"/>
    </font>
    <font>
      <sz val="12"/>
      <color theme="1"/>
      <name val="Calibri"/>
      <scheme val="minor"/>
    </font>
    <font>
      <sz val="8"/>
      <color theme="1"/>
      <name val="Tahoma"/>
    </font>
    <font>
      <sz val="8"/>
      <color theme="1"/>
      <name val="Arial"/>
    </font>
    <font>
      <sz val="10"/>
      <name val="Times New Roman Cyr"/>
    </font>
    <font>
      <sz val="10"/>
      <name val="DejaVu Sans"/>
    </font>
    <font>
      <sz val="11"/>
      <color theme="1"/>
      <name val="Tahoma"/>
    </font>
    <font>
      <sz val="10"/>
      <color theme="1"/>
      <name val="Tahoma"/>
    </font>
    <font>
      <u/>
      <sz val="10"/>
      <color theme="11"/>
      <name val="Calibri"/>
      <scheme val="minor"/>
    </font>
    <font>
      <sz val="10"/>
      <color rgb="FF0074BC"/>
      <name val="Arial"/>
    </font>
    <font>
      <u/>
      <sz val="11"/>
      <color theme="11"/>
      <name val="Calibri"/>
      <scheme val="minor"/>
    </font>
    <font>
      <sz val="11"/>
      <color rgb="FF9C0006"/>
      <name val="Calibri"/>
      <scheme val="minor"/>
    </font>
    <font>
      <b/>
      <sz val="8"/>
      <color indexed="18"/>
      <name val="Tahoma"/>
    </font>
    <font>
      <b/>
      <sz val="8"/>
      <color indexed="18"/>
      <name val="Calibri"/>
      <scheme val="minor"/>
    </font>
    <font>
      <i/>
      <sz val="11"/>
      <color rgb="FF7F7F7F"/>
      <name val="Calibri"/>
      <scheme val="minor"/>
    </font>
    <font>
      <sz val="11"/>
      <name val="Tahoma"/>
    </font>
    <font>
      <i/>
      <sz val="8"/>
      <name val="Arial"/>
    </font>
    <font>
      <i/>
      <sz val="8"/>
      <name val="Tahoma"/>
    </font>
    <font>
      <sz val="12"/>
      <name val="Times New Roman Cyr"/>
    </font>
    <font>
      <sz val="11"/>
      <color rgb="FFFA7D00"/>
      <name val="Calibri"/>
      <scheme val="minor"/>
    </font>
    <font>
      <sz val="11"/>
      <color indexed="2"/>
      <name val="Calibri"/>
      <scheme val="minor"/>
    </font>
    <font>
      <sz val="11"/>
      <color rgb="FF006100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2"/>
      <color indexed="2"/>
      <name val="Times New Roman"/>
    </font>
    <font>
      <b/>
      <sz val="8"/>
      <name val="Times New Roman"/>
    </font>
    <font>
      <b/>
      <sz val="12"/>
      <name val="Times New Roman"/>
    </font>
    <font>
      <b/>
      <sz val="11"/>
      <name val="Times New Roman"/>
    </font>
    <font>
      <sz val="8"/>
      <color theme="1"/>
      <name val="Times New Roman"/>
    </font>
    <font>
      <b/>
      <sz val="8"/>
      <color theme="1"/>
      <name val="Times New Roman"/>
    </font>
    <font>
      <b/>
      <sz val="8"/>
      <color theme="3" tint="0.79998168889431442"/>
      <name val="Times New Roman"/>
    </font>
    <font>
      <b/>
      <sz val="8"/>
      <color theme="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name val="Arial Cyr"/>
    </font>
    <font>
      <b/>
      <i/>
      <sz val="11"/>
      <color theme="1"/>
      <name val="Times New Roman"/>
    </font>
    <font>
      <u/>
      <sz val="12"/>
      <color theme="1"/>
      <name val="Times New Roman"/>
    </font>
    <font>
      <u/>
      <sz val="11"/>
      <name val="Times New Roman"/>
    </font>
    <font>
      <b/>
      <i/>
      <sz val="11"/>
      <name val="Times New Roman"/>
    </font>
    <font>
      <i/>
      <sz val="11"/>
      <name val="Times New Roman"/>
    </font>
  </fonts>
  <fills count="110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2"/>
        <bgColor indexed="2"/>
      </patternFill>
    </fill>
    <fill>
      <patternFill patternType="solid">
        <fgColor indexed="3"/>
        <bgColor indexed="3"/>
      </patternFill>
    </fill>
    <fill>
      <patternFill patternType="lightGray">
        <fgColor indexed="22"/>
        <bgColor indexed="22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0"/>
        <bgColor indexed="4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29"/>
        <bgColor indexed="29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26"/>
        <bgColor indexed="2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indexed="51"/>
        <bgColor indexed="5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43"/>
        <bgColor indexed="43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7"/>
        <bgColor indexed="7"/>
      </patternFill>
    </fill>
    <fill>
      <patternFill patternType="solid">
        <fgColor indexed="55"/>
        <bgColor indexed="5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65"/>
      </patternFill>
    </fill>
    <fill>
      <patternFill patternType="solid">
        <fgColor indexed="5"/>
        <bgColor indexed="5"/>
      </patternFill>
    </fill>
    <fill>
      <patternFill patternType="solid"/>
    </fill>
    <fill>
      <patternFill patternType="lightGray">
        <fgColor indexed="7"/>
        <bgColor indexed="7"/>
      </patternFill>
    </fill>
    <fill>
      <patternFill patternType="mediumGray">
        <fgColor indexed="22"/>
        <bgColor indexed="22"/>
      </patternFill>
    </fill>
    <fill>
      <patternFill patternType="solid">
        <fgColor indexed="6"/>
        <bgColor indexed="6"/>
      </patternFill>
    </fill>
    <fill>
      <patternFill patternType="lightUp">
        <fgColor indexed="65"/>
        <bgColor indexed="55"/>
      </patternFill>
    </fill>
    <fill>
      <patternFill patternType="lightUp">
        <fgColor indexed="65"/>
        <bgColor indexed="24"/>
      </patternFill>
    </fill>
    <fill>
      <patternFill patternType="lightUp">
        <fgColor indexed="65"/>
        <bgColor indexed="29"/>
      </patternFill>
    </fill>
    <fill>
      <patternFill patternType="lightUp">
        <fgColor indexed="65"/>
        <bgColor indexed="4"/>
      </patternFill>
    </fill>
    <fill>
      <patternFill patternType="lightUp">
        <fgColor indexed="65"/>
        <bgColor indexed="57"/>
      </patternFill>
    </fill>
    <fill>
      <patternFill patternType="lightGray">
        <fgColor indexed="65"/>
      </patternFill>
    </fill>
    <fill>
      <patternFill patternType="solid">
        <fgColor indexed="65"/>
        <bgColor indexed="6"/>
      </patternFill>
    </fill>
    <fill>
      <patternFill patternType="solid">
        <fgColor indexed="63"/>
        <bgColor indexed="6"/>
      </patternFill>
    </fill>
    <fill>
      <patternFill patternType="lightUp">
        <fgColor indexed="23"/>
        <bgColor indexed="23"/>
      </patternFill>
    </fill>
    <fill>
      <patternFill patternType="lightGray"/>
    </fill>
    <fill>
      <patternFill patternType="gray0625"/>
    </fill>
    <fill>
      <patternFill patternType="solid">
        <fgColor indexed="43"/>
        <bgColor indexed="26"/>
      </patternFill>
    </fill>
    <fill>
      <patternFill patternType="solid">
        <fgColor theme="3"/>
        <bgColor theme="3"/>
      </patternFill>
    </fill>
    <fill>
      <patternFill patternType="solid">
        <fgColor rgb="FF409DAD"/>
        <bgColor rgb="FF409DAD"/>
      </patternFill>
    </fill>
    <fill>
      <patternFill patternType="solid">
        <fgColor indexed="23"/>
        <bgColor indexed="23"/>
      </patternFill>
    </fill>
    <fill>
      <patternFill patternType="gray0625">
        <fgColor indexed="22"/>
        <bgColor indexed="22"/>
      </patternFill>
    </fill>
    <fill>
      <patternFill patternType="solid">
        <fgColor indexed="4"/>
        <bgColor indexed="4"/>
      </patternFill>
    </fill>
    <fill>
      <patternFill patternType="lightUp">
        <fgColor indexed="48"/>
        <bgColor indexed="27"/>
      </patternFill>
    </fill>
    <fill>
      <patternFill patternType="lightGray">
        <fgColor indexed="4"/>
        <bgColor indexed="4"/>
      </patternFill>
    </fill>
    <fill>
      <patternFill patternType="solid">
        <fgColor indexed="63"/>
        <bgColor indexed="63"/>
      </patternFill>
    </fill>
    <fill>
      <patternFill patternType="solid">
        <fgColor indexed="16"/>
        <bgColor indexed="1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indexed="43"/>
        <bgColor indexed="57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/>
        <bgColor indexed="47"/>
      </patternFill>
    </fill>
    <fill>
      <patternFill patternType="solid">
        <fgColor theme="5" tint="0.59999389629810485"/>
        <bgColor indexed="47"/>
      </patternFill>
    </fill>
    <fill>
      <patternFill patternType="solid">
        <fgColor rgb="FF3399FF"/>
        <bgColor rgb="FF3399FF"/>
      </patternFill>
    </fill>
    <fill>
      <patternFill patternType="solid">
        <fgColor rgb="FFFA9272"/>
        <bgColor rgb="FFFA927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B3FFB3"/>
        <bgColor rgb="FFB3FFB3"/>
      </patternFill>
    </fill>
  </fills>
  <borders count="120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18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4"/>
      </left>
      <right style="thin">
        <color indexed="4"/>
      </right>
      <top style="thin">
        <color indexed="4"/>
      </top>
      <bottom style="thin">
        <color indexed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indexed="65"/>
      </bottom>
      <diagonal/>
    </border>
    <border>
      <left/>
      <right/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57954">
    <xf numFmtId="0" fontId="0" fillId="0" borderId="0"/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9" fontId="3" fillId="0" borderId="0">
      <alignment horizontal="right"/>
    </xf>
    <xf numFmtId="0" fontId="4" fillId="0" borderId="0"/>
    <xf numFmtId="0" fontId="5" fillId="0" borderId="0"/>
    <xf numFmtId="0" fontId="4" fillId="0" borderId="0"/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1" fillId="0" borderId="0">
      <protection locked="0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4" fillId="0" borderId="0"/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4" fillId="0" borderId="0"/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4" fillId="0" borderId="0"/>
    <xf numFmtId="164" fontId="2" fillId="2" borderId="1" applyNumberFormat="0" applyFont="0" applyFill="0" applyBorder="0" applyProtection="0">
      <alignment horizontal="center"/>
    </xf>
    <xf numFmtId="164" fontId="2" fillId="2" borderId="1" applyNumberFormat="0" applyFont="0" applyFill="0" applyBorder="0" applyProtection="0">
      <alignment horizontal="center"/>
    </xf>
    <xf numFmtId="0" fontId="6" fillId="0" borderId="0" applyNumberFormat="0" applyFill="0" applyBorder="0" applyProtection="0"/>
    <xf numFmtId="0" fontId="7" fillId="0" borderId="0">
      <alignment vertical="center"/>
    </xf>
    <xf numFmtId="165" fontId="7" fillId="0" borderId="0">
      <alignment vertical="center"/>
    </xf>
    <xf numFmtId="0" fontId="8" fillId="0" borderId="0"/>
    <xf numFmtId="0" fontId="8" fillId="0" borderId="0"/>
    <xf numFmtId="166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168" fontId="9" fillId="0" borderId="0"/>
    <xf numFmtId="169" fontId="10" fillId="0" borderId="0" applyFont="0" applyFill="0" applyBorder="0" applyProtection="0"/>
    <xf numFmtId="169" fontId="10" fillId="0" borderId="0" applyFill="0" applyBorder="0" applyProtection="0"/>
    <xf numFmtId="169" fontId="10" fillId="0" borderId="0" applyFill="0" applyBorder="0" applyProtection="0"/>
    <xf numFmtId="169" fontId="10" fillId="0" borderId="0" applyFill="0" applyBorder="0" applyProtection="0"/>
    <xf numFmtId="169" fontId="10" fillId="0" borderId="0" applyFont="0" applyFill="0" applyBorder="0" applyProtection="0"/>
    <xf numFmtId="169" fontId="8" fillId="0" borderId="0" applyFont="0" applyFill="0" applyBorder="0" applyProtection="0"/>
    <xf numFmtId="169" fontId="10" fillId="0" borderId="0" applyFill="0" applyBorder="0" applyProtection="0"/>
    <xf numFmtId="169" fontId="10" fillId="0" borderId="0" applyFill="0" applyBorder="0" applyProtection="0"/>
    <xf numFmtId="169" fontId="10" fillId="0" borderId="0" applyFill="0" applyBorder="0" applyProtection="0"/>
    <xf numFmtId="169" fontId="8" fillId="0" borderId="0" applyFont="0" applyFill="0" applyBorder="0" applyProtection="0"/>
    <xf numFmtId="0" fontId="10" fillId="0" borderId="0" applyFont="0" applyFill="0" applyBorder="0" applyProtection="0"/>
    <xf numFmtId="170" fontId="8" fillId="0" borderId="0" applyFont="0" applyFill="0" applyBorder="0" applyProtection="0"/>
    <xf numFmtId="170" fontId="8" fillId="0" borderId="0" applyFon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11" fillId="0" borderId="0"/>
    <xf numFmtId="0" fontId="11" fillId="0" borderId="0"/>
    <xf numFmtId="10" fontId="11" fillId="0" borderId="0"/>
    <xf numFmtId="171" fontId="12" fillId="0" borderId="0" applyFont="0" applyFill="0" applyBorder="0" applyProtection="0"/>
    <xf numFmtId="0" fontId="13" fillId="0" borderId="0"/>
    <xf numFmtId="0" fontId="14" fillId="0" borderId="0" applyFont="0" applyFill="0" applyBorder="0"/>
    <xf numFmtId="165" fontId="14" fillId="0" borderId="0" applyFont="0" applyFill="0" applyBorder="0"/>
    <xf numFmtId="165" fontId="14" fillId="0" borderId="0" applyFont="0" applyFill="0" applyBorder="0"/>
    <xf numFmtId="165" fontId="14" fillId="0" borderId="0" applyFont="0" applyFill="0" applyBorder="0"/>
    <xf numFmtId="165" fontId="14" fillId="0" borderId="0" applyFont="0" applyFill="0" applyBorder="0"/>
    <xf numFmtId="0" fontId="10" fillId="0" borderId="0"/>
    <xf numFmtId="0" fontId="8" fillId="0" borderId="0"/>
    <xf numFmtId="0" fontId="8" fillId="0" borderId="0"/>
    <xf numFmtId="0" fontId="8" fillId="0" borderId="0"/>
    <xf numFmtId="165" fontId="15" fillId="0" borderId="0" applyFont="0" applyFill="0" applyBorder="0" applyProtection="0"/>
    <xf numFmtId="0" fontId="10" fillId="0" borderId="0"/>
    <xf numFmtId="172" fontId="16" fillId="0" borderId="0">
      <protection locked="0"/>
    </xf>
    <xf numFmtId="172" fontId="17" fillId="0" borderId="0">
      <protection locked="0"/>
    </xf>
    <xf numFmtId="172" fontId="17" fillId="0" borderId="0">
      <protection locked="0"/>
    </xf>
    <xf numFmtId="172" fontId="17" fillId="0" borderId="0">
      <protection locked="0"/>
    </xf>
    <xf numFmtId="172" fontId="16" fillId="0" borderId="0">
      <protection locked="0"/>
    </xf>
    <xf numFmtId="172" fontId="16" fillId="0" borderId="0">
      <protection locked="0"/>
    </xf>
    <xf numFmtId="172" fontId="16" fillId="0" borderId="0">
      <protection locked="0"/>
    </xf>
    <xf numFmtId="172" fontId="16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18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0" fontId="19" fillId="0" borderId="0" applyNumberFormat="0" applyFill="0" applyBorder="0" applyProtection="0">
      <alignment vertical="top"/>
      <protection locked="0"/>
    </xf>
    <xf numFmtId="0" fontId="20" fillId="0" borderId="0" applyNumberFormat="0" applyFill="0" applyBorder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7" fillId="0" borderId="0">
      <protection locked="0"/>
    </xf>
    <xf numFmtId="172" fontId="7" fillId="0" borderId="0">
      <protection locked="0"/>
    </xf>
    <xf numFmtId="0" fontId="8" fillId="0" borderId="0"/>
    <xf numFmtId="173" fontId="1" fillId="0" borderId="0">
      <protection locked="0"/>
    </xf>
    <xf numFmtId="173" fontId="1" fillId="0" borderId="0">
      <protection locked="0"/>
    </xf>
    <xf numFmtId="173" fontId="1" fillId="0" borderId="0">
      <protection locked="0"/>
    </xf>
    <xf numFmtId="173" fontId="1" fillId="0" borderId="0">
      <protection locked="0"/>
    </xf>
    <xf numFmtId="173" fontId="1" fillId="0" borderId="0">
      <protection locked="0"/>
    </xf>
    <xf numFmtId="165" fontId="21" fillId="0" borderId="0" applyNumberFormat="0" applyFill="0">
      <alignment vertical="center"/>
    </xf>
    <xf numFmtId="165" fontId="21" fillId="0" borderId="0" applyNumberFormat="0" applyFill="0">
      <alignment vertical="center"/>
    </xf>
    <xf numFmtId="165" fontId="21" fillId="0" borderId="0" applyNumberFormat="0" applyFill="0">
      <alignment vertical="center"/>
    </xf>
    <xf numFmtId="0" fontId="10" fillId="0" borderId="0"/>
    <xf numFmtId="40" fontId="22" fillId="0" borderId="0" applyFont="0" applyFill="0" applyBorder="0" applyProtection="0"/>
    <xf numFmtId="0" fontId="8" fillId="0" borderId="0" applyFont="0" applyFill="0" applyBorder="0" applyProtection="0"/>
    <xf numFmtId="0" fontId="8" fillId="0" borderId="0" applyFont="0" applyFill="0" applyBorder="0" applyProtection="0"/>
    <xf numFmtId="0" fontId="2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4" fillId="0" borderId="0"/>
    <xf numFmtId="0" fontId="4" fillId="0" borderId="0"/>
    <xf numFmtId="174" fontId="8" fillId="0" borderId="0" applyFont="0" applyFill="0" applyBorder="0" applyProtection="0">
      <alignment wrapText="1"/>
    </xf>
    <xf numFmtId="175" fontId="8" fillId="0" borderId="0" applyFont="0" applyFill="0" applyBorder="0" applyProtection="0">
      <alignment horizontal="left" wrapText="1"/>
    </xf>
    <xf numFmtId="176" fontId="8" fillId="0" borderId="0" applyFont="0" applyFill="0" applyBorder="0" applyProtection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7" fontId="8" fillId="0" borderId="0" applyFont="0" applyFill="0" applyBorder="0" applyProtection="0"/>
    <xf numFmtId="177" fontId="8" fillId="0" borderId="0" applyFont="0" applyFill="0" applyBorder="0" applyProtection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>
      <alignment vertical="center"/>
    </xf>
    <xf numFmtId="0" fontId="8" fillId="0" borderId="0">
      <alignment vertical="top"/>
    </xf>
    <xf numFmtId="178" fontId="7" fillId="0" borderId="0" applyFont="0" applyFill="0" applyBorder="0" applyProtection="0"/>
    <xf numFmtId="178" fontId="7" fillId="0" borderId="0" applyFont="0" applyFill="0" applyBorder="0" applyProtection="0"/>
    <xf numFmtId="178" fontId="7" fillId="0" borderId="0" applyFont="0" applyFill="0" applyBorder="0" applyProtection="0"/>
    <xf numFmtId="178" fontId="7" fillId="0" borderId="0" applyFont="0" applyFill="0" applyBorder="0" applyProtection="0"/>
    <xf numFmtId="178" fontId="7" fillId="0" borderId="0" applyFont="0" applyFill="0" applyBorder="0" applyProtection="0"/>
    <xf numFmtId="39" fontId="8" fillId="0" borderId="0" applyFont="0" applyFill="0" applyBorder="0" applyProtection="0"/>
    <xf numFmtId="39" fontId="8" fillId="0" borderId="0" applyFont="0" applyFill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49" fontId="2" fillId="2" borderId="3" applyBorder="0">
      <alignment horizontal="center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6" fillId="2" borderId="3" applyBorder="0">
      <alignment horizontal="left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" fillId="2" borderId="4" applyBorder="0">
      <alignment horizontal="center" textRotation="90" wrapText="1"/>
    </xf>
    <xf numFmtId="0" fontId="27" fillId="0" borderId="0" applyNumberFormat="0" applyFill="0" applyBorder="0" applyProtection="0"/>
    <xf numFmtId="0" fontId="10" fillId="0" borderId="0"/>
    <xf numFmtId="0" fontId="10" fillId="0" borderId="0"/>
    <xf numFmtId="0" fontId="10" fillId="0" borderId="0"/>
    <xf numFmtId="0" fontId="8" fillId="0" borderId="0" applyNumberFormat="0" applyFill="0" applyBorder="0" applyProtection="0"/>
    <xf numFmtId="0" fontId="8" fillId="0" borderId="0" applyNumberFormat="0" applyFill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79" fontId="28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28" fillId="0" borderId="0" applyFont="0" applyFill="0" applyBorder="0" applyProtection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3" borderId="5" applyNumberFormat="0">
      <protection locked="0"/>
    </xf>
    <xf numFmtId="0" fontId="10" fillId="0" borderId="0"/>
    <xf numFmtId="0" fontId="10" fillId="0" borderId="0"/>
    <xf numFmtId="0" fontId="10" fillId="0" borderId="0"/>
    <xf numFmtId="0" fontId="30" fillId="0" borderId="0" applyNumberFormat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6" applyNumberFormat="0" applyFill="0" applyProtection="0">
      <alignment horizontal="center"/>
    </xf>
    <xf numFmtId="0" fontId="31" fillId="0" borderId="6" applyNumberFormat="0" applyFill="0" applyProtection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4" fillId="0" borderId="0"/>
    <xf numFmtId="0" fontId="1" fillId="0" borderId="0">
      <protection locked="0"/>
    </xf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4" fontId="1" fillId="0" borderId="0">
      <protection locked="0"/>
    </xf>
    <xf numFmtId="4" fontId="1" fillId="0" borderId="0">
      <protection locked="0"/>
    </xf>
    <xf numFmtId="4" fontId="1" fillId="0" borderId="0">
      <protection locked="0"/>
    </xf>
    <xf numFmtId="4" fontId="1" fillId="0" borderId="0">
      <protection locked="0"/>
    </xf>
    <xf numFmtId="4" fontId="1" fillId="0" borderId="0">
      <protection locked="0"/>
    </xf>
    <xf numFmtId="181" fontId="1" fillId="0" borderId="0">
      <protection locked="0"/>
    </xf>
    <xf numFmtId="181" fontId="1" fillId="0" borderId="0">
      <protection locked="0"/>
    </xf>
    <xf numFmtId="181" fontId="1" fillId="0" borderId="0">
      <protection locked="0"/>
    </xf>
    <xf numFmtId="181" fontId="1" fillId="0" borderId="0">
      <protection locked="0"/>
    </xf>
    <xf numFmtId="181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2" fontId="1" fillId="0" borderId="0">
      <protection locked="0"/>
    </xf>
    <xf numFmtId="182" fontId="1" fillId="0" borderId="0">
      <protection locked="0"/>
    </xf>
    <xf numFmtId="182" fontId="1" fillId="0" borderId="0">
      <protection locked="0"/>
    </xf>
    <xf numFmtId="182" fontId="1" fillId="0" borderId="0">
      <protection locked="0"/>
    </xf>
    <xf numFmtId="182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183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1" fillId="0" borderId="2">
      <protection locked="0"/>
    </xf>
    <xf numFmtId="0" fontId="8" fillId="0" borderId="0"/>
    <xf numFmtId="0" fontId="8" fillId="0" borderId="0"/>
    <xf numFmtId="0" fontId="10" fillId="0" borderId="0"/>
    <xf numFmtId="183" fontId="32" fillId="0" borderId="0">
      <protection locked="0"/>
    </xf>
    <xf numFmtId="183" fontId="32" fillId="0" borderId="0">
      <protection locked="0"/>
    </xf>
    <xf numFmtId="183" fontId="32" fillId="0" borderId="0">
      <protection locked="0"/>
    </xf>
    <xf numFmtId="183" fontId="32" fillId="0" borderId="0">
      <protection locked="0"/>
    </xf>
    <xf numFmtId="183" fontId="32" fillId="0" borderId="0">
      <protection locked="0"/>
    </xf>
    <xf numFmtId="183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1" fontId="13" fillId="0" borderId="0"/>
    <xf numFmtId="0" fontId="33" fillId="0" borderId="0"/>
    <xf numFmtId="0" fontId="34" fillId="0" borderId="0"/>
    <xf numFmtId="0" fontId="4" fillId="0" borderId="0"/>
    <xf numFmtId="0" fontId="4" fillId="0" borderId="0"/>
    <xf numFmtId="0" fontId="4" fillId="0" borderId="0"/>
    <xf numFmtId="2" fontId="13" fillId="0" borderId="0"/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4" fontId="28" fillId="0" borderId="0">
      <alignment horizontal="center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85" fontId="35" fillId="0" borderId="7" applyFont="0" applyFill="0" applyBorder="0" applyProtection="0">
      <alignment horizontal="right"/>
    </xf>
    <xf numFmtId="1" fontId="33" fillId="0" borderId="0"/>
    <xf numFmtId="1" fontId="34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7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1" fontId="36" fillId="0" borderId="0"/>
    <xf numFmtId="0" fontId="38" fillId="4" borderId="8">
      <alignment horizontal="center"/>
    </xf>
    <xf numFmtId="186" fontId="10" fillId="5" borderId="3">
      <alignment horizontal="center"/>
    </xf>
    <xf numFmtId="187" fontId="39" fillId="0" borderId="0" applyFont="0" applyProtection="0">
      <protection locked="0" hidden="1"/>
    </xf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0" fillId="6" borderId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9" borderId="0" applyNumberFormat="0" applyBorder="0" applyProtection="0"/>
    <xf numFmtId="0" fontId="41" fillId="9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41" fillId="3" borderId="0" applyNumberFormat="0" applyBorder="0" applyProtection="0"/>
    <xf numFmtId="0" fontId="8" fillId="0" borderId="0"/>
    <xf numFmtId="0" fontId="5" fillId="13" borderId="0" applyNumberFormat="0" applyBorder="0" applyProtection="0"/>
    <xf numFmtId="0" fontId="5" fillId="13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5" fillId="13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5" fillId="14" borderId="0" applyNumberFormat="0" applyBorder="0" applyProtection="0"/>
    <xf numFmtId="0" fontId="41" fillId="7" borderId="0" applyNumberFormat="0" applyBorder="0" applyProtection="0"/>
    <xf numFmtId="0" fontId="5" fillId="15" borderId="0" applyNumberFormat="0" applyBorder="0" applyProtection="0"/>
    <xf numFmtId="0" fontId="41" fillId="14" borderId="0" applyNumberFormat="0" applyBorder="0" applyProtection="0"/>
    <xf numFmtId="0" fontId="5" fillId="15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41" fillId="8" borderId="0" applyNumberFormat="0" applyBorder="0" applyProtection="0"/>
    <xf numFmtId="0" fontId="5" fillId="17" borderId="0" applyNumberFormat="0" applyBorder="0" applyProtection="0"/>
    <xf numFmtId="0" fontId="41" fillId="16" borderId="0" applyNumberFormat="0" applyBorder="0" applyProtection="0"/>
    <xf numFmtId="0" fontId="5" fillId="17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11" borderId="0" applyNumberFormat="0" applyBorder="0" applyProtection="0"/>
    <xf numFmtId="0" fontId="5" fillId="7" borderId="0" applyNumberFormat="0" applyBorder="0" applyProtection="0"/>
    <xf numFmtId="0" fontId="5" fillId="7" borderId="0" applyNumberFormat="0" applyBorder="0" applyProtection="0"/>
    <xf numFmtId="0" fontId="41" fillId="9" borderId="0" applyNumberFormat="0" applyBorder="0" applyProtection="0"/>
    <xf numFmtId="0" fontId="5" fillId="18" borderId="0" applyNumberFormat="0" applyBorder="0" applyProtection="0"/>
    <xf numFmtId="0" fontId="41" fillId="11" borderId="0" applyNumberFormat="0" applyBorder="0" applyProtection="0"/>
    <xf numFmtId="0" fontId="5" fillId="18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41" fillId="10" borderId="0" applyNumberFormat="0" applyBorder="0" applyProtection="0"/>
    <xf numFmtId="0" fontId="5" fillId="19" borderId="0" applyNumberFormat="0" applyBorder="0" applyProtection="0"/>
    <xf numFmtId="0" fontId="41" fillId="10" borderId="0" applyNumberFormat="0" applyBorder="0" applyProtection="0"/>
    <xf numFmtId="0" fontId="5" fillId="19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41" fillId="11" borderId="0" applyNumberFormat="0" applyBorder="0" applyProtection="0"/>
    <xf numFmtId="0" fontId="5" fillId="20" borderId="0" applyNumberFormat="0" applyBorder="0" applyProtection="0"/>
    <xf numFmtId="0" fontId="41" fillId="16" borderId="0" applyNumberFormat="0" applyBorder="0" applyProtection="0"/>
    <xf numFmtId="0" fontId="5" fillId="20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0" fontId="41" fillId="16" borderId="0" applyNumberFormat="0" applyBorder="0" applyProtection="0"/>
    <xf numFmtId="188" fontId="39" fillId="0" borderId="0" applyFill="0" applyBorder="0" applyProtection="0">
      <alignment horizontal="right"/>
    </xf>
    <xf numFmtId="0" fontId="41" fillId="21" borderId="0" applyNumberFormat="0" applyBorder="0" applyProtection="0"/>
    <xf numFmtId="0" fontId="41" fillId="21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9" borderId="0" applyNumberFormat="0" applyBorder="0" applyProtection="0"/>
    <xf numFmtId="0" fontId="41" fillId="9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2" borderId="0" applyNumberFormat="0" applyBorder="0" applyProtection="0"/>
    <xf numFmtId="0" fontId="41" fillId="2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41" fillId="21" borderId="0" applyNumberFormat="0" applyBorder="0" applyProtection="0"/>
    <xf numFmtId="0" fontId="5" fillId="23" borderId="0" applyNumberFormat="0" applyBorder="0" applyProtection="0"/>
    <xf numFmtId="0" fontId="41" fillId="2" borderId="0" applyNumberFormat="0" applyBorder="0" applyProtection="0"/>
    <xf numFmtId="0" fontId="5" fillId="23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5" fillId="24" borderId="0" applyNumberFormat="0" applyBorder="0" applyProtection="0"/>
    <xf numFmtId="0" fontId="5" fillId="24" borderId="0" applyNumberFormat="0" applyBorder="0" applyProtection="0"/>
    <xf numFmtId="0" fontId="5" fillId="24" borderId="0" applyNumberFormat="0" applyBorder="0" applyProtection="0"/>
    <xf numFmtId="0" fontId="41" fillId="14" borderId="0" applyNumberFormat="0" applyBorder="0" applyProtection="0"/>
    <xf numFmtId="0" fontId="5" fillId="24" borderId="0" applyNumberFormat="0" applyBorder="0" applyProtection="0"/>
    <xf numFmtId="0" fontId="41" fillId="14" borderId="0" applyNumberFormat="0" applyBorder="0" applyProtection="0"/>
    <xf numFmtId="0" fontId="5" fillId="24" borderId="0" applyNumberFormat="0" applyBorder="0" applyProtection="0"/>
    <xf numFmtId="0" fontId="5" fillId="2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41" fillId="5" borderId="0" applyNumberFormat="0" applyBorder="0" applyProtection="0"/>
    <xf numFmtId="0" fontId="5" fillId="26" borderId="0" applyNumberFormat="0" applyBorder="0" applyProtection="0"/>
    <xf numFmtId="0" fontId="41" fillId="25" borderId="0" applyNumberFormat="0" applyBorder="0" applyProtection="0"/>
    <xf numFmtId="0" fontId="5" fillId="26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5" fillId="2" borderId="0" applyNumberFormat="0" applyBorder="0" applyProtection="0"/>
    <xf numFmtId="0" fontId="41" fillId="9" borderId="0" applyNumberFormat="0" applyBorder="0" applyProtection="0"/>
    <xf numFmtId="0" fontId="5" fillId="27" borderId="0" applyNumberFormat="0" applyBorder="0" applyProtection="0"/>
    <xf numFmtId="0" fontId="41" fillId="2" borderId="0" applyNumberFormat="0" applyBorder="0" applyProtection="0"/>
    <xf numFmtId="0" fontId="5" fillId="27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5" fillId="12" borderId="0" applyNumberFormat="0" applyBorder="0" applyProtection="0"/>
    <xf numFmtId="0" fontId="41" fillId="21" borderId="0" applyNumberFormat="0" applyBorder="0" applyProtection="0"/>
    <xf numFmtId="0" fontId="5" fillId="28" borderId="0" applyNumberFormat="0" applyBorder="0" applyProtection="0"/>
    <xf numFmtId="0" fontId="41" fillId="21" borderId="0" applyNumberFormat="0" applyBorder="0" applyProtection="0"/>
    <xf numFmtId="0" fontId="5" fillId="12" borderId="0" applyNumberFormat="0" applyBorder="0" applyProtection="0"/>
    <xf numFmtId="0" fontId="5" fillId="28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25" borderId="0" applyNumberFormat="0" applyBorder="0" applyProtection="0"/>
    <xf numFmtId="0" fontId="5" fillId="16" borderId="0" applyNumberFormat="0" applyBorder="0" applyProtection="0"/>
    <xf numFmtId="0" fontId="5" fillId="16" borderId="0" applyNumberFormat="0" applyBorder="0" applyProtection="0"/>
    <xf numFmtId="0" fontId="41" fillId="22" borderId="0" applyNumberFormat="0" applyBorder="0" applyProtection="0"/>
    <xf numFmtId="0" fontId="5" fillId="29" borderId="0" applyNumberFormat="0" applyBorder="0" applyProtection="0"/>
    <xf numFmtId="0" fontId="41" fillId="25" borderId="0" applyNumberFormat="0" applyBorder="0" applyProtection="0"/>
    <xf numFmtId="0" fontId="5" fillId="29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0" fontId="43" fillId="30" borderId="0" applyNumberFormat="0" applyBorder="0" applyProtection="0"/>
    <xf numFmtId="0" fontId="43" fillId="30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3" fillId="31" borderId="0" applyNumberFormat="0" applyBorder="0" applyProtection="0"/>
    <xf numFmtId="0" fontId="43" fillId="31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3" borderId="0" applyNumberFormat="0" applyBorder="0" applyProtection="0"/>
    <xf numFmtId="0" fontId="43" fillId="33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12" borderId="0" applyNumberFormat="0" applyBorder="0" applyProtection="0"/>
    <xf numFmtId="0" fontId="44" fillId="12" borderId="0" applyNumberFormat="0" applyBorder="0" applyProtection="0"/>
    <xf numFmtId="0" fontId="43" fillId="30" borderId="0" applyNumberFormat="0" applyBorder="0" applyProtection="0"/>
    <xf numFmtId="0" fontId="44" fillId="34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4" fillId="35" borderId="0" applyNumberFormat="0" applyBorder="0" applyProtection="0"/>
    <xf numFmtId="0" fontId="43" fillId="14" borderId="0" applyNumberFormat="0" applyBorder="0" applyProtection="0"/>
    <xf numFmtId="0" fontId="44" fillId="35" borderId="0" applyNumberFormat="0" applyBorder="0" applyProtection="0"/>
    <xf numFmtId="0" fontId="43" fillId="14" borderId="0" applyNumberFormat="0" applyBorder="0" applyProtection="0"/>
    <xf numFmtId="0" fontId="44" fillId="35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25" borderId="0" applyNumberFormat="0" applyBorder="0" applyProtection="0"/>
    <xf numFmtId="0" fontId="44" fillId="16" borderId="0" applyNumberFormat="0" applyBorder="0" applyProtection="0"/>
    <xf numFmtId="0" fontId="44" fillId="16" borderId="0" applyNumberFormat="0" applyBorder="0" applyProtection="0"/>
    <xf numFmtId="0" fontId="43" fillId="5" borderId="0" applyNumberFormat="0" applyBorder="0" applyProtection="0"/>
    <xf numFmtId="0" fontId="44" fillId="36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4" fillId="2" borderId="0" applyNumberFormat="0" applyBorder="0" applyProtection="0"/>
    <xf numFmtId="0" fontId="43" fillId="31" borderId="0" applyNumberFormat="0" applyBorder="0" applyProtection="0"/>
    <xf numFmtId="0" fontId="44" fillId="37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4" fillId="12" borderId="0" applyNumberFormat="0" applyBorder="0" applyProtection="0"/>
    <xf numFmtId="0" fontId="43" fillId="32" borderId="0" applyNumberFormat="0" applyBorder="0" applyProtection="0"/>
    <xf numFmtId="0" fontId="44" fillId="38" borderId="0" applyNumberFormat="0" applyBorder="0" applyProtection="0"/>
    <xf numFmtId="0" fontId="43" fillId="32" borderId="0" applyNumberFormat="0" applyBorder="0" applyProtection="0"/>
    <xf numFmtId="0" fontId="44" fillId="1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4" fillId="14" borderId="0" applyNumberFormat="0" applyBorder="0" applyProtection="0"/>
    <xf numFmtId="0" fontId="43" fillId="33" borderId="0" applyNumberFormat="0" applyBorder="0" applyProtection="0"/>
    <xf numFmtId="0" fontId="44" fillId="39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189" fontId="45" fillId="0" borderId="0" applyFont="0" applyFill="0" applyBorder="0">
      <alignment horizontal="center"/>
    </xf>
    <xf numFmtId="189" fontId="45" fillId="0" borderId="0" applyFont="0" applyFill="0" applyBorder="0">
      <alignment horizontal="center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4" fontId="42" fillId="0" borderId="3">
      <alignment horizontal="right" vertical="top"/>
    </xf>
    <xf numFmtId="0" fontId="39" fillId="0" borderId="0">
      <alignment horizontal="right"/>
    </xf>
    <xf numFmtId="0" fontId="39" fillId="0" borderId="0">
      <alignment horizontal="right"/>
    </xf>
    <xf numFmtId="0" fontId="39" fillId="0" borderId="0">
      <alignment horizontal="right"/>
    </xf>
    <xf numFmtId="190" fontId="46" fillId="16" borderId="9"/>
    <xf numFmtId="191" fontId="8" fillId="0" borderId="0" applyFont="0" applyFill="0" applyBorder="0" applyProtection="0"/>
    <xf numFmtId="192" fontId="8" fillId="0" borderId="0" applyFont="0" applyFill="0" applyBorder="0" applyProtection="0"/>
    <xf numFmtId="0" fontId="43" fillId="40" borderId="0" applyNumberFormat="0" applyBorder="0" applyProtection="0"/>
    <xf numFmtId="0" fontId="41" fillId="21" borderId="0" applyNumberFormat="0" applyBorder="0" applyProtection="0"/>
    <xf numFmtId="0" fontId="41" fillId="41" borderId="0" applyNumberFormat="0" applyBorder="0" applyProtection="0"/>
    <xf numFmtId="0" fontId="41" fillId="41" borderId="0" applyNumberFormat="0" applyBorder="0" applyProtection="0"/>
    <xf numFmtId="0" fontId="41" fillId="41" borderId="0" applyNumberFormat="0" applyBorder="0" applyProtection="0"/>
    <xf numFmtId="0" fontId="41" fillId="41" borderId="0" applyNumberFormat="0" applyBorder="0" applyProtection="0"/>
    <xf numFmtId="0" fontId="41" fillId="41" borderId="0" applyNumberFormat="0" applyBorder="0" applyProtection="0"/>
    <xf numFmtId="0" fontId="41" fillId="4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1" fillId="2" borderId="0" applyNumberFormat="0" applyBorder="0" applyProtection="0"/>
    <xf numFmtId="0" fontId="43" fillId="43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0" borderId="0" applyNumberFormat="0" applyBorder="0" applyProtection="0"/>
    <xf numFmtId="0" fontId="43" fillId="45" borderId="0" applyNumberFormat="0" applyBorder="0" applyProtection="0"/>
    <xf numFmtId="0" fontId="43" fillId="4" borderId="0" applyNumberFormat="0" applyBorder="0" applyProtection="0"/>
    <xf numFmtId="0" fontId="41" fillId="46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7" borderId="0" applyNumberFormat="0" applyBorder="0" applyProtection="0"/>
    <xf numFmtId="0" fontId="41" fillId="12" borderId="0" applyNumberFormat="0" applyBorder="0" applyProtection="0"/>
    <xf numFmtId="0" fontId="41" fillId="12" borderId="0" applyNumberFormat="0" applyBorder="0" applyProtection="0"/>
    <xf numFmtId="0" fontId="41" fillId="12" borderId="0" applyNumberFormat="0" applyBorder="0" applyProtection="0"/>
    <xf numFmtId="0" fontId="41" fillId="12" borderId="0" applyNumberFormat="0" applyBorder="0" applyProtection="0"/>
    <xf numFmtId="0" fontId="41" fillId="12" borderId="0" applyNumberFormat="0" applyBorder="0" applyProtection="0"/>
    <xf numFmtId="0" fontId="43" fillId="47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3" fillId="4" borderId="0" applyNumberFormat="0" applyBorder="0" applyProtection="0"/>
    <xf numFmtId="0" fontId="43" fillId="41" borderId="0" applyNumberFormat="0" applyBorder="0" applyProtection="0"/>
    <xf numFmtId="0" fontId="43" fillId="48" borderId="0" applyNumberFormat="0" applyBorder="0" applyProtection="0"/>
    <xf numFmtId="0" fontId="41" fillId="10" borderId="0" applyNumberFormat="0" applyBorder="0" applyProtection="0"/>
    <xf numFmtId="0" fontId="41" fillId="49" borderId="0" applyNumberFormat="0" applyBorder="0" applyProtection="0"/>
    <xf numFmtId="0" fontId="41" fillId="49" borderId="0" applyNumberFormat="0" applyBorder="0" applyProtection="0"/>
    <xf numFmtId="0" fontId="41" fillId="49" borderId="0" applyNumberFormat="0" applyBorder="0" applyProtection="0"/>
    <xf numFmtId="0" fontId="41" fillId="49" borderId="0" applyNumberFormat="0" applyBorder="0" applyProtection="0"/>
    <xf numFmtId="0" fontId="41" fillId="49" borderId="0" applyNumberFormat="0" applyBorder="0" applyProtection="0"/>
    <xf numFmtId="0" fontId="41" fillId="12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3" fillId="2" borderId="0" applyNumberFormat="0" applyBorder="0" applyProtection="0"/>
    <xf numFmtId="0" fontId="43" fillId="50" borderId="0" applyNumberFormat="0" applyBorder="0" applyProtection="0"/>
    <xf numFmtId="0" fontId="43" fillId="50" borderId="0" applyNumberFormat="0" applyBorder="0" applyProtection="0"/>
    <xf numFmtId="0" fontId="43" fillId="50" borderId="0" applyNumberFormat="0" applyBorder="0" applyProtection="0"/>
    <xf numFmtId="0" fontId="43" fillId="50" borderId="0" applyNumberFormat="0" applyBorder="0" applyProtection="0"/>
    <xf numFmtId="0" fontId="43" fillId="50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31" borderId="0" applyNumberFormat="0" applyBorder="0" applyProtection="0"/>
    <xf numFmtId="0" fontId="41" fillId="12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3" borderId="0" applyNumberFormat="0" applyBorder="0" applyProtection="0"/>
    <xf numFmtId="0" fontId="41" fillId="2" borderId="0" applyNumberFormat="0" applyBorder="0" applyProtection="0"/>
    <xf numFmtId="0" fontId="41" fillId="47" borderId="0" applyNumberFormat="0" applyBorder="0" applyProtection="0"/>
    <xf numFmtId="0" fontId="41" fillId="47" borderId="0" applyNumberFormat="0" applyBorder="0" applyProtection="0"/>
    <xf numFmtId="0" fontId="41" fillId="47" borderId="0" applyNumberFormat="0" applyBorder="0" applyProtection="0"/>
    <xf numFmtId="0" fontId="41" fillId="47" borderId="0" applyNumberFormat="0" applyBorder="0" applyProtection="0"/>
    <xf numFmtId="0" fontId="41" fillId="47" borderId="0" applyNumberFormat="0" applyBorder="0" applyProtection="0"/>
    <xf numFmtId="0" fontId="43" fillId="2" borderId="0" applyNumberFormat="0" applyBorder="0" applyProtection="0"/>
    <xf numFmtId="0" fontId="43" fillId="12" borderId="0" applyNumberFormat="0" applyBorder="0" applyProtection="0"/>
    <xf numFmtId="0" fontId="43" fillId="12" borderId="0" applyNumberFormat="0" applyBorder="0" applyProtection="0"/>
    <xf numFmtId="0" fontId="43" fillId="12" borderId="0" applyNumberFormat="0" applyBorder="0" applyProtection="0"/>
    <xf numFmtId="0" fontId="43" fillId="12" borderId="0" applyNumberFormat="0" applyBorder="0" applyProtection="0"/>
    <xf numFmtId="0" fontId="43" fillId="12" borderId="0" applyNumberFormat="0" applyBorder="0" applyProtection="0"/>
    <xf numFmtId="0" fontId="43" fillId="31" borderId="0" applyNumberFormat="0" applyBorder="0" applyProtection="0"/>
    <xf numFmtId="0" fontId="43" fillId="51" borderId="0" applyNumberFormat="0" applyBorder="0" applyProtection="0"/>
    <xf numFmtId="0" fontId="43" fillId="32" borderId="0" applyNumberFormat="0" applyBorder="0" applyProtection="0"/>
    <xf numFmtId="0" fontId="41" fillId="21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10" borderId="0" applyNumberFormat="0" applyBorder="0" applyProtection="0"/>
    <xf numFmtId="0" fontId="41" fillId="42" borderId="0" applyNumberFormat="0" applyBorder="0" applyProtection="0"/>
    <xf numFmtId="0" fontId="43" fillId="42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44" borderId="0" applyNumberFormat="0" applyBorder="0" applyProtection="0"/>
    <xf numFmtId="0" fontId="43" fillId="32" borderId="0" applyNumberFormat="0" applyBorder="0" applyProtection="0"/>
    <xf numFmtId="0" fontId="43" fillId="44" borderId="0" applyNumberFormat="0" applyBorder="0" applyProtection="0"/>
    <xf numFmtId="0" fontId="43" fillId="52" borderId="0" applyNumberFormat="0" applyBorder="0" applyProtection="0"/>
    <xf numFmtId="0" fontId="41" fillId="16" borderId="0" applyNumberFormat="0" applyBorder="0" applyProtection="0"/>
    <xf numFmtId="0" fontId="41" fillId="7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1" fillId="11" borderId="0" applyNumberFormat="0" applyBorder="0" applyProtection="0"/>
    <xf numFmtId="0" fontId="43" fillId="11" borderId="0" applyNumberFormat="0" applyBorder="0" applyProtection="0"/>
    <xf numFmtId="0" fontId="43" fillId="22" borderId="0" applyNumberFormat="0" applyBorder="0" applyProtection="0"/>
    <xf numFmtId="0" fontId="43" fillId="22" borderId="0" applyNumberFormat="0" applyBorder="0" applyProtection="0"/>
    <xf numFmtId="0" fontId="43" fillId="22" borderId="0" applyNumberFormat="0" applyBorder="0" applyProtection="0"/>
    <xf numFmtId="0" fontId="43" fillId="22" borderId="0" applyNumberFormat="0" applyBorder="0" applyProtection="0"/>
    <xf numFmtId="0" fontId="43" fillId="2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193" fontId="46" fillId="53" borderId="0">
      <alignment horizontal="center" vertical="center"/>
    </xf>
    <xf numFmtId="193" fontId="46" fillId="53" borderId="0">
      <alignment horizontal="center" vertical="center"/>
    </xf>
    <xf numFmtId="193" fontId="46" fillId="53" borderId="0">
      <alignment horizontal="center" vertical="center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194" fontId="47" fillId="0" borderId="10" applyFont="0" applyFill="0">
      <alignment horizontal="right" vertical="center"/>
      <protection locked="0"/>
    </xf>
    <xf numFmtId="0" fontId="19" fillId="0" borderId="0" applyNumberFormat="0" applyFill="0" applyBorder="0" applyProtection="0">
      <alignment vertical="top"/>
      <protection locked="0"/>
    </xf>
    <xf numFmtId="195" fontId="18" fillId="0" borderId="0">
      <alignment horizontal="left"/>
    </xf>
    <xf numFmtId="195" fontId="18" fillId="0" borderId="0">
      <alignment horizontal="left"/>
    </xf>
    <xf numFmtId="39" fontId="48" fillId="0" borderId="0" applyFont="0" applyFill="0">
      <alignment vertical="center"/>
    </xf>
    <xf numFmtId="39" fontId="48" fillId="0" borderId="0" applyFont="0" applyFill="0">
      <alignment vertical="center"/>
    </xf>
    <xf numFmtId="186" fontId="10" fillId="5" borderId="3">
      <alignment vertical="center"/>
    </xf>
    <xf numFmtId="0" fontId="49" fillId="0" borderId="0">
      <alignment horizontal="right"/>
    </xf>
    <xf numFmtId="0" fontId="50" fillId="0" borderId="0">
      <alignment horizontal="right"/>
    </xf>
    <xf numFmtId="194" fontId="47" fillId="0" borderId="0" applyFont="0" applyBorder="0" applyProtection="0">
      <alignment vertical="center"/>
    </xf>
    <xf numFmtId="194" fontId="47" fillId="0" borderId="0" applyFont="0" applyBorder="0" applyProtection="0">
      <alignment vertical="center"/>
    </xf>
    <xf numFmtId="0" fontId="10" fillId="0" borderId="0"/>
    <xf numFmtId="193" fontId="8" fillId="0" borderId="0" applyNumberFormat="0" applyFont="0">
      <alignment horizontal="center" vertical="center"/>
    </xf>
    <xf numFmtId="0" fontId="8" fillId="0" borderId="0" applyNumberFormat="0" applyFill="0" applyBorder="0" applyProtection="0"/>
    <xf numFmtId="0" fontId="8" fillId="0" borderId="0" applyNumberFormat="0" applyFill="0" applyBorder="0" applyProtection="0"/>
    <xf numFmtId="0" fontId="51" fillId="0" borderId="0" applyNumberFormat="0" applyFill="0" applyBorder="0" applyProtection="0"/>
    <xf numFmtId="49" fontId="41" fillId="8" borderId="3">
      <alignment horizontal="left" vertical="top"/>
      <protection locked="0"/>
    </xf>
    <xf numFmtId="49" fontId="41" fillId="8" borderId="3">
      <alignment horizontal="left" vertical="top"/>
      <protection locked="0"/>
    </xf>
    <xf numFmtId="49" fontId="41" fillId="0" borderId="3">
      <alignment horizontal="left" vertical="top"/>
      <protection locked="0"/>
    </xf>
    <xf numFmtId="49" fontId="41" fillId="0" borderId="3">
      <alignment horizontal="left" vertical="top"/>
      <protection locked="0"/>
    </xf>
    <xf numFmtId="49" fontId="41" fillId="54" borderId="3">
      <alignment horizontal="left" vertical="top"/>
      <protection locked="0"/>
    </xf>
    <xf numFmtId="49" fontId="41" fillId="54" borderId="3">
      <alignment horizontal="left" vertical="top"/>
      <protection locked="0"/>
    </xf>
    <xf numFmtId="0" fontId="41" fillId="0" borderId="0">
      <alignment horizontal="left" vertical="top" wrapText="1"/>
    </xf>
    <xf numFmtId="0" fontId="52" fillId="0" borderId="3">
      <alignment horizontal="left" vertical="top" wrapText="1"/>
    </xf>
    <xf numFmtId="49" fontId="10" fillId="0" borderId="0">
      <alignment horizontal="left" vertical="top" wrapText="1"/>
      <protection locked="0"/>
    </xf>
    <xf numFmtId="0" fontId="53" fillId="0" borderId="0">
      <alignment horizontal="left" vertical="top" wrapText="1"/>
    </xf>
    <xf numFmtId="49" fontId="10" fillId="0" borderId="3">
      <alignment horizontal="center" vertical="top" wrapText="1"/>
      <protection locked="0"/>
    </xf>
    <xf numFmtId="49" fontId="10" fillId="0" borderId="3">
      <alignment horizontal="center" vertical="top" wrapText="1"/>
      <protection locked="0"/>
    </xf>
    <xf numFmtId="49" fontId="41" fillId="0" borderId="0">
      <alignment horizontal="right" vertical="top"/>
      <protection locked="0"/>
    </xf>
    <xf numFmtId="49" fontId="41" fillId="8" borderId="3">
      <alignment horizontal="right" vertical="top"/>
      <protection locked="0"/>
    </xf>
    <xf numFmtId="49" fontId="41" fillId="8" borderId="3">
      <alignment horizontal="right" vertical="top"/>
      <protection locked="0"/>
    </xf>
    <xf numFmtId="0" fontId="41" fillId="8" borderId="3">
      <alignment horizontal="right" vertical="top"/>
      <protection locked="0"/>
    </xf>
    <xf numFmtId="0" fontId="41" fillId="8" borderId="3">
      <alignment horizontal="right" vertical="top"/>
      <protection locked="0"/>
    </xf>
    <xf numFmtId="49" fontId="41" fillId="0" borderId="3">
      <alignment horizontal="right" vertical="top"/>
      <protection locked="0"/>
    </xf>
    <xf numFmtId="49" fontId="41" fillId="0" borderId="3">
      <alignment horizontal="right" vertical="top"/>
      <protection locked="0"/>
    </xf>
    <xf numFmtId="0" fontId="41" fillId="0" borderId="3">
      <alignment horizontal="right" vertical="top"/>
      <protection locked="0"/>
    </xf>
    <xf numFmtId="0" fontId="41" fillId="0" borderId="3">
      <alignment horizontal="right" vertical="top"/>
      <protection locked="0"/>
    </xf>
    <xf numFmtId="49" fontId="41" fillId="54" borderId="3">
      <alignment horizontal="right" vertical="top"/>
      <protection locked="0"/>
    </xf>
    <xf numFmtId="49" fontId="41" fillId="54" borderId="3">
      <alignment horizontal="right" vertical="top"/>
      <protection locked="0"/>
    </xf>
    <xf numFmtId="0" fontId="41" fillId="54" borderId="3">
      <alignment horizontal="right" vertical="top"/>
      <protection locked="0"/>
    </xf>
    <xf numFmtId="0" fontId="41" fillId="54" borderId="3">
      <alignment horizontal="right" vertical="top"/>
      <protection locked="0"/>
    </xf>
    <xf numFmtId="49" fontId="10" fillId="0" borderId="0">
      <alignment horizontal="right" vertical="top" wrapText="1"/>
      <protection locked="0"/>
    </xf>
    <xf numFmtId="0" fontId="53" fillId="0" borderId="0">
      <alignment horizontal="right" vertical="top" wrapText="1"/>
    </xf>
    <xf numFmtId="49" fontId="10" fillId="0" borderId="0">
      <alignment horizontal="center" vertical="top" wrapText="1"/>
      <protection locked="0"/>
    </xf>
    <xf numFmtId="0" fontId="52" fillId="0" borderId="3">
      <alignment horizontal="center" vertical="top" wrapText="1"/>
    </xf>
    <xf numFmtId="49" fontId="41" fillId="0" borderId="3">
      <alignment horizontal="center" vertical="top" wrapText="1"/>
      <protection locked="0"/>
    </xf>
    <xf numFmtId="49" fontId="41" fillId="0" borderId="3">
      <alignment horizontal="center" vertical="top" wrapText="1"/>
      <protection locked="0"/>
    </xf>
    <xf numFmtId="0" fontId="41" fillId="0" borderId="3">
      <alignment horizontal="center" vertical="top" wrapText="1"/>
      <protection locked="0"/>
    </xf>
    <xf numFmtId="0" fontId="41" fillId="0" borderId="3">
      <alignment horizontal="center" vertical="top" wrapText="1"/>
      <protection locked="0"/>
    </xf>
    <xf numFmtId="0" fontId="54" fillId="21" borderId="11" applyNumberFormat="0" applyProtection="0"/>
    <xf numFmtId="0" fontId="54" fillId="21" borderId="11" applyNumberForma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5" fillId="0" borderId="0"/>
    <xf numFmtId="196" fontId="56" fillId="0" borderId="0"/>
    <xf numFmtId="196" fontId="56" fillId="0" borderId="0"/>
    <xf numFmtId="39" fontId="52" fillId="2" borderId="0" applyNumberFormat="0" applyBorder="0">
      <alignment vertical="center"/>
    </xf>
    <xf numFmtId="0" fontId="57" fillId="7" borderId="0" applyNumberFormat="0" applyBorder="0" applyProtection="0"/>
    <xf numFmtId="0" fontId="57" fillId="7" borderId="0" applyNumberFormat="0" applyBorder="0" applyProtection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52" fillId="5" borderId="0"/>
    <xf numFmtId="3" fontId="8" fillId="0" borderId="0" applyBorder="0" applyProtection="0"/>
    <xf numFmtId="3" fontId="8" fillId="0" borderId="0" applyBorder="0" applyProtection="0"/>
    <xf numFmtId="0" fontId="58" fillId="0" borderId="0"/>
    <xf numFmtId="3" fontId="59" fillId="55" borderId="0"/>
    <xf numFmtId="0" fontId="10" fillId="0" borderId="0">
      <alignment horizontal="left"/>
    </xf>
    <xf numFmtId="0" fontId="10" fillId="0" borderId="0">
      <alignment horizontal="left"/>
    </xf>
    <xf numFmtId="0" fontId="10" fillId="0" borderId="0">
      <alignment horizontal="left"/>
    </xf>
    <xf numFmtId="40" fontId="60" fillId="0" borderId="0" applyNumberFormat="0" applyFill="0" applyBorder="0">
      <alignment vertical="center"/>
    </xf>
    <xf numFmtId="40" fontId="60" fillId="0" borderId="0" applyNumberFormat="0" applyFill="0" applyBorder="0">
      <alignment vertical="center"/>
    </xf>
    <xf numFmtId="177" fontId="56" fillId="0" borderId="0"/>
    <xf numFmtId="177" fontId="56" fillId="0" borderId="0"/>
    <xf numFmtId="0" fontId="61" fillId="0" borderId="12" applyNumberFormat="0" applyFont="0" applyFill="0" applyProtection="0"/>
    <xf numFmtId="0" fontId="61" fillId="0" borderId="12" applyNumberFormat="0" applyFont="0" applyFill="0" applyProtection="0"/>
    <xf numFmtId="0" fontId="61" fillId="0" borderId="12" applyNumberFormat="0" applyFont="0" applyFill="0" applyProtection="0"/>
    <xf numFmtId="0" fontId="61" fillId="0" borderId="12" applyNumberFormat="0" applyFont="0" applyFill="0" applyProtection="0"/>
    <xf numFmtId="0" fontId="61" fillId="0" borderId="13" applyNumberFormat="0" applyFont="0" applyFill="0" applyProtection="0"/>
    <xf numFmtId="0" fontId="61" fillId="0" borderId="13" applyNumberFormat="0" applyFont="0" applyFill="0" applyProtection="0"/>
    <xf numFmtId="0" fontId="61" fillId="0" borderId="13" applyNumberFormat="0" applyFont="0" applyFill="0" applyProtection="0"/>
    <xf numFmtId="0" fontId="61" fillId="0" borderId="13" applyNumberFormat="0" applyFont="0" applyFill="0" applyProtection="0"/>
    <xf numFmtId="0" fontId="61" fillId="0" borderId="13" applyNumberFormat="0" applyFont="0" applyFill="0" applyProtection="0"/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2" fillId="0" borderId="14" applyFill="0" applyProtection="0">
      <alignment horizontal="right"/>
    </xf>
    <xf numFmtId="0" fontId="63" fillId="0" borderId="0" applyFont="0" applyFill="0" applyBorder="0" applyProtection="0"/>
    <xf numFmtId="197" fontId="53" fillId="0" borderId="0"/>
    <xf numFmtId="197" fontId="53" fillId="0" borderId="0"/>
    <xf numFmtId="198" fontId="64" fillId="0" borderId="0"/>
    <xf numFmtId="199" fontId="64" fillId="0" borderId="0"/>
    <xf numFmtId="200" fontId="64" fillId="0" borderId="0"/>
    <xf numFmtId="201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199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0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14"/>
    <xf numFmtId="201" fontId="64" fillId="0" borderId="0"/>
    <xf numFmtId="202" fontId="64" fillId="0" borderId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205" fontId="64" fillId="0" borderId="0"/>
    <xf numFmtId="206" fontId="64" fillId="0" borderId="0"/>
    <xf numFmtId="202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5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6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2" fontId="64" fillId="0" borderId="14"/>
    <xf numFmtId="207" fontId="64" fillId="0" borderId="0">
      <alignment horizontal="right"/>
      <protection locked="0"/>
    </xf>
    <xf numFmtId="208" fontId="64" fillId="0" borderId="0">
      <alignment horizontal="right"/>
      <protection locked="0"/>
    </xf>
    <xf numFmtId="209" fontId="64" fillId="0" borderId="0"/>
    <xf numFmtId="210" fontId="55" fillId="0" borderId="0" applyFill="0"/>
    <xf numFmtId="210" fontId="55" fillId="0" borderId="0" applyFill="0"/>
    <xf numFmtId="210" fontId="55" fillId="0" borderId="0" applyFill="0"/>
    <xf numFmtId="211" fontId="10" fillId="0" borderId="0" applyFill="0"/>
    <xf numFmtId="211" fontId="10" fillId="0" borderId="0" applyFill="0"/>
    <xf numFmtId="211" fontId="10" fillId="0" borderId="0" applyFill="0"/>
    <xf numFmtId="211" fontId="10" fillId="0" borderId="0" applyFill="0"/>
    <xf numFmtId="211" fontId="10" fillId="0" borderId="0" applyFill="0"/>
    <xf numFmtId="212" fontId="10" fillId="0" borderId="0" applyFill="0"/>
    <xf numFmtId="212" fontId="10" fillId="0" borderId="0" applyFill="0"/>
    <xf numFmtId="212" fontId="10" fillId="0" borderId="0" applyFill="0"/>
    <xf numFmtId="212" fontId="10" fillId="0" borderId="0" applyFill="0"/>
    <xf numFmtId="212" fontId="10" fillId="0" borderId="0" applyFill="0"/>
    <xf numFmtId="213" fontId="64" fillId="0" borderId="0"/>
    <xf numFmtId="214" fontId="8" fillId="0" borderId="0"/>
    <xf numFmtId="214" fontId="8" fillId="0" borderId="0"/>
    <xf numFmtId="209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3" fontId="64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14" fontId="8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9" fontId="64" fillId="0" borderId="14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86" fontId="52" fillId="10" borderId="3">
      <alignment vertical="center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177" fontId="61" fillId="56" borderId="0" applyNumberFormat="0" applyFont="0" applyBorder="0">
      <alignment horizontal="left"/>
    </xf>
    <xf numFmtId="216" fontId="8" fillId="0" borderId="15" applyFont="0" applyFill="0" applyBorder="0" applyProtection="0">
      <alignment horizontal="right"/>
    </xf>
    <xf numFmtId="216" fontId="8" fillId="0" borderId="15" applyFont="0" applyFill="0" applyBorder="0" applyProtection="0">
      <alignment horizontal="right"/>
    </xf>
    <xf numFmtId="216" fontId="8" fillId="0" borderId="15" applyFont="0" applyFill="0" applyBorder="0" applyProtection="0">
      <alignment horizontal="right"/>
    </xf>
    <xf numFmtId="216" fontId="8" fillId="0" borderId="15" applyFont="0" applyFill="0" applyBorder="0" applyProtection="0">
      <alignment horizontal="right"/>
    </xf>
    <xf numFmtId="216" fontId="8" fillId="0" borderId="15" applyFont="0" applyFill="0" applyBorder="0" applyProtection="0">
      <alignment horizontal="right"/>
    </xf>
    <xf numFmtId="216" fontId="8" fillId="0" borderId="15" applyFont="0" applyFill="0" applyBorder="0" applyProtection="0">
      <alignment horizontal="right"/>
    </xf>
    <xf numFmtId="217" fontId="65" fillId="0" borderId="16">
      <alignment horizont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217" fontId="65" fillId="0" borderId="16">
      <alignment horizont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197" fontId="10" fillId="10" borderId="3">
      <alignment vertical="center"/>
    </xf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49" fontId="10" fillId="8" borderId="0">
      <alignment horizontal="center"/>
      <protection locked="0"/>
    </xf>
    <xf numFmtId="49" fontId="10" fillId="8" borderId="0">
      <alignment horizontal="center"/>
      <protection locked="0"/>
    </xf>
    <xf numFmtId="49" fontId="10" fillId="8" borderId="0">
      <alignment horizontal="center"/>
      <protection locked="0"/>
    </xf>
    <xf numFmtId="49" fontId="10" fillId="8" borderId="0">
      <alignment horizontal="center"/>
      <protection locked="0"/>
    </xf>
    <xf numFmtId="49" fontId="10" fillId="8" borderId="0">
      <alignment horizontal="center"/>
      <protection locked="0"/>
    </xf>
    <xf numFmtId="0" fontId="67" fillId="57" borderId="18" applyFont="0" applyFill="0" applyBorder="0"/>
    <xf numFmtId="0" fontId="67" fillId="57" borderId="18" applyFont="0" applyFill="0" applyBorder="0"/>
    <xf numFmtId="0" fontId="67" fillId="57" borderId="18" applyFont="0" applyFill="0" applyBorder="0"/>
    <xf numFmtId="0" fontId="67" fillId="57" borderId="18" applyFont="0" applyFill="0" applyBorder="0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0" fontId="53" fillId="0" borderId="19"/>
    <xf numFmtId="218" fontId="8" fillId="0" borderId="20" applyFill="0" applyBorder="0" applyProtection="0">
      <alignment horizontal="center"/>
      <protection locked="0"/>
    </xf>
    <xf numFmtId="0" fontId="40" fillId="0" borderId="0">
      <alignment horizontal="center" wrapText="1"/>
      <protection hidden="1"/>
    </xf>
    <xf numFmtId="0" fontId="68" fillId="0" borderId="0">
      <alignment horizontal="right"/>
    </xf>
    <xf numFmtId="0" fontId="68" fillId="0" borderId="0">
      <alignment horizontal="right"/>
    </xf>
    <xf numFmtId="219" fontId="51" fillId="0" borderId="0" applyFont="0" applyFill="0" applyBorder="0" applyProtection="0"/>
    <xf numFmtId="219" fontId="51" fillId="0" borderId="0" applyFont="0" applyFill="0" applyBorder="0" applyProtection="0"/>
    <xf numFmtId="197" fontId="51" fillId="0" borderId="0" applyFont="0" applyFill="0" applyBorder="0" applyProtection="0"/>
    <xf numFmtId="197" fontId="51" fillId="0" borderId="0" applyFont="0" applyFill="0" applyBorder="0" applyProtection="0"/>
    <xf numFmtId="197" fontId="51" fillId="0" borderId="0" applyFont="0" applyFill="0" applyBorder="0" applyProtection="0"/>
    <xf numFmtId="203" fontId="4" fillId="0" borderId="0" applyFont="0" applyFill="0" applyProtection="0"/>
    <xf numFmtId="203" fontId="4" fillId="0" borderId="0" applyFont="0" applyFill="0" applyProtection="0"/>
    <xf numFmtId="203" fontId="4" fillId="0" borderId="0" applyFont="0" applyFill="0" applyProtection="0"/>
    <xf numFmtId="220" fontId="69" fillId="0" borderId="0" applyFont="0" applyFill="0" applyBorder="0" applyProtection="0">
      <alignment horizontal="right"/>
    </xf>
    <xf numFmtId="220" fontId="69" fillId="0" borderId="0" applyFont="0" applyFill="0" applyBorder="0" applyProtection="0">
      <alignment horizontal="right"/>
    </xf>
    <xf numFmtId="221" fontId="69" fillId="0" borderId="0" applyFont="0" applyFill="0" applyBorder="0" applyProtection="0">
      <alignment horizontal="right"/>
    </xf>
    <xf numFmtId="221" fontId="69" fillId="0" borderId="0" applyFont="0" applyFill="0" applyBorder="0" applyProtection="0">
      <alignment horizontal="right"/>
    </xf>
    <xf numFmtId="222" fontId="69" fillId="0" borderId="0" applyFont="0" applyFill="0" applyBorder="0" applyProtection="0">
      <alignment horizontal="right"/>
    </xf>
    <xf numFmtId="222" fontId="69" fillId="0" borderId="0" applyFont="0" applyFill="0" applyBorder="0" applyProtection="0">
      <alignment horizontal="right"/>
    </xf>
    <xf numFmtId="223" fontId="70" fillId="0" borderId="0" applyFont="0" applyFill="0" applyBorder="0" applyProtection="0">
      <alignment horizontal="right"/>
    </xf>
    <xf numFmtId="224" fontId="70" fillId="0" borderId="0" applyFont="0" applyFill="0" applyBorder="0" applyProtection="0"/>
    <xf numFmtId="225" fontId="70" fillId="0" borderId="0" applyFont="0" applyFill="0" applyBorder="0" applyProtection="0">
      <alignment horizontal="right"/>
    </xf>
    <xf numFmtId="226" fontId="5" fillId="0" borderId="0" applyFont="0" applyFill="0" applyBorder="0" applyProtection="0"/>
    <xf numFmtId="226" fontId="10" fillId="0" borderId="0" applyFont="0" applyFill="0" applyBorder="0" applyProtection="0"/>
    <xf numFmtId="40" fontId="8" fillId="0" borderId="0" applyFont="0" applyFill="0" applyBorder="0" applyProtection="0">
      <alignment horizontal="right"/>
    </xf>
    <xf numFmtId="40" fontId="8" fillId="0" borderId="0" applyFont="0" applyFill="0" applyBorder="0" applyProtection="0">
      <alignment horizontal="right"/>
    </xf>
    <xf numFmtId="179" fontId="71" fillId="0" borderId="0" applyFont="0" applyFill="0" applyBorder="0" applyProtection="0"/>
    <xf numFmtId="3" fontId="72" fillId="0" borderId="0" applyFont="0" applyFill="0" applyBorder="0" applyProtection="0"/>
    <xf numFmtId="0" fontId="4" fillId="0" borderId="0"/>
    <xf numFmtId="3" fontId="72" fillId="0" borderId="0" applyFont="0" applyFill="0" applyBorder="0" applyProtection="0"/>
    <xf numFmtId="0" fontId="73" fillId="0" borderId="0"/>
    <xf numFmtId="0" fontId="73" fillId="0" borderId="0"/>
    <xf numFmtId="194" fontId="74" fillId="0" borderId="21" applyNumberFormat="0" applyFill="0" applyBorder="0" applyProtection="0"/>
    <xf numFmtId="194" fontId="74" fillId="0" borderId="21" applyNumberFormat="0" applyFill="0" applyBorder="0" applyProtection="0"/>
    <xf numFmtId="194" fontId="74" fillId="0" borderId="21" applyNumberFormat="0" applyFill="0" applyBorder="0" applyProtection="0"/>
    <xf numFmtId="194" fontId="74" fillId="0" borderId="21" applyNumberFormat="0" applyFill="0" applyBorder="0" applyProtection="0"/>
    <xf numFmtId="194" fontId="74" fillId="0" borderId="21" applyNumberFormat="0" applyFill="0" applyBorder="0" applyProtection="0"/>
    <xf numFmtId="194" fontId="74" fillId="0" borderId="21" applyNumberFormat="0" applyFill="0" applyBorder="0" applyProtection="0"/>
    <xf numFmtId="227" fontId="28" fillId="0" borderId="0" applyFill="0" applyBorder="0" applyProtection="0"/>
    <xf numFmtId="227" fontId="28" fillId="0" borderId="0" applyFill="0" applyBorder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14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2" applyFill="0" applyProtection="0"/>
    <xf numFmtId="227" fontId="28" fillId="0" borderId="0" applyFill="0" applyBorder="0" applyProtection="0"/>
    <xf numFmtId="228" fontId="40" fillId="0" borderId="0" applyFill="0" applyBorder="0">
      <alignment horizontal="right"/>
      <protection locked="0"/>
    </xf>
    <xf numFmtId="229" fontId="51" fillId="0" borderId="0" applyFont="0" applyFill="0" applyBorder="0" applyProtection="0"/>
    <xf numFmtId="229" fontId="51" fillId="0" borderId="0" applyFont="0" applyFill="0" applyBorder="0" applyProtection="0"/>
    <xf numFmtId="229" fontId="51" fillId="0" borderId="0" applyFont="0" applyFill="0" applyBorder="0" applyProtection="0"/>
    <xf numFmtId="204" fontId="4" fillId="0" borderId="0" applyFont="0" applyFill="0" applyProtection="0"/>
    <xf numFmtId="204" fontId="4" fillId="0" borderId="0" applyFont="0" applyFill="0" applyProtection="0"/>
    <xf numFmtId="204" fontId="4" fillId="0" borderId="0" applyFont="0" applyFill="0" applyProtection="0"/>
    <xf numFmtId="230" fontId="69" fillId="0" borderId="0" applyFont="0" applyFill="0" applyBorder="0" applyProtection="0">
      <alignment horizontal="right"/>
    </xf>
    <xf numFmtId="230" fontId="69" fillId="0" borderId="0" applyFont="0" applyFill="0" applyBorder="0" applyProtection="0">
      <alignment horizontal="right"/>
    </xf>
    <xf numFmtId="231" fontId="69" fillId="0" borderId="0" applyFont="0" applyFill="0" applyBorder="0" applyProtection="0">
      <alignment horizontal="right"/>
    </xf>
    <xf numFmtId="231" fontId="69" fillId="0" borderId="0" applyFont="0" applyFill="0" applyBorder="0" applyProtection="0">
      <alignment horizontal="right"/>
    </xf>
    <xf numFmtId="232" fontId="69" fillId="0" borderId="0" applyFont="0" applyFill="0" applyBorder="0" applyProtection="0">
      <alignment horizontal="right"/>
    </xf>
    <xf numFmtId="232" fontId="69" fillId="0" borderId="0" applyFont="0" applyFill="0" applyBorder="0" applyProtection="0">
      <alignment horizontal="right"/>
    </xf>
    <xf numFmtId="233" fontId="70" fillId="0" borderId="0" applyFont="0" applyFill="0" applyBorder="0" applyProtection="0">
      <alignment horizontal="right"/>
    </xf>
    <xf numFmtId="234" fontId="70" fillId="0" borderId="0" applyFont="0" applyFill="0" applyBorder="0" applyProtection="0">
      <alignment horizontal="right"/>
    </xf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8" fillId="0" borderId="22" applyFont="0" applyFill="0" applyBorder="0"/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46" fillId="0" borderId="22" applyFont="0" applyFill="0" applyBorder="0">
      <protection locked="0"/>
    </xf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9" fillId="2" borderId="3" applyFill="0" applyBorder="0" applyProtection="0"/>
    <xf numFmtId="37" fontId="46" fillId="0" borderId="22" applyFill="0" applyBorder="0">
      <protection locked="0"/>
    </xf>
    <xf numFmtId="235" fontId="8" fillId="53" borderId="0" applyFont="0" applyFill="0" applyBorder="0" applyProtection="0"/>
    <xf numFmtId="235" fontId="8" fillId="53" borderId="0" applyFont="0" applyFill="0" applyBorder="0" applyProtection="0"/>
    <xf numFmtId="0" fontId="40" fillId="0" borderId="0" applyFont="0" applyFill="0" applyBorder="0">
      <protection locked="0"/>
    </xf>
    <xf numFmtId="0" fontId="75" fillId="0" borderId="0"/>
    <xf numFmtId="0" fontId="7" fillId="16" borderId="0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" fillId="16" borderId="0"/>
    <xf numFmtId="0" fontId="7" fillId="16" borderId="0"/>
    <xf numFmtId="0" fontId="7" fillId="16" borderId="0"/>
    <xf numFmtId="0" fontId="7" fillId="16" borderId="0"/>
    <xf numFmtId="201" fontId="64" fillId="25" borderId="23">
      <protection locked="0"/>
    </xf>
    <xf numFmtId="199" fontId="64" fillId="25" borderId="23">
      <protection locked="0"/>
    </xf>
    <xf numFmtId="199" fontId="64" fillId="25" borderId="23">
      <protection locked="0"/>
    </xf>
    <xf numFmtId="200" fontId="64" fillId="25" borderId="23">
      <protection locked="0"/>
    </xf>
    <xf numFmtId="200" fontId="64" fillId="25" borderId="23">
      <protection locked="0"/>
    </xf>
    <xf numFmtId="201" fontId="64" fillId="25" borderId="23">
      <protection locked="0"/>
    </xf>
    <xf numFmtId="0" fontId="10" fillId="0" borderId="0"/>
    <xf numFmtId="196" fontId="8" fillId="25" borderId="23">
      <protection locked="0"/>
    </xf>
    <xf numFmtId="177" fontId="8" fillId="25" borderId="23">
      <protection locked="0"/>
    </xf>
    <xf numFmtId="177" fontId="8" fillId="25" borderId="23">
      <protection locked="0"/>
    </xf>
    <xf numFmtId="203" fontId="8" fillId="25" borderId="23">
      <protection locked="0"/>
    </xf>
    <xf numFmtId="203" fontId="8" fillId="25" borderId="23">
      <protection locked="0"/>
    </xf>
    <xf numFmtId="196" fontId="8" fillId="25" borderId="23">
      <protection locked="0"/>
    </xf>
    <xf numFmtId="207" fontId="64" fillId="11" borderId="23">
      <alignment horizontal="right"/>
      <protection locked="0"/>
    </xf>
    <xf numFmtId="207" fontId="64" fillId="11" borderId="23">
      <alignment horizontal="right"/>
      <protection locked="0"/>
    </xf>
    <xf numFmtId="208" fontId="64" fillId="11" borderId="23">
      <alignment horizontal="right"/>
      <protection locked="0"/>
    </xf>
    <xf numFmtId="208" fontId="64" fillId="11" borderId="23">
      <alignment horizontal="right"/>
      <protection locked="0"/>
    </xf>
    <xf numFmtId="0" fontId="10" fillId="0" borderId="0"/>
    <xf numFmtId="0" fontId="64" fillId="3" borderId="23">
      <alignment horizontal="left"/>
      <protection locked="0"/>
    </xf>
    <xf numFmtId="0" fontId="64" fillId="3" borderId="23">
      <alignment horizontal="left"/>
      <protection locked="0"/>
    </xf>
    <xf numFmtId="49" fontId="64" fillId="8" borderId="23">
      <alignment horizontal="left" vertical="top" wrapText="1"/>
      <protection locked="0"/>
    </xf>
    <xf numFmtId="49" fontId="64" fillId="8" borderId="23">
      <alignment horizontal="left" vertical="top" wrapText="1"/>
      <protection locked="0"/>
    </xf>
    <xf numFmtId="209" fontId="64" fillId="25" borderId="23">
      <protection locked="0"/>
    </xf>
    <xf numFmtId="213" fontId="64" fillId="25" borderId="23">
      <protection locked="0"/>
    </xf>
    <xf numFmtId="213" fontId="64" fillId="25" borderId="23">
      <protection locked="0"/>
    </xf>
    <xf numFmtId="214" fontId="8" fillId="25" borderId="23">
      <protection locked="0"/>
    </xf>
    <xf numFmtId="214" fontId="8" fillId="25" borderId="23">
      <protection locked="0"/>
    </xf>
    <xf numFmtId="209" fontId="64" fillId="25" borderId="23">
      <protection locked="0"/>
    </xf>
    <xf numFmtId="49" fontId="64" fillId="8" borderId="23">
      <alignment horizontal="left"/>
      <protection locked="0"/>
    </xf>
    <xf numFmtId="49" fontId="64" fillId="8" borderId="23">
      <alignment horizontal="left"/>
      <protection locked="0"/>
    </xf>
    <xf numFmtId="236" fontId="64" fillId="25" borderId="23">
      <alignment horizontal="left" indent="1"/>
      <protection locked="0"/>
    </xf>
    <xf numFmtId="236" fontId="64" fillId="25" borderId="23">
      <alignment horizontal="left" indent="1"/>
      <protection locked="0"/>
    </xf>
    <xf numFmtId="0" fontId="7" fillId="16" borderId="0"/>
    <xf numFmtId="0" fontId="52" fillId="58" borderId="0"/>
    <xf numFmtId="0" fontId="72" fillId="0" borderId="0" applyFont="0" applyFill="0" applyBorder="0" applyProtection="0"/>
    <xf numFmtId="17" fontId="67" fillId="0" borderId="0" applyFill="0" applyBorder="0">
      <alignment horizontal="right"/>
    </xf>
    <xf numFmtId="17" fontId="67" fillId="0" borderId="0" applyFill="0" applyBorder="0">
      <alignment horizontal="right"/>
    </xf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0" fontId="72" fillId="0" borderId="0" applyFont="0" applyFill="0" applyBorder="0" applyProtection="0"/>
    <xf numFmtId="237" fontId="8" fillId="0" borderId="0" applyFont="0" applyFill="0" applyBorder="0" applyProtection="0"/>
    <xf numFmtId="237" fontId="8" fillId="0" borderId="0" applyFont="0" applyFill="0" applyBorder="0" applyProtection="0"/>
    <xf numFmtId="237" fontId="8" fillId="0" borderId="0" applyFont="0" applyFill="0" applyBorder="0" applyProtection="0"/>
    <xf numFmtId="0" fontId="72" fillId="0" borderId="0" applyFont="0" applyFill="0" applyBorder="0" applyProtection="0"/>
    <xf numFmtId="238" fontId="70" fillId="0" borderId="0" applyFont="0" applyFill="0" applyBorder="0" applyProtection="0"/>
    <xf numFmtId="15" fontId="2" fillId="0" borderId="24" applyFont="0" applyFill="0" applyBorder="0">
      <alignment horizontal="centerContinuous"/>
    </xf>
    <xf numFmtId="15" fontId="2" fillId="0" borderId="24" applyFont="0" applyFill="0" applyBorder="0">
      <alignment horizontal="centerContinuous"/>
    </xf>
    <xf numFmtId="15" fontId="2" fillId="0" borderId="24" applyFont="0" applyFill="0" applyBorder="0">
      <alignment horizontal="centerContinuous"/>
    </xf>
    <xf numFmtId="15" fontId="2" fillId="0" borderId="24" applyFont="0" applyFill="0" applyBorder="0">
      <alignment horizontal="centerContinuous"/>
    </xf>
    <xf numFmtId="15" fontId="2" fillId="0" borderId="24" applyFont="0" applyFill="0" applyBorder="0">
      <alignment horizontal="centerContinuous"/>
    </xf>
    <xf numFmtId="239" fontId="2" fillId="0" borderId="24" applyFont="0" applyFill="0" applyBorder="0">
      <alignment horizontal="centerContinuous"/>
    </xf>
    <xf numFmtId="239" fontId="2" fillId="0" borderId="24" applyFont="0" applyFill="0" applyBorder="0">
      <alignment horizontal="centerContinuous"/>
    </xf>
    <xf numFmtId="239" fontId="2" fillId="0" borderId="24" applyFont="0" applyFill="0" applyBorder="0">
      <alignment horizontal="centerContinuous"/>
    </xf>
    <xf numFmtId="239" fontId="2" fillId="0" borderId="24" applyFont="0" applyFill="0" applyBorder="0">
      <alignment horizontal="centerContinuous"/>
    </xf>
    <xf numFmtId="239" fontId="2" fillId="0" borderId="24" applyFont="0" applyFill="0" applyBorder="0">
      <alignment horizontal="centerContinuous"/>
    </xf>
    <xf numFmtId="14" fontId="8" fillId="0" borderId="0" applyFill="0"/>
    <xf numFmtId="14" fontId="8" fillId="0" borderId="0" applyFill="0"/>
    <xf numFmtId="14" fontId="8" fillId="0" borderId="0" applyFill="0"/>
    <xf numFmtId="14" fontId="8" fillId="0" borderId="0" applyFill="0"/>
    <xf numFmtId="14" fontId="8" fillId="0" borderId="0" applyFill="0"/>
    <xf numFmtId="14" fontId="8" fillId="0" borderId="0" applyFill="0"/>
    <xf numFmtId="14" fontId="8" fillId="0" borderId="0" applyFill="0"/>
    <xf numFmtId="14" fontId="8" fillId="0" borderId="0" applyFill="0"/>
    <xf numFmtId="240" fontId="56" fillId="0" borderId="0" applyFill="0" applyBorder="0" applyProtection="0"/>
    <xf numFmtId="240" fontId="56" fillId="0" borderId="0" applyFill="0" applyBorder="0" applyProtection="0"/>
    <xf numFmtId="14" fontId="56" fillId="0" borderId="0" applyFill="0" applyBorder="0" applyProtection="0"/>
    <xf numFmtId="14" fontId="56" fillId="0" borderId="0" applyFill="0" applyBorder="0" applyProtection="0"/>
    <xf numFmtId="15" fontId="11" fillId="0" borderId="15">
      <protection locked="0"/>
    </xf>
    <xf numFmtId="17" fontId="8" fillId="2" borderId="12">
      <alignment horizontal="center"/>
    </xf>
    <xf numFmtId="17" fontId="8" fillId="2" borderId="12">
      <alignment horizontal="center"/>
    </xf>
    <xf numFmtId="17" fontId="8" fillId="2" borderId="12">
      <alignment horizontal="center"/>
    </xf>
    <xf numFmtId="17" fontId="8" fillId="2" borderId="12">
      <alignment horizontal="center"/>
    </xf>
    <xf numFmtId="241" fontId="28" fillId="0" borderId="0" applyFill="0" applyBorder="0" applyProtection="0"/>
    <xf numFmtId="241" fontId="28" fillId="0" borderId="0" applyFill="0" applyBorder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14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2" applyFill="0" applyProtection="0"/>
    <xf numFmtId="241" fontId="28" fillId="0" borderId="0" applyFill="0" applyBorder="0" applyProtection="0"/>
    <xf numFmtId="0" fontId="76" fillId="0" borderId="0" applyNumberFormat="0" applyFill="0" applyBorder="0" applyProtection="0"/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242" fontId="10" fillId="0" borderId="25">
      <alignment vertical="center"/>
    </xf>
    <xf numFmtId="0" fontId="8" fillId="0" borderId="0" applyFont="0" applyFill="0" applyBorder="0" applyProtection="0"/>
    <xf numFmtId="243" fontId="8" fillId="0" borderId="0" applyFont="0" applyFill="0" applyBorder="0" applyProtection="0"/>
    <xf numFmtId="244" fontId="77" fillId="0" borderId="0">
      <alignment horizontal="left"/>
    </xf>
    <xf numFmtId="204" fontId="78" fillId="0" borderId="0">
      <alignment horizontal="center"/>
    </xf>
    <xf numFmtId="204" fontId="78" fillId="0" borderId="0">
      <alignment horizontal="center"/>
    </xf>
    <xf numFmtId="245" fontId="70" fillId="0" borderId="26" applyNumberFormat="0" applyFont="0" applyFill="0" applyProtection="0"/>
    <xf numFmtId="229" fontId="79" fillId="0" borderId="0" applyFill="0" applyBorder="0" applyProtection="0"/>
    <xf numFmtId="38" fontId="40" fillId="0" borderId="0" applyFont="0" applyFill="0" applyBorder="0" applyProtection="0"/>
    <xf numFmtId="0" fontId="80" fillId="0" borderId="0" applyFont="0" applyFill="0" applyBorder="0" applyProtection="0"/>
    <xf numFmtId="0" fontId="81" fillId="0" borderId="0" applyNumberFormat="0" applyFill="0" applyBorder="0" applyProtection="0"/>
    <xf numFmtId="0" fontId="82" fillId="0" borderId="0" applyNumberFormat="0" applyFill="0" applyBorder="0" applyProtection="0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3" fontId="8" fillId="0" borderId="3"/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49" fontId="10" fillId="0" borderId="27">
      <alignment horizontal="left" vertical="center" wrapText="1"/>
    </xf>
    <xf numFmtId="0" fontId="83" fillId="59" borderId="0" applyNumberFormat="0" applyBorder="0" applyProtection="0"/>
    <xf numFmtId="0" fontId="83" fillId="60" borderId="0" applyNumberFormat="0" applyBorder="0" applyProtection="0"/>
    <xf numFmtId="0" fontId="83" fillId="60" borderId="0" applyNumberFormat="0" applyBorder="0" applyProtection="0"/>
    <xf numFmtId="0" fontId="83" fillId="60" borderId="0" applyNumberFormat="0" applyBorder="0" applyProtection="0"/>
    <xf numFmtId="0" fontId="83" fillId="60" borderId="0" applyNumberFormat="0" applyBorder="0" applyProtection="0"/>
    <xf numFmtId="0" fontId="83" fillId="60" borderId="0" applyNumberFormat="0" applyBorder="0" applyProtection="0"/>
    <xf numFmtId="0" fontId="83" fillId="61" borderId="0" applyNumberFormat="0" applyBorder="0" applyProtection="0"/>
    <xf numFmtId="0" fontId="83" fillId="62" borderId="0" applyNumberFormat="0" applyBorder="0" applyProtection="0"/>
    <xf numFmtId="0" fontId="83" fillId="62" borderId="0" applyNumberFormat="0" applyBorder="0" applyProtection="0"/>
    <xf numFmtId="0" fontId="83" fillId="62" borderId="0" applyNumberFormat="0" applyBorder="0" applyProtection="0"/>
    <xf numFmtId="0" fontId="83" fillId="62" borderId="0" applyNumberFormat="0" applyBorder="0" applyProtection="0"/>
    <xf numFmtId="0" fontId="83" fillId="62" borderId="0" applyNumberFormat="0" applyBorder="0" applyProtection="0"/>
    <xf numFmtId="0" fontId="83" fillId="63" borderId="0" applyNumberFormat="0" applyBorder="0" applyProtection="0"/>
    <xf numFmtId="0" fontId="84" fillId="64" borderId="16" applyNumberFormat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0" fontId="85" fillId="65" borderId="28" applyNumberFormat="0">
      <alignment horizontal="center"/>
    </xf>
    <xf numFmtId="0" fontId="85" fillId="65" borderId="28" applyNumberFormat="0">
      <alignment horizontal="center"/>
    </xf>
    <xf numFmtId="246" fontId="8" fillId="0" borderId="0" applyFont="0" applyFill="0" applyBorder="0" applyProtection="0"/>
    <xf numFmtId="0" fontId="28" fillId="0" borderId="0" applyFont="0" applyFill="0" applyBorder="0" applyProtection="0"/>
    <xf numFmtId="247" fontId="8" fillId="0" borderId="0" applyFont="0" applyFill="0" applyBorder="0" applyProtection="0"/>
    <xf numFmtId="246" fontId="8" fillId="0" borderId="0" applyFont="0" applyFill="0" applyBorder="0" applyProtection="0"/>
    <xf numFmtId="247" fontId="8" fillId="0" borderId="0" applyFont="0" applyFill="0" applyBorder="0" applyProtection="0"/>
    <xf numFmtId="0" fontId="8" fillId="0" borderId="0"/>
    <xf numFmtId="0" fontId="8" fillId="0" borderId="0"/>
    <xf numFmtId="248" fontId="41" fillId="0" borderId="0"/>
    <xf numFmtId="248" fontId="41" fillId="0" borderId="0"/>
    <xf numFmtId="235" fontId="41" fillId="0" borderId="0"/>
    <xf numFmtId="0" fontId="8" fillId="0" borderId="0"/>
    <xf numFmtId="0" fontId="41" fillId="0" borderId="0"/>
    <xf numFmtId="4" fontId="86" fillId="0" borderId="0">
      <protection locked="0"/>
    </xf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9" fillId="66" borderId="16" applyNumberFormat="0">
      <alignment horizontal="center"/>
    </xf>
    <xf numFmtId="0" fontId="89" fillId="66" borderId="16" applyNumberFormat="0">
      <alignment horizontal="center"/>
    </xf>
    <xf numFmtId="1" fontId="90" fillId="0" borderId="0" applyFont="0" applyFill="0" applyBorder="0" applyProtection="0"/>
    <xf numFmtId="249" fontId="91" fillId="67" borderId="5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49" fontId="91" fillId="67" borderId="5"/>
    <xf numFmtId="249" fontId="91" fillId="67" borderId="5"/>
    <xf numFmtId="0" fontId="92" fillId="0" borderId="0" applyFill="0" applyBorder="0" applyProtection="0">
      <alignment horizontal="left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0" fontId="8" fillId="0" borderId="0" applyNumberFormat="0" applyFont="0">
      <alignment wrapText="1"/>
    </xf>
    <xf numFmtId="197" fontId="10" fillId="5" borderId="3" applyBorder="0">
      <alignment horizontal="center" vertical="center"/>
    </xf>
    <xf numFmtId="0" fontId="93" fillId="8" borderId="0" applyNumberFormat="0" applyBorder="0" applyProtection="0"/>
    <xf numFmtId="0" fontId="41" fillId="5" borderId="0" applyNumberFormat="0" applyBorder="0" applyProtection="0"/>
    <xf numFmtId="0" fontId="93" fillId="8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38" fontId="53" fillId="2" borderId="0" applyNumberFormat="0" applyBorder="0" applyProtection="0"/>
    <xf numFmtId="38" fontId="53" fillId="2" borderId="0" applyNumberFormat="0" applyBorder="0" applyProtection="0"/>
    <xf numFmtId="0" fontId="84" fillId="0" borderId="29" applyNumberFormat="0"/>
    <xf numFmtId="0" fontId="84" fillId="0" borderId="29" applyNumberFormat="0"/>
    <xf numFmtId="0" fontId="84" fillId="0" borderId="29" applyNumberFormat="0"/>
    <xf numFmtId="0" fontId="36" fillId="0" borderId="0" applyNumberFormat="0">
      <alignment horizontal="right"/>
    </xf>
    <xf numFmtId="0" fontId="36" fillId="0" borderId="0" applyNumberFormat="0">
      <alignment horizontal="right"/>
    </xf>
    <xf numFmtId="0" fontId="36" fillId="0" borderId="0" applyNumberFormat="0">
      <alignment horizontal="right"/>
    </xf>
    <xf numFmtId="0" fontId="36" fillId="0" borderId="0" applyNumberFormat="0">
      <alignment horizontal="right"/>
    </xf>
    <xf numFmtId="0" fontId="94" fillId="0" borderId="0" applyNumberFormat="0">
      <alignment horizontal="right"/>
    </xf>
    <xf numFmtId="0" fontId="94" fillId="0" borderId="0" applyNumberFormat="0">
      <alignment horizontal="left"/>
    </xf>
    <xf numFmtId="0" fontId="36" fillId="0" borderId="0" applyNumberFormat="0">
      <alignment horizontal="left"/>
    </xf>
    <xf numFmtId="0" fontId="36" fillId="0" borderId="0" applyNumberFormat="0">
      <alignment horizontal="left"/>
    </xf>
    <xf numFmtId="0" fontId="36" fillId="0" borderId="0" applyNumberFormat="0">
      <alignment horizontal="left"/>
    </xf>
    <xf numFmtId="0" fontId="36" fillId="0" borderId="0" applyNumberFormat="0">
      <alignment horizontal="left"/>
    </xf>
    <xf numFmtId="0" fontId="95" fillId="0" borderId="0" applyNumberFormat="0">
      <alignment horizontal="left" vertical="top"/>
    </xf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250" fontId="8" fillId="8" borderId="3" applyNumberFormat="0" applyFont="0" applyBorder="0" applyProtection="0"/>
    <xf numFmtId="177" fontId="60" fillId="0" borderId="0">
      <alignment vertical="center"/>
    </xf>
    <xf numFmtId="177" fontId="60" fillId="0" borderId="0">
      <alignment vertical="center"/>
    </xf>
    <xf numFmtId="251" fontId="70" fillId="0" borderId="0" applyFont="0" applyFill="0" applyBorder="0" applyProtection="0">
      <alignment horizontal="right"/>
    </xf>
    <xf numFmtId="0" fontId="96" fillId="0" borderId="0" applyNumberFormat="0" applyBorder="0"/>
    <xf numFmtId="177" fontId="97" fillId="8" borderId="0" applyNumberFormat="0" applyFont="0"/>
    <xf numFmtId="177" fontId="97" fillId="8" borderId="0" applyNumberFormat="0" applyFont="0"/>
    <xf numFmtId="0" fontId="98" fillId="0" borderId="0"/>
    <xf numFmtId="0" fontId="99" fillId="0" borderId="12">
      <alignment horizontal="left"/>
    </xf>
    <xf numFmtId="0" fontId="100" fillId="0" borderId="0"/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1" fillId="0" borderId="30" applyNumberFormat="0" applyProtection="0">
      <alignment horizontal="left" vertical="center"/>
    </xf>
    <xf numFmtId="0" fontId="100" fillId="0" borderId="0"/>
    <xf numFmtId="0" fontId="101" fillId="0" borderId="0" applyNumberFormat="0" applyFill="0"/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0" applyNumberFormat="0" applyFill="0"/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1" fillId="0" borderId="31">
      <alignment horizontal="left" vertical="center"/>
    </xf>
    <xf numFmtId="0" fontId="102" fillId="0" borderId="0"/>
    <xf numFmtId="0" fontId="103" fillId="0" borderId="15">
      <alignment horizontal="center"/>
    </xf>
    <xf numFmtId="0" fontId="104" fillId="0" borderId="0" applyNumberFormat="0" applyFill="0" applyBorder="0" applyProtection="0"/>
    <xf numFmtId="0" fontId="104" fillId="0" borderId="0" applyNumberFormat="0" applyFill="0" applyBorder="0" applyProtection="0"/>
    <xf numFmtId="0" fontId="105" fillId="0" borderId="0">
      <alignment horizontal="center"/>
    </xf>
    <xf numFmtId="0" fontId="106" fillId="47" borderId="0">
      <alignment vertical="center"/>
    </xf>
    <xf numFmtId="0" fontId="107" fillId="0" borderId="0"/>
    <xf numFmtId="0" fontId="103" fillId="0" borderId="15">
      <alignment horizontal="center"/>
    </xf>
    <xf numFmtId="0" fontId="108" fillId="0" borderId="0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9" fillId="0" borderId="0" applyNumberFormat="0" applyFill="0" applyBorder="0" applyProtection="0"/>
    <xf numFmtId="0" fontId="110" fillId="0" borderId="0" applyProtection="0">
      <alignment horizontal="left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03" fillId="0" borderId="15">
      <alignment horizontal="center"/>
    </xf>
    <xf numFmtId="0" fontId="111" fillId="0" borderId="0" applyFill="0" applyBorder="0" applyProtection="0">
      <alignment horizontal="righ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05" fillId="0" borderId="0">
      <alignment horizontal="center" textRotation="90"/>
    </xf>
    <xf numFmtId="0" fontId="112" fillId="0" borderId="0"/>
    <xf numFmtId="0" fontId="108" fillId="0" borderId="0">
      <alignment horizontal="center" textRotation="90"/>
    </xf>
    <xf numFmtId="0" fontId="113" fillId="0" borderId="0"/>
    <xf numFmtId="0" fontId="101" fillId="0" borderId="0"/>
    <xf numFmtId="0" fontId="101" fillId="0" borderId="0"/>
    <xf numFmtId="0" fontId="101" fillId="0" borderId="0"/>
    <xf numFmtId="0" fontId="114" fillId="0" borderId="0"/>
    <xf numFmtId="0" fontId="114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15" fillId="0" borderId="32" applyNumberFormat="0" applyFill="0" applyBorder="0" applyProtection="0">
      <alignment horizontal="left"/>
    </xf>
    <xf numFmtId="0" fontId="115" fillId="0" borderId="32" applyNumberFormat="0" applyFill="0" applyBorder="0" applyProtection="0">
      <alignment horizontal="left"/>
    </xf>
    <xf numFmtId="0" fontId="116" fillId="68" borderId="0"/>
    <xf numFmtId="0" fontId="117" fillId="69" borderId="0"/>
    <xf numFmtId="0" fontId="1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0" fontId="52" fillId="54" borderId="3">
      <alignment horizontal="center" vertical="center" wrapText="1"/>
      <protection locked="0"/>
    </xf>
    <xf numFmtId="252" fontId="52" fillId="11" borderId="0" applyNumberFormat="0" applyBorder="0"/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119" fillId="0" borderId="0"/>
    <xf numFmtId="0" fontId="120" fillId="0" borderId="0" applyFont="0" applyFill="0" applyBorder="0" applyProtection="0"/>
    <xf numFmtId="0" fontId="40" fillId="0" borderId="0"/>
    <xf numFmtId="0" fontId="28" fillId="0" borderId="0"/>
    <xf numFmtId="2" fontId="121" fillId="0" borderId="0"/>
    <xf numFmtId="3" fontId="8" fillId="0" borderId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10" fontId="53" fillId="16" borderId="3" applyNumberFormat="0" applyBorder="0" applyProtection="0"/>
    <xf numFmtId="253" fontId="68" fillId="25" borderId="33" applyNumberFormat="0">
      <alignment vertical="center"/>
      <protection locked="0"/>
    </xf>
    <xf numFmtId="37" fontId="71" fillId="69" borderId="0">
      <protection locked="0"/>
    </xf>
    <xf numFmtId="37" fontId="71" fillId="69" borderId="0">
      <protection locked="0"/>
    </xf>
    <xf numFmtId="37" fontId="71" fillId="69" borderId="0">
      <protection locked="0"/>
    </xf>
    <xf numFmtId="37" fontId="71" fillId="69" borderId="0">
      <protection locked="0"/>
    </xf>
    <xf numFmtId="3" fontId="8" fillId="0" borderId="0"/>
    <xf numFmtId="0" fontId="96" fillId="25" borderId="0" applyNumberFormat="0"/>
    <xf numFmtId="10" fontId="122" fillId="0" borderId="0">
      <protection locked="0"/>
    </xf>
    <xf numFmtId="254" fontId="123" fillId="0" borderId="0" applyFill="0" applyBorder="0" applyProtection="0"/>
    <xf numFmtId="254" fontId="123" fillId="0" borderId="0" applyFill="0" applyBorder="0" applyProtection="0"/>
    <xf numFmtId="255" fontId="123" fillId="0" borderId="0" applyFill="0" applyBorder="0" applyProtection="0"/>
    <xf numFmtId="255" fontId="123" fillId="0" borderId="0" applyFill="0" applyBorder="0" applyProtection="0"/>
    <xf numFmtId="256" fontId="123" fillId="0" borderId="0" applyFill="0" applyBorder="0" applyProtection="0"/>
    <xf numFmtId="256" fontId="123" fillId="0" borderId="0" applyFill="0" applyBorder="0" applyProtection="0"/>
    <xf numFmtId="197" fontId="10" fillId="25" borderId="3">
      <alignment vertical="center"/>
      <protection locked="0"/>
    </xf>
    <xf numFmtId="0" fontId="53" fillId="0" borderId="0" applyNumberFormat="0" applyFill="0" applyBorder="0">
      <protection locked="0"/>
    </xf>
    <xf numFmtId="0" fontId="53" fillId="0" borderId="0" applyNumberFormat="0" applyFill="0" applyBorder="0">
      <protection locked="0"/>
    </xf>
    <xf numFmtId="15" fontId="122" fillId="0" borderId="0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" fontId="122" fillId="0" borderId="19">
      <protection locked="0"/>
    </xf>
    <xf numFmtId="257" fontId="124" fillId="16" borderId="0" applyNumberFormat="0" applyFont="0" applyBorder="0">
      <alignment horizontal="right"/>
      <protection locked="0"/>
    </xf>
    <xf numFmtId="257" fontId="125" fillId="16" borderId="0" applyNumberFormat="0" applyFont="0" applyBorder="0">
      <alignment horizontal="right"/>
      <protection locked="0"/>
    </xf>
    <xf numFmtId="0" fontId="122" fillId="0" borderId="0">
      <protection locked="0"/>
    </xf>
    <xf numFmtId="0" fontId="84" fillId="0" borderId="16" applyNumberFormat="0"/>
    <xf numFmtId="0" fontId="84" fillId="0" borderId="16" applyNumberFormat="0"/>
    <xf numFmtId="0" fontId="40" fillId="0" borderId="0" applyFill="0" applyBorder="0">
      <alignment horizontal="right"/>
      <protection locked="0"/>
    </xf>
    <xf numFmtId="258" fontId="126" fillId="0" borderId="34" applyFont="0" applyFill="0" applyBorder="0" applyProtection="0"/>
    <xf numFmtId="258" fontId="126" fillId="0" borderId="34" applyFont="0" applyFill="0" applyBorder="0" applyProtection="0"/>
    <xf numFmtId="0" fontId="20" fillId="0" borderId="0" applyNumberFormat="0" applyFill="0" applyBorder="0" applyProtection="0">
      <alignment vertical="top"/>
      <protection locked="0"/>
    </xf>
    <xf numFmtId="0" fontId="127" fillId="0" borderId="0">
      <alignment vertical="center"/>
    </xf>
    <xf numFmtId="0" fontId="127" fillId="0" borderId="0">
      <alignment vertical="center"/>
    </xf>
    <xf numFmtId="250" fontId="128" fillId="0" borderId="0" applyFill="0" applyBorder="0" applyProtection="0">
      <alignment vertical="top"/>
    </xf>
    <xf numFmtId="259" fontId="40" fillId="0" borderId="0" applyFill="0" applyBorder="0">
      <alignment horizontal="right"/>
      <protection locked="0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0" fontId="6" fillId="54" borderId="3">
      <alignment horizontal="left" vertical="center" wrapText="1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3" fontId="9" fillId="70" borderId="3"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52" fontId="129" fillId="54" borderId="3">
      <alignment horizontal="left"/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260" fontId="129" fillId="54" borderId="3"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0" fontId="129" fillId="54" borderId="3">
      <alignment horizontal="center"/>
      <protection locked="0"/>
    </xf>
    <xf numFmtId="186" fontId="8" fillId="2" borderId="3">
      <alignment vertical="center"/>
    </xf>
    <xf numFmtId="0" fontId="33" fillId="0" borderId="0"/>
    <xf numFmtId="0" fontId="34" fillId="0" borderId="0"/>
    <xf numFmtId="0" fontId="71" fillId="0" borderId="0"/>
    <xf numFmtId="0" fontId="119" fillId="0" borderId="0"/>
    <xf numFmtId="215" fontId="8" fillId="0" borderId="23" applyFont="0" applyFill="0" applyBorder="0" applyProtection="0"/>
    <xf numFmtId="215" fontId="8" fillId="0" borderId="23" applyFont="0" applyFill="0" applyBorder="0" applyProtection="0"/>
    <xf numFmtId="0" fontId="119" fillId="0" borderId="0"/>
    <xf numFmtId="261" fontId="8" fillId="0" borderId="0" applyFont="0" applyFill="0" applyBorder="0" applyProtection="0"/>
    <xf numFmtId="179" fontId="8" fillId="0" borderId="0" applyFont="0" applyFill="0" applyBorder="0" applyProtection="0"/>
    <xf numFmtId="0" fontId="130" fillId="0" borderId="0" applyProtection="0">
      <alignment vertical="center"/>
      <protection locked="0"/>
    </xf>
    <xf numFmtId="0" fontId="130" fillId="0" borderId="0" applyProtection="0">
      <alignment vertical="center"/>
      <protection locked="0"/>
    </xf>
    <xf numFmtId="0" fontId="130" fillId="0" borderId="0" applyNumberFormat="0" applyProtection="0">
      <alignment vertical="top"/>
      <protection locked="0"/>
    </xf>
    <xf numFmtId="0" fontId="130" fillId="0" borderId="0" applyNumberFormat="0" applyProtection="0">
      <alignment vertical="top"/>
      <protection locked="0"/>
    </xf>
    <xf numFmtId="0" fontId="107" fillId="0" borderId="35"/>
    <xf numFmtId="0" fontId="107" fillId="0" borderId="35"/>
    <xf numFmtId="0" fontId="107" fillId="0" borderId="35"/>
    <xf numFmtId="38" fontId="131" fillId="0" borderId="0"/>
    <xf numFmtId="38" fontId="132" fillId="0" borderId="0"/>
    <xf numFmtId="38" fontId="62" fillId="0" borderId="0"/>
    <xf numFmtId="38" fontId="133" fillId="0" borderId="0"/>
    <xf numFmtId="0" fontId="134" fillId="0" borderId="0"/>
    <xf numFmtId="0" fontId="134" fillId="0" borderId="0"/>
    <xf numFmtId="262" fontId="135" fillId="71" borderId="0" applyNumberFormat="0" applyFill="0" applyBorder="0" applyProtection="0">
      <alignment horizontal="right" wrapText="1"/>
    </xf>
    <xf numFmtId="263" fontId="53" fillId="0" borderId="0" applyFont="0" applyFill="0" applyBorder="0" applyProtection="0"/>
    <xf numFmtId="264" fontId="53" fillId="0" borderId="0" applyFont="0" applyFill="0" applyBorder="0" applyProtection="0"/>
    <xf numFmtId="265" fontId="53" fillId="0" borderId="0" applyFont="0" applyFill="0" applyBorder="0" applyProtection="0">
      <alignment vertical="top"/>
    </xf>
    <xf numFmtId="266" fontId="53" fillId="0" borderId="0" applyFont="0" applyFill="0" applyBorder="0" applyProtection="0">
      <alignment vertical="top"/>
    </xf>
    <xf numFmtId="267" fontId="53" fillId="0" borderId="0" applyFont="0" applyFill="0" applyBorder="0" applyProtection="0">
      <alignment vertical="top"/>
    </xf>
    <xf numFmtId="49" fontId="136" fillId="0" borderId="0" applyFill="0" applyBorder="0" applyProtection="0">
      <alignment vertical="top"/>
    </xf>
    <xf numFmtId="49" fontId="137" fillId="0" borderId="0" applyFill="0" applyBorder="0" applyProtection="0">
      <alignment horizontal="left"/>
    </xf>
    <xf numFmtId="49" fontId="138" fillId="0" borderId="0" applyFill="0" applyBorder="0" applyProtection="0"/>
    <xf numFmtId="262" fontId="139" fillId="72" borderId="0" applyProtection="0">
      <alignment vertical="center"/>
    </xf>
    <xf numFmtId="49" fontId="53" fillId="0" borderId="0" applyFont="0" applyFill="0" applyBorder="0" applyProtection="0">
      <alignment vertical="top"/>
    </xf>
    <xf numFmtId="0" fontId="64" fillId="0" borderId="0"/>
    <xf numFmtId="0" fontId="140" fillId="0" borderId="0"/>
    <xf numFmtId="0" fontId="141" fillId="0" borderId="0">
      <alignment horizontal="center"/>
    </xf>
    <xf numFmtId="0" fontId="142" fillId="0" borderId="0">
      <alignment horizontal="center" vertical="center" wrapText="1"/>
    </xf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0" fontId="107" fillId="54" borderId="3"/>
    <xf numFmtId="193" fontId="143" fillId="73" borderId="36" applyBorder="0">
      <alignment horizontal="left" indent="1"/>
    </xf>
    <xf numFmtId="193" fontId="143" fillId="73" borderId="36" applyBorder="0">
      <alignment horizontal="left" inden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0" fontId="144" fillId="10" borderId="3">
      <alignment wrapText="1"/>
    </xf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194" fontId="53" fillId="0" borderId="0" applyFill="0" applyBorder="0" applyProtection="0"/>
    <xf numFmtId="0" fontId="84" fillId="0" borderId="37" applyNumberFormat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0" fillId="0" borderId="0"/>
    <xf numFmtId="1" fontId="36" fillId="74" borderId="0"/>
    <xf numFmtId="1" fontId="36" fillId="74" borderId="0"/>
    <xf numFmtId="1" fontId="36" fillId="74" borderId="0"/>
    <xf numFmtId="196" fontId="56" fillId="0" borderId="0"/>
    <xf numFmtId="196" fontId="56" fillId="0" borderId="0"/>
    <xf numFmtId="0" fontId="4" fillId="0" borderId="0"/>
    <xf numFmtId="250" fontId="146" fillId="0" borderId="0"/>
    <xf numFmtId="250" fontId="146" fillId="0" borderId="0"/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0" fontId="8" fillId="0" borderId="0">
      <alignment horizontal="center"/>
    </xf>
    <xf numFmtId="268" fontId="4" fillId="0" borderId="0" applyFont="0" applyFill="0" applyProtection="0"/>
    <xf numFmtId="269" fontId="4" fillId="0" borderId="0" applyFont="0" applyFill="0" applyProtection="0"/>
    <xf numFmtId="270" fontId="121" fillId="0" borderId="0"/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271" fontId="147" fillId="0" borderId="3">
      <alignment horizontal="right"/>
      <protection locked="0"/>
    </xf>
    <xf numFmtId="0" fontId="148" fillId="0" borderId="12"/>
    <xf numFmtId="0" fontId="148" fillId="0" borderId="12"/>
    <xf numFmtId="0" fontId="148" fillId="0" borderId="12"/>
    <xf numFmtId="0" fontId="148" fillId="0" borderId="12"/>
    <xf numFmtId="272" fontId="4" fillId="0" borderId="0" applyFont="0" applyFill="0" applyProtection="0"/>
    <xf numFmtId="191" fontId="4" fillId="0" borderId="0" applyFont="0" applyFill="0" applyProtection="0"/>
    <xf numFmtId="17" fontId="86" fillId="0" borderId="0">
      <protection locked="0"/>
    </xf>
    <xf numFmtId="273" fontId="56" fillId="0" borderId="0"/>
    <xf numFmtId="274" fontId="69" fillId="0" borderId="0" applyFont="0" applyFill="0" applyBorder="0" applyProtection="0">
      <alignment horizontal="right"/>
    </xf>
    <xf numFmtId="274" fontId="69" fillId="0" borderId="0" applyFont="0" applyFill="0" applyBorder="0" applyProtection="0">
      <alignment horizontal="right"/>
    </xf>
    <xf numFmtId="275" fontId="69" fillId="0" borderId="0" applyFont="0" applyFill="0" applyBorder="0" applyProtection="0">
      <alignment horizontal="right"/>
    </xf>
    <xf numFmtId="275" fontId="69" fillId="0" borderId="0" applyFont="0" applyFill="0" applyBorder="0" applyProtection="0">
      <alignment horizontal="right"/>
    </xf>
    <xf numFmtId="276" fontId="69" fillId="0" borderId="0" applyFont="0" applyFill="0" applyBorder="0" applyProtection="0">
      <alignment horizontal="right"/>
    </xf>
    <xf numFmtId="276" fontId="69" fillId="0" borderId="0" applyFont="0" applyFill="0" applyBorder="0" applyProtection="0">
      <alignment horizontal="right"/>
    </xf>
    <xf numFmtId="277" fontId="69" fillId="0" borderId="0" applyFont="0" applyFill="0" applyBorder="0" applyProtection="0">
      <alignment horizontal="right"/>
    </xf>
    <xf numFmtId="277" fontId="69" fillId="0" borderId="0" applyFont="0" applyFill="0" applyBorder="0" applyProtection="0">
      <alignment horizontal="right"/>
    </xf>
    <xf numFmtId="273" fontId="56" fillId="0" borderId="0"/>
    <xf numFmtId="278" fontId="56" fillId="0" borderId="0" applyFill="0" applyBorder="0" applyProtection="0">
      <alignment horizontal="right"/>
    </xf>
    <xf numFmtId="278" fontId="56" fillId="0" borderId="0" applyFill="0" applyBorder="0" applyProtection="0">
      <alignment horizontal="right"/>
    </xf>
    <xf numFmtId="279" fontId="56" fillId="0" borderId="0" applyFill="0" applyBorder="0" applyProtection="0">
      <alignment horizontal="right"/>
    </xf>
    <xf numFmtId="279" fontId="56" fillId="0" borderId="0" applyFill="0" applyBorder="0" applyProtection="0">
      <alignment horizontal="right"/>
    </xf>
    <xf numFmtId="280" fontId="28" fillId="0" borderId="0" applyFont="0" applyFill="0" applyBorder="0" applyProtection="0"/>
    <xf numFmtId="250" fontId="21" fillId="0" borderId="0">
      <alignment vertical="center"/>
    </xf>
    <xf numFmtId="250" fontId="21" fillId="0" borderId="0">
      <alignment vertical="center"/>
    </xf>
    <xf numFmtId="0" fontId="12" fillId="11" borderId="16">
      <alignment horizontal="left"/>
    </xf>
    <xf numFmtId="0" fontId="149" fillId="25" borderId="0" applyNumberFormat="0" applyBorder="0" applyProtection="0"/>
    <xf numFmtId="0" fontId="93" fillId="11" borderId="0" applyNumberFormat="0" applyBorder="0" applyProtection="0"/>
    <xf numFmtId="0" fontId="149" fillId="25" borderId="0" applyNumberFormat="0" applyBorder="0" applyProtection="0"/>
    <xf numFmtId="0" fontId="93" fillId="11" borderId="0" applyNumberFormat="0" applyBorder="0" applyProtection="0"/>
    <xf numFmtId="0" fontId="93" fillId="11" borderId="0" applyNumberFormat="0" applyBorder="0" applyProtection="0"/>
    <xf numFmtId="0" fontId="93" fillId="11" borderId="0" applyNumberFormat="0" applyBorder="0" applyProtection="0"/>
    <xf numFmtId="0" fontId="2" fillId="2" borderId="3" applyFont="0" applyBorder="0">
      <alignment horizontal="center" vertical="center"/>
    </xf>
    <xf numFmtId="0" fontId="99" fillId="0" borderId="12">
      <alignment horizontal="left"/>
    </xf>
    <xf numFmtId="37" fontId="56" fillId="0" borderId="0">
      <alignment vertical="center"/>
    </xf>
    <xf numFmtId="37" fontId="56" fillId="0" borderId="0">
      <alignment vertical="center"/>
    </xf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0" fontId="40" fillId="0" borderId="23"/>
    <xf numFmtId="226" fontId="150" fillId="0" borderId="0">
      <alignment vertical="center"/>
    </xf>
    <xf numFmtId="226" fontId="150" fillId="0" borderId="0">
      <alignment vertical="center"/>
    </xf>
    <xf numFmtId="0" fontId="8" fillId="0" borderId="0"/>
    <xf numFmtId="0" fontId="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" fillId="0" borderId="0"/>
    <xf numFmtId="0" fontId="53" fillId="0" borderId="0"/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37" fontId="151" fillId="53" borderId="31" applyBorder="0">
      <alignment horizontal="left" vertical="center" indent="2"/>
    </xf>
    <xf numFmtId="0" fontId="41" fillId="0" borderId="0"/>
    <xf numFmtId="0" fontId="53" fillId="49" borderId="0"/>
    <xf numFmtId="0" fontId="10" fillId="0" borderId="0"/>
    <xf numFmtId="0" fontId="53" fillId="49" borderId="0"/>
    <xf numFmtId="0" fontId="10" fillId="0" borderId="0"/>
    <xf numFmtId="0" fontId="152" fillId="0" borderId="0"/>
    <xf numFmtId="179" fontId="67" fillId="0" borderId="0" applyNumberFormat="0" applyFill="0" applyBorder="0" applyProtection="0"/>
    <xf numFmtId="179" fontId="67" fillId="0" borderId="0" applyNumberFormat="0" applyFill="0" applyBorder="0" applyProtection="0"/>
    <xf numFmtId="281" fontId="153" fillId="0" borderId="0" applyFont="0" applyFill="0" applyBorder="0"/>
    <xf numFmtId="0" fontId="52" fillId="0" borderId="15" applyNumberFormat="0">
      <alignment horizontal="left" vertical="top"/>
    </xf>
    <xf numFmtId="0" fontId="154" fillId="0" borderId="0">
      <alignment horizontal="right"/>
    </xf>
    <xf numFmtId="0" fontId="39" fillId="0" borderId="0"/>
    <xf numFmtId="0" fontId="39" fillId="0" borderId="0"/>
    <xf numFmtId="0" fontId="39" fillId="0" borderId="0"/>
    <xf numFmtId="1" fontId="28" fillId="0" borderId="0"/>
    <xf numFmtId="0" fontId="155" fillId="0" borderId="0"/>
    <xf numFmtId="0" fontId="156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3" fillId="16" borderId="39" applyNumberFormat="0" applyFont="0" applyProtection="0"/>
    <xf numFmtId="282" fontId="56" fillId="0" borderId="0" applyBorder="0" applyProtection="0">
      <alignment horizontal="right"/>
    </xf>
    <xf numFmtId="282" fontId="123" fillId="12" borderId="0" applyBorder="0" applyProtection="0">
      <alignment horizontal="right"/>
    </xf>
    <xf numFmtId="282" fontId="123" fillId="12" borderId="0" applyBorder="0" applyProtection="0">
      <alignment horizontal="right"/>
    </xf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48" fillId="0" borderId="31" applyBorder="0"/>
    <xf numFmtId="282" fontId="56" fillId="0" borderId="0" applyBorder="0" applyProtection="0">
      <alignment horizontal="right"/>
    </xf>
    <xf numFmtId="282" fontId="56" fillId="0" borderId="0" applyBorder="0" applyProtection="0">
      <alignment horizontal="right"/>
    </xf>
    <xf numFmtId="283" fontId="56" fillId="0" borderId="0" applyBorder="0" applyProtection="0">
      <alignment horizontal="right"/>
    </xf>
    <xf numFmtId="283" fontId="157" fillId="12" borderId="0" applyProtection="0">
      <alignment horizontal="right"/>
    </xf>
    <xf numFmtId="283" fontId="157" fillId="12" borderId="0" applyProtection="0">
      <alignment horizontal="right"/>
    </xf>
    <xf numFmtId="283" fontId="56" fillId="0" borderId="0" applyBorder="0" applyProtection="0">
      <alignment horizontal="right"/>
    </xf>
    <xf numFmtId="283" fontId="56" fillId="0" borderId="0" applyBorder="0" applyProtection="0">
      <alignment horizontal="right"/>
    </xf>
    <xf numFmtId="283" fontId="56" fillId="0" borderId="0" applyBorder="0" applyProtection="0">
      <alignment horizontal="right"/>
    </xf>
    <xf numFmtId="283" fontId="56" fillId="0" borderId="0" applyBorder="0" applyProtection="0">
      <alignment horizontal="right"/>
    </xf>
    <xf numFmtId="283" fontId="56" fillId="0" borderId="0" applyBorder="0" applyProtection="0">
      <alignment horizontal="right"/>
    </xf>
    <xf numFmtId="37" fontId="21" fillId="0" borderId="0" applyFill="0" applyBorder="0" applyProtection="0">
      <alignment horizontal="right"/>
    </xf>
    <xf numFmtId="37" fontId="21" fillId="0" borderId="0" applyFill="0" applyBorder="0" applyProtection="0">
      <alignment horizontal="right"/>
    </xf>
    <xf numFmtId="284" fontId="39" fillId="0" borderId="0" applyBorder="0" applyProtection="0">
      <protection locked="0" hidden="1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5" fontId="158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86" fontId="159" fillId="0" borderId="3" applyBorder="0">
      <alignment horizontal="center"/>
    </xf>
    <xf numFmtId="254" fontId="56" fillId="0" borderId="0" applyFill="0" applyBorder="0" applyProtection="0"/>
    <xf numFmtId="254" fontId="56" fillId="0" borderId="0" applyFill="0" applyBorder="0" applyProtection="0"/>
    <xf numFmtId="255" fontId="56" fillId="0" borderId="0" applyFill="0" applyBorder="0" applyProtection="0"/>
    <xf numFmtId="255" fontId="56" fillId="0" borderId="0" applyFill="0" applyBorder="0" applyProtection="0"/>
    <xf numFmtId="256" fontId="56" fillId="0" borderId="0" applyFill="0" applyBorder="0" applyProtection="0"/>
    <xf numFmtId="256" fontId="56" fillId="0" borderId="0" applyFill="0" applyBorder="0" applyProtection="0"/>
    <xf numFmtId="9" fontId="160" fillId="0" borderId="0" applyFont="0" applyFill="0" applyBorder="0" applyProtection="0"/>
    <xf numFmtId="270" fontId="8" fillId="0" borderId="0" applyFont="0" applyFill="0" applyBorder="0" applyProtection="0"/>
    <xf numFmtId="272" fontId="8" fillId="0" borderId="0" applyFont="0" applyFill="0" applyBorder="0" applyProtection="0"/>
    <xf numFmtId="0" fontId="161" fillId="2" borderId="40" applyNumberFormat="0"/>
    <xf numFmtId="0" fontId="161" fillId="2" borderId="40" applyNumberForma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2" fillId="0" borderId="0"/>
    <xf numFmtId="0" fontId="162" fillId="0" borderId="0"/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87" fontId="61" fillId="0" borderId="3">
      <alignment horizontal="right" vertical="center" wrapText="1"/>
    </xf>
    <xf numFmtId="270" fontId="8" fillId="0" borderId="0" applyFont="0" applyFill="0" applyBorder="0" applyProtection="0"/>
    <xf numFmtId="272" fontId="8" fillId="0" borderId="0" applyFont="0" applyFill="0" applyBorder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163" fillId="2" borderId="41" applyNumberFormat="0" applyProtection="0"/>
    <xf numFmtId="0" fontId="53" fillId="53" borderId="0" applyFill="0" applyBorder="0" applyProtection="0">
      <alignment horizontal="center"/>
    </xf>
    <xf numFmtId="0" fontId="53" fillId="53" borderId="0" applyFill="0" applyBorder="0" applyProtection="0">
      <alignment horizontal="center"/>
    </xf>
    <xf numFmtId="0" fontId="164" fillId="0" borderId="0"/>
    <xf numFmtId="0" fontId="164" fillId="0" borderId="0"/>
    <xf numFmtId="1" fontId="165" fillId="0" borderId="0" applyProtection="0">
      <alignment horizontal="right" vertical="center"/>
    </xf>
    <xf numFmtId="1" fontId="165" fillId="0" borderId="0" applyProtection="0">
      <alignment horizontal="right" vertical="center"/>
    </xf>
    <xf numFmtId="0" fontId="112" fillId="2" borderId="0">
      <alignment vertical="center"/>
    </xf>
    <xf numFmtId="0" fontId="112" fillId="2" borderId="0">
      <alignment vertical="center"/>
    </xf>
    <xf numFmtId="0" fontId="166" fillId="0" borderId="0">
      <alignment horizontal="center"/>
    </xf>
    <xf numFmtId="49" fontId="167" fillId="0" borderId="15" applyFill="0" applyProtection="0">
      <alignment vertical="center"/>
    </xf>
    <xf numFmtId="250" fontId="8" fillId="0" borderId="0" applyFill="0" applyBorder="0" applyProtection="0">
      <alignment vertical="top"/>
    </xf>
    <xf numFmtId="250" fontId="8" fillId="0" borderId="0" applyFill="0" applyBorder="0" applyProtection="0">
      <alignment vertical="top"/>
    </xf>
    <xf numFmtId="177" fontId="21" fillId="0" borderId="0"/>
    <xf numFmtId="177" fontId="21" fillId="0" borderId="0"/>
    <xf numFmtId="0" fontId="4" fillId="0" borderId="0"/>
    <xf numFmtId="212" fontId="4" fillId="0" borderId="0" applyFont="0" applyFill="0" applyProtection="0"/>
    <xf numFmtId="212" fontId="4" fillId="0" borderId="0" applyFont="0" applyFill="0" applyProtection="0"/>
    <xf numFmtId="212" fontId="4" fillId="0" borderId="0" applyFont="0" applyFill="0" applyProtection="0"/>
    <xf numFmtId="192" fontId="4" fillId="0" borderId="0" applyFont="0" applyFill="0" applyProtection="0"/>
    <xf numFmtId="192" fontId="4" fillId="0" borderId="0" applyFont="0" applyFill="0" applyProtection="0"/>
    <xf numFmtId="192" fontId="4" fillId="0" borderId="0" applyFont="0" applyFill="0" applyProtection="0"/>
    <xf numFmtId="288" fontId="69" fillId="0" borderId="0" applyFont="0" applyFill="0" applyBorder="0" applyProtection="0">
      <alignment horizontal="right"/>
    </xf>
    <xf numFmtId="288" fontId="69" fillId="0" borderId="0" applyFont="0" applyFill="0" applyBorder="0" applyProtection="0">
      <alignment horizontal="right"/>
    </xf>
    <xf numFmtId="10" fontId="8" fillId="0" borderId="0" applyFont="0" applyFill="0" applyBorder="0" applyProtection="0"/>
    <xf numFmtId="10" fontId="8" fillId="0" borderId="0" applyFont="0" applyFill="0" applyBorder="0" applyProtection="0"/>
    <xf numFmtId="289" fontId="69" fillId="0" borderId="0" applyFont="0" applyFill="0" applyBorder="0" applyProtection="0">
      <alignment horizontal="right"/>
    </xf>
    <xf numFmtId="289" fontId="69" fillId="0" borderId="0" applyFont="0" applyFill="0" applyBorder="0" applyProtection="0">
      <alignment horizontal="right"/>
    </xf>
    <xf numFmtId="290" fontId="56" fillId="0" borderId="0" applyBorder="0" applyProtection="0">
      <alignment horizontal="right"/>
    </xf>
    <xf numFmtId="290" fontId="123" fillId="12" borderId="0" applyProtection="0">
      <alignment horizontal="right"/>
    </xf>
    <xf numFmtId="290" fontId="123" fillId="12" borderId="0" applyProtection="0">
      <alignment horizontal="right"/>
    </xf>
    <xf numFmtId="290" fontId="56" fillId="0" borderId="0" applyBorder="0" applyProtection="0">
      <alignment horizontal="right"/>
    </xf>
    <xf numFmtId="290" fontId="56" fillId="0" borderId="0" applyFont="0" applyBorder="0" applyProtection="0">
      <alignment horizontal="right"/>
    </xf>
    <xf numFmtId="9" fontId="41" fillId="0" borderId="0" applyFont="0" applyFill="0" applyBorder="0" applyProtection="0"/>
    <xf numFmtId="9" fontId="10" fillId="0" borderId="0" applyFont="0" applyFill="0" applyBorder="0" applyProtection="0"/>
    <xf numFmtId="291" fontId="8" fillId="0" borderId="0" applyFont="0" applyFill="0" applyBorder="0" applyProtection="0">
      <alignment horizontal="right"/>
    </xf>
    <xf numFmtId="291" fontId="8" fillId="0" borderId="0" applyFont="0" applyFill="0" applyBorder="0" applyProtection="0">
      <alignment horizontal="right"/>
    </xf>
    <xf numFmtId="292" fontId="61" fillId="0" borderId="0" applyFont="0" applyFill="0" applyBorder="0" applyProtection="0">
      <alignment horizontal="right"/>
    </xf>
    <xf numFmtId="292" fontId="61" fillId="0" borderId="0" applyFont="0" applyFill="0" applyBorder="0" applyProtection="0">
      <alignment horizontal="right"/>
    </xf>
    <xf numFmtId="292" fontId="61" fillId="0" borderId="0" applyFont="0" applyFill="0" applyBorder="0" applyProtection="0">
      <alignment horizontal="right"/>
    </xf>
    <xf numFmtId="293" fontId="60" fillId="0" borderId="0" applyBorder="0"/>
    <xf numFmtId="293" fontId="60" fillId="0" borderId="0" applyBorder="0"/>
    <xf numFmtId="250" fontId="8" fillId="0" borderId="0" applyFont="0" applyFill="0" applyBorder="0" applyProtection="0"/>
    <xf numFmtId="250" fontId="8" fillId="0" borderId="0" applyFont="0" applyFill="0" applyBorder="0" applyProtection="0"/>
    <xf numFmtId="10" fontId="8" fillId="0" borderId="0" applyFont="0" applyFill="0" applyBorder="0" applyProtection="0"/>
    <xf numFmtId="10" fontId="8" fillId="0" borderId="0" applyFont="0" applyFill="0" applyBorder="0" applyProtection="0"/>
    <xf numFmtId="294" fontId="56" fillId="0" borderId="0" applyFill="0" applyBorder="0" applyProtection="0"/>
    <xf numFmtId="294" fontId="56" fillId="0" borderId="0" applyFill="0" applyBorder="0" applyProtection="0"/>
    <xf numFmtId="293" fontId="56" fillId="0" borderId="0" applyFill="0" applyBorder="0" applyProtection="0"/>
    <xf numFmtId="293" fontId="56" fillId="0" borderId="0" applyFill="0" applyBorder="0" applyProtection="0"/>
    <xf numFmtId="295" fontId="56" fillId="0" borderId="0" applyFill="0" applyBorder="0" applyProtection="0"/>
    <xf numFmtId="295" fontId="56" fillId="0" borderId="0" applyFill="0" applyBorder="0" applyProtection="0"/>
    <xf numFmtId="296" fontId="56" fillId="0" borderId="0" applyFill="0" applyBorder="0" applyProtection="0"/>
    <xf numFmtId="296" fontId="56" fillId="0" borderId="0" applyFill="0" applyBorder="0" applyProtection="0"/>
    <xf numFmtId="297" fontId="153" fillId="0" borderId="0" applyFont="0" applyFill="0" applyBorder="0">
      <alignment horizontal="right"/>
    </xf>
    <xf numFmtId="0" fontId="40" fillId="0" borderId="0" applyFill="0" applyBorder="0">
      <alignment horizontal="right"/>
      <protection locked="0"/>
    </xf>
    <xf numFmtId="39" fontId="56" fillId="0" borderId="0">
      <alignment vertical="center"/>
    </xf>
    <xf numFmtId="39" fontId="56" fillId="0" borderId="0">
      <alignment vertical="center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177" fontId="56" fillId="0" borderId="0"/>
    <xf numFmtId="177" fontId="56" fillId="0" borderId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03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15" fontId="10" fillId="0" borderId="0" applyFill="0"/>
    <xf numFmtId="204" fontId="55" fillId="0" borderId="0" applyFill="0"/>
    <xf numFmtId="204" fontId="55" fillId="0" borderId="0" applyFill="0"/>
    <xf numFmtId="204" fontId="55" fillId="0" borderId="0" applyFill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41" fillId="0" borderId="0" applyFont="0" applyFill="0" applyBorder="0" applyProtection="0"/>
    <xf numFmtId="298" fontId="168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8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298" fontId="169" fillId="0" borderId="42" applyBorder="0">
      <alignment horizontal="right"/>
      <protection locked="0"/>
    </xf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0" fontId="144" fillId="0" borderId="3"/>
    <xf numFmtId="9" fontId="10" fillId="0" borderId="0" applyFont="0" applyFill="0" applyBorder="0" applyProtection="0"/>
    <xf numFmtId="0" fontId="170" fillId="0" borderId="0">
      <alignment horizontal="left"/>
    </xf>
    <xf numFmtId="0" fontId="170" fillId="0" borderId="0">
      <alignment horizontal="right"/>
    </xf>
    <xf numFmtId="0" fontId="164" fillId="0" borderId="0"/>
    <xf numFmtId="0" fontId="164" fillId="0" borderId="0"/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186" fontId="162" fillId="2" borderId="3">
      <alignment horizontal="center" vertical="center" wrapText="1"/>
      <protection locked="0"/>
    </xf>
    <xf numFmtId="0" fontId="171" fillId="53" borderId="43" applyNumberFormat="0">
      <alignment horizontal="center"/>
    </xf>
    <xf numFmtId="0" fontId="171" fillId="53" borderId="43" applyNumberFormat="0">
      <alignment horizont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299" fontId="172" fillId="0" borderId="0"/>
    <xf numFmtId="300" fontId="8" fillId="0" borderId="0" applyFont="0" applyFill="0" applyBorder="0" applyProtection="0"/>
    <xf numFmtId="300" fontId="8" fillId="0" borderId="0" applyFont="0" applyFill="0" applyBorder="0" applyProtection="0"/>
    <xf numFmtId="301" fontId="40" fillId="0" borderId="0" applyFill="0" applyBorder="0">
      <alignment horizontal="right"/>
      <protection locked="0"/>
    </xf>
    <xf numFmtId="302" fontId="8" fillId="0" borderId="0" applyFont="0" applyFill="0" applyBorder="0" applyProtection="0">
      <alignment horizontal="right"/>
    </xf>
    <xf numFmtId="302" fontId="8" fillId="0" borderId="0" applyFont="0" applyFill="0" applyBorder="0" applyProtection="0">
      <alignment horizontal="right"/>
    </xf>
    <xf numFmtId="303" fontId="8" fillId="0" borderId="0" applyFont="0" applyFill="0" applyBorder="0" applyProtection="0">
      <alignment horizontal="right"/>
    </xf>
    <xf numFmtId="304" fontId="40" fillId="0" borderId="0">
      <alignment horizontal="right"/>
      <protection locked="0"/>
    </xf>
    <xf numFmtId="39" fontId="173" fillId="51" borderId="0" applyNumberFormat="0" applyBorder="0" applyProtection="0"/>
    <xf numFmtId="39" fontId="173" fillId="51" borderId="0" applyNumberFormat="0" applyBorder="0" applyProtection="0"/>
    <xf numFmtId="179" fontId="174" fillId="0" borderId="0" applyNumberFormat="0" applyFill="0" applyBorder="0" applyProtection="0">
      <alignment horizontal="left"/>
    </xf>
    <xf numFmtId="0" fontId="175" fillId="0" borderId="0" applyProtection="0"/>
    <xf numFmtId="0" fontId="175" fillId="0" borderId="0" applyProtection="0"/>
    <xf numFmtId="0" fontId="75" fillId="0" borderId="0"/>
    <xf numFmtId="0" fontId="176" fillId="0" borderId="0"/>
    <xf numFmtId="0" fontId="177" fillId="0" borderId="0"/>
    <xf numFmtId="305" fontId="176" fillId="0" borderId="0"/>
    <xf numFmtId="306" fontId="177" fillId="0" borderId="0"/>
    <xf numFmtId="0" fontId="8" fillId="53" borderId="0">
      <alignment horizontal="left" vertical="top"/>
    </xf>
    <xf numFmtId="0" fontId="8" fillId="53" borderId="0">
      <alignment horizontal="left" vertical="top"/>
    </xf>
    <xf numFmtId="0" fontId="8" fillId="53" borderId="0">
      <alignment horizontal="right" vertical="top"/>
    </xf>
    <xf numFmtId="0" fontId="8" fillId="53" borderId="0">
      <alignment horizontal="right" vertical="top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3" fillId="25" borderId="39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3" fillId="25" borderId="39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3" fillId="25" borderId="39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3" fillId="25" borderId="39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52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41" fillId="25" borderId="39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41" fillId="25" borderId="39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41" fillId="25" borderId="39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41" fillId="25" borderId="39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178" fillId="25" borderId="44" applyNumberFormat="0" applyProtection="0">
      <alignment vertical="center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3" fillId="25" borderId="39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3" fillId="25" borderId="39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3" fillId="25" borderId="39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3" fillId="25" borderId="39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4" fontId="52" fillId="25" borderId="44" applyNumberFormat="0" applyProtection="0">
      <alignment horizontal="left" vertical="center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41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41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41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41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0" fontId="52" fillId="25" borderId="44" applyNumberFormat="0" applyProtection="0">
      <alignment horizontal="left" vertical="top" indent="1"/>
    </xf>
    <xf numFmtId="4" fontId="52" fillId="12" borderId="0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53" fillId="7" borderId="39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53" fillId="7" borderId="39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53" fillId="7" borderId="39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7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53" fillId="75" borderId="39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53" fillId="75" borderId="39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53" fillId="75" borderId="39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1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53" fillId="4" borderId="3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53" fillId="4" borderId="3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53" fillId="4" borderId="3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4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53" fillId="22" borderId="39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53" fillId="22" borderId="39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53" fillId="22" borderId="39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22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53" fillId="33" borderId="39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53" fillId="33" borderId="39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53" fillId="33" borderId="39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33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53" fillId="52" borderId="39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53" fillId="52" borderId="39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53" fillId="52" borderId="39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52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53" fillId="48" borderId="39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53" fillId="48" borderId="39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53" fillId="48" borderId="39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48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53" fillId="50" borderId="39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53" fillId="50" borderId="39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53" fillId="50" borderId="39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0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53" fillId="5" borderId="39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53" fillId="5" borderId="39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53" fillId="5" borderId="39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8" fillId="5" borderId="44" applyNumberFormat="0" applyProtection="0">
      <alignment horizontal="right" vertical="center"/>
    </xf>
    <xf numFmtId="4" fontId="52" fillId="76" borderId="45" applyNumberFormat="0" applyProtection="0">
      <alignment horizontal="left" vertical="center" indent="1"/>
    </xf>
    <xf numFmtId="4" fontId="52" fillId="76" borderId="45" applyNumberFormat="0" applyProtection="0">
      <alignment horizontal="left" vertical="center" indent="1"/>
    </xf>
    <xf numFmtId="4" fontId="52" fillId="76" borderId="45" applyNumberFormat="0" applyProtection="0">
      <alignment horizontal="left" vertical="center" indent="1"/>
    </xf>
    <xf numFmtId="4" fontId="52" fillId="76" borderId="45" applyNumberFormat="0" applyProtection="0">
      <alignment horizontal="left" vertical="center" indent="1"/>
    </xf>
    <xf numFmtId="4" fontId="52" fillId="76" borderId="45" applyNumberFormat="0" applyProtection="0">
      <alignment horizontal="left" vertical="center" indent="1"/>
    </xf>
    <xf numFmtId="4" fontId="53" fillId="76" borderId="3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101" fillId="42" borderId="0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101" fillId="42" borderId="0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42" borderId="3" applyNumberFormat="0" applyProtection="0">
      <alignment horizontal="left" vertical="center" indent="1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53" fillId="12" borderId="39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53" fillId="12" borderId="39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53" fillId="12" borderId="39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2" borderId="44" applyNumberFormat="0" applyProtection="0">
      <alignment horizontal="right" vertical="center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53" fillId="10" borderId="3" applyNumberFormat="0" applyProtection="0">
      <alignment horizontal="left" vertical="center" indent="1"/>
    </xf>
    <xf numFmtId="4" fontId="8" fillId="10" borderId="0" applyNumberFormat="0" applyProtection="0">
      <alignment horizontal="left" vertical="center" indent="1"/>
    </xf>
    <xf numFmtId="4" fontId="53" fillId="10" borderId="3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53" fillId="12" borderId="3" applyNumberFormat="0" applyProtection="0">
      <alignment horizontal="left" vertical="center" indent="1"/>
    </xf>
    <xf numFmtId="4" fontId="8" fillId="12" borderId="0" applyNumberFormat="0" applyProtection="0">
      <alignment horizontal="left" vertical="center" indent="1"/>
    </xf>
    <xf numFmtId="4" fontId="53" fillId="12" borderId="3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53" fillId="2" borderId="39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53" fillId="2" borderId="39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53" fillId="2" borderId="39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53" fillId="2" borderId="39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53" fillId="2" borderId="39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center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53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42" borderId="44" applyNumberFormat="0" applyProtection="0">
      <alignment horizontal="left" vertical="top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53" fillId="73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53" fillId="73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53" fillId="73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53" fillId="73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53" fillId="73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center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53" fillId="21" borderId="39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53" fillId="21" borderId="39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53" fillId="21" borderId="39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53" fillId="21" borderId="39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8" fillId="21" borderId="44" applyNumberFormat="0" applyProtection="0">
      <alignment horizontal="left" vertical="center" indent="1"/>
    </xf>
    <xf numFmtId="0" fontId="53" fillId="21" borderId="39" applyNumberFormat="0" applyProtection="0">
      <alignment horizontal="left" vertical="center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53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21" borderId="44" applyNumberFormat="0" applyProtection="0">
      <alignment horizontal="left" vertical="top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53" fillId="10" borderId="39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53" fillId="10" borderId="39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53" fillId="10" borderId="39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53" fillId="10" borderId="39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8" fillId="10" borderId="44" applyNumberFormat="0" applyProtection="0">
      <alignment horizontal="left" vertical="center" indent="1"/>
    </xf>
    <xf numFmtId="0" fontId="53" fillId="10" borderId="39" applyNumberFormat="0" applyProtection="0">
      <alignment horizontal="left" vertical="center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53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10" borderId="44" applyNumberFormat="0" applyProtection="0">
      <alignment horizontal="left" vertical="top" indent="1"/>
    </xf>
    <xf numFmtId="0" fontId="8" fillId="53" borderId="3" applyNumberFormat="0">
      <protection locked="0"/>
    </xf>
    <xf numFmtId="0" fontId="8" fillId="53" borderId="3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53" fillId="53" borderId="46" applyNumberFormat="0">
      <protection locked="0"/>
    </xf>
    <xf numFmtId="0" fontId="8" fillId="53" borderId="3" applyNumberFormat="0">
      <protection locked="0"/>
    </xf>
    <xf numFmtId="0" fontId="67" fillId="42" borderId="47" applyBorder="0"/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53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53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53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8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1" fillId="16" borderId="3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46" fillId="16" borderId="44" applyNumberFormat="0" applyProtection="0">
      <alignment vertical="center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53" fillId="2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53" fillId="2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53" fillId="2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4" fontId="8" fillId="16" borderId="44" applyNumberFormat="0" applyProtection="0">
      <alignment horizontal="left" vertical="center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53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53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53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0" fontId="8" fillId="16" borderId="44" applyNumberFormat="0" applyProtection="0">
      <alignment horizontal="left" vertical="top" indent="1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53" fillId="0" borderId="39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53" fillId="0" borderId="39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53" fillId="0" borderId="39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8" fillId="10" borderId="44" applyNumberFormat="0" applyProtection="0">
      <alignment horizontal="right" vertical="center"/>
    </xf>
    <xf numFmtId="4" fontId="53" fillId="0" borderId="39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46" fillId="10" borderId="44" applyNumberFormat="0" applyProtection="0">
      <alignment horizontal="right" vertical="center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8" fillId="12" borderId="44" applyNumberFormat="0" applyProtection="0">
      <alignment horizontal="left" vertical="center" indent="1"/>
    </xf>
    <xf numFmtId="4" fontId="53" fillId="32" borderId="39" applyNumberFormat="0" applyProtection="0">
      <alignment horizontal="left" vertical="center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53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0" fontId="8" fillId="12" borderId="44" applyNumberFormat="0" applyProtection="0">
      <alignment horizontal="left" vertical="top" indent="1"/>
    </xf>
    <xf numFmtId="4" fontId="179" fillId="46" borderId="0" applyNumberFormat="0" applyProtection="0">
      <alignment horizontal="left" vertical="center" indent="1"/>
    </xf>
    <xf numFmtId="4" fontId="41" fillId="46" borderId="3" applyNumberFormat="0" applyProtection="0">
      <alignment horizontal="left" vertical="center" indent="1"/>
    </xf>
    <xf numFmtId="4" fontId="179" fillId="46" borderId="0" applyNumberFormat="0" applyProtection="0">
      <alignment horizontal="left" vertical="center" indent="1"/>
    </xf>
    <xf numFmtId="4" fontId="41" fillId="46" borderId="3" applyNumberFormat="0" applyProtection="0">
      <alignment horizontal="left" vertical="center" indent="1"/>
    </xf>
    <xf numFmtId="4" fontId="41" fillId="46" borderId="3" applyNumberFormat="0" applyProtection="0">
      <alignment horizontal="left" vertical="center" indent="1"/>
    </xf>
    <xf numFmtId="4" fontId="41" fillId="46" borderId="3" applyNumberFormat="0" applyProtection="0">
      <alignment horizontal="left" vertical="center" indent="1"/>
    </xf>
    <xf numFmtId="4" fontId="41" fillId="46" borderId="3" applyNumberFormat="0" applyProtection="0">
      <alignment horizontal="left" vertical="center" indent="1"/>
    </xf>
    <xf numFmtId="0" fontId="53" fillId="31" borderId="3"/>
    <xf numFmtId="0" fontId="53" fillId="31" borderId="3"/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41" fillId="53" borderId="39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4" fontId="180" fillId="10" borderId="44" applyNumberFormat="0" applyProtection="0">
      <alignment horizontal="right" vertical="center"/>
    </xf>
    <xf numFmtId="0" fontId="8" fillId="0" borderId="0" applyNumberFormat="0" applyFont="0" applyFill="0" applyBorder="0" applyProtection="0"/>
    <xf numFmtId="0" fontId="8" fillId="0" borderId="0" applyNumberFormat="0" applyFont="0" applyFill="0" applyBorder="0" applyProtection="0"/>
    <xf numFmtId="307" fontId="181" fillId="0" borderId="0" applyFill="0" applyBorder="0">
      <alignment horizontal="right"/>
      <protection hidden="1"/>
    </xf>
    <xf numFmtId="0" fontId="101" fillId="0" borderId="0" applyFill="0" applyBorder="0" applyProtection="0">
      <alignment horizontal="left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2" fillId="77" borderId="3">
      <alignment horizontal="center" vertical="center" wrapText="1"/>
      <protection hidden="1"/>
    </xf>
    <xf numFmtId="0" fontId="183" fillId="58" borderId="0"/>
    <xf numFmtId="49" fontId="10" fillId="58" borderId="0"/>
    <xf numFmtId="49" fontId="10" fillId="58" borderId="48"/>
    <xf numFmtId="49" fontId="10" fillId="58" borderId="48"/>
    <xf numFmtId="49" fontId="10" fillId="58" borderId="0"/>
    <xf numFmtId="0" fontId="183" fillId="53" borderId="48">
      <protection locked="0"/>
    </xf>
    <xf numFmtId="0" fontId="183" fillId="53" borderId="48">
      <protection locked="0"/>
    </xf>
    <xf numFmtId="0" fontId="183" fillId="58" borderId="0"/>
    <xf numFmtId="0" fontId="10" fillId="54" borderId="0"/>
    <xf numFmtId="0" fontId="10" fillId="5" borderId="0"/>
    <xf numFmtId="0" fontId="10" fillId="22" borderId="0"/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197" fontId="10" fillId="0" borderId="3" applyNumberFormat="0" applyFont="0" applyFill="0" applyBorder="0">
      <alignment vertical="center"/>
    </xf>
    <xf numFmtId="0" fontId="41" fillId="0" borderId="0" applyNumberFormat="0" applyFill="0" applyBorder="0" applyProtection="0"/>
    <xf numFmtId="0" fontId="184" fillId="53" borderId="0">
      <alignment horizontal="left"/>
    </xf>
    <xf numFmtId="308" fontId="153" fillId="0" borderId="0" applyFont="0" applyFill="0" applyBorder="0"/>
    <xf numFmtId="309" fontId="8" fillId="53" borderId="3">
      <alignment vertical="center"/>
    </xf>
    <xf numFmtId="229" fontId="63" fillId="0" borderId="0" applyFill="0" applyBorder="0" applyProtection="0"/>
    <xf numFmtId="0" fontId="39" fillId="0" borderId="0" applyNumberFormat="0" applyFill="0" applyBorder="0" applyProtection="0">
      <alignment horizontal="center"/>
    </xf>
    <xf numFmtId="0" fontId="39" fillId="0" borderId="0" applyNumberFormat="0" applyFill="0" applyBorder="0" applyProtection="0">
      <alignment horizontal="center"/>
    </xf>
    <xf numFmtId="0" fontId="39" fillId="0" borderId="0" applyNumberFormat="0" applyFill="0" applyBorder="0" applyProtection="0">
      <alignment horizontal="center"/>
    </xf>
    <xf numFmtId="0" fontId="8" fillId="0" borderId="0"/>
    <xf numFmtId="0" fontId="40" fillId="0" borderId="0">
      <protection locked="0"/>
    </xf>
    <xf numFmtId="12" fontId="8" fillId="0" borderId="0" applyFont="0" applyFill="0" applyBorder="0" applyProtection="0">
      <alignment horizontal="right"/>
    </xf>
    <xf numFmtId="12" fontId="8" fillId="0" borderId="0" applyFont="0" applyFill="0" applyBorder="0" applyProtection="0">
      <alignment horizontal="right"/>
    </xf>
    <xf numFmtId="310" fontId="8" fillId="46" borderId="0" applyFont="0" applyFill="0" applyBorder="0" applyProtection="0">
      <alignment horizontal="right"/>
    </xf>
    <xf numFmtId="310" fontId="8" fillId="46" borderId="0" applyFont="0" applyFill="0" applyBorder="0" applyProtection="0">
      <alignment horizontal="right"/>
    </xf>
    <xf numFmtId="0" fontId="170" fillId="0" borderId="0"/>
    <xf numFmtId="0" fontId="129" fillId="0" borderId="0"/>
    <xf numFmtId="179" fontId="53" fillId="8" borderId="0" applyNumberFormat="0" applyFont="0" applyBorder="0">
      <protection hidden="1"/>
    </xf>
    <xf numFmtId="179" fontId="53" fillId="8" borderId="0" applyNumberFormat="0" applyFont="0" applyBorder="0">
      <protection hidden="1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5" fillId="40" borderId="49" applyProtection="0"/>
    <xf numFmtId="2" fontId="186" fillId="0" borderId="0" applyFill="0" applyBorder="0" applyProtection="0"/>
    <xf numFmtId="2" fontId="29" fillId="0" borderId="0" applyFill="0" applyBorder="0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41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78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/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49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2" fontId="29" fillId="78" borderId="49" applyProtection="0">
      <alignment horizontal="center"/>
    </xf>
    <xf numFmtId="38" fontId="10" fillId="0" borderId="0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8" fillId="0" borderId="0"/>
    <xf numFmtId="0" fontId="8" fillId="0" borderId="0"/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0" fontId="10" fillId="2" borderId="3">
      <protection locked="0"/>
    </xf>
    <xf numFmtId="186" fontId="8" fillId="53" borderId="50" applyNumberFormat="0" applyFont="0">
      <alignment horizontal="left"/>
    </xf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0" fontId="75" fillId="0" borderId="3"/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186" fontId="8" fillId="53" borderId="50" applyNumberFormat="0" applyFont="0">
      <alignment horizontal="left"/>
    </xf>
    <xf numFmtId="0" fontId="111" fillId="0" borderId="0" applyFill="0" applyBorder="0" applyProtection="0">
      <alignment horizontal="center" vertical="center"/>
    </xf>
    <xf numFmtId="0" fontId="10" fillId="0" borderId="0" applyBorder="0" applyProtection="0">
      <alignment vertical="center"/>
    </xf>
    <xf numFmtId="245" fontId="10" fillId="0" borderId="15" applyBorder="0" applyProtection="0">
      <alignment horizontal="right" vertical="center"/>
    </xf>
    <xf numFmtId="245" fontId="187" fillId="0" borderId="15" applyBorder="0" applyProtection="0">
      <alignment horizontal="right" vertical="center"/>
    </xf>
    <xf numFmtId="245" fontId="187" fillId="0" borderId="15" applyBorder="0" applyProtection="0">
      <alignment horizontal="right" vertical="center"/>
    </xf>
    <xf numFmtId="245" fontId="187" fillId="0" borderId="15" applyBorder="0" applyProtection="0">
      <alignment horizontal="right" vertical="center"/>
    </xf>
    <xf numFmtId="245" fontId="187" fillId="0" borderId="15" applyBorder="0" applyProtection="0">
      <alignment horizontal="right" vertical="center"/>
    </xf>
    <xf numFmtId="245" fontId="187" fillId="0" borderId="15" applyBorder="0" applyProtection="0">
      <alignment horizontal="right" vertical="center"/>
    </xf>
    <xf numFmtId="245" fontId="10" fillId="0" borderId="15" applyBorder="0" applyProtection="0">
      <alignment horizontal="right" vertical="center"/>
    </xf>
    <xf numFmtId="245" fontId="10" fillId="0" borderId="15" applyBorder="0" applyProtection="0">
      <alignment horizontal="right" vertical="center"/>
    </xf>
    <xf numFmtId="245" fontId="10" fillId="0" borderId="15" applyBorder="0" applyProtection="0">
      <alignment horizontal="right" vertical="center"/>
    </xf>
    <xf numFmtId="245" fontId="10" fillId="0" borderId="15" applyBorder="0" applyProtection="0">
      <alignment horizontal="right" vertical="center"/>
    </xf>
    <xf numFmtId="0" fontId="10" fillId="79" borderId="0" applyBorder="0" applyProtection="0">
      <alignment horizontal="centerContinuous" vertical="center"/>
    </xf>
    <xf numFmtId="0" fontId="10" fillId="55" borderId="15" applyBorder="0" applyProtection="0">
      <alignment horizontal="centerContinuous" vertical="center"/>
    </xf>
    <xf numFmtId="0" fontId="188" fillId="55" borderId="15" applyBorder="0" applyProtection="0">
      <alignment horizontal="centerContinuous" vertical="center"/>
    </xf>
    <xf numFmtId="0" fontId="188" fillId="55" borderId="15" applyBorder="0" applyProtection="0">
      <alignment horizontal="centerContinuous" vertical="center"/>
    </xf>
    <xf numFmtId="0" fontId="188" fillId="55" borderId="15" applyBorder="0" applyProtection="0">
      <alignment horizontal="centerContinuous" vertical="center"/>
    </xf>
    <xf numFmtId="0" fontId="188" fillId="55" borderId="15" applyBorder="0" applyProtection="0">
      <alignment horizontal="centerContinuous" vertical="center"/>
    </xf>
    <xf numFmtId="0" fontId="188" fillId="55" borderId="15" applyBorder="0" applyProtection="0">
      <alignment horizontal="centerContinuous" vertical="center"/>
    </xf>
    <xf numFmtId="0" fontId="10" fillId="55" borderId="15" applyBorder="0" applyProtection="0">
      <alignment horizontal="centerContinuous" vertical="center"/>
    </xf>
    <xf numFmtId="0" fontId="10" fillId="55" borderId="15" applyBorder="0" applyProtection="0">
      <alignment horizontal="centerContinuous" vertical="center"/>
    </xf>
    <xf numFmtId="0" fontId="10" fillId="55" borderId="15" applyBorder="0" applyProtection="0">
      <alignment horizontal="centerContinuous" vertical="center"/>
    </xf>
    <xf numFmtId="0" fontId="10" fillId="55" borderId="15" applyBorder="0" applyProtection="0">
      <alignment horizontal="centerContinuous" vertical="center"/>
    </xf>
    <xf numFmtId="0" fontId="10" fillId="0" borderId="0" applyFill="0" applyBorder="0" applyProtection="0"/>
    <xf numFmtId="0" fontId="10" fillId="0" borderId="0" applyFill="0" applyBorder="0" applyProtection="0">
      <alignment horizontal="left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92" fillId="0" borderId="7" applyFill="0" applyBorder="0" applyProtection="0">
      <alignment horizontal="left" vertical="top"/>
    </xf>
    <xf numFmtId="0" fontId="189" fillId="75" borderId="3" applyNumberFormat="0">
      <alignment horizontal="center" vertical="center" wrapText="1"/>
    </xf>
    <xf numFmtId="3" fontId="8" fillId="0" borderId="0"/>
    <xf numFmtId="3" fontId="8" fillId="0" borderId="0"/>
    <xf numFmtId="0" fontId="190" fillId="78" borderId="16" applyNumberFormat="0">
      <alignment horizontal="right"/>
    </xf>
    <xf numFmtId="0" fontId="53" fillId="0" borderId="0"/>
    <xf numFmtId="0" fontId="53" fillId="0" borderId="0"/>
    <xf numFmtId="311" fontId="69" fillId="0" borderId="0" applyFont="0" applyFill="0" applyBorder="0" applyProtection="0">
      <alignment horizontal="left"/>
    </xf>
    <xf numFmtId="311" fontId="69" fillId="0" borderId="0" applyFont="0" applyFill="0" applyBorder="0" applyProtection="0">
      <alignment horizontal="left"/>
    </xf>
    <xf numFmtId="312" fontId="69" fillId="0" borderId="0" applyFont="0" applyFill="0" applyBorder="0" applyProtection="0">
      <alignment horizontal="left"/>
    </xf>
    <xf numFmtId="312" fontId="69" fillId="0" borderId="0" applyFont="0" applyFill="0" applyBorder="0" applyProtection="0">
      <alignment horizontal="left"/>
    </xf>
    <xf numFmtId="313" fontId="69" fillId="0" borderId="0" applyFont="0" applyFill="0" applyBorder="0" applyProtection="0">
      <alignment horizontal="left"/>
    </xf>
    <xf numFmtId="313" fontId="69" fillId="0" borderId="0" applyFont="0" applyFill="0" applyBorder="0" applyProtection="0">
      <alignment horizontal="left"/>
    </xf>
    <xf numFmtId="49" fontId="8" fillId="0" borderId="0" applyFill="0"/>
    <xf numFmtId="49" fontId="8" fillId="0" borderId="0" applyFill="0"/>
    <xf numFmtId="49" fontId="8" fillId="0" borderId="0" applyFill="0"/>
    <xf numFmtId="49" fontId="8" fillId="0" borderId="0" applyFill="0"/>
    <xf numFmtId="49" fontId="8" fillId="0" borderId="0" applyFill="0"/>
    <xf numFmtId="49" fontId="8" fillId="0" borderId="0" applyFill="0"/>
    <xf numFmtId="49" fontId="8" fillId="0" borderId="0" applyFill="0"/>
    <xf numFmtId="49" fontId="8" fillId="0" borderId="0" applyFill="0"/>
    <xf numFmtId="235" fontId="10" fillId="0" borderId="0" applyFill="0"/>
    <xf numFmtId="235" fontId="10" fillId="0" borderId="0" applyFill="0"/>
    <xf numFmtId="235" fontId="10" fillId="0" borderId="0" applyFill="0"/>
    <xf numFmtId="235" fontId="10" fillId="0" borderId="0" applyFill="0"/>
    <xf numFmtId="235" fontId="10" fillId="0" borderId="0" applyFill="0"/>
    <xf numFmtId="261" fontId="10" fillId="0" borderId="0" applyFill="0"/>
    <xf numFmtId="261" fontId="10" fillId="0" borderId="0" applyFill="0"/>
    <xf numFmtId="261" fontId="10" fillId="0" borderId="0" applyFill="0"/>
    <xf numFmtId="261" fontId="10" fillId="0" borderId="0" applyFill="0"/>
    <xf numFmtId="261" fontId="10" fillId="0" borderId="0" applyFill="0"/>
    <xf numFmtId="0" fontId="53" fillId="0" borderId="0"/>
    <xf numFmtId="0" fontId="53" fillId="0" borderId="0"/>
    <xf numFmtId="0" fontId="53" fillId="0" borderId="0"/>
    <xf numFmtId="0" fontId="10" fillId="0" borderId="0" applyFill="0" applyBorder="0" applyProtection="0">
      <alignment horizontal="left" vertical="top"/>
    </xf>
    <xf numFmtId="0" fontId="10" fillId="0" borderId="0">
      <alignment horizontal="center"/>
    </xf>
    <xf numFmtId="212" fontId="8" fillId="0" borderId="0">
      <alignment horizontal="center"/>
    </xf>
    <xf numFmtId="212" fontId="8" fillId="0" borderId="0">
      <alignment horizont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10" fillId="0" borderId="0" applyNumberFormat="0" applyFill="0" applyBorder="0" applyProtection="0"/>
    <xf numFmtId="0" fontId="41" fillId="0" borderId="3">
      <alignment horizontal="left" vertical="top" wrapText="1"/>
    </xf>
    <xf numFmtId="0" fontId="10" fillId="0" borderId="12">
      <alignment horizontal="left"/>
    </xf>
    <xf numFmtId="0" fontId="10" fillId="75" borderId="0"/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0" fontId="10" fillId="0" borderId="12">
      <alignment horizontal="left"/>
    </xf>
    <xf numFmtId="49" fontId="78" fillId="2" borderId="3" applyNumberFormat="0" applyBorder="0">
      <alignment horizontal="center" vertical="center" wrapText="1"/>
    </xf>
    <xf numFmtId="0" fontId="10" fillId="79" borderId="0" applyBorder="0"/>
    <xf numFmtId="0" fontId="10" fillId="0" borderId="0" applyFill="0" applyBorder="0" applyProtection="0"/>
    <xf numFmtId="0" fontId="8" fillId="53" borderId="51" applyNumberFormat="0" applyFont="0" applyFill="0" applyProtection="0"/>
    <xf numFmtId="0" fontId="8" fillId="53" borderId="51" applyNumberFormat="0" applyFont="0" applyFill="0" applyProtection="0"/>
    <xf numFmtId="0" fontId="8" fillId="53" borderId="51" applyNumberFormat="0" applyFont="0" applyFill="0" applyProtection="0"/>
    <xf numFmtId="0" fontId="4" fillId="0" borderId="51"/>
    <xf numFmtId="0" fontId="4" fillId="0" borderId="51"/>
    <xf numFmtId="0" fontId="107" fillId="0" borderId="52"/>
    <xf numFmtId="0" fontId="107" fillId="0" borderId="52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0" fontId="107" fillId="0" borderId="3"/>
    <xf numFmtId="38" fontId="10" fillId="0" borderId="0" applyFont="0" applyFill="0" applyBorder="0" applyProtection="0"/>
    <xf numFmtId="40" fontId="10" fillId="0" borderId="0" applyFont="0" applyFill="0" applyBorder="0" applyProtection="0"/>
    <xf numFmtId="0" fontId="112" fillId="0" borderId="0"/>
    <xf numFmtId="0" fontId="11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204" fontId="10" fillId="0" borderId="0">
      <alignment horizontal="left"/>
      <protection locked="0"/>
    </xf>
    <xf numFmtId="0" fontId="8" fillId="0" borderId="0"/>
    <xf numFmtId="0" fontId="8" fillId="0" borderId="0"/>
    <xf numFmtId="0" fontId="191" fillId="0" borderId="0" applyNumberForma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1" fillId="0" borderId="0" applyNumberFormat="0" applyProtection="0"/>
    <xf numFmtId="37" fontId="56" fillId="0" borderId="0" applyFill="0" applyBorder="0">
      <alignment vertical="center"/>
    </xf>
    <xf numFmtId="37" fontId="56" fillId="0" borderId="0" applyFill="0" applyBorder="0">
      <alignment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4" borderId="8">
      <alignment horizontal="center" vertical="center"/>
    </xf>
    <xf numFmtId="0" fontId="10" fillId="0" borderId="0"/>
    <xf numFmtId="268" fontId="8" fillId="0" borderId="0" applyFont="0" applyFill="0" applyBorder="0" applyProtection="0"/>
    <xf numFmtId="269" fontId="8" fillId="0" borderId="0" applyFont="0" applyFill="0" applyBorder="0" applyProtection="0"/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8" fillId="0" borderId="0">
      <alignment horizontal="center" vertical="center" textRotation="180"/>
    </xf>
    <xf numFmtId="0" fontId="10" fillId="0" borderId="0"/>
    <xf numFmtId="0" fontId="8" fillId="0" borderId="0" applyFont="0" applyFill="0" applyBorder="0" applyProtection="0"/>
    <xf numFmtId="314" fontId="8" fillId="0" borderId="0" applyFont="0" applyFill="0" applyBorder="0" applyProtection="0"/>
    <xf numFmtId="229" fontId="8" fillId="0" borderId="0" applyFont="0" applyFill="0" applyBorder="0" applyProtection="0"/>
    <xf numFmtId="0" fontId="8" fillId="0" borderId="0" applyFont="0" applyFill="0" applyBorder="0" applyProtection="0"/>
    <xf numFmtId="315" fontId="8" fillId="0" borderId="0" applyFont="0" applyFill="0" applyBorder="0" applyProtection="0"/>
    <xf numFmtId="316" fontId="8" fillId="0" borderId="0" applyFont="0" applyFill="0" applyBorder="0" applyProtection="0"/>
    <xf numFmtId="317" fontId="40" fillId="0" borderId="0" applyFont="0" applyFill="0" applyBorder="0" applyProtection="0"/>
    <xf numFmtId="216" fontId="40" fillId="0" borderId="0" applyFon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8" fillId="53" borderId="23">
      <alignment vertical="center"/>
      <protection locked="0"/>
    </xf>
    <xf numFmtId="0" fontId="8" fillId="53" borderId="23">
      <alignment vertical="center"/>
      <protection locked="0"/>
    </xf>
    <xf numFmtId="0" fontId="8" fillId="53" borderId="23">
      <alignment vertical="center"/>
      <protection locked="0"/>
    </xf>
    <xf numFmtId="0" fontId="31" fillId="53" borderId="39">
      <alignment horizontal="center"/>
    </xf>
    <xf numFmtId="0" fontId="31" fillId="53" borderId="39">
      <alignment horizontal="center"/>
    </xf>
    <xf numFmtId="318" fontId="8" fillId="0" borderId="0" applyFont="0" applyFill="0" applyBorder="0" applyProtection="0"/>
    <xf numFmtId="319" fontId="8" fillId="0" borderId="0" applyFont="0" applyFill="0" applyBorder="0" applyProtection="0"/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0" fontId="8" fillId="0" borderId="15" applyFill="0" applyBorder="0" applyProtection="0">
      <alignment horizontal="center"/>
    </xf>
    <xf numFmtId="320" fontId="2" fillId="0" borderId="24" applyFont="0" applyFill="0" applyBorder="0">
      <alignment horizontal="centerContinuous"/>
    </xf>
    <xf numFmtId="320" fontId="2" fillId="0" borderId="24" applyFont="0" applyFill="0" applyBorder="0">
      <alignment horizontal="centerContinuous"/>
    </xf>
    <xf numFmtId="320" fontId="2" fillId="0" borderId="24" applyFont="0" applyFill="0" applyBorder="0">
      <alignment horizontal="centerContinuous"/>
    </xf>
    <xf numFmtId="320" fontId="2" fillId="0" borderId="24" applyFont="0" applyFill="0" applyBorder="0">
      <alignment horizontal="centerContinuous"/>
    </xf>
    <xf numFmtId="320" fontId="2" fillId="0" borderId="24" applyFont="0" applyFill="0" applyBorder="0">
      <alignment horizontal="centerContinuous"/>
    </xf>
    <xf numFmtId="214" fontId="153" fillId="0" borderId="0" applyFont="0" applyFill="0" applyBorder="0"/>
    <xf numFmtId="321" fontId="153" fillId="0" borderId="0" applyFont="0" applyFill="0" applyBorder="0"/>
    <xf numFmtId="322" fontId="10" fillId="0" borderId="24" applyFont="0" applyFill="0" applyBorder="0">
      <alignment horizontal="centerContinuous"/>
    </xf>
    <xf numFmtId="322" fontId="10" fillId="0" borderId="24" applyFont="0" applyFill="0" applyBorder="0">
      <alignment horizontal="centerContinuous"/>
    </xf>
    <xf numFmtId="322" fontId="10" fillId="0" borderId="24" applyFont="0" applyFill="0" applyBorder="0">
      <alignment horizontal="centerContinuous"/>
    </xf>
    <xf numFmtId="321" fontId="56" fillId="0" borderId="0" applyFill="0" applyBorder="0" applyProtection="0"/>
    <xf numFmtId="321" fontId="56" fillId="0" borderId="0" applyFill="0" applyBorder="0" applyProtection="0"/>
    <xf numFmtId="214" fontId="56" fillId="0" borderId="0" applyFill="0" applyBorder="0" applyProtection="0"/>
    <xf numFmtId="214" fontId="56" fillId="0" borderId="0" applyFill="0" applyBorder="0" applyProtection="0"/>
    <xf numFmtId="0" fontId="8" fillId="0" borderId="15" applyFill="0" applyBorder="0" applyProtection="0">
      <alignment horizontal="center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0" fontId="8" fillId="25" borderId="3">
      <alignment horizontal="right" wrapText="1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186" fontId="8" fillId="25" borderId="3" applyNumberFormat="0" applyFill="0" applyBorder="0" applyProtection="0">
      <alignment vertical="center"/>
      <protection locked="0"/>
    </xf>
    <xf numFmtId="323" fontId="8" fillId="0" borderId="0" applyFont="0" applyFill="0" applyBorder="0" applyProtection="0"/>
    <xf numFmtId="323" fontId="8" fillId="0" borderId="0" applyFont="0" applyFill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4" fillId="32" borderId="0" applyNumberFormat="0" applyBorder="0" applyProtection="0"/>
    <xf numFmtId="0" fontId="43" fillId="40" borderId="0" applyNumberFormat="0" applyBorder="0" applyProtection="0"/>
    <xf numFmtId="0" fontId="44" fillId="80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4" fillId="81" borderId="0" applyNumberFormat="0" applyBorder="0" applyProtection="0"/>
    <xf numFmtId="0" fontId="43" fillId="4" borderId="0" applyNumberFormat="0" applyBorder="0" applyProtection="0"/>
    <xf numFmtId="0" fontId="44" fillId="81" borderId="0" applyNumberFormat="0" applyBorder="0" applyProtection="0"/>
    <xf numFmtId="0" fontId="43" fillId="4" borderId="0" applyNumberFormat="0" applyBorder="0" applyProtection="0"/>
    <xf numFmtId="0" fontId="44" fillId="81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4" fillId="82" borderId="0" applyNumberFormat="0" applyBorder="0" applyProtection="0"/>
    <xf numFmtId="0" fontId="43" fillId="48" borderId="0" applyNumberFormat="0" applyBorder="0" applyProtection="0"/>
    <xf numFmtId="0" fontId="44" fillId="82" borderId="0" applyNumberFormat="0" applyBorder="0" applyProtection="0"/>
    <xf numFmtId="0" fontId="43" fillId="48" borderId="0" applyNumberFormat="0" applyBorder="0" applyProtection="0"/>
    <xf numFmtId="0" fontId="44" fillId="82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8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4" fillId="42" borderId="0" applyNumberFormat="0" applyBorder="0" applyProtection="0"/>
    <xf numFmtId="0" fontId="43" fillId="31" borderId="0" applyNumberFormat="0" applyBorder="0" applyProtection="0"/>
    <xf numFmtId="0" fontId="44" fillId="83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4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4" fillId="84" borderId="0" applyNumberFormat="0" applyBorder="0" applyProtection="0"/>
    <xf numFmtId="0" fontId="43" fillId="32" borderId="0" applyNumberFormat="0" applyBorder="0" applyProtection="0"/>
    <xf numFmtId="0" fontId="44" fillId="84" borderId="0" applyNumberFormat="0" applyBorder="0" applyProtection="0"/>
    <xf numFmtId="0" fontId="43" fillId="32" borderId="0" applyNumberFormat="0" applyBorder="0" applyProtection="0"/>
    <xf numFmtId="0" fontId="44" fillId="84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3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4" fillId="85" borderId="0" applyNumberFormat="0" applyBorder="0" applyProtection="0"/>
    <xf numFmtId="0" fontId="43" fillId="52" borderId="0" applyNumberFormat="0" applyBorder="0" applyProtection="0"/>
    <xf numFmtId="0" fontId="44" fillId="85" borderId="0" applyNumberFormat="0" applyBorder="0" applyProtection="0"/>
    <xf numFmtId="0" fontId="43" fillId="52" borderId="0" applyNumberFormat="0" applyBorder="0" applyProtection="0"/>
    <xf numFmtId="0" fontId="44" fillId="85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0" fontId="43" fillId="52" borderId="0" applyNumberFormat="0" applyBorder="0" applyProtection="0"/>
    <xf numFmtId="204" fontId="10" fillId="0" borderId="53">
      <protection locked="0"/>
    </xf>
    <xf numFmtId="204" fontId="10" fillId="0" borderId="53">
      <protection locked="0"/>
    </xf>
    <xf numFmtId="204" fontId="10" fillId="0" borderId="53">
      <protection locked="0"/>
    </xf>
    <xf numFmtId="324" fontId="10" fillId="0" borderId="54">
      <alignment horizontal="center"/>
    </xf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25" borderId="55" applyNumberFormat="0" applyProtection="0"/>
    <xf numFmtId="0" fontId="194" fillId="14" borderId="55" applyNumberFormat="0" applyProtection="0"/>
    <xf numFmtId="0" fontId="194" fillId="14" borderId="55" applyNumberFormat="0" applyProtection="0"/>
    <xf numFmtId="0" fontId="193" fillId="11" borderId="5" applyNumberFormat="0" applyProtection="0"/>
    <xf numFmtId="0" fontId="194" fillId="11" borderId="55" applyNumberFormat="0" applyProtection="0"/>
    <xf numFmtId="0" fontId="193" fillId="25" borderId="5" applyNumberFormat="0" applyProtection="0"/>
    <xf numFmtId="0" fontId="193" fillId="11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93" fillId="25" borderId="5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53" borderId="56" applyNumberFormat="0" applyProtection="0"/>
    <xf numFmtId="0" fontId="195" fillId="8" borderId="56" applyNumberFormat="0" applyProtection="0"/>
    <xf numFmtId="0" fontId="195" fillId="8" borderId="56" applyNumberFormat="0" applyProtection="0"/>
    <xf numFmtId="0" fontId="163" fillId="2" borderId="41" applyNumberFormat="0" applyProtection="0"/>
    <xf numFmtId="0" fontId="195" fillId="86" borderId="56" applyNumberFormat="0" applyProtection="0"/>
    <xf numFmtId="0" fontId="163" fillId="53" borderId="41" applyNumberFormat="0" applyProtection="0"/>
    <xf numFmtId="0" fontId="163" fillId="2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63" fillId="53" borderId="41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53" borderId="55" applyNumberFormat="0" applyProtection="0"/>
    <xf numFmtId="0" fontId="197" fillId="8" borderId="55" applyNumberFormat="0" applyProtection="0"/>
    <xf numFmtId="0" fontId="197" fillId="8" borderId="55" applyNumberFormat="0" applyProtection="0"/>
    <xf numFmtId="0" fontId="196" fillId="2" borderId="5" applyNumberFormat="0" applyProtection="0"/>
    <xf numFmtId="0" fontId="197" fillId="86" borderId="55" applyNumberFormat="0" applyProtection="0"/>
    <xf numFmtId="0" fontId="196" fillId="53" borderId="5" applyNumberFormat="0" applyProtection="0"/>
    <xf numFmtId="0" fontId="196" fillId="2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196" fillId="53" borderId="5" applyNumberFormat="0" applyProtection="0"/>
    <xf numFmtId="0" fontId="8" fillId="0" borderId="0" applyNumberFormat="0" applyFill="0" applyBorder="0" applyProtection="0">
      <alignment vertical="top"/>
      <protection locked="0"/>
    </xf>
    <xf numFmtId="0" fontId="198" fillId="0" borderId="0" applyNumberFormat="0" applyFill="0" applyBorder="0" applyProtection="0">
      <alignment vertical="top"/>
      <protection locked="0"/>
    </xf>
    <xf numFmtId="0" fontId="199" fillId="0" borderId="0" applyNumberFormat="0" applyFill="0" applyBorder="0" applyProtection="0">
      <alignment vertical="top"/>
      <protection locked="0"/>
    </xf>
    <xf numFmtId="0" fontId="200" fillId="0" borderId="0" applyNumberFormat="0" applyFill="0" applyBorder="0" applyProtection="0"/>
    <xf numFmtId="0" fontId="8" fillId="0" borderId="0" applyNumberFormat="0" applyFill="0" applyBorder="0" applyProtection="0">
      <alignment vertical="top"/>
      <protection locked="0"/>
    </xf>
    <xf numFmtId="0" fontId="19" fillId="0" borderId="0" applyNumberFormat="0" applyFill="0" applyBorder="0" applyProtection="0">
      <alignment vertical="top"/>
      <protection locked="0"/>
    </xf>
    <xf numFmtId="0" fontId="19" fillId="0" borderId="0" applyNumberFormat="0" applyFill="0" applyBorder="0" applyProtection="0">
      <alignment vertical="top"/>
      <protection locked="0"/>
    </xf>
    <xf numFmtId="0" fontId="201" fillId="0" borderId="0" applyNumberFormat="0" applyFill="0" applyBorder="0" applyProtection="0">
      <alignment vertical="top"/>
      <protection locked="0"/>
    </xf>
    <xf numFmtId="0" fontId="200" fillId="0" borderId="0" applyNumberFormat="0" applyFill="0" applyBorder="0" applyProtection="0"/>
    <xf numFmtId="0" fontId="202" fillId="0" borderId="0" applyNumberFormat="0" applyFill="0" applyBorder="0" applyProtection="0">
      <alignment vertical="top"/>
      <protection locked="0"/>
    </xf>
    <xf numFmtId="0" fontId="202" fillId="0" borderId="0" applyNumberFormat="0" applyFill="0" applyBorder="0" applyProtection="0">
      <alignment vertical="top"/>
      <protection locked="0"/>
    </xf>
    <xf numFmtId="0" fontId="203" fillId="0" borderId="0" applyNumberFormat="0" applyFill="0" applyBorder="0" applyProtection="0">
      <alignment vertical="top"/>
      <protection locked="0"/>
    </xf>
    <xf numFmtId="0" fontId="203" fillId="0" borderId="0" applyNumberFormat="0" applyFill="0" applyBorder="0" applyProtection="0">
      <alignment vertical="top"/>
      <protection locked="0"/>
    </xf>
    <xf numFmtId="0" fontId="198" fillId="0" borderId="0" applyNumberFormat="0" applyFill="0" applyBorder="0" applyProtection="0">
      <alignment vertical="top"/>
      <protection locked="0"/>
    </xf>
    <xf numFmtId="0" fontId="198" fillId="0" borderId="0" applyNumberFormat="0" applyFill="0" applyBorder="0" applyProtection="0">
      <alignment vertical="top"/>
      <protection locked="0"/>
    </xf>
    <xf numFmtId="0" fontId="200" fillId="0" borderId="0" applyNumberFormat="0" applyFill="0" applyBorder="0" applyProtection="0"/>
    <xf numFmtId="0" fontId="204" fillId="0" borderId="0" applyNumberFormat="0" applyFill="0" applyBorder="0" applyProtection="0"/>
    <xf numFmtId="0" fontId="204" fillId="0" borderId="0" applyNumberFormat="0" applyFill="0" applyBorder="0" applyProtection="0"/>
    <xf numFmtId="0" fontId="205" fillId="0" borderId="0" applyNumberFormat="0" applyFill="0" applyBorder="0" applyProtection="0">
      <alignment vertical="top"/>
      <protection locked="0"/>
    </xf>
    <xf numFmtId="14" fontId="10" fillId="0" borderId="36" applyBorder="0">
      <alignment horizontal="center" vertical="center"/>
    </xf>
    <xf numFmtId="14" fontId="10" fillId="0" borderId="36" applyBorder="0">
      <alignment horizontal="center" vertical="center"/>
    </xf>
    <xf numFmtId="14" fontId="10" fillId="0" borderId="0">
      <alignment vertical="center"/>
    </xf>
    <xf numFmtId="14" fontId="10" fillId="0" borderId="0">
      <alignment vertical="center"/>
    </xf>
    <xf numFmtId="14" fontId="10" fillId="0" borderId="0">
      <alignment vertical="center"/>
    </xf>
    <xf numFmtId="325" fontId="10" fillId="0" borderId="0" applyFont="0" applyFill="0" applyBorder="0" applyProtection="0"/>
    <xf numFmtId="326" fontId="86" fillId="2" borderId="0" applyFont="0" applyFill="0" applyBorder="0" applyProtection="0">
      <alignment horizontal="right"/>
    </xf>
    <xf numFmtId="316" fontId="71" fillId="0" borderId="0" applyFont="0" applyFill="0" applyBorder="0" applyProtection="0"/>
    <xf numFmtId="316" fontId="71" fillId="0" borderId="0" applyFont="0" applyFill="0" applyBorder="0" applyProtection="0"/>
    <xf numFmtId="316" fontId="71" fillId="0" borderId="0" applyFont="0" applyFill="0" applyBorder="0" applyProtection="0"/>
    <xf numFmtId="325" fontId="5" fillId="0" borderId="0" applyFont="0" applyFill="0" applyBorder="0" applyProtection="0"/>
    <xf numFmtId="327" fontId="8" fillId="0" borderId="0" applyFont="0" applyFill="0" applyBorder="0" applyProtection="0"/>
    <xf numFmtId="316" fontId="8" fillId="0" borderId="0" applyFont="0" applyFill="0" applyBorder="0" applyProtection="0"/>
    <xf numFmtId="325" fontId="5" fillId="0" borderId="0" applyFont="0" applyFill="0" applyBorder="0" applyProtection="0"/>
    <xf numFmtId="327" fontId="8" fillId="0" borderId="0" applyFont="0" applyFill="0" applyBorder="0" applyProtection="0"/>
    <xf numFmtId="250" fontId="8" fillId="0" borderId="0" applyFont="0" applyFill="0" applyBorder="0" applyProtection="0"/>
    <xf numFmtId="250" fontId="8" fillId="0" borderId="0" applyFont="0" applyFill="0" applyBorder="0" applyProtection="0"/>
    <xf numFmtId="250" fontId="8" fillId="0" borderId="0" applyFont="0" applyFill="0" applyBorder="0" applyProtection="0"/>
    <xf numFmtId="250" fontId="8" fillId="0" borderId="0" applyFont="0" applyFill="0" applyBorder="0" applyProtection="0"/>
    <xf numFmtId="325" fontId="5" fillId="0" borderId="0" applyFont="0" applyFill="0" applyBorder="0" applyProtection="0"/>
    <xf numFmtId="325" fontId="5" fillId="0" borderId="0" applyFont="0" applyFill="0" applyBorder="0" applyProtection="0"/>
    <xf numFmtId="316" fontId="71" fillId="0" borderId="0" applyFont="0" applyFill="0" applyBorder="0" applyProtection="0"/>
    <xf numFmtId="316" fontId="71" fillId="0" borderId="0" applyFont="0" applyFill="0" applyBorder="0" applyProtection="0"/>
    <xf numFmtId="316" fontId="71" fillId="0" borderId="0" applyFont="0" applyFill="0" applyBorder="0" applyProtection="0"/>
    <xf numFmtId="328" fontId="8" fillId="0" borderId="0" applyFont="0" applyFill="0" applyBorder="0" applyProtection="0"/>
    <xf numFmtId="210" fontId="8" fillId="0" borderId="0" applyFont="0" applyFill="0" applyBorder="0" applyProtection="0"/>
    <xf numFmtId="329" fontId="8" fillId="0" borderId="0" applyFont="0" applyFill="0" applyBorder="0" applyProtection="0"/>
    <xf numFmtId="185" fontId="8" fillId="0" borderId="0" applyFont="0" applyFill="0" applyBorder="0" applyProtection="0"/>
    <xf numFmtId="193" fontId="52" fillId="2" borderId="0" applyNumberFormat="0" applyFont="0" applyFill="0" applyBorder="0" applyProtection="0">
      <alignment vertical="center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211" fontId="10" fillId="0" borderId="3" applyNumberFormat="0" applyBorder="0">
      <alignment horizontal="centerContinuous" vertical="center" wrapText="1"/>
    </xf>
    <xf numFmtId="0" fontId="206" fillId="87" borderId="0" applyNumberFormat="0" applyBorder="0">
      <alignment vertical="center"/>
    </xf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8" fillId="0" borderId="58" applyNumberFormat="0" applyFill="0" applyProtection="0"/>
    <xf numFmtId="0" fontId="209" fillId="0" borderId="59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07" fillId="0" borderId="57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0" fillId="0" borderId="61" applyNumberFormat="0" applyFill="0" applyProtection="0"/>
    <xf numFmtId="0" fontId="211" fillId="0" borderId="60" applyNumberFormat="0" applyFill="0" applyProtection="0"/>
    <xf numFmtId="0" fontId="212" fillId="0" borderId="62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0" fillId="0" borderId="60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4" applyNumberFormat="0" applyFill="0" applyProtection="0"/>
    <xf numFmtId="0" fontId="213" fillId="0" borderId="64" applyNumberFormat="0" applyFill="0" applyProtection="0"/>
    <xf numFmtId="0" fontId="213" fillId="0" borderId="63" applyNumberFormat="0" applyFill="0" applyProtection="0"/>
    <xf numFmtId="0" fontId="213" fillId="0" borderId="64" applyNumberFormat="0" applyFill="0" applyProtection="0"/>
    <xf numFmtId="0" fontId="213" fillId="0" borderId="64" applyNumberFormat="0" applyFill="0" applyProtection="0"/>
    <xf numFmtId="0" fontId="214" fillId="0" borderId="65" applyNumberFormat="0" applyFill="0" applyProtection="0"/>
    <xf numFmtId="0" fontId="215" fillId="0" borderId="66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63" applyNumberFormat="0" applyFill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4" fillId="0" borderId="0" applyNumberFormat="0" applyFill="0" applyBorder="0" applyProtection="0"/>
    <xf numFmtId="0" fontId="215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13" fillId="0" borderId="0" applyNumberFormat="0" applyFill="0" applyBorder="0" applyProtection="0"/>
    <xf numFmtId="0" fontId="206" fillId="87" borderId="0" applyNumberFormat="0" applyBorder="0">
      <alignment vertical="center"/>
    </xf>
    <xf numFmtId="0" fontId="206" fillId="87" borderId="0" applyNumberFormat="0" applyBorder="0">
      <alignment vertical="center"/>
    </xf>
    <xf numFmtId="0" fontId="206" fillId="87" borderId="0" applyNumberFormat="0" applyBorder="0">
      <alignment vertical="center"/>
    </xf>
    <xf numFmtId="0" fontId="216" fillId="0" borderId="0" applyNumberFormat="0" applyFill="0" applyBorder="0" applyProtection="0">
      <alignment horizontal="left"/>
    </xf>
    <xf numFmtId="0" fontId="10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3" fontId="10" fillId="8" borderId="67">
      <alignment horizontal="left"/>
    </xf>
    <xf numFmtId="0" fontId="10" fillId="47" borderId="68" applyBorder="0">
      <alignment horizontal="center" vertical="center" wrapText="1"/>
    </xf>
    <xf numFmtId="0" fontId="10" fillId="47" borderId="68" applyBorder="0">
      <alignment horizontal="center" vertical="center" wrapText="1"/>
    </xf>
    <xf numFmtId="0" fontId="10" fillId="47" borderId="68" applyBorder="0">
      <alignment horizontal="center" vertical="center" wrapText="1"/>
    </xf>
    <xf numFmtId="0" fontId="10" fillId="47" borderId="68" applyBorder="0">
      <alignment horizontal="center" vertical="center" wrapText="1"/>
    </xf>
    <xf numFmtId="204" fontId="142" fillId="10" borderId="53"/>
    <xf numFmtId="204" fontId="142" fillId="10" borderId="53"/>
    <xf numFmtId="0" fontId="10" fillId="0" borderId="0"/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4" fontId="217" fillId="25" borderId="3" applyBorder="0">
      <alignment horizontal="right"/>
    </xf>
    <xf numFmtId="0" fontId="216" fillId="0" borderId="0" applyNumberFormat="0" applyFill="0" applyBorder="0" applyProtection="0"/>
    <xf numFmtId="39" fontId="56" fillId="0" borderId="0">
      <alignment vertical="center"/>
    </xf>
    <xf numFmtId="39" fontId="56" fillId="0" borderId="0">
      <alignment vertical="center"/>
    </xf>
    <xf numFmtId="0" fontId="111" fillId="0" borderId="0">
      <alignment horizontal="left"/>
    </xf>
    <xf numFmtId="39" fontId="56" fillId="0" borderId="0">
      <alignment vertical="center"/>
    </xf>
    <xf numFmtId="39" fontId="56" fillId="0" borderId="0">
      <alignment vertical="center"/>
    </xf>
    <xf numFmtId="0" fontId="74" fillId="2" borderId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218" fillId="0" borderId="69" applyNumberFormat="0" applyFill="0" applyProtection="0"/>
    <xf numFmtId="0" fontId="83" fillId="0" borderId="70" applyNumberFormat="0" applyFill="0" applyProtection="0"/>
    <xf numFmtId="0" fontId="218" fillId="0" borderId="71" applyNumberFormat="0" applyFill="0" applyProtection="0"/>
    <xf numFmtId="0" fontId="83" fillId="0" borderId="69" applyNumberFormat="0" applyFill="0" applyProtection="0"/>
    <xf numFmtId="0" fontId="83" fillId="0" borderId="70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0" fontId="83" fillId="0" borderId="69" applyNumberFormat="0" applyFill="0" applyProtection="0"/>
    <xf numFmtId="3" fontId="2" fillId="8" borderId="72" applyFill="0">
      <alignment vertical="center"/>
    </xf>
    <xf numFmtId="3" fontId="2" fillId="8" borderId="72" applyFill="0">
      <alignment vertical="center"/>
    </xf>
    <xf numFmtId="3" fontId="2" fillId="8" borderId="72" applyFill="0">
      <alignment vertical="center"/>
    </xf>
    <xf numFmtId="3" fontId="2" fillId="8" borderId="72" applyFill="0">
      <alignment vertical="center"/>
    </xf>
    <xf numFmtId="3" fontId="2" fillId="8" borderId="72" applyFill="0">
      <alignment vertical="center"/>
    </xf>
    <xf numFmtId="0" fontId="219" fillId="0" borderId="73" applyNumberFormat="0" applyFill="0">
      <alignment horizontal="left"/>
    </xf>
    <xf numFmtId="0" fontId="219" fillId="0" borderId="73" applyNumberFormat="0">
      <alignment horizontal="left"/>
    </xf>
    <xf numFmtId="0" fontId="219" fillId="0" borderId="73" applyNumberFormat="0">
      <alignment horizontal="left"/>
    </xf>
    <xf numFmtId="0" fontId="219" fillId="0" borderId="73" applyNumberFormat="0">
      <alignment horizontal="left"/>
    </xf>
    <xf numFmtId="0" fontId="219" fillId="0" borderId="73" applyNumberFormat="0">
      <alignment horizontal="left"/>
    </xf>
    <xf numFmtId="0" fontId="220" fillId="0" borderId="73" applyNumberFormat="0" applyFill="0">
      <alignment horizontal="left"/>
    </xf>
    <xf numFmtId="0" fontId="219" fillId="0" borderId="73" applyNumberFormat="0" applyFill="0">
      <alignment horizontal="left"/>
    </xf>
    <xf numFmtId="0" fontId="216" fillId="0" borderId="0" applyNumberFormat="0" applyFill="0" applyBorder="0" applyProtection="0">
      <alignment horizontal="left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55" fillId="0" borderId="3">
      <alignment horizontal="left" vertical="top" indent="1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1" fillId="0" borderId="3">
      <alignment horizontal="left" wrapText="1" indent="4"/>
    </xf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221" fillId="88" borderId="74" applyNumberFormat="0" applyProtection="0"/>
    <xf numFmtId="0" fontId="66" fillId="47" borderId="17" applyNumberFormat="0" applyProtection="0"/>
    <xf numFmtId="0" fontId="221" fillId="88" borderId="74" applyNumberFormat="0" applyProtection="0"/>
    <xf numFmtId="0" fontId="66" fillId="47" borderId="17" applyNumberFormat="0" applyProtection="0"/>
    <xf numFmtId="0" fontId="221" fillId="88" borderId="74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66" fillId="47" borderId="17" applyNumberFormat="0" applyProtection="0"/>
    <xf numFmtId="0" fontId="10" fillId="2" borderId="0"/>
    <xf numFmtId="0" fontId="10" fillId="0" borderId="0">
      <alignment vertical="center"/>
    </xf>
    <xf numFmtId="0" fontId="101" fillId="0" borderId="0">
      <alignment horizontal="center" vertical="top" wrapText="1"/>
    </xf>
    <xf numFmtId="0" fontId="101" fillId="0" borderId="0">
      <alignment horizontal="center" vertical="top" wrapText="1"/>
    </xf>
    <xf numFmtId="0" fontId="101" fillId="0" borderId="0">
      <alignment horizontal="center" vertical="top" wrapText="1"/>
    </xf>
    <xf numFmtId="0" fontId="112" fillId="0" borderId="0">
      <alignment horizontal="center" vertical="center" wrapText="1"/>
    </xf>
    <xf numFmtId="0" fontId="112" fillId="0" borderId="0">
      <alignment horizontal="center" vertical="center" wrapText="1"/>
    </xf>
    <xf numFmtId="0" fontId="51" fillId="8" borderId="0" applyFill="0">
      <alignment wrapText="1"/>
    </xf>
    <xf numFmtId="0" fontId="51" fillId="8" borderId="0" applyFill="0">
      <alignment wrapText="1"/>
    </xf>
    <xf numFmtId="0" fontId="51" fillId="8" borderId="0" applyFill="0">
      <alignment wrapText="1"/>
    </xf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3" fillId="0" borderId="0" applyNumberFormat="0" applyFill="0" applyBorder="0" applyProtection="0"/>
    <xf numFmtId="0" fontId="224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0" fontId="222" fillId="0" borderId="0" applyNumberFormat="0" applyFill="0" applyBorder="0" applyProtection="0"/>
    <xf numFmtId="49" fontId="225" fillId="71" borderId="0">
      <alignment horizontal="left" vertical="center"/>
    </xf>
    <xf numFmtId="49" fontId="225" fillId="71" borderId="0">
      <alignment horizontal="left" vertical="center"/>
    </xf>
    <xf numFmtId="49" fontId="225" fillId="71" borderId="0">
      <alignment horizontal="left" vertical="center"/>
    </xf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226" fillId="16" borderId="0" applyNumberFormat="0" applyBorder="0" applyProtection="0"/>
    <xf numFmtId="0" fontId="149" fillId="25" borderId="0" applyNumberFormat="0" applyBorder="0" applyProtection="0"/>
    <xf numFmtId="0" fontId="226" fillId="89" borderId="0" applyNumberFormat="0" applyBorder="0" applyProtection="0"/>
    <xf numFmtId="0" fontId="149" fillId="25" borderId="0" applyNumberFormat="0" applyBorder="0" applyProtection="0"/>
    <xf numFmtId="0" fontId="226" fillId="16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0" fontId="149" fillId="25" borderId="0" applyNumberFormat="0" applyBorder="0" applyProtection="0"/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330" fontId="8" fillId="0" borderId="75" applyFont="0" applyFill="0" applyBorder="0" applyProtection="0">
      <alignment horizontal="right"/>
    </xf>
    <xf numFmtId="0" fontId="8" fillId="0" borderId="0"/>
    <xf numFmtId="0" fontId="8" fillId="0" borderId="0"/>
    <xf numFmtId="0" fontId="8" fillId="0" borderId="0"/>
    <xf numFmtId="0" fontId="10" fillId="0" borderId="0"/>
    <xf numFmtId="0" fontId="227" fillId="0" borderId="0"/>
    <xf numFmtId="0" fontId="10" fillId="0" borderId="0"/>
    <xf numFmtId="0" fontId="10" fillId="0" borderId="0"/>
    <xf numFmtId="0" fontId="5" fillId="0" borderId="0"/>
    <xf numFmtId="331" fontId="7" fillId="0" borderId="0"/>
    <xf numFmtId="0" fontId="71" fillId="0" borderId="0"/>
    <xf numFmtId="0" fontId="228" fillId="0" borderId="0"/>
    <xf numFmtId="0" fontId="8" fillId="0" borderId="0" applyNumberFormat="0" applyBorder="0"/>
    <xf numFmtId="0" fontId="229" fillId="0" borderId="0"/>
    <xf numFmtId="0" fontId="8" fillId="0" borderId="0"/>
    <xf numFmtId="0" fontId="8" fillId="0" borderId="0"/>
    <xf numFmtId="0" fontId="8" fillId="0" borderId="0"/>
    <xf numFmtId="0" fontId="41" fillId="0" borderId="0"/>
    <xf numFmtId="0" fontId="8" fillId="0" borderId="0"/>
    <xf numFmtId="0" fontId="41" fillId="0" borderId="0"/>
    <xf numFmtId="0" fontId="53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22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41" fillId="0" borderId="0"/>
    <xf numFmtId="0" fontId="41" fillId="0" borderId="0"/>
    <xf numFmtId="33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8" fillId="0" borderId="0"/>
    <xf numFmtId="0" fontId="144" fillId="0" borderId="0"/>
    <xf numFmtId="0" fontId="5" fillId="0" borderId="0"/>
    <xf numFmtId="0" fontId="41" fillId="0" borderId="0"/>
    <xf numFmtId="0" fontId="41" fillId="0" borderId="0"/>
    <xf numFmtId="0" fontId="5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7" fillId="0" borderId="0"/>
    <xf numFmtId="0" fontId="8" fillId="0" borderId="0"/>
    <xf numFmtId="0" fontId="8" fillId="0" borderId="0"/>
    <xf numFmtId="0" fontId="5" fillId="0" borderId="0"/>
    <xf numFmtId="0" fontId="10" fillId="0" borderId="0"/>
    <xf numFmtId="0" fontId="5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332" fontId="10" fillId="0" borderId="0"/>
    <xf numFmtId="0" fontId="8" fillId="0" borderId="0"/>
    <xf numFmtId="0" fontId="230" fillId="0" borderId="0"/>
    <xf numFmtId="0" fontId="10" fillId="0" borderId="0"/>
    <xf numFmtId="0" fontId="5" fillId="0" borderId="0"/>
    <xf numFmtId="0" fontId="2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41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228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32" fillId="0" borderId="0"/>
    <xf numFmtId="0" fontId="5" fillId="0" borderId="0"/>
    <xf numFmtId="0" fontId="10" fillId="0" borderId="0"/>
    <xf numFmtId="0" fontId="186" fillId="0" borderId="0">
      <alignment vertical="top"/>
    </xf>
    <xf numFmtId="0" fontId="10" fillId="0" borderId="0"/>
    <xf numFmtId="0" fontId="8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8" fillId="0" borderId="0"/>
    <xf numFmtId="331" fontId="7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331" fontId="7" fillId="0" borderId="0"/>
    <xf numFmtId="0" fontId="8" fillId="0" borderId="0"/>
    <xf numFmtId="331" fontId="7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233" fillId="0" borderId="0"/>
    <xf numFmtId="0" fontId="5" fillId="0" borderId="0"/>
    <xf numFmtId="0" fontId="2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3" fillId="0" borderId="0"/>
    <xf numFmtId="0" fontId="5" fillId="0" borderId="0"/>
    <xf numFmtId="0" fontId="233" fillId="0" borderId="0"/>
    <xf numFmtId="0" fontId="5" fillId="0" borderId="0"/>
    <xf numFmtId="0" fontId="233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33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31" fontId="7" fillId="0" borderId="0"/>
    <xf numFmtId="0" fontId="8" fillId="0" borderId="0"/>
    <xf numFmtId="0" fontId="2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0" fillId="0" borderId="0"/>
    <xf numFmtId="0" fontId="2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41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2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230" fillId="0" borderId="0"/>
    <xf numFmtId="0" fontId="10" fillId="0" borderId="0"/>
    <xf numFmtId="250" fontId="7" fillId="0" borderId="0"/>
    <xf numFmtId="0" fontId="53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144" fillId="0" borderId="0"/>
    <xf numFmtId="0" fontId="144" fillId="0" borderId="0"/>
    <xf numFmtId="0" fontId="47" fillId="0" borderId="0"/>
    <xf numFmtId="0" fontId="152" fillId="0" borderId="0"/>
    <xf numFmtId="0" fontId="8" fillId="0" borderId="0"/>
    <xf numFmtId="0" fontId="230" fillId="0" borderId="0"/>
    <xf numFmtId="0" fontId="22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4" fillId="0" borderId="0"/>
    <xf numFmtId="0" fontId="234" fillId="0" borderId="0"/>
    <xf numFmtId="0" fontId="8" fillId="0" borderId="0"/>
    <xf numFmtId="0" fontId="230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0" fillId="0" borderId="0"/>
    <xf numFmtId="0" fontId="230" fillId="0" borderId="0"/>
    <xf numFmtId="0" fontId="10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Border="0"/>
    <xf numFmtId="0" fontId="8" fillId="0" borderId="0"/>
    <xf numFmtId="0" fontId="8" fillId="0" borderId="0"/>
    <xf numFmtId="0" fontId="10" fillId="0" borderId="0"/>
    <xf numFmtId="0" fontId="230" fillId="0" borderId="0"/>
    <xf numFmtId="0" fontId="10" fillId="0" borderId="0"/>
    <xf numFmtId="0" fontId="8" fillId="0" borderId="0"/>
    <xf numFmtId="0" fontId="8" fillId="0" borderId="0" applyNumberFormat="0" applyBorder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331" fontId="7" fillId="0" borderId="0"/>
    <xf numFmtId="331" fontId="7" fillId="0" borderId="0"/>
    <xf numFmtId="331" fontId="7" fillId="0" borderId="0"/>
    <xf numFmtId="0" fontId="4" fillId="0" borderId="0"/>
    <xf numFmtId="0" fontId="10" fillId="0" borderId="0"/>
    <xf numFmtId="0" fontId="10" fillId="0" borderId="23" applyNumberFormat="0">
      <alignment vertical="center" wrapText="1"/>
    </xf>
    <xf numFmtId="0" fontId="10" fillId="0" borderId="23" applyNumberFormat="0">
      <alignment vertical="center" wrapText="1"/>
    </xf>
    <xf numFmtId="0" fontId="10" fillId="0" borderId="23" applyNumberFormat="0">
      <alignment vertical="center" wrapText="1"/>
    </xf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6" fillId="0" borderId="0" applyNumberFormat="0" applyFill="0" applyBorder="0" applyProtection="0">
      <alignment vertical="top"/>
      <protection locked="0"/>
    </xf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6" fillId="0" borderId="0" applyNumberFormat="0" applyFill="0" applyBorder="0" applyProtection="0">
      <alignment vertical="top"/>
      <protection locked="0"/>
    </xf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7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235" fillId="0" borderId="0" applyNumberFormat="0" applyFill="0" applyBorder="0" applyProtection="0"/>
    <xf numFmtId="0" fontId="151" fillId="0" borderId="0" applyNumberFormat="0" applyFont="0" applyFill="0" applyBorder="0">
      <alignment horizontal="left"/>
    </xf>
    <xf numFmtId="0" fontId="151" fillId="0" borderId="0" applyNumberFormat="0" applyFont="0" applyFill="0" applyBorder="0">
      <alignment horizontal="left"/>
    </xf>
    <xf numFmtId="0" fontId="151" fillId="0" borderId="0" applyNumberFormat="0" applyFont="0" applyFill="0" applyBorder="0">
      <alignment horizontal="left"/>
    </xf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238" fillId="3" borderId="0" applyNumberFormat="0" applyBorder="0" applyProtection="0"/>
    <xf numFmtId="0" fontId="57" fillId="7" borderId="0" applyNumberFormat="0" applyBorder="0" applyProtection="0"/>
    <xf numFmtId="0" fontId="238" fillId="90" borderId="0" applyNumberFormat="0" applyBorder="0" applyProtection="0"/>
    <xf numFmtId="0" fontId="57" fillId="7" borderId="0" applyNumberFormat="0" applyBorder="0" applyProtection="0"/>
    <xf numFmtId="0" fontId="238" fillId="3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57" fillId="7" borderId="0" applyNumberFormat="0" applyBorder="0" applyProtection="0"/>
    <xf numFmtId="0" fontId="239" fillId="0" borderId="76" applyNumberFormat="0">
      <alignment horizontal="right"/>
    </xf>
    <xf numFmtId="0" fontId="239" fillId="0" borderId="76" applyNumberFormat="0">
      <alignment horizontal="right"/>
    </xf>
    <xf numFmtId="0" fontId="239" fillId="0" borderId="76" applyNumberFormat="0">
      <alignment horizontal="right"/>
    </xf>
    <xf numFmtId="0" fontId="240" fillId="0" borderId="76" applyNumberFormat="0">
      <alignment horizontal="right"/>
    </xf>
    <xf numFmtId="0" fontId="151" fillId="0" borderId="77" applyNumberFormat="0" applyFill="0">
      <alignment horizontal="left"/>
    </xf>
    <xf numFmtId="0" fontId="151" fillId="0" borderId="77" applyNumberFormat="0" applyFill="0">
      <alignment horizontal="left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3" fontId="26" fillId="8" borderId="78" applyFill="0">
      <alignment wrapText="1"/>
    </xf>
    <xf numFmtId="185" fontId="10" fillId="25" borderId="79" applyNumberFormat="0" applyBorder="0">
      <alignment vertical="center"/>
      <protection locked="0"/>
    </xf>
    <xf numFmtId="185" fontId="10" fillId="25" borderId="79" applyNumberFormat="0" applyBorder="0">
      <alignment vertical="center"/>
      <protection locked="0"/>
    </xf>
    <xf numFmtId="0" fontId="216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241" fillId="0" borderId="0" applyNumberFormat="0" applyFill="0" applyBorder="0" applyProtection="0"/>
    <xf numFmtId="0" fontId="87" fillId="0" borderId="0" applyNumberFormat="0" applyFill="0" applyBorder="0" applyProtection="0"/>
    <xf numFmtId="0" fontId="241" fillId="0" borderId="0" applyNumberFormat="0" applyFill="0" applyBorder="0" applyProtection="0"/>
    <xf numFmtId="0" fontId="87" fillId="0" borderId="0" applyNumberFormat="0" applyFill="0" applyBorder="0" applyProtection="0"/>
    <xf numFmtId="0" fontId="241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41" fillId="16" borderId="80" applyNumberFormat="0" applyFont="0" applyProtection="0"/>
    <xf numFmtId="0" fontId="5" fillId="16" borderId="80" applyNumberFormat="0" applyFont="0" applyProtection="0"/>
    <xf numFmtId="0" fontId="5" fillId="16" borderId="80" applyNumberFormat="0" applyFont="0" applyProtection="0"/>
    <xf numFmtId="0" fontId="10" fillId="16" borderId="29" applyNumberFormat="0" applyFont="0" applyProtection="0"/>
    <xf numFmtId="0" fontId="5" fillId="16" borderId="80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0" fontId="10" fillId="16" borderId="29" applyNumberFormat="0" applyFont="0" applyProtection="0"/>
    <xf numFmtId="333" fontId="10" fillId="25" borderId="0" applyFont="0" applyFill="0" applyBorder="0" applyProtection="0">
      <alignment horizontal="right"/>
    </xf>
    <xf numFmtId="9" fontId="10" fillId="0" borderId="0" applyFont="0" applyFill="0" applyBorder="0" applyProtection="0"/>
    <xf numFmtId="9" fontId="242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334" fontId="243" fillId="0" borderId="0" applyFill="0" applyBorder="0" applyProtection="0"/>
    <xf numFmtId="9" fontId="5" fillId="0" borderId="0" applyFont="0" applyFill="0" applyBorder="0" applyProtection="0"/>
    <xf numFmtId="9" fontId="8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10" fillId="0" borderId="0" applyFont="0" applyFill="0" applyBorder="0" applyProtection="0"/>
    <xf numFmtId="9" fontId="144" fillId="0" borderId="0" applyFont="0" applyFill="0" applyBorder="0" applyProtection="0"/>
    <xf numFmtId="9" fontId="10" fillId="0" borderId="0" applyFont="0" applyFill="0" applyBorder="0" applyProtection="0"/>
    <xf numFmtId="9" fontId="10" fillId="0" borderId="0" applyFont="0" applyFill="0" applyBorder="0" applyProtection="0"/>
    <xf numFmtId="9" fontId="10" fillId="0" borderId="0" applyFont="0" applyFill="0" applyBorder="0" applyProtection="0"/>
    <xf numFmtId="9" fontId="8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44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10" fillId="0" borderId="0" applyFont="0" applyFill="0" applyBorder="0" applyProtection="0"/>
    <xf numFmtId="9" fontId="41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9" fontId="10" fillId="0" borderId="0" applyFont="0" applyFill="0" applyBorder="0" applyProtection="0"/>
    <xf numFmtId="9" fontId="228" fillId="0" borderId="0" applyFont="0" applyFill="0" applyBorder="0" applyProtection="0"/>
    <xf numFmtId="9" fontId="8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93" fillId="0" borderId="0" applyFont="0" applyFill="0" applyBorder="0" applyProtection="0"/>
    <xf numFmtId="9" fontId="71" fillId="0" borderId="0" applyFont="0" applyFill="0" applyBorder="0" applyProtection="0"/>
    <xf numFmtId="9" fontId="228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8" fillId="0" borderId="0" applyFont="0" applyFill="0" applyBorder="0" applyProtection="0"/>
    <xf numFmtId="9" fontId="5" fillId="0" borderId="0" applyFont="0" applyFill="0" applyBorder="0" applyProtection="0"/>
    <xf numFmtId="9" fontId="41" fillId="0" borderId="0" applyFont="0" applyFill="0" applyBorder="0" applyProtection="0"/>
    <xf numFmtId="9" fontId="193" fillId="0" borderId="0" applyFont="0" applyFill="0" applyBorder="0" applyProtection="0"/>
    <xf numFmtId="9" fontId="227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10" fillId="0" borderId="0" applyFont="0" applyFill="0" applyBorder="0" applyProtection="0"/>
    <xf numFmtId="9" fontId="10" fillId="0" borderId="0" applyFont="0" applyFill="0" applyBorder="0" applyProtection="0"/>
    <xf numFmtId="9" fontId="5" fillId="0" borderId="0" applyFont="0" applyFill="0" applyBorder="0" applyProtection="0"/>
    <xf numFmtId="334" fontId="243" fillId="0" borderId="0" applyFill="0" applyBorder="0" applyProtection="0"/>
    <xf numFmtId="335" fontId="84" fillId="0" borderId="0" applyFill="0" applyBorder="0" applyProtection="0"/>
    <xf numFmtId="9" fontId="242" fillId="0" borderId="0" applyFont="0" applyFill="0" applyBorder="0" applyProtection="0"/>
    <xf numFmtId="9" fontId="53" fillId="0" borderId="0" applyFont="0" applyFill="0" applyBorder="0" applyProtection="0"/>
    <xf numFmtId="335" fontId="84" fillId="0" borderId="0" applyFill="0" applyBorder="0" applyProtection="0"/>
    <xf numFmtId="9" fontId="242" fillId="0" borderId="0" applyFont="0" applyFill="0" applyBorder="0" applyProtection="0"/>
    <xf numFmtId="9" fontId="8" fillId="0" borderId="0" applyFont="0" applyFill="0" applyBorder="0" applyProtection="0"/>
    <xf numFmtId="9" fontId="8" fillId="0" borderId="0" applyFont="0" applyFill="0" applyBorder="0" applyProtection="0"/>
    <xf numFmtId="9" fontId="162" fillId="0" borderId="0" applyFont="0" applyFill="0" applyBorder="0" applyProtection="0"/>
    <xf numFmtId="9" fontId="5" fillId="0" borderId="0" applyFont="0" applyFill="0" applyBorder="0" applyProtection="0"/>
    <xf numFmtId="9" fontId="8" fillId="0" borderId="0" applyFont="0" applyFill="0" applyBorder="0" applyProtection="0"/>
    <xf numFmtId="9" fontId="10" fillId="0" borderId="0" applyFont="0" applyFill="0" applyBorder="0" applyProtection="0"/>
    <xf numFmtId="9" fontId="8" fillId="0" borderId="0" applyFont="0" applyFill="0" applyBorder="0" applyProtection="0"/>
    <xf numFmtId="9" fontId="8" fillId="0" borderId="0" applyFont="0" applyFill="0" applyBorder="0" applyProtection="0"/>
    <xf numFmtId="9" fontId="53" fillId="0" borderId="0" applyFont="0" applyFill="0" applyBorder="0" applyProtection="0"/>
    <xf numFmtId="336" fontId="244" fillId="0" borderId="0" applyFill="0" applyBorder="0"/>
    <xf numFmtId="336" fontId="244" fillId="0" borderId="0" applyFill="0" applyBorder="0"/>
    <xf numFmtId="336" fontId="244" fillId="0" borderId="0" applyFill="0" applyBorder="0"/>
    <xf numFmtId="0" fontId="10" fillId="10" borderId="0">
      <alignment horizontal="center" vertical="top"/>
    </xf>
    <xf numFmtId="0" fontId="216" fillId="0" borderId="0" applyNumberFormat="0" applyFill="0" applyBorder="0" applyProtection="0"/>
    <xf numFmtId="0" fontId="245" fillId="0" borderId="14"/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0" fillId="0" borderId="31" applyNumberFormat="0" applyFont="0">
      <alignment horizontal="center" vertical="center"/>
    </xf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246" fillId="0" borderId="81" applyNumberFormat="0" applyFill="0" applyProtection="0"/>
    <xf numFmtId="0" fontId="145" fillId="0" borderId="38" applyNumberFormat="0" applyFill="0" applyProtection="0"/>
    <xf numFmtId="0" fontId="246" fillId="0" borderId="81" applyNumberFormat="0" applyFill="0" applyProtection="0"/>
    <xf numFmtId="0" fontId="145" fillId="0" borderId="38" applyNumberFormat="0" applyFill="0" applyProtection="0"/>
    <xf numFmtId="0" fontId="246" fillId="0" borderId="81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145" fillId="0" borderId="38" applyNumberFormat="0" applyFill="0" applyProtection="0"/>
    <xf numFmtId="0" fontId="26" fillId="8" borderId="72" applyNumberFormat="0" applyFill="0">
      <alignment horizontal="center" vertical="center" wrapText="1"/>
    </xf>
    <xf numFmtId="0" fontId="26" fillId="8" borderId="72" applyNumberFormat="0" applyFill="0">
      <alignment horizontal="center" vertical="center" wrapText="1"/>
    </xf>
    <xf numFmtId="0" fontId="26" fillId="8" borderId="72" applyNumberFormat="0" applyFill="0">
      <alignment horizontal="center" vertical="center" wrapText="1"/>
    </xf>
    <xf numFmtId="3" fontId="9" fillId="0" borderId="0">
      <alignment horizontal="center" vertical="center" wrapText="1"/>
    </xf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8" fillId="0" borderId="0"/>
    <xf numFmtId="0" fontId="8" fillId="0" borderId="0"/>
    <xf numFmtId="0" fontId="10" fillId="0" borderId="0"/>
    <xf numFmtId="0" fontId="4" fillId="0" borderId="0"/>
    <xf numFmtId="0" fontId="4" fillId="0" borderId="0"/>
    <xf numFmtId="0" fontId="10" fillId="0" borderId="0">
      <alignment vertical="justify"/>
    </xf>
    <xf numFmtId="0" fontId="10" fillId="0" borderId="19" applyBorder="0">
      <alignment horizontal="left" wrapText="1"/>
    </xf>
    <xf numFmtId="0" fontId="10" fillId="0" borderId="0"/>
    <xf numFmtId="49" fontId="10" fillId="0" borderId="0" applyFill="0" applyBorder="0" applyProtection="0">
      <alignment horizontal="center" vertical="top" wrapText="1"/>
    </xf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247" fillId="0" borderId="0" applyNumberFormat="0" applyFill="0" applyBorder="0" applyProtection="0"/>
    <xf numFmtId="0" fontId="192" fillId="0" borderId="0" applyNumberFormat="0" applyFill="0" applyBorder="0" applyProtection="0"/>
    <xf numFmtId="0" fontId="247" fillId="0" borderId="0" applyNumberFormat="0" applyFill="0" applyBorder="0" applyProtection="0"/>
    <xf numFmtId="0" fontId="192" fillId="0" borderId="0" applyNumberFormat="0" applyFill="0" applyBorder="0" applyProtection="0"/>
    <xf numFmtId="0" fontId="247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0" fontId="192" fillId="0" borderId="0" applyNumberFormat="0" applyFill="0" applyBorder="0" applyProtection="0"/>
    <xf numFmtId="49" fontId="51" fillId="0" borderId="0">
      <alignment horizontal="center"/>
    </xf>
    <xf numFmtId="49" fontId="51" fillId="0" borderId="0">
      <alignment horizontal="center"/>
    </xf>
    <xf numFmtId="49" fontId="51" fillId="0" borderId="0">
      <alignment horizontal="center"/>
    </xf>
    <xf numFmtId="337" fontId="151" fillId="0" borderId="0" applyFont="0" applyFill="0" applyBorder="0" applyProtection="0"/>
    <xf numFmtId="337" fontId="151" fillId="0" borderId="0" applyFont="0" applyFill="0" applyBorder="0" applyProtection="0"/>
    <xf numFmtId="337" fontId="151" fillId="0" borderId="0" applyFont="0" applyFill="0" applyBorder="0" applyProtection="0"/>
    <xf numFmtId="330" fontId="10" fillId="0" borderId="0"/>
    <xf numFmtId="39" fontId="56" fillId="0" borderId="0">
      <alignment vertical="center"/>
    </xf>
    <xf numFmtId="39" fontId="56" fillId="0" borderId="0">
      <alignment vertical="center"/>
    </xf>
    <xf numFmtId="177" fontId="60" fillId="0" borderId="0"/>
    <xf numFmtId="177" fontId="60" fillId="0" borderId="0"/>
    <xf numFmtId="338" fontId="231" fillId="0" borderId="0"/>
    <xf numFmtId="339" fontId="10" fillId="2" borderId="3" applyFont="0" applyFill="0" applyBorder="0" applyProtection="0"/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248" fontId="2" fillId="0" borderId="82" applyFont="0" applyFill="0" applyBorder="0" applyProtection="0">
      <alignment horizontal="center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0" fontId="2" fillId="0" borderId="3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341" fontId="10" fillId="0" borderId="19" applyFont="0" applyFill="0" applyBorder="0" applyProtection="0">
      <alignment wrapText="1"/>
    </xf>
    <xf numFmtId="287" fontId="10" fillId="0" borderId="0" applyFont="0" applyFill="0" applyBorder="0" applyProtection="0"/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" fontId="10" fillId="0" borderId="19" applyFont="0" applyBorder="0">
      <alignment horizontal="right"/>
      <protection locked="0"/>
    </xf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339" fontId="10" fillId="2" borderId="3" applyFont="0" applyFill="0" applyBorder="0" applyProtection="0"/>
    <xf numFmtId="248" fontId="10" fillId="2" borderId="3" applyFont="0" applyFill="0" applyBorder="0" applyProtection="0"/>
    <xf numFmtId="0" fontId="216" fillId="0" borderId="0" applyNumberFormat="0" applyFill="0" applyBorder="0" applyProtection="0"/>
    <xf numFmtId="226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186" fontId="8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242" fillId="0" borderId="0" applyFont="0" applyFill="0" applyBorder="0" applyProtection="0"/>
    <xf numFmtId="287" fontId="41" fillId="0" borderId="0" applyFont="0" applyFill="0" applyBorder="0" applyProtection="0"/>
    <xf numFmtId="287" fontId="5" fillId="0" borderId="0" applyFont="0" applyFill="0" applyBorder="0" applyProtection="0"/>
    <xf numFmtId="186" fontId="8" fillId="0" borderId="0" applyFont="0" applyFill="0" applyBorder="0" applyProtection="0"/>
    <xf numFmtId="287" fontId="242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87" fontId="10" fillId="0" borderId="0" applyFont="0" applyFill="0" applyBorder="0" applyProtection="0"/>
    <xf numFmtId="226" fontId="10" fillId="0" borderId="0" applyFont="0" applyFill="0" applyBorder="0" applyProtection="0"/>
    <xf numFmtId="226" fontId="193" fillId="0" borderId="0" applyFont="0" applyFill="0" applyBorder="0" applyProtection="0"/>
    <xf numFmtId="226" fontId="10" fillId="0" borderId="0" applyFont="0" applyFill="0" applyBorder="0" applyProtection="0"/>
    <xf numFmtId="226" fontId="8" fillId="0" borderId="0" applyFont="0" applyFill="0" applyBorder="0" applyProtection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226" fontId="41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226" fontId="41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226" fontId="41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226" fontId="41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226" fontId="41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193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10" fontId="8" fillId="0" borderId="0" applyFont="0" applyFill="0" applyBorder="0" applyProtection="0"/>
    <xf numFmtId="226" fontId="10" fillId="0" borderId="0" applyFont="0" applyFill="0" applyBorder="0" applyProtection="0"/>
    <xf numFmtId="43" fontId="5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43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10" fillId="0" borderId="0" applyFont="0" applyFill="0" applyBorder="0" applyProtection="0"/>
    <xf numFmtId="226" fontId="41" fillId="0" borderId="0" applyFont="0" applyFill="0" applyBorder="0" applyProtection="0"/>
    <xf numFmtId="226" fontId="5" fillId="0" borderId="0" applyFont="0" applyFill="0" applyBorder="0" applyProtection="0"/>
    <xf numFmtId="226" fontId="10" fillId="0" borderId="0" applyFont="0" applyFill="0" applyBorder="0" applyProtection="0"/>
    <xf numFmtId="243" fontId="41" fillId="0" borderId="0" applyFont="0" applyFill="0" applyBorder="0" applyProtection="0"/>
    <xf numFmtId="0" fontId="8" fillId="0" borderId="0" applyFont="0" applyFill="0" applyBorder="0" applyProtection="0"/>
    <xf numFmtId="226" fontId="5" fillId="0" borderId="0" applyFont="0" applyFill="0" applyBorder="0" applyProtection="0"/>
    <xf numFmtId="0" fontId="8" fillId="0" borderId="0" applyFont="0" applyFill="0" applyBorder="0" applyProtection="0"/>
    <xf numFmtId="226" fontId="41" fillId="0" borderId="0" applyFont="0" applyFill="0" applyBorder="0" applyProtection="0"/>
    <xf numFmtId="243" fontId="8" fillId="0" borderId="0" applyFont="0" applyFill="0" applyBorder="0" applyProtection="0"/>
    <xf numFmtId="226" fontId="10" fillId="0" borderId="0" applyFont="0" applyFill="0" applyBorder="0" applyProtection="0"/>
    <xf numFmtId="226" fontId="41" fillId="0" borderId="0" applyFont="0" applyFill="0" applyBorder="0" applyProtection="0"/>
    <xf numFmtId="226" fontId="10" fillId="0" borderId="0" applyFont="0" applyFill="0" applyBorder="0" applyProtection="0"/>
    <xf numFmtId="226" fontId="144" fillId="0" borderId="0" applyFont="0" applyFill="0" applyBorder="0" applyProtection="0"/>
    <xf numFmtId="226" fontId="10" fillId="0" borderId="0" applyFont="0" applyFill="0" applyBorder="0" applyProtection="0"/>
    <xf numFmtId="252" fontId="41" fillId="0" borderId="0"/>
    <xf numFmtId="226" fontId="10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41" fillId="0" borderId="0" applyFont="0" applyFill="0" applyBorder="0" applyProtection="0"/>
    <xf numFmtId="226" fontId="10" fillId="0" borderId="0" applyFont="0" applyFill="0" applyBorder="0" applyProtection="0"/>
    <xf numFmtId="243" fontId="8" fillId="0" borderId="0" applyFont="0" applyFill="0" applyBorder="0" applyProtection="0"/>
    <xf numFmtId="226" fontId="41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43" fontId="8" fillId="0" borderId="0" applyFont="0" applyFill="0" applyBorder="0" applyProtection="0"/>
    <xf numFmtId="226" fontId="41" fillId="0" borderId="0" applyFont="0" applyFill="0" applyBorder="0" applyProtection="0"/>
    <xf numFmtId="226" fontId="5" fillId="0" borderId="0" applyFont="0" applyFill="0" applyBorder="0" applyProtection="0"/>
    <xf numFmtId="243" fontId="8" fillId="0" borderId="0" applyFont="0" applyFill="0" applyBorder="0" applyProtection="0"/>
    <xf numFmtId="248" fontId="41" fillId="0" borderId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5" fillId="0" borderId="0" applyFont="0" applyFill="0" applyBorder="0" applyProtection="0"/>
    <xf numFmtId="226" fontId="227" fillId="0" borderId="0" applyFont="0" applyFill="0" applyBorder="0" applyProtection="0"/>
    <xf numFmtId="226" fontId="5" fillId="0" borderId="0" applyFont="0" applyFill="0" applyBorder="0" applyProtection="0"/>
    <xf numFmtId="226" fontId="227" fillId="0" borderId="0" applyFont="0" applyFill="0" applyBorder="0" applyProtection="0"/>
    <xf numFmtId="226" fontId="10" fillId="0" borderId="0" applyFont="0" applyFill="0" applyBorder="0" applyProtection="0"/>
    <xf numFmtId="243" fontId="8" fillId="0" borderId="0" applyFont="0" applyFill="0" applyBorder="0" applyProtection="0"/>
    <xf numFmtId="226" fontId="10" fillId="0" borderId="0" applyFont="0" applyFill="0" applyBorder="0" applyProtection="0"/>
    <xf numFmtId="243" fontId="8" fillId="0" borderId="0" applyFont="0" applyFill="0" applyBorder="0" applyProtection="0"/>
    <xf numFmtId="226" fontId="41" fillId="0" borderId="0" applyFont="0" applyFill="0" applyBorder="0" applyProtection="0"/>
    <xf numFmtId="226" fontId="5" fillId="0" borderId="0" applyFont="0" applyFill="0" applyBorder="0" applyProtection="0"/>
    <xf numFmtId="343" fontId="8" fillId="0" borderId="0" applyFont="0" applyFill="0" applyBorder="0" applyProtection="0"/>
    <xf numFmtId="226" fontId="5" fillId="0" borderId="0" applyFont="0" applyFill="0" applyBorder="0" applyProtection="0"/>
    <xf numFmtId="226" fontId="193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26" fontId="144" fillId="0" borderId="0" applyFont="0" applyFill="0" applyBorder="0" applyProtection="0"/>
    <xf numFmtId="185" fontId="8" fillId="0" borderId="0" applyFont="0" applyFill="0" applyBorder="0" applyProtection="0"/>
    <xf numFmtId="185" fontId="8" fillId="0" borderId="0" applyFont="0" applyFill="0" applyBorder="0" applyProtection="0"/>
    <xf numFmtId="243" fontId="8" fillId="0" borderId="0" applyFont="0" applyFill="0" applyBorder="0" applyProtection="0"/>
    <xf numFmtId="226" fontId="41" fillId="0" borderId="0" applyFont="0" applyFill="0" applyBorder="0" applyProtection="0"/>
    <xf numFmtId="226" fontId="5" fillId="0" borderId="0" applyFont="0" applyFill="0" applyBorder="0" applyProtection="0"/>
    <xf numFmtId="226" fontId="8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26" fontId="8" fillId="0" borderId="0" applyFont="0" applyFill="0" applyBorder="0" applyProtection="0"/>
    <xf numFmtId="185" fontId="8" fillId="0" borderId="0" applyFont="0" applyFill="0" applyBorder="0" applyProtection="0"/>
    <xf numFmtId="226" fontId="193" fillId="0" borderId="0" applyFont="0" applyFill="0" applyBorder="0" applyProtection="0"/>
    <xf numFmtId="226" fontId="8" fillId="0" borderId="0" applyFont="0" applyFill="0" applyBorder="0" applyProtection="0"/>
    <xf numFmtId="226" fontId="8" fillId="0" borderId="0" applyFont="0" applyFill="0" applyBorder="0" applyProtection="0"/>
    <xf numFmtId="243" fontId="8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226" fontId="229" fillId="0" borderId="0" applyFont="0" applyFill="0" applyBorder="0" applyProtection="0"/>
    <xf numFmtId="226" fontId="229" fillId="0" borderId="0" applyFont="0" applyFill="0" applyBorder="0" applyProtection="0"/>
    <xf numFmtId="185" fontId="8" fillId="0" borderId="0" applyFont="0" applyFill="0" applyBorder="0" applyProtection="0"/>
    <xf numFmtId="226" fontId="193" fillId="0" borderId="0" applyFont="0" applyFill="0" applyBorder="0" applyProtection="0"/>
    <xf numFmtId="243" fontId="5" fillId="0" borderId="0" applyFont="0" applyFill="0" applyBorder="0" applyProtection="0"/>
    <xf numFmtId="226" fontId="10" fillId="0" borderId="0" applyFont="0" applyFill="0" applyBorder="0" applyProtection="0"/>
    <xf numFmtId="226" fontId="10" fillId="0" borderId="0" applyFont="0" applyFill="0" applyBorder="0" applyProtection="0"/>
    <xf numFmtId="226" fontId="144" fillId="0" borderId="0" applyFont="0" applyFill="0" applyBorder="0" applyProtection="0"/>
    <xf numFmtId="226" fontId="144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226" fontId="229" fillId="0" borderId="0" applyFont="0" applyFill="0" applyBorder="0" applyProtection="0"/>
    <xf numFmtId="226" fontId="229" fillId="0" borderId="0" applyFont="0" applyFill="0" applyBorder="0" applyProtection="0"/>
    <xf numFmtId="226" fontId="229" fillId="0" borderId="0" applyFont="0" applyFill="0" applyBorder="0" applyProtection="0"/>
    <xf numFmtId="226" fontId="118" fillId="0" borderId="0" applyFont="0" applyFill="0" applyBorder="0" applyProtection="0"/>
    <xf numFmtId="226" fontId="193" fillId="0" borderId="0" applyFont="0" applyFill="0" applyBorder="0" applyProtection="0"/>
    <xf numFmtId="226" fontId="10" fillId="0" borderId="0" applyFont="0" applyFill="0" applyBorder="0" applyProtection="0"/>
    <xf numFmtId="243" fontId="5" fillId="0" borderId="0" applyFont="0" applyFill="0" applyBorder="0" applyProtection="0"/>
    <xf numFmtId="243" fontId="5" fillId="0" borderId="0" applyFont="0" applyFill="0" applyBorder="0" applyProtection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226" fontId="5" fillId="0" borderId="0" applyFont="0" applyFill="0" applyBorder="0" applyProtection="0"/>
    <xf numFmtId="226" fontId="193" fillId="0" borderId="0" applyFont="0" applyFill="0" applyBorder="0" applyProtection="0"/>
    <xf numFmtId="226" fontId="10" fillId="0" borderId="0" applyFont="0" applyFill="0" applyBorder="0" applyProtection="0"/>
    <xf numFmtId="243" fontId="5" fillId="0" borderId="0" applyFont="0" applyFill="0" applyBorder="0" applyProtection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342" fontId="41" fillId="0" borderId="0"/>
    <xf numFmtId="4" fontId="217" fillId="8" borderId="0" applyBorder="0">
      <alignment horizontal="right"/>
    </xf>
    <xf numFmtId="4" fontId="217" fillId="8" borderId="0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11" borderId="83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4" fontId="217" fillId="8" borderId="84" applyBorder="0">
      <alignment horizontal="right"/>
    </xf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248" fillId="21" borderId="0" applyNumberFormat="0" applyBorder="0" applyProtection="0"/>
    <xf numFmtId="0" fontId="93" fillId="8" borderId="0" applyNumberFormat="0" applyBorder="0" applyProtection="0"/>
    <xf numFmtId="0" fontId="248" fillId="91" borderId="0" applyNumberFormat="0" applyBorder="0" applyProtection="0"/>
    <xf numFmtId="0" fontId="93" fillId="8" borderId="0" applyNumberFormat="0" applyBorder="0" applyProtection="0"/>
    <xf numFmtId="0" fontId="248" fillId="21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0" fontId="93" fillId="8" borderId="0" applyNumberFormat="0" applyBorder="0" applyProtection="0"/>
    <xf numFmtId="2" fontId="10" fillId="0" borderId="85" applyFill="0" applyBorder="0" applyProtection="0">
      <alignment horizontal="center" vertical="top" wrapText="1"/>
    </xf>
    <xf numFmtId="2" fontId="10" fillId="0" borderId="85" applyFill="0" applyBorder="0" applyProtection="0">
      <alignment horizontal="center" vertical="top" wrapText="1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0" fontId="61" fillId="0" borderId="3">
      <alignment horizontal="center" vertical="center" wrapText="1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197" fontId="10" fillId="92" borderId="3">
      <alignment horizontal="center" vertical="center"/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8" fillId="0" borderId="0"/>
    <xf numFmtId="0" fontId="40" fillId="0" borderId="0"/>
    <xf numFmtId="0" fontId="134" fillId="0" borderId="0"/>
    <xf numFmtId="344" fontId="10" fillId="0" borderId="0" applyFont="0" applyFill="0" applyBorder="0" applyProtection="0"/>
    <xf numFmtId="345" fontId="10" fillId="0" borderId="0" applyFont="0" applyFill="0" applyBorder="0" applyProtection="0"/>
    <xf numFmtId="346" fontId="10" fillId="0" borderId="86" applyFont="0" applyFill="0" applyBorder="0" applyProtection="0">
      <alignment vertical="center"/>
    </xf>
    <xf numFmtId="347" fontId="10" fillId="0" borderId="86" applyFont="0" applyFill="0" applyBorder="0" applyProtection="0">
      <alignment vertical="center"/>
    </xf>
  </cellStyleXfs>
  <cellXfs count="535">
    <xf numFmtId="0" fontId="0" fillId="0" borderId="0" xfId="0"/>
    <xf numFmtId="0" fontId="249" fillId="0" borderId="0" xfId="0" applyFont="1"/>
    <xf numFmtId="0" fontId="249" fillId="0" borderId="0" xfId="0" applyFont="1" applyAlignment="1">
      <alignment horizontal="center" vertical="center"/>
    </xf>
    <xf numFmtId="0" fontId="250" fillId="0" borderId="0" xfId="0" applyFont="1"/>
    <xf numFmtId="0" fontId="251" fillId="0" borderId="0" xfId="0" applyFont="1"/>
    <xf numFmtId="0" fontId="250" fillId="93" borderId="3" xfId="0" applyFont="1" applyFill="1" applyBorder="1" applyAlignment="1">
      <alignment horizontal="center" vertical="center"/>
    </xf>
    <xf numFmtId="0" fontId="250" fillId="93" borderId="3" xfId="0" applyFont="1" applyFill="1" applyBorder="1"/>
    <xf numFmtId="0" fontId="249" fillId="94" borderId="3" xfId="0" applyFont="1" applyFill="1" applyBorder="1" applyAlignment="1">
      <alignment horizontal="center" vertical="center"/>
    </xf>
    <xf numFmtId="0" fontId="249" fillId="94" borderId="3" xfId="0" applyFont="1" applyFill="1" applyBorder="1" applyAlignment="1">
      <alignment horizontal="left" vertical="center"/>
    </xf>
    <xf numFmtId="9" fontId="249" fillId="0" borderId="3" xfId="55071" applyNumberFormat="1" applyFont="1" applyBorder="1" applyAlignment="1" applyProtection="1">
      <alignment horizontal="right" vertical="center"/>
      <protection locked="0"/>
    </xf>
    <xf numFmtId="0" fontId="249" fillId="94" borderId="3" xfId="0" applyFont="1" applyFill="1" applyBorder="1" applyAlignment="1">
      <alignment wrapText="1"/>
    </xf>
    <xf numFmtId="9" fontId="249" fillId="0" borderId="3" xfId="55071" applyNumberFormat="1" applyFont="1" applyBorder="1" applyAlignment="1" applyProtection="1">
      <alignment vertical="center"/>
      <protection locked="0"/>
    </xf>
    <xf numFmtId="3" fontId="249" fillId="0" borderId="3" xfId="55071" applyNumberFormat="1" applyFont="1" applyBorder="1" applyAlignment="1" applyProtection="1">
      <alignment horizontal="right" vertical="center"/>
      <protection locked="0"/>
    </xf>
    <xf numFmtId="0" fontId="250" fillId="93" borderId="82" xfId="0" applyFont="1" applyFill="1" applyBorder="1"/>
    <xf numFmtId="17" fontId="250" fillId="95" borderId="8" xfId="0" applyNumberFormat="1" applyFont="1" applyFill="1" applyBorder="1" applyAlignment="1" applyProtection="1">
      <alignment horizontal="center" vertical="center"/>
      <protection locked="0"/>
    </xf>
    <xf numFmtId="17" fontId="250" fillId="93" borderId="87" xfId="0" applyNumberFormat="1" applyFont="1" applyFill="1" applyBorder="1" applyAlignment="1">
      <alignment horizontal="center" vertical="center"/>
    </xf>
    <xf numFmtId="17" fontId="250" fillId="93" borderId="3" xfId="0" applyNumberFormat="1" applyFont="1" applyFill="1" applyBorder="1" applyAlignment="1">
      <alignment horizontal="center" vertical="center"/>
    </xf>
    <xf numFmtId="0" fontId="249" fillId="94" borderId="3" xfId="0" applyFont="1" applyFill="1" applyBorder="1"/>
    <xf numFmtId="9" fontId="252" fillId="94" borderId="88" xfId="55071" applyNumberFormat="1" applyFont="1" applyFill="1" applyBorder="1" applyAlignment="1">
      <alignment horizontal="right" vertical="center"/>
    </xf>
    <xf numFmtId="9" fontId="252" fillId="94" borderId="3" xfId="55071" applyNumberFormat="1" applyFont="1" applyFill="1" applyBorder="1" applyAlignment="1">
      <alignment horizontal="right" vertical="center"/>
    </xf>
    <xf numFmtId="3" fontId="61" fillId="0" borderId="0" xfId="0" applyNumberFormat="1" applyFont="1" applyAlignment="1" applyProtection="1">
      <alignment vertical="center"/>
    </xf>
    <xf numFmtId="3" fontId="61" fillId="0" borderId="0" xfId="54340" applyNumberFormat="1" applyFont="1" applyAlignment="1" applyProtection="1">
      <alignment horizontal="left" vertical="center"/>
    </xf>
    <xf numFmtId="3" fontId="61" fillId="0" borderId="0" xfId="54340" applyNumberFormat="1" applyFont="1" applyAlignment="1" applyProtection="1">
      <alignment vertical="center" wrapText="1"/>
    </xf>
    <xf numFmtId="3" fontId="61" fillId="0" borderId="0" xfId="56791" applyNumberFormat="1" applyFont="1" applyAlignment="1" applyProtection="1">
      <alignment vertical="center"/>
    </xf>
    <xf numFmtId="3" fontId="253" fillId="0" borderId="0" xfId="56791" applyNumberFormat="1" applyFont="1" applyAlignment="1" applyProtection="1">
      <alignment vertical="center"/>
    </xf>
    <xf numFmtId="3" fontId="253" fillId="0" borderId="0" xfId="0" applyNumberFormat="1" applyFont="1" applyAlignment="1" applyProtection="1">
      <alignment vertical="center"/>
    </xf>
    <xf numFmtId="3" fontId="11" fillId="0" borderId="0" xfId="56791" applyNumberFormat="1" applyFont="1" applyAlignment="1" applyProtection="1">
      <alignment vertical="center"/>
    </xf>
    <xf numFmtId="3" fontId="134" fillId="0" borderId="0" xfId="0" applyNumberFormat="1" applyFont="1" applyAlignment="1" applyProtection="1">
      <alignment vertical="center"/>
    </xf>
    <xf numFmtId="3" fontId="134" fillId="0" borderId="0" xfId="54340" applyNumberFormat="1" applyFont="1" applyAlignment="1" applyProtection="1">
      <alignment horizontal="left" vertical="center"/>
    </xf>
    <xf numFmtId="3" fontId="134" fillId="0" borderId="0" xfId="54340" applyNumberFormat="1" applyFont="1" applyAlignment="1" applyProtection="1">
      <alignment vertical="center" wrapText="1"/>
    </xf>
    <xf numFmtId="3" fontId="134" fillId="0" borderId="0" xfId="56791" applyNumberFormat="1" applyFont="1" applyAlignment="1" applyProtection="1">
      <alignment horizontal="center" vertical="center"/>
    </xf>
    <xf numFmtId="3" fontId="134" fillId="0" borderId="0" xfId="56791" applyNumberFormat="1" applyFont="1" applyAlignment="1" applyProtection="1">
      <alignment vertical="center"/>
    </xf>
    <xf numFmtId="3" fontId="255" fillId="0" borderId="0" xfId="56791" applyNumberFormat="1" applyFont="1" applyAlignment="1" applyProtection="1">
      <alignment vertical="center"/>
    </xf>
    <xf numFmtId="3" fontId="255" fillId="0" borderId="0" xfId="0" applyNumberFormat="1" applyFont="1" applyAlignment="1" applyProtection="1">
      <alignment vertical="center"/>
    </xf>
    <xf numFmtId="3" fontId="61" fillId="0" borderId="0" xfId="0" applyNumberFormat="1" applyFont="1" applyAlignment="1" applyProtection="1">
      <alignment horizontal="center" vertical="center"/>
    </xf>
    <xf numFmtId="17" fontId="253" fillId="93" borderId="3" xfId="56791" applyNumberFormat="1" applyFont="1" applyFill="1" applyBorder="1" applyAlignment="1" applyProtection="1">
      <alignment horizontal="center" vertical="center" wrapText="1"/>
    </xf>
    <xf numFmtId="3" fontId="253" fillId="0" borderId="95" xfId="54340" applyNumberFormat="1" applyFont="1" applyBorder="1" applyAlignment="1" applyProtection="1">
      <alignment horizontal="center" vertical="center"/>
    </xf>
    <xf numFmtId="3" fontId="253" fillId="0" borderId="3" xfId="54340" applyNumberFormat="1" applyFont="1" applyBorder="1" applyAlignment="1" applyProtection="1">
      <alignment vertical="center" wrapText="1"/>
    </xf>
    <xf numFmtId="3" fontId="253" fillId="0" borderId="3" xfId="54340" applyNumberFormat="1" applyFont="1" applyBorder="1" applyAlignment="1" applyProtection="1">
      <alignment horizontal="right" vertical="center" wrapText="1"/>
    </xf>
    <xf numFmtId="3" fontId="253" fillId="83" borderId="3" xfId="56791" applyNumberFormat="1" applyFont="1" applyFill="1" applyBorder="1" applyAlignment="1" applyProtection="1">
      <alignment horizontal="right" vertical="center"/>
    </xf>
    <xf numFmtId="3" fontId="253" fillId="83" borderId="82" xfId="56791" applyNumberFormat="1" applyFont="1" applyFill="1" applyBorder="1" applyAlignment="1" applyProtection="1">
      <alignment horizontal="right" vertical="center"/>
    </xf>
    <xf numFmtId="3" fontId="253" fillId="83" borderId="3" xfId="56694" applyNumberFormat="1" applyFont="1" applyFill="1" applyBorder="1" applyAlignment="1" applyProtection="1">
      <alignment horizontal="right" vertical="center"/>
    </xf>
    <xf numFmtId="3" fontId="253" fillId="83" borderId="3" xfId="0" applyNumberFormat="1" applyFont="1" applyFill="1" applyBorder="1" applyAlignment="1" applyProtection="1">
      <alignment horizontal="right" vertical="center"/>
    </xf>
    <xf numFmtId="3" fontId="253" fillId="83" borderId="82" xfId="0" applyNumberFormat="1" applyFont="1" applyFill="1" applyBorder="1" applyAlignment="1" applyProtection="1">
      <alignment horizontal="right" vertical="center"/>
    </xf>
    <xf numFmtId="3" fontId="253" fillId="96" borderId="94" xfId="0" applyNumberFormat="1" applyFont="1" applyFill="1" applyBorder="1" applyAlignment="1" applyProtection="1">
      <alignment horizontal="right" vertical="center"/>
    </xf>
    <xf numFmtId="3" fontId="253" fillId="97" borderId="3" xfId="56791" applyNumberFormat="1" applyFont="1" applyFill="1" applyBorder="1" applyAlignment="1" applyProtection="1">
      <alignment horizontal="right" vertical="center"/>
    </xf>
    <xf numFmtId="3" fontId="253" fillId="97" borderId="82" xfId="56791" applyNumberFormat="1" applyFont="1" applyFill="1" applyBorder="1" applyAlignment="1" applyProtection="1">
      <alignment horizontal="right" vertical="center"/>
    </xf>
    <xf numFmtId="3" fontId="253" fillId="97" borderId="3" xfId="0" applyNumberFormat="1" applyFont="1" applyFill="1" applyBorder="1" applyAlignment="1" applyProtection="1">
      <alignment horizontal="right" vertical="center"/>
    </xf>
    <xf numFmtId="3" fontId="253" fillId="97" borderId="82" xfId="0" applyNumberFormat="1" applyFont="1" applyFill="1" applyBorder="1" applyAlignment="1" applyProtection="1">
      <alignment horizontal="right" vertical="center"/>
    </xf>
    <xf numFmtId="3" fontId="253" fillId="0" borderId="0" xfId="0" applyNumberFormat="1" applyFont="1" applyAlignment="1" applyProtection="1">
      <alignment vertical="center"/>
      <protection locked="0"/>
    </xf>
    <xf numFmtId="49" fontId="61" fillId="0" borderId="95" xfId="54340" applyNumberFormat="1" applyFont="1" applyBorder="1" applyAlignment="1" applyProtection="1">
      <alignment horizontal="center" vertical="center"/>
      <protection locked="0"/>
    </xf>
    <xf numFmtId="3" fontId="256" fillId="0" borderId="3" xfId="54340" applyNumberFormat="1" applyFont="1" applyBorder="1" applyAlignment="1" applyProtection="1">
      <alignment vertical="center" wrapText="1"/>
      <protection locked="0"/>
    </xf>
    <xf numFmtId="3" fontId="61" fillId="0" borderId="3" xfId="54340" applyNumberFormat="1" applyFont="1" applyBorder="1" applyAlignment="1" applyProtection="1">
      <alignment horizontal="right" vertical="center" wrapText="1"/>
      <protection locked="0"/>
    </xf>
    <xf numFmtId="3" fontId="61" fillId="95" borderId="3" xfId="56791" applyNumberFormat="1" applyFont="1" applyFill="1" applyBorder="1" applyAlignment="1" applyProtection="1">
      <alignment horizontal="right" vertical="center"/>
      <protection locked="0"/>
    </xf>
    <xf numFmtId="3" fontId="253" fillId="95" borderId="82" xfId="56791" applyNumberFormat="1" applyFont="1" applyFill="1" applyBorder="1" applyAlignment="1" applyProtection="1">
      <alignment horizontal="right" vertical="center"/>
      <protection locked="0"/>
    </xf>
    <xf numFmtId="3" fontId="61" fillId="0" borderId="3" xfId="0" applyNumberFormat="1" applyFont="1" applyBorder="1" applyAlignment="1" applyProtection="1">
      <alignment horizontal="right" vertical="center"/>
      <protection locked="0"/>
    </xf>
    <xf numFmtId="3" fontId="253" fillId="95" borderId="3" xfId="0" applyNumberFormat="1" applyFont="1" applyFill="1" applyBorder="1" applyAlignment="1" applyProtection="1">
      <alignment horizontal="right" vertical="center"/>
      <protection locked="0"/>
    </xf>
    <xf numFmtId="3" fontId="253" fillId="95" borderId="82" xfId="0" applyNumberFormat="1" applyFont="1" applyFill="1" applyBorder="1" applyAlignment="1" applyProtection="1">
      <alignment horizontal="right" vertical="center"/>
      <protection locked="0"/>
    </xf>
    <xf numFmtId="3" fontId="253" fillId="96" borderId="94" xfId="0" applyNumberFormat="1" applyFont="1" applyFill="1" applyBorder="1" applyAlignment="1" applyProtection="1">
      <alignment horizontal="right" vertical="center"/>
      <protection locked="0"/>
    </xf>
    <xf numFmtId="3" fontId="61" fillId="0" borderId="0" xfId="0" applyNumberFormat="1" applyFont="1" applyAlignment="1" applyProtection="1">
      <alignment vertical="center"/>
      <protection locked="0"/>
    </xf>
    <xf numFmtId="3" fontId="253" fillId="0" borderId="95" xfId="54340" applyNumberFormat="1" applyFont="1" applyBorder="1" applyAlignment="1" applyProtection="1">
      <alignment horizontal="center" vertical="center"/>
      <protection locked="0"/>
    </xf>
    <xf numFmtId="3" fontId="253" fillId="0" borderId="3" xfId="54340" applyNumberFormat="1" applyFont="1" applyBorder="1" applyAlignment="1" applyProtection="1">
      <alignment vertical="center" wrapText="1"/>
      <protection locked="0"/>
    </xf>
    <xf numFmtId="3" fontId="253" fillId="0" borderId="3" xfId="54340" applyNumberFormat="1" applyFont="1" applyBorder="1" applyAlignment="1" applyProtection="1">
      <alignment horizontal="right" vertical="center" wrapText="1"/>
      <protection locked="0"/>
    </xf>
    <xf numFmtId="3" fontId="253" fillId="54" borderId="3" xfId="56791" applyNumberFormat="1" applyFont="1" applyFill="1" applyBorder="1" applyAlignment="1" applyProtection="1">
      <alignment horizontal="right" vertical="center"/>
      <protection locked="0"/>
    </xf>
    <xf numFmtId="3" fontId="253" fillId="54" borderId="82" xfId="56791" applyNumberFormat="1" applyFont="1" applyFill="1" applyBorder="1" applyAlignment="1" applyProtection="1">
      <alignment horizontal="right" vertical="center"/>
      <protection locked="0"/>
    </xf>
    <xf numFmtId="3" fontId="253" fillId="54" borderId="3" xfId="0" applyNumberFormat="1" applyFont="1" applyFill="1" applyBorder="1" applyAlignment="1" applyProtection="1">
      <alignment horizontal="right" vertical="center"/>
      <protection locked="0"/>
    </xf>
    <xf numFmtId="3" fontId="253" fillId="54" borderId="82" xfId="0" applyNumberFormat="1" applyFont="1" applyFill="1" applyBorder="1" applyAlignment="1" applyProtection="1">
      <alignment horizontal="right" vertical="center"/>
      <protection locked="0"/>
    </xf>
    <xf numFmtId="3" fontId="256" fillId="0" borderId="3" xfId="54340" applyNumberFormat="1" applyFont="1" applyBorder="1" applyAlignment="1" applyProtection="1">
      <alignment horizontal="right" vertical="center" wrapText="1"/>
      <protection locked="0"/>
    </xf>
    <xf numFmtId="3" fontId="61" fillId="95" borderId="3" xfId="54340" applyNumberFormat="1" applyFont="1" applyFill="1" applyBorder="1" applyAlignment="1" applyProtection="1">
      <alignment horizontal="right" vertical="center"/>
      <protection locked="0"/>
    </xf>
    <xf numFmtId="3" fontId="61" fillId="95" borderId="3" xfId="0" applyNumberFormat="1" applyFont="1" applyFill="1" applyBorder="1" applyAlignment="1" applyProtection="1">
      <alignment horizontal="right" vertical="center"/>
      <protection locked="0"/>
    </xf>
    <xf numFmtId="49" fontId="253" fillId="0" borderId="95" xfId="54340" applyNumberFormat="1" applyFont="1" applyBorder="1" applyAlignment="1" applyProtection="1">
      <alignment horizontal="center" vertical="center"/>
      <protection locked="0"/>
    </xf>
    <xf numFmtId="3" fontId="257" fillId="0" borderId="3" xfId="54340" applyNumberFormat="1" applyFont="1" applyBorder="1" applyAlignment="1" applyProtection="1">
      <alignment vertical="center" wrapText="1"/>
      <protection locked="0"/>
    </xf>
    <xf numFmtId="3" fontId="257" fillId="0" borderId="3" xfId="54340" applyNumberFormat="1" applyFont="1" applyBorder="1" applyAlignment="1" applyProtection="1">
      <alignment horizontal="right" vertical="center" wrapText="1"/>
      <protection locked="0"/>
    </xf>
    <xf numFmtId="3" fontId="253" fillId="54" borderId="3" xfId="54340" applyNumberFormat="1" applyFont="1" applyFill="1" applyBorder="1" applyAlignment="1" applyProtection="1">
      <alignment horizontal="right" vertical="center"/>
      <protection locked="0"/>
    </xf>
    <xf numFmtId="3" fontId="61" fillId="0" borderId="3" xfId="54340" applyNumberFormat="1" applyFont="1" applyBorder="1" applyAlignment="1" applyProtection="1">
      <alignment vertical="center" wrapText="1"/>
      <protection locked="0"/>
    </xf>
    <xf numFmtId="3" fontId="61" fillId="25" borderId="3" xfId="56791" applyNumberFormat="1" applyFont="1" applyFill="1" applyBorder="1" applyAlignment="1" applyProtection="1">
      <alignment horizontal="right" vertical="center"/>
      <protection locked="0"/>
    </xf>
    <xf numFmtId="3" fontId="253" fillId="25" borderId="82" xfId="56791" applyNumberFormat="1" applyFont="1" applyFill="1" applyBorder="1" applyAlignment="1" applyProtection="1">
      <alignment horizontal="right" vertical="center"/>
      <protection locked="0"/>
    </xf>
    <xf numFmtId="3" fontId="61" fillId="25" borderId="3" xfId="0" applyNumberFormat="1" applyFont="1" applyFill="1" applyBorder="1" applyAlignment="1" applyProtection="1">
      <alignment horizontal="right" vertical="center"/>
      <protection locked="0"/>
    </xf>
    <xf numFmtId="3" fontId="253" fillId="25" borderId="3" xfId="0" applyNumberFormat="1" applyFont="1" applyFill="1" applyBorder="1" applyAlignment="1" applyProtection="1">
      <alignment horizontal="right" vertical="center"/>
      <protection locked="0"/>
    </xf>
    <xf numFmtId="3" fontId="257" fillId="25" borderId="82" xfId="0" applyNumberFormat="1" applyFont="1" applyFill="1" applyBorder="1" applyAlignment="1" applyProtection="1">
      <alignment horizontal="right" vertical="center"/>
      <protection locked="0"/>
    </xf>
    <xf numFmtId="49" fontId="61" fillId="0" borderId="95" xfId="54340" applyNumberFormat="1" applyFont="1" applyBorder="1" applyAlignment="1" applyProtection="1">
      <alignment horizontal="center" vertical="center"/>
    </xf>
    <xf numFmtId="3" fontId="256" fillId="0" borderId="3" xfId="54340" applyNumberFormat="1" applyFont="1" applyBorder="1" applyAlignment="1" applyProtection="1">
      <alignment vertical="center" wrapText="1"/>
    </xf>
    <xf numFmtId="3" fontId="256" fillId="0" borderId="3" xfId="54340" applyNumberFormat="1" applyFont="1" applyBorder="1" applyAlignment="1" applyProtection="1">
      <alignment horizontal="right" vertical="center" wrapText="1"/>
    </xf>
    <xf numFmtId="3" fontId="61" fillId="95" borderId="3" xfId="54340" applyNumberFormat="1" applyFont="1" applyFill="1" applyBorder="1" applyAlignment="1" applyProtection="1">
      <alignment horizontal="right" vertical="center"/>
    </xf>
    <xf numFmtId="3" fontId="253" fillId="95" borderId="82" xfId="56791" applyNumberFormat="1" applyFont="1" applyFill="1" applyBorder="1" applyAlignment="1" applyProtection="1">
      <alignment horizontal="right" vertical="center"/>
    </xf>
    <xf numFmtId="3" fontId="61" fillId="95" borderId="3" xfId="0" applyNumberFormat="1" applyFont="1" applyFill="1" applyBorder="1" applyAlignment="1" applyProtection="1">
      <alignment horizontal="right" vertical="center"/>
    </xf>
    <xf numFmtId="3" fontId="253" fillId="95" borderId="3" xfId="0" applyNumberFormat="1" applyFont="1" applyFill="1" applyBorder="1" applyAlignment="1" applyProtection="1">
      <alignment horizontal="right" vertical="center"/>
    </xf>
    <xf numFmtId="3" fontId="253" fillId="95" borderId="82" xfId="0" applyNumberFormat="1" applyFont="1" applyFill="1" applyBorder="1" applyAlignment="1" applyProtection="1">
      <alignment horizontal="right" vertical="center"/>
    </xf>
    <xf numFmtId="3" fontId="257" fillId="0" borderId="3" xfId="54340" applyNumberFormat="1" applyFont="1" applyBorder="1" applyAlignment="1" applyProtection="1">
      <alignment vertical="center" wrapText="1"/>
    </xf>
    <xf numFmtId="3" fontId="257" fillId="0" borderId="3" xfId="54340" applyNumberFormat="1" applyFont="1" applyBorder="1" applyAlignment="1" applyProtection="1">
      <alignment horizontal="right" vertical="center" wrapText="1"/>
    </xf>
    <xf numFmtId="3" fontId="253" fillId="98" borderId="3" xfId="56791" applyNumberFormat="1" applyFont="1" applyFill="1" applyBorder="1" applyAlignment="1" applyProtection="1">
      <alignment horizontal="right" vertical="center"/>
    </xf>
    <xf numFmtId="3" fontId="253" fillId="98" borderId="82" xfId="56791" applyNumberFormat="1" applyFont="1" applyFill="1" applyBorder="1" applyAlignment="1" applyProtection="1">
      <alignment horizontal="right" vertical="center"/>
    </xf>
    <xf numFmtId="3" fontId="253" fillId="98" borderId="3" xfId="0" applyNumberFormat="1" applyFont="1" applyFill="1" applyBorder="1" applyAlignment="1" applyProtection="1">
      <alignment horizontal="right" vertical="center"/>
    </xf>
    <xf numFmtId="3" fontId="253" fillId="98" borderId="82" xfId="0" applyNumberFormat="1" applyFont="1" applyFill="1" applyBorder="1" applyAlignment="1" applyProtection="1">
      <alignment horizontal="right" vertical="center"/>
    </xf>
    <xf numFmtId="3" fontId="256" fillId="0" borderId="3" xfId="0" applyNumberFormat="1" applyFont="1" applyBorder="1" applyAlignment="1" applyProtection="1">
      <alignment vertical="center" wrapText="1"/>
    </xf>
    <xf numFmtId="3" fontId="256" fillId="0" borderId="3" xfId="0" applyNumberFormat="1" applyFont="1" applyBorder="1" applyAlignment="1" applyProtection="1">
      <alignment horizontal="right" vertical="center" wrapText="1"/>
    </xf>
    <xf numFmtId="3" fontId="61" fillId="99" borderId="3" xfId="56791" applyNumberFormat="1" applyFont="1" applyFill="1" applyBorder="1" applyAlignment="1" applyProtection="1">
      <alignment horizontal="right" vertical="center"/>
    </xf>
    <xf numFmtId="3" fontId="253" fillId="99" borderId="82" xfId="56791" applyNumberFormat="1" applyFont="1" applyFill="1" applyBorder="1" applyAlignment="1" applyProtection="1">
      <alignment horizontal="right" vertical="center"/>
    </xf>
    <xf numFmtId="3" fontId="253" fillId="99" borderId="3" xfId="0" applyNumberFormat="1" applyFont="1" applyFill="1" applyBorder="1" applyAlignment="1" applyProtection="1">
      <alignment horizontal="right" vertical="center"/>
    </xf>
    <xf numFmtId="3" fontId="61" fillId="99" borderId="3" xfId="0" applyNumberFormat="1" applyFont="1" applyFill="1" applyBorder="1" applyAlignment="1" applyProtection="1">
      <alignment horizontal="right" vertical="center"/>
    </xf>
    <xf numFmtId="3" fontId="253" fillId="99" borderId="82" xfId="0" applyNumberFormat="1" applyFont="1" applyFill="1" applyBorder="1" applyAlignment="1" applyProtection="1">
      <alignment horizontal="right" vertical="center"/>
    </xf>
    <xf numFmtId="3" fontId="61" fillId="0" borderId="3" xfId="56791" applyNumberFormat="1" applyFont="1" applyBorder="1" applyAlignment="1" applyProtection="1">
      <alignment horizontal="right" vertical="center"/>
    </xf>
    <xf numFmtId="3" fontId="61" fillId="0" borderId="3" xfId="0" applyNumberFormat="1" applyFont="1" applyBorder="1" applyAlignment="1" applyProtection="1">
      <alignment horizontal="right" vertical="center"/>
    </xf>
    <xf numFmtId="3" fontId="256" fillId="0" borderId="67" xfId="0" applyNumberFormat="1" applyFont="1" applyBorder="1" applyAlignment="1" applyProtection="1">
      <alignment horizontal="right" vertical="center" wrapText="1"/>
    </xf>
    <xf numFmtId="3" fontId="256" fillId="0" borderId="88" xfId="0" applyNumberFormat="1" applyFont="1" applyBorder="1" applyAlignment="1" applyProtection="1">
      <alignment horizontal="right" vertical="center" wrapText="1"/>
    </xf>
    <xf numFmtId="49" fontId="253" fillId="0" borderId="95" xfId="54340" applyNumberFormat="1" applyFont="1" applyBorder="1" applyAlignment="1" applyProtection="1">
      <alignment horizontal="center" vertical="center"/>
    </xf>
    <xf numFmtId="3" fontId="253" fillId="95" borderId="3" xfId="56791" applyNumberFormat="1" applyFont="1" applyFill="1" applyBorder="1" applyAlignment="1" applyProtection="1">
      <alignment horizontal="right" vertical="center"/>
    </xf>
    <xf numFmtId="3" fontId="253" fillId="99" borderId="3" xfId="56791" applyNumberFormat="1" applyFont="1" applyFill="1" applyBorder="1" applyAlignment="1" applyProtection="1">
      <alignment horizontal="right" vertical="center"/>
    </xf>
    <xf numFmtId="3" fontId="253" fillId="100" borderId="3" xfId="56791" applyNumberFormat="1" applyFont="1" applyFill="1" applyBorder="1" applyAlignment="1" applyProtection="1">
      <alignment horizontal="right" vertical="center"/>
    </xf>
    <xf numFmtId="3" fontId="253" fillId="100" borderId="82" xfId="56791" applyNumberFormat="1" applyFont="1" applyFill="1" applyBorder="1" applyAlignment="1" applyProtection="1">
      <alignment horizontal="right" vertical="center"/>
    </xf>
    <xf numFmtId="3" fontId="253" fillId="100" borderId="3" xfId="0" applyNumberFormat="1" applyFont="1" applyFill="1" applyBorder="1" applyAlignment="1" applyProtection="1">
      <alignment horizontal="right" vertical="center"/>
    </xf>
    <xf numFmtId="3" fontId="253" fillId="100" borderId="82" xfId="0" applyNumberFormat="1" applyFont="1" applyFill="1" applyBorder="1" applyAlignment="1" applyProtection="1">
      <alignment horizontal="right" vertical="center"/>
    </xf>
    <xf numFmtId="3" fontId="253" fillId="0" borderId="95" xfId="56791" applyNumberFormat="1" applyFont="1" applyBorder="1" applyAlignment="1" applyProtection="1">
      <alignment horizontal="center" vertical="center"/>
    </xf>
    <xf numFmtId="250" fontId="253" fillId="95" borderId="3" xfId="54340" applyNumberFormat="1" applyFont="1" applyFill="1" applyBorder="1" applyAlignment="1" applyProtection="1">
      <alignment horizontal="right" vertical="center"/>
    </xf>
    <xf numFmtId="250" fontId="253" fillId="25" borderId="3" xfId="54340" applyNumberFormat="1" applyFont="1" applyFill="1" applyBorder="1" applyAlignment="1" applyProtection="1">
      <alignment horizontal="right" vertical="center"/>
    </xf>
    <xf numFmtId="250" fontId="253" fillId="25" borderId="82" xfId="54340" applyNumberFormat="1" applyFont="1" applyFill="1" applyBorder="1" applyAlignment="1" applyProtection="1">
      <alignment horizontal="right" vertical="center"/>
    </xf>
    <xf numFmtId="250" fontId="253" fillId="25" borderId="3" xfId="0" applyNumberFormat="1" applyFont="1" applyFill="1" applyBorder="1" applyAlignment="1" applyProtection="1">
      <alignment horizontal="right" vertical="center"/>
    </xf>
    <xf numFmtId="250" fontId="253" fillId="25" borderId="82" xfId="0" applyNumberFormat="1" applyFont="1" applyFill="1" applyBorder="1" applyAlignment="1" applyProtection="1">
      <alignment horizontal="right" vertical="center"/>
    </xf>
    <xf numFmtId="250" fontId="253" fillId="96" borderId="94" xfId="0" applyNumberFormat="1" applyFont="1" applyFill="1" applyBorder="1" applyAlignment="1" applyProtection="1">
      <alignment horizontal="right" vertical="center"/>
    </xf>
    <xf numFmtId="3" fontId="61" fillId="95" borderId="0" xfId="0" applyNumberFormat="1" applyFont="1" applyFill="1" applyAlignment="1" applyProtection="1">
      <alignment vertical="center"/>
    </xf>
    <xf numFmtId="3" fontId="253" fillId="95" borderId="95" xfId="54340" applyNumberFormat="1" applyFont="1" applyFill="1" applyBorder="1" applyAlignment="1" applyProtection="1">
      <alignment horizontal="center" vertical="center"/>
    </xf>
    <xf numFmtId="3" fontId="253" fillId="95" borderId="3" xfId="54340" applyNumberFormat="1" applyFont="1" applyFill="1" applyBorder="1" applyAlignment="1" applyProtection="1">
      <alignment vertical="center" wrapText="1"/>
    </xf>
    <xf numFmtId="3" fontId="253" fillId="95" borderId="3" xfId="54340" applyNumberFormat="1" applyFont="1" applyFill="1" applyBorder="1" applyAlignment="1" applyProtection="1">
      <alignment horizontal="right" vertical="center" wrapText="1"/>
    </xf>
    <xf numFmtId="3" fontId="253" fillId="101" borderId="3" xfId="54340" applyNumberFormat="1" applyFont="1" applyFill="1" applyBorder="1" applyAlignment="1" applyProtection="1">
      <alignment horizontal="right" vertical="center"/>
    </xf>
    <xf numFmtId="3" fontId="253" fillId="101" borderId="82" xfId="56791" applyNumberFormat="1" applyFont="1" applyFill="1" applyBorder="1" applyAlignment="1" applyProtection="1">
      <alignment horizontal="right" vertical="center"/>
    </xf>
    <xf numFmtId="3" fontId="253" fillId="101" borderId="3" xfId="0" applyNumberFormat="1" applyFont="1" applyFill="1" applyBorder="1" applyAlignment="1" applyProtection="1">
      <alignment horizontal="right" vertical="center"/>
    </xf>
    <xf numFmtId="3" fontId="253" fillId="101" borderId="82" xfId="0" applyNumberFormat="1" applyFont="1" applyFill="1" applyBorder="1" applyAlignment="1" applyProtection="1">
      <alignment horizontal="right" vertical="center"/>
    </xf>
    <xf numFmtId="3" fontId="253" fillId="95" borderId="0" xfId="0" applyNumberFormat="1" applyFont="1" applyFill="1" applyAlignment="1" applyProtection="1">
      <alignment vertical="center"/>
    </xf>
    <xf numFmtId="3" fontId="257" fillId="95" borderId="3" xfId="54340" applyNumberFormat="1" applyFont="1" applyFill="1" applyBorder="1" applyAlignment="1" applyProtection="1">
      <alignment vertical="center" wrapText="1"/>
    </xf>
    <xf numFmtId="3" fontId="253" fillId="102" borderId="3" xfId="56791" applyNumberFormat="1" applyFont="1" applyFill="1" applyBorder="1" applyAlignment="1" applyProtection="1">
      <alignment horizontal="right" vertical="center"/>
    </xf>
    <xf numFmtId="3" fontId="253" fillId="102" borderId="82" xfId="56791" applyNumberFormat="1" applyFont="1" applyFill="1" applyBorder="1" applyAlignment="1" applyProtection="1">
      <alignment horizontal="right" vertical="center"/>
    </xf>
    <xf numFmtId="3" fontId="253" fillId="102" borderId="3" xfId="0" applyNumberFormat="1" applyFont="1" applyFill="1" applyBorder="1" applyAlignment="1" applyProtection="1">
      <alignment horizontal="right" vertical="center"/>
    </xf>
    <xf numFmtId="49" fontId="61" fillId="95" borderId="95" xfId="54340" applyNumberFormat="1" applyFont="1" applyFill="1" applyBorder="1" applyAlignment="1" applyProtection="1">
      <alignment horizontal="center" vertical="center"/>
    </xf>
    <xf numFmtId="3" fontId="61" fillId="95" borderId="3" xfId="0" applyNumberFormat="1" applyFont="1" applyFill="1" applyBorder="1" applyAlignment="1" applyProtection="1">
      <alignment vertical="center" wrapText="1"/>
    </xf>
    <xf numFmtId="3" fontId="61" fillId="102" borderId="3" xfId="54340" applyNumberFormat="1" applyFont="1" applyFill="1" applyBorder="1" applyAlignment="1" applyProtection="1">
      <alignment horizontal="right" vertical="center"/>
    </xf>
    <xf numFmtId="3" fontId="61" fillId="102" borderId="3" xfId="56791" applyNumberFormat="1" applyFont="1" applyFill="1" applyBorder="1" applyAlignment="1" applyProtection="1">
      <alignment horizontal="right" vertical="center"/>
    </xf>
    <xf numFmtId="3" fontId="61" fillId="102" borderId="3" xfId="0" applyNumberFormat="1" applyFont="1" applyFill="1" applyBorder="1" applyAlignment="1" applyProtection="1">
      <alignment horizontal="right" vertical="center"/>
    </xf>
    <xf numFmtId="49" fontId="253" fillId="95" borderId="95" xfId="54340" applyNumberFormat="1" applyFont="1" applyFill="1" applyBorder="1" applyAlignment="1" applyProtection="1">
      <alignment horizontal="center" vertical="center"/>
    </xf>
    <xf numFmtId="3" fontId="253" fillId="95" borderId="4" xfId="0" applyNumberFormat="1" applyFont="1" applyFill="1" applyBorder="1" applyAlignment="1" applyProtection="1">
      <alignment vertical="center" wrapText="1"/>
    </xf>
    <xf numFmtId="3" fontId="253" fillId="95" borderId="3" xfId="54340" applyNumberFormat="1" applyFont="1" applyFill="1" applyBorder="1" applyAlignment="1" applyProtection="1">
      <alignment horizontal="right" vertical="center"/>
    </xf>
    <xf numFmtId="3" fontId="253" fillId="102" borderId="3" xfId="54340" applyNumberFormat="1" applyFont="1" applyFill="1" applyBorder="1" applyAlignment="1" applyProtection="1">
      <alignment horizontal="right" vertical="center"/>
    </xf>
    <xf numFmtId="49" fontId="61" fillId="95" borderId="1" xfId="54340" applyNumberFormat="1" applyFont="1" applyFill="1" applyBorder="1" applyAlignment="1" applyProtection="1">
      <alignment horizontal="center" vertical="center"/>
    </xf>
    <xf numFmtId="3" fontId="61" fillId="103" borderId="3" xfId="0" applyNumberFormat="1" applyFont="1" applyFill="1" applyBorder="1" applyAlignment="1" applyProtection="1">
      <alignment vertical="center" wrapText="1"/>
    </xf>
    <xf numFmtId="3" fontId="61" fillId="95" borderId="87" xfId="54340" applyNumberFormat="1" applyFont="1" applyFill="1" applyBorder="1" applyAlignment="1" applyProtection="1">
      <alignment horizontal="right" vertical="center"/>
      <protection locked="0"/>
    </xf>
    <xf numFmtId="3" fontId="61" fillId="102" borderId="82" xfId="0" applyNumberFormat="1" applyFont="1" applyFill="1" applyBorder="1" applyAlignment="1" applyProtection="1">
      <alignment horizontal="right" vertical="center"/>
    </xf>
    <xf numFmtId="49" fontId="61" fillId="102" borderId="1" xfId="54340" applyNumberFormat="1" applyFont="1" applyFill="1" applyBorder="1" applyAlignment="1" applyProtection="1">
      <alignment horizontal="center" vertical="center"/>
    </xf>
    <xf numFmtId="3" fontId="61" fillId="104" borderId="88" xfId="0" applyNumberFormat="1" applyFont="1" applyFill="1" applyBorder="1" applyAlignment="1" applyProtection="1">
      <alignment vertical="center" wrapText="1"/>
    </xf>
    <xf numFmtId="3" fontId="61" fillId="102" borderId="87" xfId="54340" applyNumberFormat="1" applyFont="1" applyFill="1" applyBorder="1" applyAlignment="1" applyProtection="1">
      <alignment horizontal="right" vertical="center"/>
      <protection locked="0"/>
    </xf>
    <xf numFmtId="3" fontId="61" fillId="95" borderId="0" xfId="0" applyNumberFormat="1" applyFont="1" applyFill="1" applyAlignment="1" applyProtection="1">
      <alignment vertical="center"/>
      <protection locked="0"/>
    </xf>
    <xf numFmtId="49" fontId="61" fillId="102" borderId="1" xfId="54340" applyNumberFormat="1" applyFont="1" applyFill="1" applyBorder="1" applyAlignment="1" applyProtection="1">
      <alignment horizontal="center" vertical="center"/>
      <protection locked="0"/>
    </xf>
    <xf numFmtId="3" fontId="61" fillId="104" borderId="88" xfId="0" applyNumberFormat="1" applyFont="1" applyFill="1" applyBorder="1" applyAlignment="1" applyProtection="1">
      <alignment vertical="center" wrapText="1"/>
      <protection locked="0"/>
    </xf>
    <xf numFmtId="3" fontId="61" fillId="102" borderId="3" xfId="54340" applyNumberFormat="1" applyFont="1" applyFill="1" applyBorder="1" applyAlignment="1" applyProtection="1">
      <alignment horizontal="right" vertical="center"/>
      <protection locked="0"/>
    </xf>
    <xf numFmtId="3" fontId="253" fillId="102" borderId="82" xfId="56791" applyNumberFormat="1" applyFont="1" applyFill="1" applyBorder="1" applyAlignment="1" applyProtection="1">
      <alignment horizontal="right" vertical="center"/>
      <protection locked="0"/>
    </xf>
    <xf numFmtId="3" fontId="61" fillId="102" borderId="82" xfId="0" applyNumberFormat="1" applyFont="1" applyFill="1" applyBorder="1" applyAlignment="1" applyProtection="1">
      <alignment horizontal="right" vertical="center"/>
      <protection locked="0"/>
    </xf>
    <xf numFmtId="3" fontId="253" fillId="102" borderId="3" xfId="0" applyNumberFormat="1" applyFont="1" applyFill="1" applyBorder="1" applyAlignment="1" applyProtection="1">
      <alignment horizontal="right" vertical="center"/>
      <protection locked="0"/>
    </xf>
    <xf numFmtId="3" fontId="258" fillId="95" borderId="0" xfId="0" applyNumberFormat="1" applyFont="1" applyFill="1" applyAlignment="1" applyProtection="1">
      <alignment vertical="center"/>
    </xf>
    <xf numFmtId="3" fontId="259" fillId="105" borderId="95" xfId="54340" applyNumberFormat="1" applyFont="1" applyFill="1" applyBorder="1" applyAlignment="1" applyProtection="1">
      <alignment horizontal="center" vertical="center"/>
    </xf>
    <xf numFmtId="3" fontId="259" fillId="105" borderId="88" xfId="54340" applyNumberFormat="1" applyFont="1" applyFill="1" applyBorder="1" applyAlignment="1" applyProtection="1">
      <alignment vertical="center" wrapText="1"/>
    </xf>
    <xf numFmtId="3" fontId="259" fillId="105" borderId="3" xfId="56791" applyNumberFormat="1" applyFont="1" applyFill="1" applyBorder="1" applyAlignment="1" applyProtection="1">
      <alignment horizontal="right" vertical="center"/>
    </xf>
    <xf numFmtId="3" fontId="259" fillId="105" borderId="94" xfId="56791" applyNumberFormat="1" applyFont="1" applyFill="1" applyBorder="1" applyAlignment="1" applyProtection="1">
      <alignment horizontal="right" vertical="center"/>
    </xf>
    <xf numFmtId="3" fontId="253" fillId="0" borderId="96" xfId="54340" applyNumberFormat="1" applyFont="1" applyBorder="1" applyAlignment="1" applyProtection="1">
      <alignment horizontal="center" vertical="center"/>
    </xf>
    <xf numFmtId="3" fontId="253" fillId="0" borderId="97" xfId="54340" applyNumberFormat="1" applyFont="1" applyBorder="1" applyAlignment="1" applyProtection="1">
      <alignment horizontal="left" vertical="center" wrapText="1"/>
    </xf>
    <xf numFmtId="3" fontId="253" fillId="0" borderId="97" xfId="54340" applyNumberFormat="1" applyFont="1" applyBorder="1" applyAlignment="1" applyProtection="1">
      <alignment horizontal="right" vertical="center" wrapText="1"/>
    </xf>
    <xf numFmtId="3" fontId="253" fillId="0" borderId="97" xfId="56791" applyNumberFormat="1" applyFont="1" applyBorder="1" applyAlignment="1" applyProtection="1">
      <alignment horizontal="right" vertical="center"/>
    </xf>
    <xf numFmtId="3" fontId="253" fillId="95" borderId="98" xfId="56791" applyNumberFormat="1" applyFont="1" applyFill="1" applyBorder="1" applyAlignment="1" applyProtection="1">
      <alignment horizontal="right" vertical="center"/>
    </xf>
    <xf numFmtId="3" fontId="253" fillId="0" borderId="97" xfId="0" applyNumberFormat="1" applyFont="1" applyBorder="1" applyAlignment="1" applyProtection="1">
      <alignment horizontal="right" vertical="center"/>
    </xf>
    <xf numFmtId="3" fontId="253" fillId="0" borderId="99" xfId="0" applyNumberFormat="1" applyFont="1" applyBorder="1" applyAlignment="1" applyProtection="1">
      <alignment horizontal="right" vertical="center"/>
    </xf>
    <xf numFmtId="3" fontId="253" fillId="0" borderId="0" xfId="54340" applyNumberFormat="1" applyFont="1" applyAlignment="1" applyProtection="1">
      <alignment horizontal="center" vertical="center"/>
    </xf>
    <xf numFmtId="3" fontId="253" fillId="0" borderId="0" xfId="54340" applyNumberFormat="1" applyFont="1" applyAlignment="1" applyProtection="1">
      <alignment horizontal="left" vertical="center" wrapText="1"/>
    </xf>
    <xf numFmtId="3" fontId="253" fillId="0" borderId="0" xfId="54340" applyNumberFormat="1" applyFont="1" applyAlignment="1" applyProtection="1">
      <alignment horizontal="right" vertical="center" wrapText="1"/>
    </xf>
    <xf numFmtId="3" fontId="253" fillId="0" borderId="0" xfId="56791" applyNumberFormat="1" applyFont="1" applyAlignment="1" applyProtection="1">
      <alignment horizontal="right" vertical="center"/>
    </xf>
    <xf numFmtId="3" fontId="253" fillId="95" borderId="0" xfId="56791" applyNumberFormat="1" applyFont="1" applyFill="1" applyAlignment="1" applyProtection="1">
      <alignment horizontal="right" vertical="center"/>
    </xf>
    <xf numFmtId="3" fontId="253" fillId="0" borderId="0" xfId="0" applyNumberFormat="1" applyFont="1" applyAlignment="1" applyProtection="1">
      <alignment horizontal="right" vertical="center"/>
    </xf>
    <xf numFmtId="3" fontId="253" fillId="0" borderId="3" xfId="54340" applyNumberFormat="1" applyFont="1" applyBorder="1" applyAlignment="1" applyProtection="1">
      <alignment horizontal="left" vertical="center" wrapText="1"/>
    </xf>
    <xf numFmtId="3" fontId="253" fillId="0" borderId="3" xfId="54340" applyNumberFormat="1" applyFont="1" applyBorder="1" applyAlignment="1" applyProtection="1">
      <alignment horizontal="center" vertical="center" wrapText="1"/>
    </xf>
    <xf numFmtId="3" fontId="253" fillId="0" borderId="3" xfId="56791" applyNumberFormat="1" applyFont="1" applyBorder="1" applyAlignment="1" applyProtection="1">
      <alignment horizontal="center" vertical="center"/>
    </xf>
    <xf numFmtId="3" fontId="61" fillId="0" borderId="0" xfId="54340" applyNumberFormat="1" applyFont="1" applyAlignment="1" applyProtection="1">
      <alignment horizontal="center" vertical="center"/>
    </xf>
    <xf numFmtId="3" fontId="61" fillId="0" borderId="3" xfId="54340" applyNumberFormat="1" applyFont="1" applyBorder="1" applyAlignment="1" applyProtection="1">
      <alignment horizontal="left" vertical="center" wrapText="1"/>
    </xf>
    <xf numFmtId="3" fontId="61" fillId="0" borderId="3" xfId="56791" applyNumberFormat="1" applyFont="1" applyBorder="1" applyAlignment="1" applyProtection="1">
      <alignment vertical="center"/>
    </xf>
    <xf numFmtId="3" fontId="61" fillId="0" borderId="3" xfId="54340" applyNumberFormat="1" applyFont="1" applyBorder="1" applyAlignment="1" applyProtection="1">
      <alignment vertical="center" wrapText="1"/>
    </xf>
    <xf numFmtId="252" fontId="253" fillId="0" borderId="3" xfId="54340" applyNumberFormat="1" applyFont="1" applyBorder="1" applyAlignment="1" applyProtection="1">
      <alignment vertical="center" wrapText="1"/>
    </xf>
    <xf numFmtId="3" fontId="61" fillId="0" borderId="4" xfId="54340" applyNumberFormat="1" applyFont="1" applyBorder="1" applyAlignment="1" applyProtection="1">
      <alignment vertical="center" wrapText="1"/>
    </xf>
    <xf numFmtId="252" fontId="253" fillId="0" borderId="0" xfId="54340" applyNumberFormat="1" applyFont="1" applyAlignment="1" applyProtection="1">
      <alignment vertical="center" wrapText="1"/>
    </xf>
    <xf numFmtId="3" fontId="253" fillId="0" borderId="3" xfId="56791" applyNumberFormat="1" applyFont="1" applyBorder="1" applyAlignment="1" applyProtection="1">
      <alignment vertical="center"/>
    </xf>
    <xf numFmtId="0" fontId="134" fillId="0" borderId="0" xfId="0" applyFont="1" applyAlignment="1">
      <alignment vertical="center"/>
    </xf>
    <xf numFmtId="0" fontId="134" fillId="0" borderId="0" xfId="0" applyFont="1" applyAlignment="1">
      <alignment horizontal="center" vertical="center"/>
    </xf>
    <xf numFmtId="0" fontId="134" fillId="0" borderId="0" xfId="0" applyFont="1" applyAlignment="1">
      <alignment horizontal="right" vertical="center"/>
    </xf>
    <xf numFmtId="0" fontId="117" fillId="0" borderId="0" xfId="0" applyFont="1" applyAlignment="1">
      <alignment vertical="center"/>
    </xf>
    <xf numFmtId="0" fontId="255" fillId="0" borderId="0" xfId="0" applyFont="1" applyAlignment="1">
      <alignment vertical="center"/>
    </xf>
    <xf numFmtId="0" fontId="255" fillId="106" borderId="83" xfId="0" applyFont="1" applyFill="1" applyBorder="1" applyAlignment="1">
      <alignment horizontal="center" vertical="center"/>
    </xf>
    <xf numFmtId="0" fontId="255" fillId="106" borderId="90" xfId="0" applyFont="1" applyFill="1" applyBorder="1" applyAlignment="1">
      <alignment vertical="center"/>
    </xf>
    <xf numFmtId="0" fontId="255" fillId="106" borderId="90" xfId="0" applyFont="1" applyFill="1" applyBorder="1" applyAlignment="1">
      <alignment horizontal="center" vertical="center"/>
    </xf>
    <xf numFmtId="0" fontId="255" fillId="106" borderId="90" xfId="0" applyFont="1" applyFill="1" applyBorder="1" applyAlignment="1">
      <alignment horizontal="center" vertical="center" wrapText="1"/>
    </xf>
    <xf numFmtId="0" fontId="255" fillId="106" borderId="84" xfId="0" applyFont="1" applyFill="1" applyBorder="1" applyAlignment="1">
      <alignment horizontal="center" vertical="center" wrapText="1"/>
    </xf>
    <xf numFmtId="0" fontId="134" fillId="0" borderId="95" xfId="0" applyFont="1" applyBorder="1" applyAlignment="1" applyProtection="1">
      <alignment horizontal="center" vertical="center"/>
      <protection locked="0"/>
    </xf>
    <xf numFmtId="0" fontId="134" fillId="0" borderId="3" xfId="0" applyFont="1" applyBorder="1" applyAlignment="1" applyProtection="1">
      <alignment horizontal="left" vertical="center" wrapText="1"/>
      <protection locked="0"/>
    </xf>
    <xf numFmtId="348" fontId="255" fillId="95" borderId="3" xfId="0" applyNumberFormat="1" applyFont="1" applyFill="1" applyBorder="1" applyAlignment="1">
      <alignment horizontal="right" vertical="center"/>
    </xf>
    <xf numFmtId="0" fontId="134" fillId="95" borderId="3" xfId="0" applyFont="1" applyFill="1" applyBorder="1" applyAlignment="1" applyProtection="1">
      <alignment horizontal="right" vertical="center"/>
      <protection locked="0"/>
    </xf>
    <xf numFmtId="348" fontId="255" fillId="102" borderId="3" xfId="0" applyNumberFormat="1" applyFont="1" applyFill="1" applyBorder="1" applyAlignment="1">
      <alignment horizontal="right" vertical="center"/>
    </xf>
    <xf numFmtId="3" fontId="134" fillId="0" borderId="94" xfId="0" applyNumberFormat="1" applyFont="1" applyBorder="1" applyAlignment="1" applyProtection="1">
      <alignment vertical="center"/>
      <protection locked="0"/>
    </xf>
    <xf numFmtId="3" fontId="134" fillId="0" borderId="94" xfId="0" applyNumberFormat="1" applyFont="1" applyBorder="1" applyAlignment="1" applyProtection="1">
      <alignment horizontal="right" vertical="center"/>
      <protection locked="0"/>
    </xf>
    <xf numFmtId="17" fontId="134" fillId="0" borderId="0" xfId="0" applyNumberFormat="1" applyFont="1" applyAlignment="1">
      <alignment vertical="center"/>
    </xf>
    <xf numFmtId="0" fontId="255" fillId="106" borderId="97" xfId="0" applyFont="1" applyFill="1" applyBorder="1" applyAlignment="1">
      <alignment vertical="center"/>
    </xf>
    <xf numFmtId="0" fontId="255" fillId="106" borderId="97" xfId="0" applyFont="1" applyFill="1" applyBorder="1" applyAlignment="1">
      <alignment horizontal="right" vertical="center"/>
    </xf>
    <xf numFmtId="3" fontId="255" fillId="106" borderId="99" xfId="0" applyNumberFormat="1" applyFont="1" applyFill="1" applyBorder="1" applyAlignment="1">
      <alignment vertical="center"/>
    </xf>
    <xf numFmtId="349" fontId="134" fillId="0" borderId="8" xfId="49644" applyNumberFormat="1" applyFont="1" applyBorder="1" applyAlignment="1" applyProtection="1">
      <alignment vertical="center"/>
      <protection locked="0"/>
    </xf>
    <xf numFmtId="9" fontId="134" fillId="0" borderId="8" xfId="0" applyNumberFormat="1" applyFont="1" applyBorder="1" applyAlignment="1" applyProtection="1">
      <alignment vertical="center"/>
      <protection locked="0"/>
    </xf>
    <xf numFmtId="0" fontId="134" fillId="0" borderId="8" xfId="0" applyFont="1" applyBorder="1" applyAlignment="1" applyProtection="1">
      <alignment vertical="center"/>
      <protection locked="0"/>
    </xf>
    <xf numFmtId="3" fontId="260" fillId="106" borderId="8" xfId="0" applyNumberFormat="1" applyFont="1" applyFill="1" applyBorder="1" applyAlignment="1">
      <alignment vertical="center"/>
    </xf>
    <xf numFmtId="3" fontId="255" fillId="106" borderId="8" xfId="49644" applyNumberFormat="1" applyFont="1" applyFill="1" applyBorder="1" applyAlignment="1">
      <alignment vertical="center"/>
    </xf>
    <xf numFmtId="0" fontId="255" fillId="0" borderId="0" xfId="0" applyFont="1" applyAlignment="1">
      <alignment horizontal="center" vertical="center"/>
    </xf>
    <xf numFmtId="0" fontId="134" fillId="102" borderId="95" xfId="0" applyFont="1" applyFill="1" applyBorder="1" applyAlignment="1">
      <alignment vertical="center"/>
    </xf>
    <xf numFmtId="3" fontId="134" fillId="102" borderId="3" xfId="0" applyNumberFormat="1" applyFont="1" applyFill="1" applyBorder="1" applyAlignment="1">
      <alignment horizontal="right" vertical="center"/>
    </xf>
    <xf numFmtId="3" fontId="134" fillId="102" borderId="94" xfId="0" applyNumberFormat="1" applyFont="1" applyFill="1" applyBorder="1" applyAlignment="1">
      <alignment horizontal="right" vertical="center"/>
    </xf>
    <xf numFmtId="0" fontId="134" fillId="102" borderId="96" xfId="0" applyFont="1" applyFill="1" applyBorder="1" applyAlignment="1">
      <alignment vertical="center"/>
    </xf>
    <xf numFmtId="3" fontId="134" fillId="102" borderId="97" xfId="0" applyNumberFormat="1" applyFont="1" applyFill="1" applyBorder="1" applyAlignment="1">
      <alignment horizontal="right" vertical="center"/>
    </xf>
    <xf numFmtId="3" fontId="134" fillId="102" borderId="99" xfId="0" applyNumberFormat="1" applyFont="1" applyFill="1" applyBorder="1" applyAlignment="1">
      <alignment horizontal="right" vertical="center"/>
    </xf>
    <xf numFmtId="1" fontId="134" fillId="0" borderId="0" xfId="0" applyNumberFormat="1" applyFont="1"/>
    <xf numFmtId="1" fontId="117" fillId="0" borderId="0" xfId="0" applyNumberFormat="1" applyFont="1"/>
    <xf numFmtId="1" fontId="255" fillId="0" borderId="0" xfId="0" applyNumberFormat="1" applyFont="1"/>
    <xf numFmtId="1" fontId="255" fillId="83" borderId="83" xfId="0" applyNumberFormat="1" applyFont="1" applyFill="1" applyBorder="1" applyAlignment="1">
      <alignment horizontal="left" vertical="center"/>
    </xf>
    <xf numFmtId="1" fontId="255" fillId="83" borderId="90" xfId="0" applyNumberFormat="1" applyFont="1" applyFill="1" applyBorder="1" applyAlignment="1">
      <alignment horizontal="center" vertical="center"/>
    </xf>
    <xf numFmtId="1" fontId="255" fillId="83" borderId="84" xfId="0" applyNumberFormat="1" applyFont="1" applyFill="1" applyBorder="1" applyAlignment="1">
      <alignment horizontal="center" vertical="center"/>
    </xf>
    <xf numFmtId="1" fontId="134" fillId="0" borderId="95" xfId="0" applyNumberFormat="1" applyFont="1" applyBorder="1" applyAlignment="1" applyProtection="1">
      <alignment vertical="center" wrapText="1"/>
      <protection locked="0"/>
    </xf>
    <xf numFmtId="1" fontId="134" fillId="0" borderId="3" xfId="0" applyNumberFormat="1" applyFont="1" applyBorder="1" applyAlignment="1" applyProtection="1">
      <alignment horizontal="center" vertical="center" wrapText="1"/>
      <protection locked="0"/>
    </xf>
    <xf numFmtId="3" fontId="134" fillId="95" borderId="3" xfId="0" applyNumberFormat="1" applyFont="1" applyFill="1" applyBorder="1" applyAlignment="1" applyProtection="1">
      <alignment horizontal="center" vertical="center"/>
      <protection locked="0"/>
    </xf>
    <xf numFmtId="3" fontId="134" fillId="87" borderId="3" xfId="0" applyNumberFormat="1" applyFont="1" applyFill="1" applyBorder="1" applyAlignment="1">
      <alignment horizontal="center" vertical="center"/>
    </xf>
    <xf numFmtId="3" fontId="134" fillId="87" borderId="94" xfId="0" applyNumberFormat="1" applyFont="1" applyFill="1" applyBorder="1" applyAlignment="1">
      <alignment horizontal="center" vertical="center"/>
    </xf>
    <xf numFmtId="1" fontId="134" fillId="0" borderId="3" xfId="0" applyNumberFormat="1" applyFont="1" applyBorder="1" applyAlignment="1" applyProtection="1">
      <alignment horizontal="center" vertical="center"/>
      <protection locked="0"/>
    </xf>
    <xf numFmtId="1" fontId="134" fillId="0" borderId="96" xfId="0" applyNumberFormat="1" applyFont="1" applyBorder="1" applyAlignment="1" applyProtection="1">
      <alignment vertical="center" wrapText="1"/>
      <protection locked="0"/>
    </xf>
    <xf numFmtId="1" fontId="134" fillId="0" borderId="97" xfId="0" applyNumberFormat="1" applyFont="1" applyBorder="1" applyAlignment="1" applyProtection="1">
      <alignment horizontal="center" vertical="center"/>
      <protection locked="0"/>
    </xf>
    <xf numFmtId="3" fontId="134" fillId="95" borderId="97" xfId="0" applyNumberFormat="1" applyFont="1" applyFill="1" applyBorder="1" applyAlignment="1" applyProtection="1">
      <alignment horizontal="center" vertical="center"/>
      <protection locked="0"/>
    </xf>
    <xf numFmtId="3" fontId="134" fillId="87" borderId="97" xfId="0" applyNumberFormat="1" applyFont="1" applyFill="1" applyBorder="1" applyAlignment="1">
      <alignment horizontal="center" vertical="center"/>
    </xf>
    <xf numFmtId="3" fontId="134" fillId="87" borderId="99" xfId="0" applyNumberFormat="1" applyFont="1" applyFill="1" applyBorder="1" applyAlignment="1">
      <alignment horizontal="center" vertical="center"/>
    </xf>
    <xf numFmtId="3" fontId="134" fillId="0" borderId="0" xfId="0" applyNumberFormat="1" applyFont="1"/>
    <xf numFmtId="3" fontId="255" fillId="0" borderId="0" xfId="0" applyNumberFormat="1" applyFont="1"/>
    <xf numFmtId="3" fontId="117" fillId="0" borderId="0" xfId="0" applyNumberFormat="1" applyFont="1"/>
    <xf numFmtId="3" fontId="134" fillId="0" borderId="0" xfId="0" applyNumberFormat="1" applyFont="1" applyAlignment="1">
      <alignment horizontal="center" vertical="center"/>
    </xf>
    <xf numFmtId="17" fontId="260" fillId="83" borderId="87" xfId="0" applyNumberFormat="1" applyFont="1" applyFill="1" applyBorder="1" applyAlignment="1">
      <alignment horizontal="center" vertical="center" wrapText="1"/>
    </xf>
    <xf numFmtId="3" fontId="134" fillId="87" borderId="95" xfId="0" applyNumberFormat="1" applyFont="1" applyFill="1" applyBorder="1" applyAlignment="1">
      <alignment horizontal="left" vertical="center" wrapText="1"/>
    </xf>
    <xf numFmtId="3" fontId="255" fillId="83" borderId="3" xfId="0" applyNumberFormat="1" applyFont="1" applyFill="1" applyBorder="1" applyAlignment="1">
      <alignment horizontal="center" vertical="center"/>
    </xf>
    <xf numFmtId="3" fontId="255" fillId="83" borderId="94" xfId="0" applyNumberFormat="1" applyFont="1" applyFill="1" applyBorder="1" applyAlignment="1">
      <alignment horizontal="center" vertical="center"/>
    </xf>
    <xf numFmtId="3" fontId="255" fillId="0" borderId="0" xfId="0" applyNumberFormat="1" applyFont="1" applyAlignment="1">
      <alignment horizontal="center" vertical="center"/>
    </xf>
    <xf numFmtId="3" fontId="255" fillId="83" borderId="96" xfId="0" applyNumberFormat="1" applyFont="1" applyFill="1" applyBorder="1" applyAlignment="1">
      <alignment horizontal="left" vertical="center"/>
    </xf>
    <xf numFmtId="3" fontId="255" fillId="83" borderId="97" xfId="0" applyNumberFormat="1" applyFont="1" applyFill="1" applyBorder="1" applyAlignment="1">
      <alignment horizontal="center" vertical="center"/>
    </xf>
    <xf numFmtId="3" fontId="255" fillId="83" borderId="99" xfId="0" applyNumberFormat="1" applyFont="1" applyFill="1" applyBorder="1" applyAlignment="1">
      <alignment horizontal="center" vertical="center"/>
    </xf>
    <xf numFmtId="3" fontId="255" fillId="0" borderId="0" xfId="0" applyNumberFormat="1" applyFont="1" applyAlignment="1">
      <alignment horizontal="center"/>
    </xf>
    <xf numFmtId="17" fontId="255" fillId="83" borderId="3" xfId="0" applyNumberFormat="1" applyFont="1" applyFill="1" applyBorder="1" applyAlignment="1">
      <alignment horizontal="center"/>
    </xf>
    <xf numFmtId="3" fontId="134" fillId="87" borderId="95" xfId="0" applyNumberFormat="1" applyFont="1" applyFill="1" applyBorder="1" applyAlignment="1">
      <alignment vertical="center" wrapText="1"/>
    </xf>
    <xf numFmtId="17" fontId="260" fillId="98" borderId="3" xfId="0" applyNumberFormat="1" applyFont="1" applyFill="1" applyBorder="1" applyAlignment="1">
      <alignment horizontal="center" vertical="center" wrapText="1"/>
    </xf>
    <xf numFmtId="3" fontId="260" fillId="98" borderId="3" xfId="0" applyNumberFormat="1" applyFont="1" applyFill="1" applyBorder="1" applyAlignment="1">
      <alignment horizontal="center" vertical="center" wrapText="1"/>
    </xf>
    <xf numFmtId="17" fontId="255" fillId="98" borderId="3" xfId="0" applyNumberFormat="1" applyFont="1" applyFill="1" applyBorder="1" applyAlignment="1">
      <alignment horizontal="center" vertical="center"/>
    </xf>
    <xf numFmtId="3" fontId="261" fillId="95" borderId="95" xfId="0" applyNumberFormat="1" applyFont="1" applyFill="1" applyBorder="1" applyAlignment="1" applyProtection="1">
      <alignment vertical="top" wrapText="1"/>
      <protection locked="0"/>
    </xf>
    <xf numFmtId="3" fontId="261" fillId="95" borderId="3" xfId="0" applyNumberFormat="1" applyFont="1" applyFill="1" applyBorder="1" applyAlignment="1" applyProtection="1">
      <alignment horizontal="center" vertical="center" wrapText="1"/>
      <protection locked="0"/>
    </xf>
    <xf numFmtId="3" fontId="134" fillId="99" borderId="3" xfId="0" applyNumberFormat="1" applyFont="1" applyFill="1" applyBorder="1" applyAlignment="1">
      <alignment horizontal="center" vertical="center"/>
    </xf>
    <xf numFmtId="3" fontId="255" fillId="98" borderId="3" xfId="0" applyNumberFormat="1" applyFont="1" applyFill="1" applyBorder="1" applyAlignment="1">
      <alignment horizontal="center" vertical="center"/>
    </xf>
    <xf numFmtId="3" fontId="255" fillId="98" borderId="94" xfId="0" applyNumberFormat="1" applyFont="1" applyFill="1" applyBorder="1" applyAlignment="1">
      <alignment horizontal="center" vertical="center"/>
    </xf>
    <xf numFmtId="3" fontId="260" fillId="98" borderId="96" xfId="0" applyNumberFormat="1" applyFont="1" applyFill="1" applyBorder="1" applyAlignment="1">
      <alignment horizontal="left" vertical="center" wrapText="1"/>
    </xf>
    <xf numFmtId="3" fontId="260" fillId="98" borderId="97" xfId="0" applyNumberFormat="1" applyFont="1" applyFill="1" applyBorder="1" applyAlignment="1">
      <alignment horizontal="center" vertical="center" wrapText="1"/>
    </xf>
    <xf numFmtId="3" fontId="255" fillId="98" borderId="97" xfId="0" applyNumberFormat="1" applyFont="1" applyFill="1" applyBorder="1" applyAlignment="1">
      <alignment horizontal="center" vertical="center"/>
    </xf>
    <xf numFmtId="3" fontId="255" fillId="98" borderId="99" xfId="0" applyNumberFormat="1" applyFont="1" applyFill="1" applyBorder="1" applyAlignment="1">
      <alignment horizontal="center" vertical="center"/>
    </xf>
    <xf numFmtId="3" fontId="134" fillId="95" borderId="0" xfId="0" applyNumberFormat="1" applyFont="1" applyFill="1"/>
    <xf numFmtId="3" fontId="255" fillId="0" borderId="0" xfId="56791" applyNumberFormat="1" applyFont="1" applyAlignment="1" applyProtection="1">
      <alignment horizontal="right"/>
    </xf>
    <xf numFmtId="3" fontId="134" fillId="0" borderId="0" xfId="0" applyNumberFormat="1" applyFont="1" applyAlignment="1">
      <alignment vertical="center"/>
    </xf>
    <xf numFmtId="3" fontId="251" fillId="0" borderId="0" xfId="0" applyNumberFormat="1" applyFont="1" applyAlignment="1">
      <alignment vertical="center"/>
    </xf>
    <xf numFmtId="3" fontId="261" fillId="95" borderId="95" xfId="0" applyNumberFormat="1" applyFont="1" applyFill="1" applyBorder="1" applyAlignment="1" applyProtection="1">
      <alignment vertical="center" wrapText="1"/>
      <protection locked="0"/>
    </xf>
    <xf numFmtId="3" fontId="260" fillId="98" borderId="96" xfId="0" applyNumberFormat="1" applyFont="1" applyFill="1" applyBorder="1" applyAlignment="1">
      <alignment vertical="center" wrapText="1"/>
    </xf>
    <xf numFmtId="0" fontId="262" fillId="0" borderId="0" xfId="0" applyFont="1"/>
    <xf numFmtId="0" fontId="76" fillId="0" borderId="0" xfId="0" applyFont="1"/>
    <xf numFmtId="0" fontId="261" fillId="0" borderId="0" xfId="0" applyFont="1"/>
    <xf numFmtId="0" fontId="260" fillId="0" borderId="0" xfId="0" applyFont="1"/>
    <xf numFmtId="17" fontId="255" fillId="98" borderId="102" xfId="0" applyNumberFormat="1" applyFont="1" applyFill="1" applyBorder="1" applyAlignment="1">
      <alignment horizontal="center" vertical="center"/>
    </xf>
    <xf numFmtId="17" fontId="255" fillId="98" borderId="97" xfId="0" applyNumberFormat="1" applyFont="1" applyFill="1" applyBorder="1" applyAlignment="1">
      <alignment horizontal="center" vertical="center"/>
    </xf>
    <xf numFmtId="0" fontId="260" fillId="100" borderId="93" xfId="0" applyFont="1" applyFill="1" applyBorder="1" applyAlignment="1">
      <alignment horizontal="center" vertical="center" wrapText="1"/>
    </xf>
    <xf numFmtId="1" fontId="260" fillId="100" borderId="88" xfId="0" applyNumberFormat="1" applyFont="1" applyFill="1" applyBorder="1" applyAlignment="1">
      <alignment horizontal="left" vertical="center" wrapText="1"/>
    </xf>
    <xf numFmtId="3" fontId="255" fillId="100" borderId="88" xfId="0" applyNumberFormat="1" applyFont="1" applyFill="1" applyBorder="1" applyAlignment="1">
      <alignment horizontal="center" vertical="center" wrapText="1"/>
    </xf>
    <xf numFmtId="3" fontId="255" fillId="100" borderId="108" xfId="0" applyNumberFormat="1" applyFont="1" applyFill="1" applyBorder="1" applyAlignment="1">
      <alignment horizontal="center" vertical="center" wrapText="1"/>
    </xf>
    <xf numFmtId="3" fontId="260" fillId="100" borderId="67" xfId="0" applyNumberFormat="1" applyFont="1" applyFill="1" applyBorder="1"/>
    <xf numFmtId="3" fontId="260" fillId="100" borderId="88" xfId="0" applyNumberFormat="1" applyFont="1" applyFill="1" applyBorder="1"/>
    <xf numFmtId="3" fontId="260" fillId="98" borderId="108" xfId="0" applyNumberFormat="1" applyFont="1" applyFill="1" applyBorder="1"/>
    <xf numFmtId="3" fontId="260" fillId="100" borderId="83" xfId="0" applyNumberFormat="1" applyFont="1" applyFill="1" applyBorder="1"/>
    <xf numFmtId="3" fontId="260" fillId="100" borderId="90" xfId="0" applyNumberFormat="1" applyFont="1" applyFill="1" applyBorder="1"/>
    <xf numFmtId="3" fontId="260" fillId="98" borderId="84" xfId="0" applyNumberFormat="1" applyFont="1" applyFill="1" applyBorder="1"/>
    <xf numFmtId="49" fontId="261" fillId="0" borderId="95" xfId="0" applyNumberFormat="1" applyFont="1" applyBorder="1" applyAlignment="1">
      <alignment horizontal="center" vertical="center"/>
    </xf>
    <xf numFmtId="0" fontId="261" fillId="0" borderId="3" xfId="0" applyFont="1" applyBorder="1" applyProtection="1">
      <protection locked="0"/>
    </xf>
    <xf numFmtId="0" fontId="261" fillId="0" borderId="3" xfId="0" applyFont="1" applyBorder="1" applyAlignment="1" applyProtection="1">
      <alignment horizontal="center" vertical="center"/>
      <protection locked="0"/>
    </xf>
    <xf numFmtId="2" fontId="261" fillId="107" borderId="3" xfId="0" applyNumberFormat="1" applyFont="1" applyFill="1" applyBorder="1" applyAlignment="1">
      <alignment horizontal="right" vertical="center"/>
    </xf>
    <xf numFmtId="2" fontId="261" fillId="107" borderId="94" xfId="0" applyNumberFormat="1" applyFont="1" applyFill="1" applyBorder="1" applyAlignment="1">
      <alignment horizontal="right" vertical="center"/>
    </xf>
    <xf numFmtId="0" fontId="261" fillId="107" borderId="87" xfId="0" applyFont="1" applyFill="1" applyBorder="1"/>
    <xf numFmtId="0" fontId="261" fillId="107" borderId="3" xfId="0" applyFont="1" applyFill="1" applyBorder="1"/>
    <xf numFmtId="3" fontId="260" fillId="98" borderId="94" xfId="0" applyNumberFormat="1" applyFont="1" applyFill="1" applyBorder="1"/>
    <xf numFmtId="3" fontId="261" fillId="107" borderId="95" xfId="0" applyNumberFormat="1" applyFont="1" applyFill="1" applyBorder="1"/>
    <xf numFmtId="3" fontId="261" fillId="107" borderId="87" xfId="0" applyNumberFormat="1" applyFont="1" applyFill="1" applyBorder="1"/>
    <xf numFmtId="3" fontId="261" fillId="107" borderId="3" xfId="0" applyNumberFormat="1" applyFont="1" applyFill="1" applyBorder="1"/>
    <xf numFmtId="49" fontId="261" fillId="87" borderId="96" xfId="0" applyNumberFormat="1" applyFont="1" applyFill="1" applyBorder="1" applyAlignment="1">
      <alignment horizontal="center" vertical="center"/>
    </xf>
    <xf numFmtId="3" fontId="261" fillId="87" borderId="102" xfId="0" applyNumberFormat="1" applyFont="1" applyFill="1" applyBorder="1" applyAlignment="1">
      <alignment vertical="center"/>
    </xf>
    <xf numFmtId="3" fontId="261" fillId="87" borderId="97" xfId="0" applyNumberFormat="1" applyFont="1" applyFill="1" applyBorder="1" applyAlignment="1">
      <alignment vertical="center"/>
    </xf>
    <xf numFmtId="3" fontId="260" fillId="98" borderId="99" xfId="0" applyNumberFormat="1" applyFont="1" applyFill="1" applyBorder="1" applyAlignment="1">
      <alignment vertical="center"/>
    </xf>
    <xf numFmtId="3" fontId="261" fillId="87" borderId="96" xfId="0" applyNumberFormat="1" applyFont="1" applyFill="1" applyBorder="1" applyAlignment="1">
      <alignment vertical="center"/>
    </xf>
    <xf numFmtId="0" fontId="260" fillId="100" borderId="83" xfId="0" applyFont="1" applyFill="1" applyBorder="1" applyAlignment="1">
      <alignment horizontal="center" vertical="center" wrapText="1"/>
    </xf>
    <xf numFmtId="1" fontId="260" fillId="100" borderId="90" xfId="0" applyNumberFormat="1" applyFont="1" applyFill="1" applyBorder="1" applyAlignment="1">
      <alignment horizontal="left" vertical="center" wrapText="1"/>
    </xf>
    <xf numFmtId="3" fontId="255" fillId="100" borderId="90" xfId="0" applyNumberFormat="1" applyFont="1" applyFill="1" applyBorder="1" applyAlignment="1">
      <alignment horizontal="center" vertical="center" wrapText="1"/>
    </xf>
    <xf numFmtId="3" fontId="255" fillId="100" borderId="84" xfId="0" applyNumberFormat="1" applyFont="1" applyFill="1" applyBorder="1" applyAlignment="1">
      <alignment horizontal="center" vertical="center" wrapText="1"/>
    </xf>
    <xf numFmtId="3" fontId="260" fillId="100" borderId="92" xfId="0" applyNumberFormat="1" applyFont="1" applyFill="1" applyBorder="1"/>
    <xf numFmtId="3" fontId="261" fillId="107" borderId="1" xfId="0" applyNumberFormat="1" applyFont="1" applyFill="1" applyBorder="1"/>
    <xf numFmtId="49" fontId="261" fillId="87" borderId="110" xfId="0" applyNumberFormat="1" applyFont="1" applyFill="1" applyBorder="1" applyAlignment="1">
      <alignment horizontal="center" vertical="center"/>
    </xf>
    <xf numFmtId="3" fontId="261" fillId="87" borderId="113" xfId="0" applyNumberFormat="1" applyFont="1" applyFill="1" applyBorder="1" applyAlignment="1">
      <alignment vertical="center"/>
    </xf>
    <xf numFmtId="3" fontId="261" fillId="87" borderId="4" xfId="0" applyNumberFormat="1" applyFont="1" applyFill="1" applyBorder="1" applyAlignment="1">
      <alignment vertical="center"/>
    </xf>
    <xf numFmtId="3" fontId="260" fillId="98" borderId="114" xfId="0" applyNumberFormat="1" applyFont="1" applyFill="1" applyBorder="1" applyAlignment="1">
      <alignment vertical="center"/>
    </xf>
    <xf numFmtId="3" fontId="261" fillId="87" borderId="110" xfId="0" applyNumberFormat="1" applyFont="1" applyFill="1" applyBorder="1" applyAlignment="1">
      <alignment vertical="center"/>
    </xf>
    <xf numFmtId="3" fontId="76" fillId="98" borderId="10" xfId="0" applyNumberFormat="1" applyFont="1" applyFill="1" applyBorder="1"/>
    <xf numFmtId="0" fontId="76" fillId="98" borderId="10" xfId="0" applyFont="1" applyFill="1" applyBorder="1"/>
    <xf numFmtId="0" fontId="76" fillId="98" borderId="117" xfId="0" applyFont="1" applyFill="1" applyBorder="1"/>
    <xf numFmtId="17" fontId="260" fillId="85" borderId="3" xfId="0" applyNumberFormat="1" applyFont="1" applyFill="1" applyBorder="1" applyAlignment="1">
      <alignment horizontal="center" vertical="center" wrapText="1"/>
    </xf>
    <xf numFmtId="3" fontId="260" fillId="85" borderId="3" xfId="0" applyNumberFormat="1" applyFont="1" applyFill="1" applyBorder="1" applyAlignment="1">
      <alignment horizontal="center" vertical="center" wrapText="1"/>
    </xf>
    <xf numFmtId="17" fontId="255" fillId="85" borderId="3" xfId="0" applyNumberFormat="1" applyFont="1" applyFill="1" applyBorder="1" applyAlignment="1">
      <alignment horizontal="center" vertical="center"/>
    </xf>
    <xf numFmtId="3" fontId="255" fillId="85" borderId="3" xfId="0" applyNumberFormat="1" applyFont="1" applyFill="1" applyBorder="1" applyAlignment="1">
      <alignment horizontal="center" vertical="center"/>
    </xf>
    <xf numFmtId="3" fontId="255" fillId="85" borderId="94" xfId="0" applyNumberFormat="1" applyFont="1" applyFill="1" applyBorder="1" applyAlignment="1">
      <alignment horizontal="center" vertical="center"/>
    </xf>
    <xf numFmtId="3" fontId="260" fillId="85" borderId="96" xfId="0" applyNumberFormat="1" applyFont="1" applyFill="1" applyBorder="1" applyAlignment="1">
      <alignment horizontal="left" vertical="center" wrapText="1"/>
    </xf>
    <xf numFmtId="3" fontId="260" fillId="85" borderId="97" xfId="0" applyNumberFormat="1" applyFont="1" applyFill="1" applyBorder="1" applyAlignment="1">
      <alignment horizontal="center" vertical="center" wrapText="1"/>
    </xf>
    <xf numFmtId="3" fontId="255" fillId="85" borderId="97" xfId="0" applyNumberFormat="1" applyFont="1" applyFill="1" applyBorder="1" applyAlignment="1">
      <alignment horizontal="center" vertical="center"/>
    </xf>
    <xf numFmtId="3" fontId="255" fillId="85" borderId="99" xfId="0" applyNumberFormat="1" applyFont="1" applyFill="1" applyBorder="1" applyAlignment="1">
      <alignment horizontal="center" vertical="center"/>
    </xf>
    <xf numFmtId="3" fontId="260" fillId="95" borderId="0" xfId="0" applyNumberFormat="1" applyFont="1" applyFill="1" applyAlignment="1">
      <alignment horizontal="left" vertical="center" wrapText="1"/>
    </xf>
    <xf numFmtId="3" fontId="260" fillId="95" borderId="0" xfId="0" applyNumberFormat="1" applyFont="1" applyFill="1" applyAlignment="1">
      <alignment horizontal="center" vertical="center" wrapText="1"/>
    </xf>
    <xf numFmtId="3" fontId="255" fillId="95" borderId="0" xfId="0" applyNumberFormat="1" applyFont="1" applyFill="1" applyAlignment="1">
      <alignment horizontal="center" vertical="center"/>
    </xf>
    <xf numFmtId="3" fontId="255" fillId="85" borderId="3" xfId="0" applyNumberFormat="1" applyFont="1" applyFill="1" applyBorder="1" applyAlignment="1">
      <alignment horizontal="center" vertical="center" wrapText="1"/>
    </xf>
    <xf numFmtId="3" fontId="255" fillId="85" borderId="94" xfId="0" applyNumberFormat="1" applyFont="1" applyFill="1" applyBorder="1" applyAlignment="1">
      <alignment horizontal="center" vertical="center" wrapText="1"/>
    </xf>
    <xf numFmtId="3" fontId="134" fillId="108" borderId="95" xfId="0" applyNumberFormat="1" applyFont="1" applyFill="1" applyBorder="1" applyAlignment="1">
      <alignment horizontal="left" vertical="center" wrapText="1"/>
    </xf>
    <xf numFmtId="3" fontId="134" fillId="95" borderId="82" xfId="0" applyNumberFormat="1" applyFont="1" applyFill="1" applyBorder="1" applyAlignment="1" applyProtection="1">
      <alignment horizontal="center" vertical="center" wrapText="1"/>
      <protection locked="0"/>
    </xf>
    <xf numFmtId="3" fontId="134" fillId="95" borderId="3" xfId="0" applyNumberFormat="1" applyFont="1" applyFill="1" applyBorder="1" applyAlignment="1" applyProtection="1">
      <alignment horizontal="right" vertical="center" wrapText="1"/>
      <protection locked="0"/>
    </xf>
    <xf numFmtId="3" fontId="134" fillId="108" borderId="3" xfId="0" applyNumberFormat="1" applyFont="1" applyFill="1" applyBorder="1" applyAlignment="1">
      <alignment horizontal="right" vertical="center"/>
    </xf>
    <xf numFmtId="3" fontId="134" fillId="108" borderId="94" xfId="0" applyNumberFormat="1" applyFont="1" applyFill="1" applyBorder="1" applyAlignment="1">
      <alignment horizontal="right" vertical="center"/>
    </xf>
    <xf numFmtId="3" fontId="134" fillId="95" borderId="82" xfId="0" applyNumberFormat="1" applyFont="1" applyFill="1" applyBorder="1" applyAlignment="1" applyProtection="1">
      <alignment vertical="top" wrapText="1"/>
      <protection locked="0"/>
    </xf>
    <xf numFmtId="3" fontId="134" fillId="108" borderId="96" xfId="0" applyNumberFormat="1" applyFont="1" applyFill="1" applyBorder="1" applyAlignment="1">
      <alignment horizontal="left" vertical="center" wrapText="1"/>
    </xf>
    <xf numFmtId="3" fontId="134" fillId="95" borderId="98" xfId="0" applyNumberFormat="1" applyFont="1" applyFill="1" applyBorder="1" applyAlignment="1" applyProtection="1">
      <alignment vertical="top" wrapText="1"/>
      <protection locked="0"/>
    </xf>
    <xf numFmtId="3" fontId="134" fillId="95" borderId="97" xfId="0" applyNumberFormat="1" applyFont="1" applyFill="1" applyBorder="1" applyAlignment="1" applyProtection="1">
      <alignment horizontal="right" vertical="center" wrapText="1"/>
      <protection locked="0"/>
    </xf>
    <xf numFmtId="3" fontId="134" fillId="108" borderId="97" xfId="0" applyNumberFormat="1" applyFont="1" applyFill="1" applyBorder="1" applyAlignment="1">
      <alignment horizontal="right" vertical="center"/>
    </xf>
    <xf numFmtId="3" fontId="134" fillId="108" borderId="99" xfId="0" applyNumberFormat="1" applyFont="1" applyFill="1" applyBorder="1" applyAlignment="1">
      <alignment horizontal="right" vertical="center"/>
    </xf>
    <xf numFmtId="3" fontId="134" fillId="95" borderId="0" xfId="0" applyNumberFormat="1" applyFont="1" applyFill="1" applyAlignment="1">
      <alignment vertical="top" wrapText="1"/>
    </xf>
    <xf numFmtId="3" fontId="261" fillId="108" borderId="95" xfId="0" applyNumberFormat="1" applyFont="1" applyFill="1" applyBorder="1" applyAlignment="1">
      <alignment vertical="top" wrapText="1"/>
    </xf>
    <xf numFmtId="3" fontId="261" fillId="108" borderId="3" xfId="0" applyNumberFormat="1" applyFont="1" applyFill="1" applyBorder="1" applyAlignment="1">
      <alignment horizontal="center" vertical="center" wrapText="1"/>
    </xf>
    <xf numFmtId="3" fontId="134" fillId="108" borderId="3" xfId="0" applyNumberFormat="1" applyFont="1" applyFill="1" applyBorder="1" applyAlignment="1">
      <alignment horizontal="center" vertical="center"/>
    </xf>
    <xf numFmtId="3" fontId="255" fillId="95" borderId="0" xfId="0" applyNumberFormat="1" applyFont="1" applyFill="1" applyAlignment="1">
      <alignment horizontal="right" vertical="center"/>
    </xf>
    <xf numFmtId="3" fontId="255" fillId="95" borderId="0" xfId="0" applyNumberFormat="1" applyFont="1" applyFill="1"/>
    <xf numFmtId="0" fontId="261" fillId="0" borderId="0" xfId="0" applyFont="1" applyAlignment="1">
      <alignment vertical="center"/>
    </xf>
    <xf numFmtId="0" fontId="261" fillId="0" borderId="0" xfId="0" applyFont="1" applyAlignment="1">
      <alignment horizontal="center" vertical="center"/>
    </xf>
    <xf numFmtId="0" fontId="260" fillId="0" borderId="0" xfId="0" applyFont="1" applyAlignment="1">
      <alignment vertical="center"/>
    </xf>
    <xf numFmtId="0" fontId="251" fillId="0" borderId="0" xfId="0" applyFont="1" applyAlignment="1">
      <alignment vertical="center"/>
    </xf>
    <xf numFmtId="17" fontId="255" fillId="85" borderId="4" xfId="0" applyNumberFormat="1" applyFont="1" applyFill="1" applyBorder="1" applyAlignment="1">
      <alignment horizontal="center" vertical="center"/>
    </xf>
    <xf numFmtId="0" fontId="260" fillId="108" borderId="83" xfId="0" applyFont="1" applyFill="1" applyBorder="1" applyAlignment="1">
      <alignment horizontal="center" vertical="center"/>
    </xf>
    <xf numFmtId="1" fontId="260" fillId="108" borderId="90" xfId="0" applyNumberFormat="1" applyFont="1" applyFill="1" applyBorder="1" applyAlignment="1">
      <alignment vertical="center"/>
    </xf>
    <xf numFmtId="3" fontId="260" fillId="108" borderId="90" xfId="0" applyNumberFormat="1" applyFont="1" applyFill="1" applyBorder="1" applyAlignment="1">
      <alignment vertical="center"/>
    </xf>
    <xf numFmtId="3" fontId="255" fillId="85" borderId="84" xfId="0" applyNumberFormat="1" applyFont="1" applyFill="1" applyBorder="1" applyAlignment="1">
      <alignment vertical="center"/>
    </xf>
    <xf numFmtId="3" fontId="260" fillId="108" borderId="92" xfId="0" applyNumberFormat="1" applyFont="1" applyFill="1" applyBorder="1" applyAlignment="1">
      <alignment vertical="center"/>
    </xf>
    <xf numFmtId="3" fontId="260" fillId="85" borderId="84" xfId="0" applyNumberFormat="1" applyFont="1" applyFill="1" applyBorder="1" applyAlignment="1">
      <alignment vertical="center"/>
    </xf>
    <xf numFmtId="3" fontId="260" fillId="108" borderId="83" xfId="0" applyNumberFormat="1" applyFont="1" applyFill="1" applyBorder="1" applyAlignment="1">
      <alignment vertical="center"/>
    </xf>
    <xf numFmtId="49" fontId="260" fillId="0" borderId="95" xfId="0" applyNumberFormat="1" applyFont="1" applyBorder="1" applyAlignment="1">
      <alignment horizontal="center" vertical="center"/>
    </xf>
    <xf numFmtId="1" fontId="260" fillId="95" borderId="3" xfId="0" applyNumberFormat="1" applyFont="1" applyFill="1" applyBorder="1" applyAlignment="1" applyProtection="1">
      <alignment vertical="center"/>
      <protection locked="0"/>
    </xf>
    <xf numFmtId="3" fontId="260" fillId="109" borderId="3" xfId="0" applyNumberFormat="1" applyFont="1" applyFill="1" applyBorder="1" applyAlignment="1">
      <alignment vertical="center"/>
    </xf>
    <xf numFmtId="3" fontId="255" fillId="85" borderId="94" xfId="0" applyNumberFormat="1" applyFont="1" applyFill="1" applyBorder="1" applyAlignment="1">
      <alignment vertical="center"/>
    </xf>
    <xf numFmtId="3" fontId="260" fillId="109" borderId="87" xfId="0" applyNumberFormat="1" applyFont="1" applyFill="1" applyBorder="1" applyAlignment="1">
      <alignment vertical="center"/>
    </xf>
    <xf numFmtId="3" fontId="260" fillId="109" borderId="95" xfId="0" applyNumberFormat="1" applyFont="1" applyFill="1" applyBorder="1" applyAlignment="1">
      <alignment vertical="center"/>
    </xf>
    <xf numFmtId="3" fontId="260" fillId="85" borderId="94" xfId="0" applyNumberFormat="1" applyFont="1" applyFill="1" applyBorder="1" applyAlignment="1">
      <alignment vertical="center"/>
    </xf>
    <xf numFmtId="1" fontId="261" fillId="109" borderId="3" xfId="0" applyNumberFormat="1" applyFont="1" applyFill="1" applyBorder="1" applyAlignment="1">
      <alignment vertical="center" wrapText="1"/>
    </xf>
    <xf numFmtId="3" fontId="261" fillId="95" borderId="3" xfId="0" applyNumberFormat="1" applyFont="1" applyFill="1" applyBorder="1" applyAlignment="1" applyProtection="1">
      <alignment vertical="center"/>
      <protection locked="0"/>
    </xf>
    <xf numFmtId="3" fontId="261" fillId="95" borderId="87" xfId="0" applyNumberFormat="1" applyFont="1" applyFill="1" applyBorder="1" applyAlignment="1" applyProtection="1">
      <alignment vertical="center"/>
      <protection locked="0"/>
    </xf>
    <xf numFmtId="3" fontId="261" fillId="95" borderId="95" xfId="0" applyNumberFormat="1" applyFont="1" applyFill="1" applyBorder="1" applyAlignment="1" applyProtection="1">
      <alignment vertical="center"/>
      <protection locked="0"/>
    </xf>
    <xf numFmtId="1" fontId="261" fillId="109" borderId="3" xfId="0" applyNumberFormat="1" applyFont="1" applyFill="1" applyBorder="1" applyAlignment="1">
      <alignment vertical="center"/>
    </xf>
    <xf numFmtId="250" fontId="261" fillId="109" borderId="3" xfId="0" applyNumberFormat="1" applyFont="1" applyFill="1" applyBorder="1" applyAlignment="1">
      <alignment vertical="center"/>
    </xf>
    <xf numFmtId="250" fontId="261" fillId="109" borderId="87" xfId="0" applyNumberFormat="1" applyFont="1" applyFill="1" applyBorder="1" applyAlignment="1">
      <alignment vertical="center"/>
    </xf>
    <xf numFmtId="250" fontId="261" fillId="109" borderId="95" xfId="0" applyNumberFormat="1" applyFont="1" applyFill="1" applyBorder="1" applyAlignment="1">
      <alignment vertical="center"/>
    </xf>
    <xf numFmtId="49" fontId="261" fillId="0" borderId="96" xfId="0" applyNumberFormat="1" applyFont="1" applyBorder="1" applyAlignment="1">
      <alignment horizontal="center" vertical="center"/>
    </xf>
    <xf numFmtId="1" fontId="261" fillId="100" borderId="97" xfId="0" applyNumberFormat="1" applyFont="1" applyFill="1" applyBorder="1" applyAlignment="1">
      <alignment vertical="center" wrapText="1"/>
    </xf>
    <xf numFmtId="3" fontId="261" fillId="100" borderId="97" xfId="0" applyNumberFormat="1" applyFont="1" applyFill="1" applyBorder="1" applyAlignment="1">
      <alignment vertical="center"/>
    </xf>
    <xf numFmtId="3" fontId="255" fillId="85" borderId="99" xfId="0" applyNumberFormat="1" applyFont="1" applyFill="1" applyBorder="1" applyAlignment="1">
      <alignment vertical="center"/>
    </xf>
    <xf numFmtId="3" fontId="261" fillId="100" borderId="102" xfId="0" applyNumberFormat="1" applyFont="1" applyFill="1" applyBorder="1" applyAlignment="1">
      <alignment vertical="center"/>
    </xf>
    <xf numFmtId="3" fontId="261" fillId="100" borderId="96" xfId="0" applyNumberFormat="1" applyFont="1" applyFill="1" applyBorder="1" applyAlignment="1">
      <alignment vertical="center"/>
    </xf>
    <xf numFmtId="3" fontId="260" fillId="85" borderId="99" xfId="0" applyNumberFormat="1" applyFont="1" applyFill="1" applyBorder="1" applyAlignment="1">
      <alignment vertical="center"/>
    </xf>
    <xf numFmtId="49" fontId="260" fillId="0" borderId="83" xfId="0" applyNumberFormat="1" applyFont="1" applyBorder="1" applyAlignment="1">
      <alignment horizontal="center" vertical="center"/>
    </xf>
    <xf numFmtId="3" fontId="260" fillId="109" borderId="83" xfId="0" applyNumberFormat="1" applyFont="1" applyFill="1" applyBorder="1" applyAlignment="1">
      <alignment vertical="center"/>
    </xf>
    <xf numFmtId="3" fontId="260" fillId="109" borderId="90" xfId="0" applyNumberFormat="1" applyFont="1" applyFill="1" applyBorder="1" applyAlignment="1">
      <alignment vertical="center"/>
    </xf>
    <xf numFmtId="1" fontId="260" fillId="95" borderId="90" xfId="0" applyNumberFormat="1" applyFont="1" applyFill="1" applyBorder="1" applyAlignment="1" applyProtection="1">
      <alignment vertical="center"/>
      <protection locked="0"/>
    </xf>
    <xf numFmtId="49" fontId="261" fillId="0" borderId="110" xfId="0" applyNumberFormat="1" applyFont="1" applyBorder="1" applyAlignment="1">
      <alignment horizontal="center" vertical="center"/>
    </xf>
    <xf numFmtId="1" fontId="261" fillId="100" borderId="4" xfId="0" applyNumberFormat="1" applyFont="1" applyFill="1" applyBorder="1" applyAlignment="1">
      <alignment vertical="center" wrapText="1"/>
    </xf>
    <xf numFmtId="3" fontId="261" fillId="100" borderId="4" xfId="0" applyNumberFormat="1" applyFont="1" applyFill="1" applyBorder="1" applyAlignment="1">
      <alignment vertical="center"/>
    </xf>
    <xf numFmtId="3" fontId="255" fillId="85" borderId="114" xfId="0" applyNumberFormat="1" applyFont="1" applyFill="1" applyBorder="1" applyAlignment="1">
      <alignment vertical="center"/>
    </xf>
    <xf numFmtId="49" fontId="260" fillId="0" borderId="93" xfId="0" applyNumberFormat="1" applyFont="1" applyBorder="1" applyAlignment="1">
      <alignment horizontal="center" vertical="center"/>
    </xf>
    <xf numFmtId="1" fontId="260" fillId="95" borderId="88" xfId="0" applyNumberFormat="1" applyFont="1" applyFill="1" applyBorder="1" applyAlignment="1" applyProtection="1">
      <alignment vertical="center"/>
      <protection locked="0"/>
    </xf>
    <xf numFmtId="3" fontId="260" fillId="109" borderId="88" xfId="0" applyNumberFormat="1" applyFont="1" applyFill="1" applyBorder="1" applyAlignment="1">
      <alignment vertical="center"/>
    </xf>
    <xf numFmtId="3" fontId="255" fillId="85" borderId="108" xfId="0" applyNumberFormat="1" applyFont="1" applyFill="1" applyBorder="1" applyAlignment="1">
      <alignment vertical="center"/>
    </xf>
    <xf numFmtId="49" fontId="261" fillId="85" borderId="118" xfId="0" applyNumberFormat="1" applyFont="1" applyFill="1" applyBorder="1" applyAlignment="1">
      <alignment horizontal="center" vertical="center"/>
    </xf>
    <xf numFmtId="1" fontId="255" fillId="85" borderId="10" xfId="0" applyNumberFormat="1" applyFont="1" applyFill="1" applyBorder="1" applyAlignment="1">
      <alignment vertical="center"/>
    </xf>
    <xf numFmtId="3" fontId="255" fillId="85" borderId="10" xfId="0" applyNumberFormat="1" applyFont="1" applyFill="1" applyBorder="1" applyAlignment="1">
      <alignment vertical="center"/>
    </xf>
    <xf numFmtId="3" fontId="255" fillId="85" borderId="117" xfId="0" applyNumberFormat="1" applyFont="1" applyFill="1" applyBorder="1" applyAlignment="1">
      <alignment vertical="center"/>
    </xf>
    <xf numFmtId="0" fontId="134" fillId="0" borderId="0" xfId="0" applyFont="1"/>
    <xf numFmtId="0" fontId="263" fillId="0" borderId="0" xfId="0" applyFont="1" applyAlignment="1">
      <alignment wrapText="1"/>
    </xf>
    <xf numFmtId="0" fontId="260" fillId="93" borderId="83" xfId="0" applyFont="1" applyFill="1" applyBorder="1" applyAlignment="1">
      <alignment horizontal="center" vertical="center" wrapText="1"/>
    </xf>
    <xf numFmtId="0" fontId="260" fillId="93" borderId="90" xfId="0" applyFont="1" applyFill="1" applyBorder="1" applyAlignment="1">
      <alignment horizontal="center" vertical="center" wrapText="1"/>
    </xf>
    <xf numFmtId="0" fontId="260" fillId="93" borderId="84" xfId="0" applyFont="1" applyFill="1" applyBorder="1" applyAlignment="1">
      <alignment horizontal="center" vertical="center" wrapText="1"/>
    </xf>
    <xf numFmtId="0" fontId="263" fillId="94" borderId="95" xfId="0" applyFont="1" applyFill="1" applyBorder="1" applyAlignment="1">
      <alignment horizontal="center" vertical="center" wrapText="1"/>
    </xf>
    <xf numFmtId="0" fontId="261" fillId="94" borderId="3" xfId="0" applyFont="1" applyFill="1" applyBorder="1" applyAlignment="1">
      <alignment vertical="center" wrapText="1"/>
    </xf>
    <xf numFmtId="0" fontId="261" fillId="94" borderId="3" xfId="0" applyFont="1" applyFill="1" applyBorder="1" applyAlignment="1">
      <alignment horizontal="left" vertical="center" wrapText="1"/>
    </xf>
    <xf numFmtId="350" fontId="260" fillId="94" borderId="3" xfId="56791" applyNumberFormat="1" applyFont="1" applyFill="1" applyBorder="1" applyAlignment="1">
      <alignment horizontal="center" vertical="center" wrapText="1"/>
    </xf>
    <xf numFmtId="0" fontId="261" fillId="94" borderId="94" xfId="0" applyFont="1" applyFill="1" applyBorder="1" applyAlignment="1">
      <alignment horizontal="left" vertical="center" wrapText="1"/>
    </xf>
    <xf numFmtId="0" fontId="263" fillId="94" borderId="3" xfId="0" applyFont="1" applyFill="1" applyBorder="1" applyAlignment="1">
      <alignment horizontal="left" vertical="center" wrapText="1"/>
    </xf>
    <xf numFmtId="10" fontId="260" fillId="94" borderId="3" xfId="0" applyNumberFormat="1" applyFont="1" applyFill="1" applyBorder="1" applyAlignment="1">
      <alignment horizontal="center" vertical="center" wrapText="1"/>
    </xf>
    <xf numFmtId="0" fontId="261" fillId="94" borderId="3" xfId="0" applyFont="1" applyFill="1" applyBorder="1"/>
    <xf numFmtId="0" fontId="263" fillId="94" borderId="3" xfId="0" applyFont="1" applyFill="1" applyBorder="1" applyAlignment="1">
      <alignment vertical="center" wrapText="1"/>
    </xf>
    <xf numFmtId="8" fontId="134" fillId="0" borderId="0" xfId="0" applyNumberFormat="1" applyFont="1"/>
    <xf numFmtId="9" fontId="134" fillId="0" borderId="0" xfId="55071" applyNumberFormat="1" applyFont="1"/>
    <xf numFmtId="0" fontId="134" fillId="94" borderId="3" xfId="0" applyFont="1" applyFill="1" applyBorder="1"/>
    <xf numFmtId="9" fontId="134" fillId="0" borderId="0" xfId="0" applyNumberFormat="1" applyFont="1"/>
    <xf numFmtId="350" fontId="134" fillId="0" borderId="0" xfId="0" applyNumberFormat="1" applyFont="1"/>
    <xf numFmtId="0" fontId="263" fillId="94" borderId="96" xfId="0" applyFont="1" applyFill="1" applyBorder="1" applyAlignment="1">
      <alignment horizontal="center" vertical="center" wrapText="1"/>
    </xf>
    <xf numFmtId="0" fontId="261" fillId="94" borderId="97" xfId="0" applyFont="1" applyFill="1" applyBorder="1" applyAlignment="1">
      <alignment vertical="center" wrapText="1"/>
    </xf>
    <xf numFmtId="0" fontId="261" fillId="94" borderId="97" xfId="0" applyFont="1" applyFill="1" applyBorder="1" applyAlignment="1">
      <alignment wrapText="1"/>
    </xf>
    <xf numFmtId="0" fontId="261" fillId="94" borderId="97" xfId="0" applyFont="1" applyFill="1" applyBorder="1" applyAlignment="1">
      <alignment horizontal="left" vertical="center" wrapText="1"/>
    </xf>
    <xf numFmtId="351" fontId="260" fillId="94" borderId="3" xfId="56694" applyNumberFormat="1" applyFont="1" applyFill="1" applyBorder="1" applyAlignment="1">
      <alignment horizontal="center" vertical="center" wrapText="1"/>
    </xf>
    <xf numFmtId="0" fontId="261" fillId="94" borderId="99" xfId="0" applyFont="1" applyFill="1" applyBorder="1" applyAlignment="1">
      <alignment horizontal="left" vertical="center" wrapText="1"/>
    </xf>
    <xf numFmtId="0" fontId="251" fillId="95" borderId="0" xfId="0" applyFont="1" applyFill="1"/>
    <xf numFmtId="0" fontId="260" fillId="0" borderId="0" xfId="0" applyFont="1" applyAlignment="1">
      <alignment horizontal="center" vertical="center"/>
    </xf>
    <xf numFmtId="17" fontId="260" fillId="93" borderId="3" xfId="0" applyNumberFormat="1" applyFont="1" applyFill="1" applyBorder="1" applyAlignment="1">
      <alignment horizontal="center" vertical="center"/>
    </xf>
    <xf numFmtId="17" fontId="260" fillId="93" borderId="94" xfId="0" applyNumberFormat="1" applyFont="1" applyFill="1" applyBorder="1" applyAlignment="1">
      <alignment horizontal="center" vertical="center"/>
    </xf>
    <xf numFmtId="3" fontId="261" fillId="94" borderId="95" xfId="0" applyNumberFormat="1" applyFont="1" applyFill="1" applyBorder="1"/>
    <xf numFmtId="3" fontId="261" fillId="94" borderId="3" xfId="0" applyNumberFormat="1" applyFont="1" applyFill="1" applyBorder="1"/>
    <xf numFmtId="3" fontId="261" fillId="94" borderId="94" xfId="0" applyNumberFormat="1" applyFont="1" applyFill="1" applyBorder="1"/>
    <xf numFmtId="3" fontId="260" fillId="94" borderId="96" xfId="0" applyNumberFormat="1" applyFont="1" applyFill="1" applyBorder="1"/>
    <xf numFmtId="3" fontId="260" fillId="94" borderId="97" xfId="0" applyNumberFormat="1" applyFont="1" applyFill="1" applyBorder="1"/>
    <xf numFmtId="3" fontId="260" fillId="94" borderId="99" xfId="0" applyNumberFormat="1" applyFont="1" applyFill="1" applyBorder="1"/>
    <xf numFmtId="0" fontId="260" fillId="94" borderId="96" xfId="0" applyFont="1" applyFill="1" applyBorder="1"/>
    <xf numFmtId="0" fontId="261" fillId="95" borderId="3" xfId="0" applyNumberFormat="1" applyFont="1" applyFill="1" applyBorder="1" applyAlignment="1" applyProtection="1">
      <alignment horizontal="center" vertical="center" wrapText="1"/>
      <protection locked="0"/>
    </xf>
    <xf numFmtId="3" fontId="253" fillId="93" borderId="84" xfId="0" applyNumberFormat="1" applyFont="1" applyFill="1" applyBorder="1" applyAlignment="1" applyProtection="1">
      <alignment horizontal="center" vertical="center" wrapText="1"/>
    </xf>
    <xf numFmtId="3" fontId="253" fillId="93" borderId="94" xfId="0" applyNumberFormat="1" applyFont="1" applyFill="1" applyBorder="1" applyAlignment="1" applyProtection="1">
      <alignment horizontal="center" vertical="center" wrapText="1"/>
    </xf>
    <xf numFmtId="3" fontId="253" fillId="93" borderId="89" xfId="54340" applyNumberFormat="1" applyFont="1" applyFill="1" applyBorder="1" applyAlignment="1" applyProtection="1">
      <alignment horizontal="center" vertical="center"/>
    </xf>
    <xf numFmtId="3" fontId="253" fillId="93" borderId="88" xfId="54340" applyNumberFormat="1" applyFont="1" applyFill="1" applyBorder="1" applyAlignment="1" applyProtection="1">
      <alignment horizontal="center" vertical="center"/>
    </xf>
    <xf numFmtId="3" fontId="253" fillId="93" borderId="90" xfId="0" applyNumberFormat="1" applyFont="1" applyFill="1" applyBorder="1" applyAlignment="1" applyProtection="1">
      <alignment horizontal="center" vertical="center"/>
    </xf>
    <xf numFmtId="3" fontId="253" fillId="93" borderId="89" xfId="0" applyNumberFormat="1" applyFont="1" applyFill="1" applyBorder="1" applyAlignment="1" applyProtection="1">
      <alignment horizontal="center" vertical="center" wrapText="1"/>
    </xf>
    <xf numFmtId="3" fontId="253" fillId="93" borderId="88" xfId="0" applyNumberFormat="1" applyFont="1" applyFill="1" applyBorder="1" applyAlignment="1" applyProtection="1">
      <alignment horizontal="center" vertical="center" wrapText="1"/>
    </xf>
    <xf numFmtId="3" fontId="253" fillId="93" borderId="91" xfId="0" applyNumberFormat="1" applyFont="1" applyFill="1" applyBorder="1" applyAlignment="1" applyProtection="1">
      <alignment horizontal="center" vertical="center" wrapText="1"/>
    </xf>
    <xf numFmtId="3" fontId="253" fillId="93" borderId="82" xfId="0" applyNumberFormat="1" applyFont="1" applyFill="1" applyBorder="1" applyAlignment="1" applyProtection="1">
      <alignment horizontal="center" vertical="center" wrapText="1"/>
    </xf>
    <xf numFmtId="3" fontId="254" fillId="0" borderId="0" xfId="56791" applyNumberFormat="1" applyFont="1" applyAlignment="1" applyProtection="1">
      <alignment horizontal="center" vertical="center"/>
    </xf>
    <xf numFmtId="3" fontId="253" fillId="93" borderId="68" xfId="54340" applyNumberFormat="1" applyFont="1" applyFill="1" applyBorder="1" applyAlignment="1" applyProtection="1">
      <alignment horizontal="center" vertical="center"/>
    </xf>
    <xf numFmtId="3" fontId="253" fillId="93" borderId="93" xfId="54340" applyNumberFormat="1" applyFont="1" applyFill="1" applyBorder="1" applyAlignment="1" applyProtection="1">
      <alignment horizontal="center" vertical="center"/>
    </xf>
    <xf numFmtId="3" fontId="253" fillId="93" borderId="89" xfId="54340" applyNumberFormat="1" applyFont="1" applyFill="1" applyBorder="1" applyAlignment="1" applyProtection="1">
      <alignment horizontal="left" vertical="center" wrapText="1"/>
    </xf>
    <xf numFmtId="3" fontId="253" fillId="93" borderId="88" xfId="54340" applyNumberFormat="1" applyFont="1" applyFill="1" applyBorder="1" applyAlignment="1" applyProtection="1">
      <alignment horizontal="left" vertical="center" wrapText="1"/>
    </xf>
    <xf numFmtId="3" fontId="253" fillId="93" borderId="90" xfId="54340" applyNumberFormat="1" applyFont="1" applyFill="1" applyBorder="1" applyAlignment="1" applyProtection="1">
      <alignment horizontal="center" vertical="center" wrapText="1"/>
    </xf>
    <xf numFmtId="3" fontId="253" fillId="93" borderId="3" xfId="54340" applyNumberFormat="1" applyFont="1" applyFill="1" applyBorder="1" applyAlignment="1" applyProtection="1">
      <alignment horizontal="center" vertical="center" wrapText="1"/>
    </xf>
    <xf numFmtId="17" fontId="253" fillId="93" borderId="91" xfId="56791" applyNumberFormat="1" applyFont="1" applyFill="1" applyBorder="1" applyAlignment="1" applyProtection="1">
      <alignment horizontal="center" vertical="center"/>
    </xf>
    <xf numFmtId="17" fontId="253" fillId="93" borderId="18" xfId="56791" applyNumberFormat="1" applyFont="1" applyFill="1" applyBorder="1" applyAlignment="1" applyProtection="1">
      <alignment horizontal="center" vertical="center"/>
    </xf>
    <xf numFmtId="17" fontId="253" fillId="93" borderId="92" xfId="56791" applyNumberFormat="1" applyFont="1" applyFill="1" applyBorder="1" applyAlignment="1" applyProtection="1">
      <alignment horizontal="center" vertical="center"/>
    </xf>
    <xf numFmtId="0" fontId="255" fillId="106" borderId="100" xfId="0" applyFont="1" applyFill="1" applyBorder="1" applyAlignment="1">
      <alignment horizontal="right" vertical="center"/>
    </xf>
    <xf numFmtId="0" fontId="255" fillId="106" borderId="101" xfId="0" applyFont="1" applyFill="1" applyBorder="1" applyAlignment="1">
      <alignment horizontal="right" vertical="center"/>
    </xf>
    <xf numFmtId="0" fontId="255" fillId="106" borderId="102" xfId="0" applyFont="1" applyFill="1" applyBorder="1" applyAlignment="1">
      <alignment horizontal="right" vertical="center"/>
    </xf>
    <xf numFmtId="3" fontId="255" fillId="83" borderId="90" xfId="0" applyNumberFormat="1" applyFont="1" applyFill="1" applyBorder="1" applyAlignment="1" applyProtection="1">
      <alignment horizontal="center"/>
    </xf>
    <xf numFmtId="3" fontId="260" fillId="83" borderId="84" xfId="0" applyNumberFormat="1" applyFont="1" applyFill="1" applyBorder="1" applyAlignment="1">
      <alignment horizontal="center" vertical="center" wrapText="1"/>
    </xf>
    <xf numFmtId="3" fontId="260" fillId="83" borderId="94" xfId="0" applyNumberFormat="1" applyFont="1" applyFill="1" applyBorder="1" applyAlignment="1">
      <alignment horizontal="center" vertical="center" wrapText="1"/>
    </xf>
    <xf numFmtId="3" fontId="255" fillId="83" borderId="83" xfId="0" applyNumberFormat="1" applyFont="1" applyFill="1" applyBorder="1" applyAlignment="1">
      <alignment horizontal="center" vertical="center"/>
    </xf>
    <xf numFmtId="3" fontId="255" fillId="83" borderId="95" xfId="0" applyNumberFormat="1" applyFont="1" applyFill="1" applyBorder="1" applyAlignment="1">
      <alignment horizontal="center" vertical="center"/>
    </xf>
    <xf numFmtId="17" fontId="255" fillId="83" borderId="90" xfId="0" applyNumberFormat="1" applyFont="1" applyFill="1" applyBorder="1" applyAlignment="1">
      <alignment horizontal="center"/>
    </xf>
    <xf numFmtId="3" fontId="260" fillId="83" borderId="90" xfId="0" applyNumberFormat="1" applyFont="1" applyFill="1" applyBorder="1" applyAlignment="1">
      <alignment horizontal="center" vertical="center" wrapText="1"/>
    </xf>
    <xf numFmtId="3" fontId="260" fillId="83" borderId="3" xfId="0" applyNumberFormat="1" applyFont="1" applyFill="1" applyBorder="1" applyAlignment="1">
      <alignment horizontal="center" vertical="center" wrapText="1"/>
    </xf>
    <xf numFmtId="3" fontId="255" fillId="83" borderId="90" xfId="0" applyNumberFormat="1" applyFont="1" applyFill="1" applyBorder="1" applyAlignment="1">
      <alignment horizontal="center"/>
    </xf>
    <xf numFmtId="3" fontId="255" fillId="83" borderId="90" xfId="0" applyNumberFormat="1" applyFont="1" applyFill="1" applyBorder="1" applyAlignment="1">
      <alignment horizontal="center" wrapText="1"/>
    </xf>
    <xf numFmtId="3" fontId="255" fillId="83" borderId="3" xfId="0" applyNumberFormat="1" applyFont="1" applyFill="1" applyBorder="1" applyAlignment="1">
      <alignment horizontal="center" wrapText="1"/>
    </xf>
    <xf numFmtId="3" fontId="255" fillId="83" borderId="84" xfId="0" applyNumberFormat="1" applyFont="1" applyFill="1" applyBorder="1" applyAlignment="1">
      <alignment horizontal="center" wrapText="1"/>
    </xf>
    <xf numFmtId="3" fontId="255" fillId="83" borderId="94" xfId="0" applyNumberFormat="1" applyFont="1" applyFill="1" applyBorder="1" applyAlignment="1">
      <alignment horizontal="center" wrapText="1"/>
    </xf>
    <xf numFmtId="17" fontId="255" fillId="83" borderId="91" xfId="0" applyNumberFormat="1" applyFont="1" applyFill="1" applyBorder="1" applyAlignment="1">
      <alignment horizontal="center" vertical="center"/>
    </xf>
    <xf numFmtId="17" fontId="255" fillId="83" borderId="18" xfId="0" applyNumberFormat="1" applyFont="1" applyFill="1" applyBorder="1" applyAlignment="1">
      <alignment horizontal="center" vertical="center"/>
    </xf>
    <xf numFmtId="17" fontId="255" fillId="83" borderId="92" xfId="0" applyNumberFormat="1" applyFont="1" applyFill="1" applyBorder="1" applyAlignment="1">
      <alignment horizontal="center" vertical="center"/>
    </xf>
    <xf numFmtId="3" fontId="255" fillId="98" borderId="90" xfId="0" applyNumberFormat="1" applyFont="1" applyFill="1" applyBorder="1" applyAlignment="1" applyProtection="1">
      <alignment horizontal="center" vertical="center" wrapText="1"/>
    </xf>
    <xf numFmtId="3" fontId="260" fillId="98" borderId="84" xfId="0" applyNumberFormat="1" applyFont="1" applyFill="1" applyBorder="1" applyAlignment="1">
      <alignment horizontal="center" vertical="center" wrapText="1"/>
    </xf>
    <xf numFmtId="3" fontId="260" fillId="98" borderId="94" xfId="0" applyNumberFormat="1" applyFont="1" applyFill="1" applyBorder="1" applyAlignment="1">
      <alignment horizontal="center" vertical="center" wrapText="1"/>
    </xf>
    <xf numFmtId="3" fontId="260" fillId="98" borderId="83" xfId="0" applyNumberFormat="1" applyFont="1" applyFill="1" applyBorder="1" applyAlignment="1">
      <alignment horizontal="left" vertical="center" wrapText="1"/>
    </xf>
    <xf numFmtId="3" fontId="260" fillId="98" borderId="95" xfId="0" applyNumberFormat="1" applyFont="1" applyFill="1" applyBorder="1" applyAlignment="1">
      <alignment horizontal="left" vertical="center" wrapText="1"/>
    </xf>
    <xf numFmtId="17" fontId="255" fillId="98" borderId="91" xfId="0" applyNumberFormat="1" applyFont="1" applyFill="1" applyBorder="1" applyAlignment="1">
      <alignment horizontal="center" vertical="center"/>
    </xf>
    <xf numFmtId="17" fontId="255" fillId="98" borderId="18" xfId="0" applyNumberFormat="1" applyFont="1" applyFill="1" applyBorder="1" applyAlignment="1">
      <alignment horizontal="center" vertical="center"/>
    </xf>
    <xf numFmtId="17" fontId="255" fillId="98" borderId="92" xfId="0" applyNumberFormat="1" applyFont="1" applyFill="1" applyBorder="1" applyAlignment="1">
      <alignment horizontal="center" vertical="center"/>
    </xf>
    <xf numFmtId="3" fontId="260" fillId="98" borderId="90" xfId="0" applyNumberFormat="1" applyFont="1" applyFill="1" applyBorder="1" applyAlignment="1">
      <alignment horizontal="center" vertical="center" wrapText="1"/>
    </xf>
    <xf numFmtId="3" fontId="260" fillId="98" borderId="3" xfId="0" applyNumberFormat="1" applyFont="1" applyFill="1" applyBorder="1" applyAlignment="1">
      <alignment horizontal="center" vertical="center" wrapText="1"/>
    </xf>
    <xf numFmtId="3" fontId="261" fillId="87" borderId="111" xfId="0" applyNumberFormat="1" applyFont="1" applyFill="1" applyBorder="1" applyAlignment="1">
      <alignment horizontal="right" vertical="center" wrapText="1"/>
    </xf>
    <xf numFmtId="3" fontId="261" fillId="87" borderId="14" xfId="0" applyNumberFormat="1" applyFont="1" applyFill="1" applyBorder="1" applyAlignment="1">
      <alignment horizontal="right" vertical="center" wrapText="1"/>
    </xf>
    <xf numFmtId="3" fontId="261" fillId="87" borderId="112" xfId="0" applyNumberFormat="1" applyFont="1" applyFill="1" applyBorder="1" applyAlignment="1">
      <alignment horizontal="right" vertical="center" wrapText="1"/>
    </xf>
    <xf numFmtId="0" fontId="76" fillId="98" borderId="115" xfId="0" applyFont="1" applyFill="1" applyBorder="1" applyAlignment="1">
      <alignment horizontal="right"/>
    </xf>
    <xf numFmtId="0" fontId="76" fillId="98" borderId="30" xfId="0" applyFont="1" applyFill="1" applyBorder="1" applyAlignment="1">
      <alignment horizontal="right"/>
    </xf>
    <xf numFmtId="0" fontId="76" fillId="98" borderId="116" xfId="0" applyFont="1" applyFill="1" applyBorder="1" applyAlignment="1">
      <alignment horizontal="right"/>
    </xf>
    <xf numFmtId="3" fontId="261" fillId="87" borderId="98" xfId="0" applyNumberFormat="1" applyFont="1" applyFill="1" applyBorder="1" applyAlignment="1">
      <alignment horizontal="right" vertical="center" wrapText="1"/>
    </xf>
    <xf numFmtId="3" fontId="261" fillId="87" borderId="101" xfId="0" applyNumberFormat="1" applyFont="1" applyFill="1" applyBorder="1" applyAlignment="1">
      <alignment horizontal="right" vertical="center" wrapText="1"/>
    </xf>
    <xf numFmtId="3" fontId="261" fillId="87" borderId="109" xfId="0" applyNumberFormat="1" applyFont="1" applyFill="1" applyBorder="1" applyAlignment="1">
      <alignment horizontal="right" vertical="center" wrapText="1"/>
    </xf>
    <xf numFmtId="3" fontId="260" fillId="98" borderId="99" xfId="0" applyNumberFormat="1" applyFont="1" applyFill="1" applyBorder="1" applyAlignment="1">
      <alignment horizontal="center" vertical="center" wrapText="1"/>
    </xf>
    <xf numFmtId="17" fontId="255" fillId="98" borderId="90" xfId="0" applyNumberFormat="1" applyFont="1" applyFill="1" applyBorder="1" applyAlignment="1">
      <alignment horizontal="center" vertical="center"/>
    </xf>
    <xf numFmtId="3" fontId="260" fillId="98" borderId="97" xfId="0" applyNumberFormat="1" applyFont="1" applyFill="1" applyBorder="1" applyAlignment="1">
      <alignment horizontal="center" vertical="center" wrapText="1"/>
    </xf>
    <xf numFmtId="0" fontId="260" fillId="98" borderId="83" xfId="0" applyFont="1" applyFill="1" applyBorder="1" applyAlignment="1">
      <alignment horizontal="center" vertical="center" wrapText="1"/>
    </xf>
    <xf numFmtId="0" fontId="260" fillId="98" borderId="96" xfId="0" applyFont="1" applyFill="1" applyBorder="1" applyAlignment="1">
      <alignment horizontal="center" vertical="center" wrapText="1"/>
    </xf>
    <xf numFmtId="0" fontId="260" fillId="98" borderId="90" xfId="0" applyFont="1" applyFill="1" applyBorder="1" applyAlignment="1">
      <alignment horizontal="left" vertical="center" wrapText="1"/>
    </xf>
    <xf numFmtId="0" fontId="260" fillId="98" borderId="97" xfId="0" applyFont="1" applyFill="1" applyBorder="1" applyAlignment="1">
      <alignment horizontal="left" vertical="center" wrapText="1"/>
    </xf>
    <xf numFmtId="3" fontId="255" fillId="98" borderId="89" xfId="0" applyNumberFormat="1" applyFont="1" applyFill="1" applyBorder="1" applyAlignment="1">
      <alignment horizontal="center" vertical="center" wrapText="1"/>
    </xf>
    <xf numFmtId="3" fontId="255" fillId="98" borderId="105" xfId="0" applyNumberFormat="1" applyFont="1" applyFill="1" applyBorder="1" applyAlignment="1">
      <alignment horizontal="center" vertical="center" wrapText="1"/>
    </xf>
    <xf numFmtId="3" fontId="255" fillId="98" borderId="90" xfId="0" applyNumberFormat="1" applyFont="1" applyFill="1" applyBorder="1" applyAlignment="1">
      <alignment horizontal="center" vertical="center" wrapText="1"/>
    </xf>
    <xf numFmtId="3" fontId="255" fillId="98" borderId="97" xfId="0" applyNumberFormat="1" applyFont="1" applyFill="1" applyBorder="1" applyAlignment="1">
      <alignment horizontal="center" vertical="center" wrapText="1"/>
    </xf>
    <xf numFmtId="3" fontId="255" fillId="98" borderId="103" xfId="0" applyNumberFormat="1" applyFont="1" applyFill="1" applyBorder="1" applyAlignment="1">
      <alignment horizontal="center" vertical="center" wrapText="1"/>
    </xf>
    <xf numFmtId="3" fontId="255" fillId="98" borderId="21" xfId="0" applyNumberFormat="1" applyFont="1" applyFill="1" applyBorder="1" applyAlignment="1">
      <alignment horizontal="center" vertical="center" wrapText="1"/>
    </xf>
    <xf numFmtId="3" fontId="255" fillId="98" borderId="104" xfId="0" applyNumberFormat="1" applyFont="1" applyFill="1" applyBorder="1" applyAlignment="1">
      <alignment horizontal="center" vertical="center" wrapText="1"/>
    </xf>
    <xf numFmtId="3" fontId="255" fillId="98" borderId="106" xfId="0" applyNumberFormat="1" applyFont="1" applyFill="1" applyBorder="1" applyAlignment="1">
      <alignment horizontal="center" vertical="center" wrapText="1"/>
    </xf>
    <xf numFmtId="3" fontId="255" fillId="98" borderId="12" xfId="0" applyNumberFormat="1" applyFont="1" applyFill="1" applyBorder="1" applyAlignment="1">
      <alignment horizontal="center" vertical="center" wrapText="1"/>
    </xf>
    <xf numFmtId="3" fontId="255" fillId="98" borderId="107" xfId="0" applyNumberFormat="1" applyFont="1" applyFill="1" applyBorder="1" applyAlignment="1">
      <alignment horizontal="center" vertical="center" wrapText="1"/>
    </xf>
    <xf numFmtId="3" fontId="255" fillId="85" borderId="90" xfId="0" applyNumberFormat="1" applyFont="1" applyFill="1" applyBorder="1" applyAlignment="1" applyProtection="1">
      <alignment horizontal="center" vertical="center" wrapText="1"/>
    </xf>
    <xf numFmtId="3" fontId="260" fillId="85" borderId="84" xfId="0" applyNumberFormat="1" applyFont="1" applyFill="1" applyBorder="1" applyAlignment="1">
      <alignment horizontal="center" vertical="center" wrapText="1"/>
    </xf>
    <xf numFmtId="3" fontId="260" fillId="85" borderId="94" xfId="0" applyNumberFormat="1" applyFont="1" applyFill="1" applyBorder="1" applyAlignment="1">
      <alignment horizontal="center" vertical="center" wrapText="1"/>
    </xf>
    <xf numFmtId="3" fontId="260" fillId="85" borderId="83" xfId="0" applyNumberFormat="1" applyFont="1" applyFill="1" applyBorder="1" applyAlignment="1">
      <alignment horizontal="left" vertical="center" wrapText="1"/>
    </xf>
    <xf numFmtId="3" fontId="260" fillId="85" borderId="95" xfId="0" applyNumberFormat="1" applyFont="1" applyFill="1" applyBorder="1" applyAlignment="1">
      <alignment horizontal="left" vertical="center" wrapText="1"/>
    </xf>
    <xf numFmtId="17" fontId="255" fillId="85" borderId="91" xfId="0" applyNumberFormat="1" applyFont="1" applyFill="1" applyBorder="1" applyAlignment="1">
      <alignment horizontal="center" vertical="center"/>
    </xf>
    <xf numFmtId="17" fontId="255" fillId="85" borderId="18" xfId="0" applyNumberFormat="1" applyFont="1" applyFill="1" applyBorder="1" applyAlignment="1">
      <alignment horizontal="center" vertical="center"/>
    </xf>
    <xf numFmtId="17" fontId="255" fillId="85" borderId="92" xfId="0" applyNumberFormat="1" applyFont="1" applyFill="1" applyBorder="1" applyAlignment="1">
      <alignment horizontal="center" vertical="center"/>
    </xf>
    <xf numFmtId="3" fontId="260" fillId="85" borderId="90" xfId="0" applyNumberFormat="1" applyFont="1" applyFill="1" applyBorder="1" applyAlignment="1">
      <alignment horizontal="center" vertical="center" wrapText="1"/>
    </xf>
    <xf numFmtId="3" fontId="260" fillId="85" borderId="3" xfId="0" applyNumberFormat="1" applyFont="1" applyFill="1" applyBorder="1" applyAlignment="1">
      <alignment horizontal="center" vertical="center" wrapText="1"/>
    </xf>
    <xf numFmtId="3" fontId="255" fillId="85" borderId="83" xfId="0" applyNumberFormat="1" applyFont="1" applyFill="1" applyBorder="1" applyAlignment="1">
      <alignment horizontal="center" vertical="center" wrapText="1"/>
    </xf>
    <xf numFmtId="3" fontId="255" fillId="85" borderId="95" xfId="0" applyNumberFormat="1" applyFont="1" applyFill="1" applyBorder="1" applyAlignment="1">
      <alignment horizontal="center" vertical="center" wrapText="1"/>
    </xf>
    <xf numFmtId="3" fontId="255" fillId="85" borderId="90" xfId="0" applyNumberFormat="1" applyFont="1" applyFill="1" applyBorder="1" applyAlignment="1">
      <alignment horizontal="center" vertical="center" wrapText="1"/>
    </xf>
    <xf numFmtId="3" fontId="255" fillId="85" borderId="3" xfId="0" applyNumberFormat="1" applyFont="1" applyFill="1" applyBorder="1" applyAlignment="1">
      <alignment horizontal="center" vertical="center" wrapText="1"/>
    </xf>
    <xf numFmtId="3" fontId="255" fillId="85" borderId="84" xfId="0" applyNumberFormat="1" applyFont="1" applyFill="1" applyBorder="1" applyAlignment="1">
      <alignment horizontal="center" vertical="center" wrapText="1"/>
    </xf>
    <xf numFmtId="17" fontId="255" fillId="85" borderId="90" xfId="0" applyNumberFormat="1" applyFont="1" applyFill="1" applyBorder="1" applyAlignment="1">
      <alignment horizontal="center" vertical="center" wrapText="1"/>
    </xf>
    <xf numFmtId="17" fontId="255" fillId="85" borderId="4" xfId="0" applyNumberFormat="1" applyFont="1" applyFill="1" applyBorder="1" applyAlignment="1">
      <alignment horizontal="center" vertical="center" wrapText="1"/>
    </xf>
    <xf numFmtId="3" fontId="255" fillId="85" borderId="90" xfId="0" applyNumberFormat="1" applyFont="1" applyFill="1" applyBorder="1" applyAlignment="1" applyProtection="1">
      <alignment horizontal="center" vertical="center"/>
    </xf>
    <xf numFmtId="17" fontId="255" fillId="85" borderId="84" xfId="0" applyNumberFormat="1" applyFont="1" applyFill="1" applyBorder="1" applyAlignment="1">
      <alignment horizontal="center" vertical="center" wrapText="1"/>
    </xf>
    <xf numFmtId="17" fontId="255" fillId="85" borderId="114" xfId="0" applyNumberFormat="1" applyFont="1" applyFill="1" applyBorder="1" applyAlignment="1">
      <alignment horizontal="center" vertical="center" wrapText="1"/>
    </xf>
    <xf numFmtId="0" fontId="260" fillId="85" borderId="83" xfId="0" applyFont="1" applyFill="1" applyBorder="1" applyAlignment="1">
      <alignment horizontal="center" vertical="center"/>
    </xf>
    <xf numFmtId="0" fontId="260" fillId="85" borderId="110" xfId="0" applyFont="1" applyFill="1" applyBorder="1" applyAlignment="1">
      <alignment horizontal="center" vertical="center"/>
    </xf>
    <xf numFmtId="0" fontId="255" fillId="85" borderId="90" xfId="0" applyFont="1" applyFill="1" applyBorder="1" applyAlignment="1">
      <alignment horizontal="left" vertical="center"/>
    </xf>
    <xf numFmtId="0" fontId="255" fillId="85" borderId="4" xfId="0" applyFont="1" applyFill="1" applyBorder="1" applyAlignment="1">
      <alignment horizontal="left" vertical="center"/>
    </xf>
    <xf numFmtId="17" fontId="255" fillId="85" borderId="90" xfId="0" applyNumberFormat="1" applyFont="1" applyFill="1" applyBorder="1" applyAlignment="1">
      <alignment horizontal="center" vertical="center"/>
    </xf>
    <xf numFmtId="0" fontId="260" fillId="93" borderId="83" xfId="0" applyFont="1" applyFill="1" applyBorder="1" applyAlignment="1">
      <alignment horizontal="left" vertical="center"/>
    </xf>
    <xf numFmtId="0" fontId="260" fillId="93" borderId="95" xfId="0" applyFont="1" applyFill="1" applyBorder="1" applyAlignment="1">
      <alignment horizontal="left" vertical="center"/>
    </xf>
    <xf numFmtId="17" fontId="260" fillId="93" borderId="91" xfId="0" applyNumberFormat="1" applyFont="1" applyFill="1" applyBorder="1" applyAlignment="1">
      <alignment horizontal="center" vertical="center"/>
    </xf>
    <xf numFmtId="17" fontId="260" fillId="93" borderId="18" xfId="0" applyNumberFormat="1" applyFont="1" applyFill="1" applyBorder="1" applyAlignment="1">
      <alignment horizontal="center" vertical="center"/>
    </xf>
    <xf numFmtId="17" fontId="260" fillId="93" borderId="119" xfId="0" applyNumberFormat="1" applyFont="1" applyFill="1" applyBorder="1" applyAlignment="1">
      <alignment horizontal="center" vertical="center"/>
    </xf>
  </cellXfs>
  <cellStyles count="57954">
    <cellStyle name="_x0013_" xfId="1"/>
    <cellStyle name="'" xfId="2"/>
    <cellStyle name="-" xfId="3"/>
    <cellStyle name=" 1" xfId="4"/>
    <cellStyle name=" 1 2" xfId="5"/>
    <cellStyle name=" 1 3" xfId="6"/>
    <cellStyle name="' 10" xfId="7"/>
    <cellStyle name="' 10 2" xfId="8"/>
    <cellStyle name="' 11" xfId="9"/>
    <cellStyle name="' 11 2" xfId="10"/>
    <cellStyle name="' 12" xfId="11"/>
    <cellStyle name="' 12 2" xfId="12"/>
    <cellStyle name="' 13" xfId="13"/>
    <cellStyle name="' 13 2" xfId="14"/>
    <cellStyle name="' 14" xfId="15"/>
    <cellStyle name="' 14 2" xfId="16"/>
    <cellStyle name="' 15" xfId="17"/>
    <cellStyle name="' 15 2" xfId="18"/>
    <cellStyle name="' 16" xfId="19"/>
    <cellStyle name="' 16 2" xfId="20"/>
    <cellStyle name="' 17" xfId="21"/>
    <cellStyle name="' 18" xfId="22"/>
    <cellStyle name="' 19" xfId="23"/>
    <cellStyle name=" 2" xfId="24"/>
    <cellStyle name="' 2" xfId="25"/>
    <cellStyle name="' 2 10" xfId="26"/>
    <cellStyle name="' 2 11" xfId="27"/>
    <cellStyle name="' 2 12" xfId="28"/>
    <cellStyle name="' 2 13" xfId="29"/>
    <cellStyle name="' 2 14" xfId="30"/>
    <cellStyle name="' 2 15" xfId="31"/>
    <cellStyle name="' 2 16" xfId="32"/>
    <cellStyle name="' 2 17" xfId="33"/>
    <cellStyle name="' 2 18" xfId="34"/>
    <cellStyle name="' 2 19" xfId="35"/>
    <cellStyle name="' 2 2" xfId="36"/>
    <cellStyle name="' 2 2 10" xfId="37"/>
    <cellStyle name="' 2 2 11" xfId="38"/>
    <cellStyle name="' 2 2 12" xfId="39"/>
    <cellStyle name="' 2 2 13" xfId="40"/>
    <cellStyle name="' 2 2 14" xfId="41"/>
    <cellStyle name="' 2 2 15" xfId="42"/>
    <cellStyle name="' 2 2 16" xfId="43"/>
    <cellStyle name="' 2 2 17" xfId="44"/>
    <cellStyle name="' 2 2 18" xfId="45"/>
    <cellStyle name="' 2 2 2" xfId="46"/>
    <cellStyle name="' 2 2 2 2" xfId="47"/>
    <cellStyle name="' 2 2 2 2 2" xfId="48"/>
    <cellStyle name="' 2 2 2 3" xfId="49"/>
    <cellStyle name="' 2 2 2 4" xfId="50"/>
    <cellStyle name="' 2 2 3" xfId="51"/>
    <cellStyle name="' 2 2 3 2" xfId="52"/>
    <cellStyle name="' 2 2 3 3" xfId="53"/>
    <cellStyle name="' 2 2 4" xfId="54"/>
    <cellStyle name="' 2 2 4 2" xfId="55"/>
    <cellStyle name="' 2 2 5" xfId="56"/>
    <cellStyle name="' 2 2 6" xfId="57"/>
    <cellStyle name="' 2 2 7" xfId="58"/>
    <cellStyle name="' 2 2 8" xfId="59"/>
    <cellStyle name="' 2 2 9" xfId="60"/>
    <cellStyle name="' 2 20" xfId="61"/>
    <cellStyle name="' 2 21" xfId="62"/>
    <cellStyle name="' 2 22" xfId="63"/>
    <cellStyle name="' 2 3" xfId="64"/>
    <cellStyle name="' 2 3 10" xfId="65"/>
    <cellStyle name="' 2 3 11" xfId="66"/>
    <cellStyle name="' 2 3 12" xfId="67"/>
    <cellStyle name="' 2 3 13" xfId="68"/>
    <cellStyle name="' 2 3 14" xfId="69"/>
    <cellStyle name="' 2 3 15" xfId="70"/>
    <cellStyle name="' 2 3 16" xfId="71"/>
    <cellStyle name="' 2 3 17" xfId="72"/>
    <cellStyle name="' 2 3 18" xfId="73"/>
    <cellStyle name="' 2 3 2" xfId="74"/>
    <cellStyle name="' 2 3 2 2" xfId="75"/>
    <cellStyle name="' 2 3 2 2 2" xfId="76"/>
    <cellStyle name="' 2 3 2 3" xfId="77"/>
    <cellStyle name="' 2 3 2 4" xfId="78"/>
    <cellStyle name="' 2 3 3" xfId="79"/>
    <cellStyle name="' 2 3 3 2" xfId="80"/>
    <cellStyle name="' 2 3 3 3" xfId="81"/>
    <cellStyle name="' 2 3 4" xfId="82"/>
    <cellStyle name="' 2 3 4 2" xfId="83"/>
    <cellStyle name="' 2 3 5" xfId="84"/>
    <cellStyle name="' 2 3 6" xfId="85"/>
    <cellStyle name="' 2 3 7" xfId="86"/>
    <cellStyle name="' 2 3 8" xfId="87"/>
    <cellStyle name="' 2 3 9" xfId="88"/>
    <cellStyle name="' 2 4" xfId="89"/>
    <cellStyle name="' 2 4 2" xfId="90"/>
    <cellStyle name="' 2 4 2 2" xfId="91"/>
    <cellStyle name="' 2 4 2 3" xfId="92"/>
    <cellStyle name="' 2 4 3" xfId="93"/>
    <cellStyle name="' 2 4 3 2" xfId="94"/>
    <cellStyle name="' 2 4 4" xfId="95"/>
    <cellStyle name="' 2 4 5" xfId="96"/>
    <cellStyle name="' 2 5" xfId="97"/>
    <cellStyle name="' 2 5 2" xfId="98"/>
    <cellStyle name="' 2 5 2 2" xfId="99"/>
    <cellStyle name="' 2 5 3" xfId="100"/>
    <cellStyle name="' 2 5 4" xfId="101"/>
    <cellStyle name="' 2 6" xfId="102"/>
    <cellStyle name="' 2 6 2" xfId="103"/>
    <cellStyle name="' 2 6 3" xfId="104"/>
    <cellStyle name="' 2 7" xfId="105"/>
    <cellStyle name="' 2 7 2" xfId="106"/>
    <cellStyle name="' 2 8" xfId="107"/>
    <cellStyle name="' 2 9" xfId="108"/>
    <cellStyle name="' 20" xfId="109"/>
    <cellStyle name="' 21" xfId="110"/>
    <cellStyle name="' 22" xfId="111"/>
    <cellStyle name="' 23" xfId="112"/>
    <cellStyle name="' 24" xfId="113"/>
    <cellStyle name="' 25" xfId="114"/>
    <cellStyle name=" 3" xfId="115"/>
    <cellStyle name="' 3" xfId="116"/>
    <cellStyle name="' 3 10" xfId="117"/>
    <cellStyle name="' 3 11" xfId="118"/>
    <cellStyle name="' 3 12" xfId="119"/>
    <cellStyle name="' 3 13" xfId="120"/>
    <cellStyle name="' 3 14" xfId="121"/>
    <cellStyle name="' 3 15" xfId="122"/>
    <cellStyle name="' 3 16" xfId="123"/>
    <cellStyle name="' 3 17" xfId="124"/>
    <cellStyle name="' 3 18" xfId="125"/>
    <cellStyle name="' 3 19" xfId="126"/>
    <cellStyle name="' 3 2" xfId="127"/>
    <cellStyle name="' 3 2 10" xfId="128"/>
    <cellStyle name="' 3 2 11" xfId="129"/>
    <cellStyle name="' 3 2 12" xfId="130"/>
    <cellStyle name="' 3 2 13" xfId="131"/>
    <cellStyle name="' 3 2 14" xfId="132"/>
    <cellStyle name="' 3 2 15" xfId="133"/>
    <cellStyle name="' 3 2 16" xfId="134"/>
    <cellStyle name="' 3 2 17" xfId="135"/>
    <cellStyle name="' 3 2 18" xfId="136"/>
    <cellStyle name="' 3 2 2" xfId="137"/>
    <cellStyle name="' 3 2 2 2" xfId="138"/>
    <cellStyle name="' 3 2 2 2 2" xfId="139"/>
    <cellStyle name="' 3 2 2 3" xfId="140"/>
    <cellStyle name="' 3 2 2 4" xfId="141"/>
    <cellStyle name="' 3 2 3" xfId="142"/>
    <cellStyle name="' 3 2 3 2" xfId="143"/>
    <cellStyle name="' 3 2 3 3" xfId="144"/>
    <cellStyle name="' 3 2 4" xfId="145"/>
    <cellStyle name="' 3 2 4 2" xfId="146"/>
    <cellStyle name="' 3 2 5" xfId="147"/>
    <cellStyle name="' 3 2 6" xfId="148"/>
    <cellStyle name="' 3 2 7" xfId="149"/>
    <cellStyle name="' 3 2 8" xfId="150"/>
    <cellStyle name="' 3 2 9" xfId="151"/>
    <cellStyle name="' 3 20" xfId="152"/>
    <cellStyle name="' 3 3" xfId="153"/>
    <cellStyle name="' 3 3 10" xfId="154"/>
    <cellStyle name="' 3 3 11" xfId="155"/>
    <cellStyle name="' 3 3 12" xfId="156"/>
    <cellStyle name="' 3 3 13" xfId="157"/>
    <cellStyle name="' 3 3 14" xfId="158"/>
    <cellStyle name="' 3 3 15" xfId="159"/>
    <cellStyle name="' 3 3 16" xfId="160"/>
    <cellStyle name="' 3 3 17" xfId="161"/>
    <cellStyle name="' 3 3 18" xfId="162"/>
    <cellStyle name="' 3 3 2" xfId="163"/>
    <cellStyle name="' 3 3 2 2" xfId="164"/>
    <cellStyle name="' 3 3 2 2 2" xfId="165"/>
    <cellStyle name="' 3 3 2 3" xfId="166"/>
    <cellStyle name="' 3 3 2 4" xfId="167"/>
    <cellStyle name="' 3 3 3" xfId="168"/>
    <cellStyle name="' 3 3 3 2" xfId="169"/>
    <cellStyle name="' 3 3 3 3" xfId="170"/>
    <cellStyle name="' 3 3 4" xfId="171"/>
    <cellStyle name="' 3 3 4 2" xfId="172"/>
    <cellStyle name="' 3 3 5" xfId="173"/>
    <cellStyle name="' 3 3 6" xfId="174"/>
    <cellStyle name="' 3 3 7" xfId="175"/>
    <cellStyle name="' 3 3 8" xfId="176"/>
    <cellStyle name="' 3 3 9" xfId="177"/>
    <cellStyle name="' 3 4" xfId="178"/>
    <cellStyle name="' 3 4 2" xfId="179"/>
    <cellStyle name="' 3 4 2 2" xfId="180"/>
    <cellStyle name="' 3 4 2 3" xfId="181"/>
    <cellStyle name="' 3 4 3" xfId="182"/>
    <cellStyle name="' 3 4 3 2" xfId="183"/>
    <cellStyle name="' 3 4 4" xfId="184"/>
    <cellStyle name="' 3 4 5" xfId="185"/>
    <cellStyle name="' 3 5" xfId="186"/>
    <cellStyle name="' 3 5 2" xfId="187"/>
    <cellStyle name="' 3 5 2 2" xfId="188"/>
    <cellStyle name="' 3 5 3" xfId="189"/>
    <cellStyle name="' 3 5 4" xfId="190"/>
    <cellStyle name="' 3 6" xfId="191"/>
    <cellStyle name="' 3 6 2" xfId="192"/>
    <cellStyle name="' 3 6 3" xfId="193"/>
    <cellStyle name="' 3 7" xfId="194"/>
    <cellStyle name="' 3 7 2" xfId="195"/>
    <cellStyle name="' 3 8" xfId="196"/>
    <cellStyle name="' 3 9" xfId="197"/>
    <cellStyle name=" 4" xfId="198"/>
    <cellStyle name="' 4" xfId="199"/>
    <cellStyle name="' 4 10" xfId="200"/>
    <cellStyle name="' 4 11" xfId="201"/>
    <cellStyle name="' 4 12" xfId="202"/>
    <cellStyle name="' 4 13" xfId="203"/>
    <cellStyle name="' 4 14" xfId="204"/>
    <cellStyle name="' 4 15" xfId="205"/>
    <cellStyle name="' 4 16" xfId="206"/>
    <cellStyle name="' 4 17" xfId="207"/>
    <cellStyle name="' 4 18" xfId="208"/>
    <cellStyle name="' 4 19" xfId="209"/>
    <cellStyle name="' 4 2" xfId="210"/>
    <cellStyle name="' 4 2 10" xfId="211"/>
    <cellStyle name="' 4 2 11" xfId="212"/>
    <cellStyle name="' 4 2 12" xfId="213"/>
    <cellStyle name="' 4 2 13" xfId="214"/>
    <cellStyle name="' 4 2 14" xfId="215"/>
    <cellStyle name="' 4 2 15" xfId="216"/>
    <cellStyle name="' 4 2 16" xfId="217"/>
    <cellStyle name="' 4 2 17" xfId="218"/>
    <cellStyle name="' 4 2 18" xfId="219"/>
    <cellStyle name="' 4 2 2" xfId="220"/>
    <cellStyle name="' 4 2 2 2" xfId="221"/>
    <cellStyle name="' 4 2 2 2 2" xfId="222"/>
    <cellStyle name="' 4 2 2 3" xfId="223"/>
    <cellStyle name="' 4 2 2 4" xfId="224"/>
    <cellStyle name="' 4 2 3" xfId="225"/>
    <cellStyle name="' 4 2 3 2" xfId="226"/>
    <cellStyle name="' 4 2 3 3" xfId="227"/>
    <cellStyle name="' 4 2 4" xfId="228"/>
    <cellStyle name="' 4 2 4 2" xfId="229"/>
    <cellStyle name="' 4 2 5" xfId="230"/>
    <cellStyle name="' 4 2 6" xfId="231"/>
    <cellStyle name="' 4 2 7" xfId="232"/>
    <cellStyle name="' 4 2 8" xfId="233"/>
    <cellStyle name="' 4 2 9" xfId="234"/>
    <cellStyle name="' 4 20" xfId="235"/>
    <cellStyle name="' 4 21" xfId="236"/>
    <cellStyle name="' 4 3" xfId="237"/>
    <cellStyle name="' 4 3 10" xfId="238"/>
    <cellStyle name="' 4 3 11" xfId="239"/>
    <cellStyle name="' 4 3 12" xfId="240"/>
    <cellStyle name="' 4 3 13" xfId="241"/>
    <cellStyle name="' 4 3 14" xfId="242"/>
    <cellStyle name="' 4 3 15" xfId="243"/>
    <cellStyle name="' 4 3 16" xfId="244"/>
    <cellStyle name="' 4 3 17" xfId="245"/>
    <cellStyle name="' 4 3 18" xfId="246"/>
    <cellStyle name="' 4 3 2" xfId="247"/>
    <cellStyle name="' 4 3 2 2" xfId="248"/>
    <cellStyle name="' 4 3 2 2 2" xfId="249"/>
    <cellStyle name="' 4 3 2 3" xfId="250"/>
    <cellStyle name="' 4 3 2 4" xfId="251"/>
    <cellStyle name="' 4 3 3" xfId="252"/>
    <cellStyle name="' 4 3 3 2" xfId="253"/>
    <cellStyle name="' 4 3 3 3" xfId="254"/>
    <cellStyle name="' 4 3 4" xfId="255"/>
    <cellStyle name="' 4 3 4 2" xfId="256"/>
    <cellStyle name="' 4 3 5" xfId="257"/>
    <cellStyle name="' 4 3 6" xfId="258"/>
    <cellStyle name="' 4 3 7" xfId="259"/>
    <cellStyle name="' 4 3 8" xfId="260"/>
    <cellStyle name="' 4 3 9" xfId="261"/>
    <cellStyle name="' 4 4" xfId="262"/>
    <cellStyle name="' 4 4 2" xfId="263"/>
    <cellStyle name="' 4 4 2 2" xfId="264"/>
    <cellStyle name="' 4 4 2 3" xfId="265"/>
    <cellStyle name="' 4 4 3" xfId="266"/>
    <cellStyle name="' 4 4 3 2" xfId="267"/>
    <cellStyle name="' 4 4 4" xfId="268"/>
    <cellStyle name="' 4 4 5" xfId="269"/>
    <cellStyle name="' 4 5" xfId="270"/>
    <cellStyle name="' 4 5 2" xfId="271"/>
    <cellStyle name="' 4 5 2 2" xfId="272"/>
    <cellStyle name="' 4 5 3" xfId="273"/>
    <cellStyle name="' 4 5 4" xfId="274"/>
    <cellStyle name="' 4 6" xfId="275"/>
    <cellStyle name="' 4 6 2" xfId="276"/>
    <cellStyle name="' 4 6 3" xfId="277"/>
    <cellStyle name="' 4 7" xfId="278"/>
    <cellStyle name="' 4 7 2" xfId="279"/>
    <cellStyle name="' 4 8" xfId="280"/>
    <cellStyle name="' 4 9" xfId="281"/>
    <cellStyle name=" 5" xfId="282"/>
    <cellStyle name="' 5" xfId="283"/>
    <cellStyle name="' 5 10" xfId="284"/>
    <cellStyle name="' 5 11" xfId="285"/>
    <cellStyle name="' 5 12" xfId="286"/>
    <cellStyle name="' 5 13" xfId="287"/>
    <cellStyle name="' 5 14" xfId="288"/>
    <cellStyle name="' 5 15" xfId="289"/>
    <cellStyle name="' 5 16" xfId="290"/>
    <cellStyle name="' 5 17" xfId="291"/>
    <cellStyle name="' 5 18" xfId="292"/>
    <cellStyle name="' 5 19" xfId="293"/>
    <cellStyle name="' 5 2" xfId="294"/>
    <cellStyle name="' 5 2 10" xfId="295"/>
    <cellStyle name="' 5 2 11" xfId="296"/>
    <cellStyle name="' 5 2 12" xfId="297"/>
    <cellStyle name="' 5 2 13" xfId="298"/>
    <cellStyle name="' 5 2 14" xfId="299"/>
    <cellStyle name="' 5 2 15" xfId="300"/>
    <cellStyle name="' 5 2 16" xfId="301"/>
    <cellStyle name="' 5 2 17" xfId="302"/>
    <cellStyle name="' 5 2 18" xfId="303"/>
    <cellStyle name="' 5 2 2" xfId="304"/>
    <cellStyle name="' 5 2 2 2" xfId="305"/>
    <cellStyle name="' 5 2 2 2 2" xfId="306"/>
    <cellStyle name="' 5 2 2 3" xfId="307"/>
    <cellStyle name="' 5 2 2 4" xfId="308"/>
    <cellStyle name="' 5 2 3" xfId="309"/>
    <cellStyle name="' 5 2 3 2" xfId="310"/>
    <cellStyle name="' 5 2 3 3" xfId="311"/>
    <cellStyle name="' 5 2 4" xfId="312"/>
    <cellStyle name="' 5 2 4 2" xfId="313"/>
    <cellStyle name="' 5 2 5" xfId="314"/>
    <cellStyle name="' 5 2 6" xfId="315"/>
    <cellStyle name="' 5 2 7" xfId="316"/>
    <cellStyle name="' 5 2 8" xfId="317"/>
    <cellStyle name="' 5 2 9" xfId="318"/>
    <cellStyle name="' 5 20" xfId="319"/>
    <cellStyle name="' 5 3" xfId="320"/>
    <cellStyle name="' 5 3 10" xfId="321"/>
    <cellStyle name="' 5 3 11" xfId="322"/>
    <cellStyle name="' 5 3 12" xfId="323"/>
    <cellStyle name="' 5 3 13" xfId="324"/>
    <cellStyle name="' 5 3 14" xfId="325"/>
    <cellStyle name="' 5 3 15" xfId="326"/>
    <cellStyle name="' 5 3 16" xfId="327"/>
    <cellStyle name="' 5 3 17" xfId="328"/>
    <cellStyle name="' 5 3 18" xfId="329"/>
    <cellStyle name="' 5 3 2" xfId="330"/>
    <cellStyle name="' 5 3 2 2" xfId="331"/>
    <cellStyle name="' 5 3 2 2 2" xfId="332"/>
    <cellStyle name="' 5 3 2 3" xfId="333"/>
    <cellStyle name="' 5 3 2 4" xfId="334"/>
    <cellStyle name="' 5 3 3" xfId="335"/>
    <cellStyle name="' 5 3 3 2" xfId="336"/>
    <cellStyle name="' 5 3 3 3" xfId="337"/>
    <cellStyle name="' 5 3 4" xfId="338"/>
    <cellStyle name="' 5 3 4 2" xfId="339"/>
    <cellStyle name="' 5 3 5" xfId="340"/>
    <cellStyle name="' 5 3 6" xfId="341"/>
    <cellStyle name="' 5 3 7" xfId="342"/>
    <cellStyle name="' 5 3 8" xfId="343"/>
    <cellStyle name="' 5 3 9" xfId="344"/>
    <cellStyle name="' 5 4" xfId="345"/>
    <cellStyle name="' 5 4 2" xfId="346"/>
    <cellStyle name="' 5 4 2 2" xfId="347"/>
    <cellStyle name="' 5 4 3" xfId="348"/>
    <cellStyle name="' 5 4 4" xfId="349"/>
    <cellStyle name="' 5 5" xfId="350"/>
    <cellStyle name="' 5 5 2" xfId="351"/>
    <cellStyle name="' 5 5 3" xfId="352"/>
    <cellStyle name="' 5 6" xfId="353"/>
    <cellStyle name="' 5 6 2" xfId="354"/>
    <cellStyle name="' 5 7" xfId="355"/>
    <cellStyle name="' 5 8" xfId="356"/>
    <cellStyle name="' 5 9" xfId="357"/>
    <cellStyle name=" 6" xfId="358"/>
    <cellStyle name="' 6" xfId="359"/>
    <cellStyle name="' 6 10" xfId="360"/>
    <cellStyle name="' 6 11" xfId="361"/>
    <cellStyle name="' 6 12" xfId="362"/>
    <cellStyle name="' 6 13" xfId="363"/>
    <cellStyle name="' 6 14" xfId="364"/>
    <cellStyle name="' 6 15" xfId="365"/>
    <cellStyle name="' 6 16" xfId="366"/>
    <cellStyle name="' 6 17" xfId="367"/>
    <cellStyle name="' 6 18" xfId="368"/>
    <cellStyle name="' 6 19" xfId="369"/>
    <cellStyle name="' 6 2" xfId="370"/>
    <cellStyle name="' 6 2 10" xfId="371"/>
    <cellStyle name="' 6 2 11" xfId="372"/>
    <cellStyle name="' 6 2 12" xfId="373"/>
    <cellStyle name="' 6 2 13" xfId="374"/>
    <cellStyle name="' 6 2 14" xfId="375"/>
    <cellStyle name="' 6 2 15" xfId="376"/>
    <cellStyle name="' 6 2 16" xfId="377"/>
    <cellStyle name="' 6 2 17" xfId="378"/>
    <cellStyle name="' 6 2 18" xfId="379"/>
    <cellStyle name="' 6 2 2" xfId="380"/>
    <cellStyle name="' 6 2 2 2" xfId="381"/>
    <cellStyle name="' 6 2 2 2 2" xfId="382"/>
    <cellStyle name="' 6 2 2 3" xfId="383"/>
    <cellStyle name="' 6 2 2 4" xfId="384"/>
    <cellStyle name="' 6 2 3" xfId="385"/>
    <cellStyle name="' 6 2 3 2" xfId="386"/>
    <cellStyle name="' 6 2 3 3" xfId="387"/>
    <cellStyle name="' 6 2 4" xfId="388"/>
    <cellStyle name="' 6 2 4 2" xfId="389"/>
    <cellStyle name="' 6 2 5" xfId="390"/>
    <cellStyle name="' 6 2 6" xfId="391"/>
    <cellStyle name="' 6 2 7" xfId="392"/>
    <cellStyle name="' 6 2 8" xfId="393"/>
    <cellStyle name="' 6 2 9" xfId="394"/>
    <cellStyle name="' 6 20" xfId="395"/>
    <cellStyle name="' 6 3" xfId="396"/>
    <cellStyle name="' 6 3 10" xfId="397"/>
    <cellStyle name="' 6 3 11" xfId="398"/>
    <cellStyle name="' 6 3 12" xfId="399"/>
    <cellStyle name="' 6 3 13" xfId="400"/>
    <cellStyle name="' 6 3 14" xfId="401"/>
    <cellStyle name="' 6 3 15" xfId="402"/>
    <cellStyle name="' 6 3 16" xfId="403"/>
    <cellStyle name="' 6 3 17" xfId="404"/>
    <cellStyle name="' 6 3 18" xfId="405"/>
    <cellStyle name="' 6 3 2" xfId="406"/>
    <cellStyle name="' 6 3 2 2" xfId="407"/>
    <cellStyle name="' 6 3 2 2 2" xfId="408"/>
    <cellStyle name="' 6 3 2 3" xfId="409"/>
    <cellStyle name="' 6 3 2 4" xfId="410"/>
    <cellStyle name="' 6 3 3" xfId="411"/>
    <cellStyle name="' 6 3 3 2" xfId="412"/>
    <cellStyle name="' 6 3 3 3" xfId="413"/>
    <cellStyle name="' 6 3 4" xfId="414"/>
    <cellStyle name="' 6 3 4 2" xfId="415"/>
    <cellStyle name="' 6 3 5" xfId="416"/>
    <cellStyle name="' 6 3 6" xfId="417"/>
    <cellStyle name="' 6 3 7" xfId="418"/>
    <cellStyle name="' 6 3 8" xfId="419"/>
    <cellStyle name="' 6 3 9" xfId="420"/>
    <cellStyle name="' 6 4" xfId="421"/>
    <cellStyle name="' 6 4 2" xfId="422"/>
    <cellStyle name="' 6 4 2 2" xfId="423"/>
    <cellStyle name="' 6 4 2 3" xfId="424"/>
    <cellStyle name="' 6 4 3" xfId="425"/>
    <cellStyle name="' 6 4 3 2" xfId="426"/>
    <cellStyle name="' 6 4 4" xfId="427"/>
    <cellStyle name="' 6 4 5" xfId="428"/>
    <cellStyle name="' 6 5" xfId="429"/>
    <cellStyle name="' 6 5 2" xfId="430"/>
    <cellStyle name="' 6 5 2 2" xfId="431"/>
    <cellStyle name="' 6 5 3" xfId="432"/>
    <cellStyle name="' 6 5 4" xfId="433"/>
    <cellStyle name="' 6 6" xfId="434"/>
    <cellStyle name="' 6 6 2" xfId="435"/>
    <cellStyle name="' 6 6 3" xfId="436"/>
    <cellStyle name="' 6 7" xfId="437"/>
    <cellStyle name="' 6 7 2" xfId="438"/>
    <cellStyle name="' 6 8" xfId="439"/>
    <cellStyle name="' 6 9" xfId="440"/>
    <cellStyle name=" 7" xfId="441"/>
    <cellStyle name="' 7" xfId="442"/>
    <cellStyle name="' 7 10" xfId="443"/>
    <cellStyle name="' 7 11" xfId="444"/>
    <cellStyle name="' 7 12" xfId="445"/>
    <cellStyle name="' 7 13" xfId="446"/>
    <cellStyle name="' 7 14" xfId="447"/>
    <cellStyle name="' 7 15" xfId="448"/>
    <cellStyle name="' 7 16" xfId="449"/>
    <cellStyle name="' 7 17" xfId="450"/>
    <cellStyle name="' 7 18" xfId="451"/>
    <cellStyle name="' 7 2" xfId="452"/>
    <cellStyle name="' 7 2 2" xfId="453"/>
    <cellStyle name="' 7 2 2 2" xfId="454"/>
    <cellStyle name="' 7 2 3" xfId="455"/>
    <cellStyle name="' 7 2 4" xfId="456"/>
    <cellStyle name="' 7 3" xfId="457"/>
    <cellStyle name="' 7 3 2" xfId="458"/>
    <cellStyle name="' 7 3 3" xfId="459"/>
    <cellStyle name="' 7 4" xfId="460"/>
    <cellStyle name="' 7 4 2" xfId="461"/>
    <cellStyle name="' 7 5" xfId="462"/>
    <cellStyle name="' 7 6" xfId="463"/>
    <cellStyle name="' 7 7" xfId="464"/>
    <cellStyle name="' 7 8" xfId="465"/>
    <cellStyle name="' 7 9" xfId="466"/>
    <cellStyle name=" 8" xfId="467"/>
    <cellStyle name="' 8" xfId="468"/>
    <cellStyle name="' 8 2" xfId="469"/>
    <cellStyle name="' 8 2 2" xfId="470"/>
    <cellStyle name="' 8 3" xfId="471"/>
    <cellStyle name="' 8 4" xfId="472"/>
    <cellStyle name=" 9" xfId="473"/>
    <cellStyle name="' 9" xfId="474"/>
    <cellStyle name="' 9 2" xfId="475"/>
    <cellStyle name="_x000a_386grabber=M" xfId="476"/>
    <cellStyle name="_x000a_386grabber=S" xfId="477"/>
    <cellStyle name="_x000a_386grabber=S 2" xfId="478"/>
    <cellStyle name="_x000a_bidires=100_x000a_" xfId="479"/>
    <cellStyle name="_x000a_bidires=100_x000d_" xfId="480"/>
    <cellStyle name="_x000a_bidires=100_x000d_ 2" xfId="481"/>
    <cellStyle name="_x000a_bidires=100_x000d_ 2 2" xfId="482"/>
    <cellStyle name="_x000a_bidires=100_x000d_ 2 3" xfId="483"/>
    <cellStyle name="_x000a_bidires=100_x000d_ 3" xfId="484"/>
    <cellStyle name="_x000a_bidires=100_x000d_ 4" xfId="485"/>
    <cellStyle name="_x000a_bidires=100_x000d_ 5" xfId="486"/>
    <cellStyle name="_x000a_bidires=100_x000d_ 6" xfId="487"/>
    <cellStyle name="_x000a_bidires=100_x000d__10.Основное сырье" xfId="488"/>
    <cellStyle name="_x000d__x000a_JournalTemplate=C:\COMFO\CTALK\JOURSTD.TPL_x000d__x000a_LbStateAddress=3 3 0 251 1 89 2 311_x000d__x000a_LbStateJou" xfId="489"/>
    <cellStyle name="$" xfId="490"/>
    <cellStyle name="$ тыс" xfId="491"/>
    <cellStyle name="$ тыс 2" xfId="492"/>
    <cellStyle name="$ тыс 3" xfId="493"/>
    <cellStyle name="$ тыс 4" xfId="494"/>
    <cellStyle name="$ тыс 5" xfId="495"/>
    <cellStyle name="$ тыс. (0)" xfId="496"/>
    <cellStyle name="$ тыс. (0) 2" xfId="497"/>
    <cellStyle name="$ тыс. (0) 3" xfId="498"/>
    <cellStyle name="$ тыс. (0) 4" xfId="499"/>
    <cellStyle name="$ тыс. (0) 5" xfId="500"/>
    <cellStyle name="$ тыс_5-ые формы 12 мес 2005" xfId="501"/>
    <cellStyle name="$_GAZP" xfId="502"/>
    <cellStyle name="$_NVTK" xfId="503"/>
    <cellStyle name="%" xfId="504"/>
    <cellStyle name="% 2" xfId="505"/>
    <cellStyle name="% 2 2" xfId="506"/>
    <cellStyle name="% 2_ОАР новый" xfId="507"/>
    <cellStyle name="% 3" xfId="508"/>
    <cellStyle name="%??O%??P%??Q%??R%??S%??T%??U%??V%??W%??X%??Y%??Z%??[%??\%??]%??^%??_%??`%??a%?" xfId="509"/>
    <cellStyle name="%_Бюджет 2011 год- 1вар" xfId="510"/>
    <cellStyle name="%_Бюджет 2011 год- ЧДКГ от 22.10.2010г" xfId="511"/>
    <cellStyle name="%_Вспомогательные материалы ЧДКГ на 2011г" xfId="512"/>
    <cellStyle name="%_Вспомогательные материалы ЧЭЗ на 2011г" xfId="513"/>
    <cellStyle name="%_ДКГ отчет 1пг 2011" xfId="514"/>
    <cellStyle name="%_ОАР новый" xfId="515"/>
    <cellStyle name="%_Подрядчики ЧДКГ на 2011г" xfId="516"/>
    <cellStyle name="%_Подрядчики ЧЭЗ на 2011г" xfId="517"/>
    <cellStyle name="%0" xfId="518"/>
    <cellStyle name="%1" xfId="519"/>
    <cellStyle name="%2" xfId="520"/>
    <cellStyle name="(Euro)" xfId="521"/>
    <cellStyle name=",000" xfId="522"/>
    <cellStyle name=";;;" xfId="523"/>
    <cellStyle name=";;; 2" xfId="524"/>
    <cellStyle name=";;; 3" xfId="525"/>
    <cellStyle name=";;; 4" xfId="526"/>
    <cellStyle name=";;; 5" xfId="527"/>
    <cellStyle name="?" xfId="528"/>
    <cellStyle name="?_x0001__x0001_ ?§??_x0002_????_x000f__x0008_??f_x0006__x0010_?????yyyyyyyyyyyyyyy" xfId="529"/>
    <cellStyle name="?_x0001__x0001_ ?§??_x0002_????_x000f__x0008_??f_x0006__x0010_?????yyyyyyyyyyyyyyy 1" xfId="530"/>
    <cellStyle name="? 2" xfId="531"/>
    <cellStyle name="? ?› [0.00]_Sheet1" xfId="532"/>
    <cellStyle name="???_x0008_" xfId="533"/>
    <cellStyle name="???????" xfId="534"/>
    <cellStyle name="??????? 2" xfId="535"/>
    <cellStyle name="??????? 3" xfId="536"/>
    <cellStyle name="??????? 4" xfId="537"/>
    <cellStyle name="??????? 5" xfId="538"/>
    <cellStyle name="??????? 6" xfId="539"/>
    <cellStyle name="??????? 7" xfId="540"/>
    <cellStyle name="??????? 8" xfId="541"/>
    <cellStyle name="????????" xfId="542"/>
    <cellStyle name="???????? [0]" xfId="543"/>
    <cellStyle name="???????? [0] 2" xfId="544"/>
    <cellStyle name="???????? [0] 3" xfId="545"/>
    <cellStyle name="???????? [0] 4" xfId="546"/>
    <cellStyle name="???????? [0] 5" xfId="547"/>
    <cellStyle name="???????? [0] 6" xfId="548"/>
    <cellStyle name="???????? [0] 7" xfId="549"/>
    <cellStyle name="???????? [0] 8" xfId="550"/>
    <cellStyle name="???????? [0]_10.Основное сырье" xfId="551"/>
    <cellStyle name="???????? 10" xfId="552"/>
    <cellStyle name="???????? 11" xfId="553"/>
    <cellStyle name="???????? 12" xfId="554"/>
    <cellStyle name="???????? 2" xfId="555"/>
    <cellStyle name="???????? 3" xfId="556"/>
    <cellStyle name="???????? 4" xfId="557"/>
    <cellStyle name="???????? 5" xfId="558"/>
    <cellStyle name="???????? 6" xfId="559"/>
    <cellStyle name="???????? 7" xfId="560"/>
    <cellStyle name="???????? 8" xfId="561"/>
    <cellStyle name="???????? 9" xfId="562"/>
    <cellStyle name="??????????" xfId="563"/>
    <cellStyle name="?????????? [0]" xfId="564"/>
    <cellStyle name="?????????? [0] 2" xfId="565"/>
    <cellStyle name="?????????? [0] 3" xfId="566"/>
    <cellStyle name="?????????? [0] 4" xfId="567"/>
    <cellStyle name="?????????? [0] 5" xfId="568"/>
    <cellStyle name="?????????? [0] 6" xfId="569"/>
    <cellStyle name="?????????? [0] 7" xfId="570"/>
    <cellStyle name="?????????? [0] 8" xfId="571"/>
    <cellStyle name="?????????? [0]_10.Основное сырье" xfId="572"/>
    <cellStyle name="?????????? 10" xfId="573"/>
    <cellStyle name="?????????? 11" xfId="574"/>
    <cellStyle name="?????????? 12" xfId="575"/>
    <cellStyle name="?????????? 2" xfId="576"/>
    <cellStyle name="?????????? 3" xfId="577"/>
    <cellStyle name="?????????? 4" xfId="578"/>
    <cellStyle name="?????????? 5" xfId="579"/>
    <cellStyle name="?????????? 6" xfId="580"/>
    <cellStyle name="?????????? 7" xfId="581"/>
    <cellStyle name="?????????? 8" xfId="582"/>
    <cellStyle name="?????????? 9" xfId="583"/>
    <cellStyle name="???????????" xfId="584"/>
    <cellStyle name="????????????? ???????????" xfId="585"/>
    <cellStyle name="???_x0008_???????_x0008_??????" xfId="586"/>
    <cellStyle name="???_x0008_???????_x0008_?????? 1" xfId="587"/>
    <cellStyle name="?_x0010_???_x0013_???????_x0013_???_x0010_???" xfId="588"/>
    <cellStyle name="?_x0010_???_x0013_???????_x0013_???_x0010_??? 1" xfId="589"/>
    <cellStyle name="?_x0008_???????_x0008_???????_x0008_??????" xfId="590"/>
    <cellStyle name="?_x0008_???????_x0008_???????_x0008_?????? 1" xfId="591"/>
    <cellStyle name="?_x0008_???????_x0008_???????_x0001_???????_x0001_?" xfId="592"/>
    <cellStyle name="?_x0008_???????_x0008_???????_x0001_???????_x0001_? 1" xfId="593"/>
    <cellStyle name="?_x0008_???????_x0008_???????_x0001_???????_x0001_?_БДР С44о БДДС ок03" xfId="594"/>
    <cellStyle name="?_x0010_???_x0013_???????_x0013_???_x0010_???_Life Book_помесячно (вариант Бикбулатова)_факт" xfId="595"/>
    <cellStyle name="???_x0008_???????_x0008_??????_БДР С44о БДДС ок03" xfId="596"/>
    <cellStyle name="??????????_~9442145" xfId="597"/>
    <cellStyle name="????????_~9442145" xfId="598"/>
    <cellStyle name="???????_????? ???????????? ??? ?????????" xfId="599"/>
    <cellStyle name="???–…?’?›‰" xfId="600"/>
    <cellStyle name="???–…?’?›‰ 2" xfId="601"/>
    <cellStyle name="???–…?’?›‰ 3" xfId="602"/>
    <cellStyle name="???–…?’?›‰ 4" xfId="603"/>
    <cellStyle name="???–…?’?›‰ 5" xfId="604"/>
    <cellStyle name="?_x001d_?w _x001a_??_x000c_??U_x0001_%_x0013_|)_x0007__x0001__x0001_" xfId="605"/>
    <cellStyle name="?_x001d_?w _x001a_??_x000c_??U_x0001_%_x0013_|)_x0007__x0001__x0001_ 2" xfId="606"/>
    <cellStyle name="?_x001d_?w _x001a_??_x000c_??U_x0001_%_x0013_|)_x0007__x0001__x0001__Macro" xfId="607"/>
    <cellStyle name="?_x0010__Life Book_помесячно (вариант Бикбулатова)_факт" xfId="608"/>
    <cellStyle name="?…?ж?Ш?и [0.00]" xfId="609"/>
    <cellStyle name="?…‹?ђO‚e [0.00]_laroux" xfId="610"/>
    <cellStyle name="?…‹?ђO‚e_laroux" xfId="611"/>
    <cellStyle name="?W??_‘O’с?р??" xfId="612"/>
    <cellStyle name="]_x000a__x000a_Zoomed=1_x000a__x000a_Row=0_x000a__x000a_Column=0_x000a__x000a_Height=0_x000a__x000a_Width=0_x000a__x000a_FontName=FoxFont_x000a__x000a_FontStyle=0_x000a__x000a_FontSize=9_x000a__x000a_PrtFontName=FoxPrin" xfId="613"/>
    <cellStyle name="]_x000a__x000a_Zoomed=1_x000a__x000a_Row=0_x000a__x000a_Column=0_x000a__x000a_Height=0_x000a__x000a_Width=0_x000a__x000a_FontName=FoxFont_x000a__x000a_FontStyle=0_x000a__x000a_FontSize=9_x000a__x000a_PrtFontName=FoxPrin 2" xfId="614"/>
    <cellStyle name="]_x000a__x000a_Zoomed=1_x000a__x000a_Row=0_x000a__x000a_Column=0_x000a__x000a_Height=0_x000a__x000a_Width=0_x000a__x000a_FontName=FoxFont_x000a__x000a_FontStyle=0_x000a__x000a_FontSize=9_x000a__x000a_PrtFontName=FoxPrin 3" xfId="615"/>
    <cellStyle name="]_x000a__x000a_Zoomed=1_x000a__x000a_Row=0_x000a__x000a_Column=0_x000a__x000a_Height=0_x000a__x000a_Width=0_x000a__x000a_FontName=FoxFont_x000a__x000a_FontStyle=0_x000a__x000a_FontSize=9_x000a__x000a_PrtFontName=FoxPrin 4" xfId="616"/>
    <cellStyle name="]_x000d__x000a_Zoomed=1_x000d__x000a_Row=0_x000d__x000a_Column=0_x000d__x000a_Height=0_x000d__x000a_Width=0_x000d__x000a_FontName=FoxFont_x000d__x000a_FontStyle=0_x000d__x000a_FontSize=9_x000d__x000a_PrtFontName=FoxPrin" xfId="617"/>
    <cellStyle name="]_x000d__x000a_Zoomed=1_x000d__x000a_Row=0_x000d__x000a_Column=0_x000d__x000a_Height=0_x000d__x000a_Width=0_x000d__x000a_FontName=FoxFont_x000d__x000a_FontStyle=0_x000d__x000a_FontSize=9_x000d__x000a_PrtFontName=FoxPrin 2" xfId="618"/>
    <cellStyle name="]_x000d__x000a_Zoomed=1_x000d__x000a_Row=0_x000d__x000a_Column=0_x000d__x000a_Height=0_x000d__x000a_Width=0_x000d__x000a_FontName=FoxFont_x000d__x000a_FontStyle=0_x000d__x000a_FontSize=9_x000d__x000a_PrtFontName=FoxPrin 3" xfId="619"/>
    <cellStyle name="]_x000d__x000a_Zoomed=1_x000d__x000a_Row=0_x000d__x000a_Column=0_x000d__x000a_Height=0_x000d__x000a_Width=0_x000d__x000a_FontName=FoxFont_x000d__x000a_FontStyle=0_x000d__x000a_FontSize=9_x000d__x000a_PrtFontName=FoxPrin 4" xfId="620"/>
    <cellStyle name="ˆ’ŽƒŽ‚›‰" xfId="621"/>
    <cellStyle name="ˆ’ŽƒŽ‚›‰ 10" xfId="622"/>
    <cellStyle name="ˆ’ŽƒŽ‚›‰ 10 10" xfId="623"/>
    <cellStyle name="ˆ’ŽƒŽ‚›‰ 10 11" xfId="624"/>
    <cellStyle name="ˆ’ŽƒŽ‚›‰ 10 12" xfId="625"/>
    <cellStyle name="ˆ’ŽƒŽ‚›‰ 10 13" xfId="626"/>
    <cellStyle name="ˆ’ŽƒŽ‚›‰ 10 14" xfId="627"/>
    <cellStyle name="ˆ’ŽƒŽ‚›‰ 10 15" xfId="628"/>
    <cellStyle name="ˆ’ŽƒŽ‚›‰ 10 16" xfId="629"/>
    <cellStyle name="ˆ’ŽƒŽ‚›‰ 10 17" xfId="630"/>
    <cellStyle name="ˆ’ŽƒŽ‚›‰ 10 18" xfId="631"/>
    <cellStyle name="ˆ’ŽƒŽ‚›‰ 10 19" xfId="632"/>
    <cellStyle name="ˆ’ŽƒŽ‚›‰ 10 2" xfId="633"/>
    <cellStyle name="ˆ’ŽƒŽ‚›‰ 10 2 10" xfId="634"/>
    <cellStyle name="ˆ’ŽƒŽ‚›‰ 10 2 11" xfId="635"/>
    <cellStyle name="ˆ’ŽƒŽ‚›‰ 10 2 12" xfId="636"/>
    <cellStyle name="ˆ’ŽƒŽ‚›‰ 10 2 13" xfId="637"/>
    <cellStyle name="ˆ’ŽƒŽ‚›‰ 10 2 14" xfId="638"/>
    <cellStyle name="ˆ’ŽƒŽ‚›‰ 10 2 15" xfId="639"/>
    <cellStyle name="ˆ’ŽƒŽ‚›‰ 10 2 16" xfId="640"/>
    <cellStyle name="ˆ’ŽƒŽ‚›‰ 10 2 17" xfId="641"/>
    <cellStyle name="ˆ’ŽƒŽ‚›‰ 10 2 18" xfId="642"/>
    <cellStyle name="ˆ’ŽƒŽ‚›‰ 10 2 2" xfId="643"/>
    <cellStyle name="ˆ’ŽƒŽ‚›‰ 10 2 2 2" xfId="644"/>
    <cellStyle name="ˆ’ŽƒŽ‚›‰ 10 2 2 2 2" xfId="645"/>
    <cellStyle name="ˆ’ŽƒŽ‚›‰ 10 2 2 3" xfId="646"/>
    <cellStyle name="ˆ’ŽƒŽ‚›‰ 10 2 2 4" xfId="647"/>
    <cellStyle name="ˆ’ŽƒŽ‚›‰ 10 2 3" xfId="648"/>
    <cellStyle name="ˆ’ŽƒŽ‚›‰ 10 2 3 2" xfId="649"/>
    <cellStyle name="ˆ’ŽƒŽ‚›‰ 10 2 3 3" xfId="650"/>
    <cellStyle name="ˆ’ŽƒŽ‚›‰ 10 2 4" xfId="651"/>
    <cellStyle name="ˆ’ŽƒŽ‚›‰ 10 2 4 2" xfId="652"/>
    <cellStyle name="ˆ’ŽƒŽ‚›‰ 10 2 5" xfId="653"/>
    <cellStyle name="ˆ’ŽƒŽ‚›‰ 10 2 6" xfId="654"/>
    <cellStyle name="ˆ’ŽƒŽ‚›‰ 10 2 7" xfId="655"/>
    <cellStyle name="ˆ’ŽƒŽ‚›‰ 10 2 8" xfId="656"/>
    <cellStyle name="ˆ’ŽƒŽ‚›‰ 10 2 9" xfId="657"/>
    <cellStyle name="ˆ’ŽƒŽ‚›‰ 10 20" xfId="658"/>
    <cellStyle name="ˆ’ŽƒŽ‚›‰ 10 3" xfId="659"/>
    <cellStyle name="ˆ’ŽƒŽ‚›‰ 10 3 10" xfId="660"/>
    <cellStyle name="ˆ’ŽƒŽ‚›‰ 10 3 11" xfId="661"/>
    <cellStyle name="ˆ’ŽƒŽ‚›‰ 10 3 12" xfId="662"/>
    <cellStyle name="ˆ’ŽƒŽ‚›‰ 10 3 13" xfId="663"/>
    <cellStyle name="ˆ’ŽƒŽ‚›‰ 10 3 14" xfId="664"/>
    <cellStyle name="ˆ’ŽƒŽ‚›‰ 10 3 15" xfId="665"/>
    <cellStyle name="ˆ’ŽƒŽ‚›‰ 10 3 16" xfId="666"/>
    <cellStyle name="ˆ’ŽƒŽ‚›‰ 10 3 17" xfId="667"/>
    <cellStyle name="ˆ’ŽƒŽ‚›‰ 10 3 18" xfId="668"/>
    <cellStyle name="ˆ’ŽƒŽ‚›‰ 10 3 2" xfId="669"/>
    <cellStyle name="ˆ’ŽƒŽ‚›‰ 10 3 2 2" xfId="670"/>
    <cellStyle name="ˆ’ŽƒŽ‚›‰ 10 3 2 2 2" xfId="671"/>
    <cellStyle name="ˆ’ŽƒŽ‚›‰ 10 3 2 3" xfId="672"/>
    <cellStyle name="ˆ’ŽƒŽ‚›‰ 10 3 2 4" xfId="673"/>
    <cellStyle name="ˆ’ŽƒŽ‚›‰ 10 3 3" xfId="674"/>
    <cellStyle name="ˆ’ŽƒŽ‚›‰ 10 3 3 2" xfId="675"/>
    <cellStyle name="ˆ’ŽƒŽ‚›‰ 10 3 3 3" xfId="676"/>
    <cellStyle name="ˆ’ŽƒŽ‚›‰ 10 3 4" xfId="677"/>
    <cellStyle name="ˆ’ŽƒŽ‚›‰ 10 3 4 2" xfId="678"/>
    <cellStyle name="ˆ’ŽƒŽ‚›‰ 10 3 5" xfId="679"/>
    <cellStyle name="ˆ’ŽƒŽ‚›‰ 10 3 6" xfId="680"/>
    <cellStyle name="ˆ’ŽƒŽ‚›‰ 10 3 7" xfId="681"/>
    <cellStyle name="ˆ’ŽƒŽ‚›‰ 10 3 8" xfId="682"/>
    <cellStyle name="ˆ’ŽƒŽ‚›‰ 10 3 9" xfId="683"/>
    <cellStyle name="ˆ’ŽƒŽ‚›‰ 10 4" xfId="684"/>
    <cellStyle name="ˆ’ŽƒŽ‚›‰ 10 4 2" xfId="685"/>
    <cellStyle name="ˆ’ŽƒŽ‚›‰ 10 4 2 2" xfId="686"/>
    <cellStyle name="ˆ’ŽƒŽ‚›‰ 10 4 3" xfId="687"/>
    <cellStyle name="ˆ’ŽƒŽ‚›‰ 10 4 4" xfId="688"/>
    <cellStyle name="ˆ’ŽƒŽ‚›‰ 10 5" xfId="689"/>
    <cellStyle name="ˆ’ŽƒŽ‚›‰ 10 5 2" xfId="690"/>
    <cellStyle name="ˆ’ŽƒŽ‚›‰ 10 6" xfId="691"/>
    <cellStyle name="ˆ’ŽƒŽ‚›‰ 10 7" xfId="692"/>
    <cellStyle name="ˆ’ŽƒŽ‚›‰ 10 8" xfId="693"/>
    <cellStyle name="ˆ’ŽƒŽ‚›‰ 10 9" xfId="694"/>
    <cellStyle name="ˆ’ŽƒŽ‚›‰ 11" xfId="695"/>
    <cellStyle name="ˆ’ŽƒŽ‚›‰ 11 10" xfId="696"/>
    <cellStyle name="ˆ’ŽƒŽ‚›‰ 11 11" xfId="697"/>
    <cellStyle name="ˆ’ŽƒŽ‚›‰ 11 12" xfId="698"/>
    <cellStyle name="ˆ’ŽƒŽ‚›‰ 11 13" xfId="699"/>
    <cellStyle name="ˆ’ŽƒŽ‚›‰ 11 14" xfId="700"/>
    <cellStyle name="ˆ’ŽƒŽ‚›‰ 11 15" xfId="701"/>
    <cellStyle name="ˆ’ŽƒŽ‚›‰ 11 16" xfId="702"/>
    <cellStyle name="ˆ’ŽƒŽ‚›‰ 11 17" xfId="703"/>
    <cellStyle name="ˆ’ŽƒŽ‚›‰ 11 18" xfId="704"/>
    <cellStyle name="ˆ’ŽƒŽ‚›‰ 11 2" xfId="705"/>
    <cellStyle name="ˆ’ŽƒŽ‚›‰ 11 2 2" xfId="706"/>
    <cellStyle name="ˆ’ŽƒŽ‚›‰ 11 2 2 2" xfId="707"/>
    <cellStyle name="ˆ’ŽƒŽ‚›‰ 11 2 3" xfId="708"/>
    <cellStyle name="ˆ’ŽƒŽ‚›‰ 11 2 4" xfId="709"/>
    <cellStyle name="ˆ’ŽƒŽ‚›‰ 11 3" xfId="710"/>
    <cellStyle name="ˆ’ŽƒŽ‚›‰ 11 3 2" xfId="711"/>
    <cellStyle name="ˆ’ŽƒŽ‚›‰ 11 3 3" xfId="712"/>
    <cellStyle name="ˆ’ŽƒŽ‚›‰ 11 4" xfId="713"/>
    <cellStyle name="ˆ’ŽƒŽ‚›‰ 11 4 2" xfId="714"/>
    <cellStyle name="ˆ’ŽƒŽ‚›‰ 11 5" xfId="715"/>
    <cellStyle name="ˆ’ŽƒŽ‚›‰ 11 6" xfId="716"/>
    <cellStyle name="ˆ’ŽƒŽ‚›‰ 11 7" xfId="717"/>
    <cellStyle name="ˆ’ŽƒŽ‚›‰ 11 8" xfId="718"/>
    <cellStyle name="ˆ’ŽƒŽ‚›‰ 11 9" xfId="719"/>
    <cellStyle name="ˆ’ŽƒŽ‚›‰ 12" xfId="720"/>
    <cellStyle name="ˆ’ŽƒŽ‚›‰ 12 10" xfId="721"/>
    <cellStyle name="ˆ’ŽƒŽ‚›‰ 12 11" xfId="722"/>
    <cellStyle name="ˆ’ŽƒŽ‚›‰ 12 12" xfId="723"/>
    <cellStyle name="ˆ’ŽƒŽ‚›‰ 12 13" xfId="724"/>
    <cellStyle name="ˆ’ŽƒŽ‚›‰ 12 14" xfId="725"/>
    <cellStyle name="ˆ’ŽƒŽ‚›‰ 12 15" xfId="726"/>
    <cellStyle name="ˆ’ŽƒŽ‚›‰ 12 16" xfId="727"/>
    <cellStyle name="ˆ’ŽƒŽ‚›‰ 12 17" xfId="728"/>
    <cellStyle name="ˆ’ŽƒŽ‚›‰ 12 18" xfId="729"/>
    <cellStyle name="ˆ’ŽƒŽ‚›‰ 12 2" xfId="730"/>
    <cellStyle name="ˆ’ŽƒŽ‚›‰ 12 2 2" xfId="731"/>
    <cellStyle name="ˆ’ŽƒŽ‚›‰ 12 3" xfId="732"/>
    <cellStyle name="ˆ’ŽƒŽ‚›‰ 12 4" xfId="733"/>
    <cellStyle name="ˆ’ŽƒŽ‚›‰ 12 5" xfId="734"/>
    <cellStyle name="ˆ’ŽƒŽ‚›‰ 12 6" xfId="735"/>
    <cellStyle name="ˆ’ŽƒŽ‚›‰ 12 7" xfId="736"/>
    <cellStyle name="ˆ’ŽƒŽ‚›‰ 12 8" xfId="737"/>
    <cellStyle name="ˆ’ŽƒŽ‚›‰ 12 9" xfId="738"/>
    <cellStyle name="ˆ’ŽƒŽ‚›‰ 13" xfId="739"/>
    <cellStyle name="ˆ’ŽƒŽ‚›‰ 14" xfId="740"/>
    <cellStyle name="ˆ’ŽƒŽ‚›‰ 15" xfId="741"/>
    <cellStyle name="ˆ’ŽƒŽ‚›‰ 16" xfId="742"/>
    <cellStyle name="ˆ’ŽƒŽ‚›‰ 17" xfId="743"/>
    <cellStyle name="ˆ’ŽƒŽ‚›‰ 18" xfId="744"/>
    <cellStyle name="ˆ’ŽƒŽ‚›‰ 19" xfId="745"/>
    <cellStyle name="ˆ’ŽƒŽ‚›‰ 2" xfId="746"/>
    <cellStyle name="ˆ’ŽƒŽ‚›‰ 2 10" xfId="747"/>
    <cellStyle name="ˆ’ŽƒŽ‚›‰ 2 11" xfId="748"/>
    <cellStyle name="ˆ’ŽƒŽ‚›‰ 2 12" xfId="749"/>
    <cellStyle name="ˆ’ŽƒŽ‚›‰ 2 13" xfId="750"/>
    <cellStyle name="ˆ’ŽƒŽ‚›‰ 2 14" xfId="751"/>
    <cellStyle name="ˆ’ŽƒŽ‚›‰ 2 15" xfId="752"/>
    <cellStyle name="ˆ’ŽƒŽ‚›‰ 2 16" xfId="753"/>
    <cellStyle name="ˆ’ŽƒŽ‚›‰ 2 17" xfId="754"/>
    <cellStyle name="ˆ’ŽƒŽ‚›‰ 2 18" xfId="755"/>
    <cellStyle name="ˆ’ŽƒŽ‚›‰ 2 19" xfId="756"/>
    <cellStyle name="ˆ’ŽƒŽ‚›‰ 2 2" xfId="757"/>
    <cellStyle name="ˆ’ŽƒŽ‚›‰ 2 2 10" xfId="758"/>
    <cellStyle name="ˆ’ŽƒŽ‚›‰ 2 2 11" xfId="759"/>
    <cellStyle name="ˆ’ŽƒŽ‚›‰ 2 2 12" xfId="760"/>
    <cellStyle name="ˆ’ŽƒŽ‚›‰ 2 2 13" xfId="761"/>
    <cellStyle name="ˆ’ŽƒŽ‚›‰ 2 2 14" xfId="762"/>
    <cellStyle name="ˆ’ŽƒŽ‚›‰ 2 2 15" xfId="763"/>
    <cellStyle name="ˆ’ŽƒŽ‚›‰ 2 2 16" xfId="764"/>
    <cellStyle name="ˆ’ŽƒŽ‚›‰ 2 2 17" xfId="765"/>
    <cellStyle name="ˆ’ŽƒŽ‚›‰ 2 2 18" xfId="766"/>
    <cellStyle name="ˆ’ŽƒŽ‚›‰ 2 2 19" xfId="767"/>
    <cellStyle name="ˆ’ŽƒŽ‚›‰ 2 2 2" xfId="768"/>
    <cellStyle name="ˆ’ŽƒŽ‚›‰ 2 2 2 10" xfId="769"/>
    <cellStyle name="ˆ’ŽƒŽ‚›‰ 2 2 2 11" xfId="770"/>
    <cellStyle name="ˆ’ŽƒŽ‚›‰ 2 2 2 12" xfId="771"/>
    <cellStyle name="ˆ’ŽƒŽ‚›‰ 2 2 2 13" xfId="772"/>
    <cellStyle name="ˆ’ŽƒŽ‚›‰ 2 2 2 14" xfId="773"/>
    <cellStyle name="ˆ’ŽƒŽ‚›‰ 2 2 2 15" xfId="774"/>
    <cellStyle name="ˆ’ŽƒŽ‚›‰ 2 2 2 16" xfId="775"/>
    <cellStyle name="ˆ’ŽƒŽ‚›‰ 2 2 2 17" xfId="776"/>
    <cellStyle name="ˆ’ŽƒŽ‚›‰ 2 2 2 18" xfId="777"/>
    <cellStyle name="ˆ’ŽƒŽ‚›‰ 2 2 2 2" xfId="778"/>
    <cellStyle name="ˆ’ŽƒŽ‚›‰ 2 2 2 2 2" xfId="779"/>
    <cellStyle name="ˆ’ŽƒŽ‚›‰ 2 2 2 2 2 2" xfId="780"/>
    <cellStyle name="ˆ’ŽƒŽ‚›‰ 2 2 2 2 3" xfId="781"/>
    <cellStyle name="ˆ’ŽƒŽ‚›‰ 2 2 2 2 4" xfId="782"/>
    <cellStyle name="ˆ’ŽƒŽ‚›‰ 2 2 2 3" xfId="783"/>
    <cellStyle name="ˆ’ŽƒŽ‚›‰ 2 2 2 3 2" xfId="784"/>
    <cellStyle name="ˆ’ŽƒŽ‚›‰ 2 2 2 3 3" xfId="785"/>
    <cellStyle name="ˆ’ŽƒŽ‚›‰ 2 2 2 4" xfId="786"/>
    <cellStyle name="ˆ’ŽƒŽ‚›‰ 2 2 2 4 2" xfId="787"/>
    <cellStyle name="ˆ’ŽƒŽ‚›‰ 2 2 2 5" xfId="788"/>
    <cellStyle name="ˆ’ŽƒŽ‚›‰ 2 2 2 6" xfId="789"/>
    <cellStyle name="ˆ’ŽƒŽ‚›‰ 2 2 2 7" xfId="790"/>
    <cellStyle name="ˆ’ŽƒŽ‚›‰ 2 2 2 8" xfId="791"/>
    <cellStyle name="ˆ’ŽƒŽ‚›‰ 2 2 2 9" xfId="792"/>
    <cellStyle name="ˆ’ŽƒŽ‚›‰ 2 2 20" xfId="793"/>
    <cellStyle name="ˆ’ŽƒŽ‚›‰ 2 2 21" xfId="794"/>
    <cellStyle name="ˆ’ŽƒŽ‚›‰ 2 2 22" xfId="795"/>
    <cellStyle name="ˆ’ŽƒŽ‚›‰ 2 2 23" xfId="796"/>
    <cellStyle name="ˆ’ŽƒŽ‚›‰ 2 2 3" xfId="797"/>
    <cellStyle name="ˆ’ŽƒŽ‚›‰ 2 2 3 10" xfId="798"/>
    <cellStyle name="ˆ’ŽƒŽ‚›‰ 2 2 3 11" xfId="799"/>
    <cellStyle name="ˆ’ŽƒŽ‚›‰ 2 2 3 12" xfId="800"/>
    <cellStyle name="ˆ’ŽƒŽ‚›‰ 2 2 3 13" xfId="801"/>
    <cellStyle name="ˆ’ŽƒŽ‚›‰ 2 2 3 14" xfId="802"/>
    <cellStyle name="ˆ’ŽƒŽ‚›‰ 2 2 3 15" xfId="803"/>
    <cellStyle name="ˆ’ŽƒŽ‚›‰ 2 2 3 16" xfId="804"/>
    <cellStyle name="ˆ’ŽƒŽ‚›‰ 2 2 3 17" xfId="805"/>
    <cellStyle name="ˆ’ŽƒŽ‚›‰ 2 2 3 18" xfId="806"/>
    <cellStyle name="ˆ’ŽƒŽ‚›‰ 2 2 3 2" xfId="807"/>
    <cellStyle name="ˆ’ŽƒŽ‚›‰ 2 2 3 2 2" xfId="808"/>
    <cellStyle name="ˆ’ŽƒŽ‚›‰ 2 2 3 2 2 2" xfId="809"/>
    <cellStyle name="ˆ’ŽƒŽ‚›‰ 2 2 3 2 3" xfId="810"/>
    <cellStyle name="ˆ’ŽƒŽ‚›‰ 2 2 3 2 4" xfId="811"/>
    <cellStyle name="ˆ’ŽƒŽ‚›‰ 2 2 3 3" xfId="812"/>
    <cellStyle name="ˆ’ŽƒŽ‚›‰ 2 2 3 3 2" xfId="813"/>
    <cellStyle name="ˆ’ŽƒŽ‚›‰ 2 2 3 3 3" xfId="814"/>
    <cellStyle name="ˆ’ŽƒŽ‚›‰ 2 2 3 4" xfId="815"/>
    <cellStyle name="ˆ’ŽƒŽ‚›‰ 2 2 3 4 2" xfId="816"/>
    <cellStyle name="ˆ’ŽƒŽ‚›‰ 2 2 3 5" xfId="817"/>
    <cellStyle name="ˆ’ŽƒŽ‚›‰ 2 2 3 6" xfId="818"/>
    <cellStyle name="ˆ’ŽƒŽ‚›‰ 2 2 3 7" xfId="819"/>
    <cellStyle name="ˆ’ŽƒŽ‚›‰ 2 2 3 8" xfId="820"/>
    <cellStyle name="ˆ’ŽƒŽ‚›‰ 2 2 3 9" xfId="821"/>
    <cellStyle name="ˆ’ŽƒŽ‚›‰ 2 2 4" xfId="822"/>
    <cellStyle name="ˆ’ŽƒŽ‚›‰ 2 2 4 2" xfId="823"/>
    <cellStyle name="ˆ’ŽƒŽ‚›‰ 2 2 4 2 2" xfId="824"/>
    <cellStyle name="ˆ’ŽƒŽ‚›‰ 2 2 4 2 3" xfId="825"/>
    <cellStyle name="ˆ’ŽƒŽ‚›‰ 2 2 4 3" xfId="826"/>
    <cellStyle name="ˆ’ŽƒŽ‚›‰ 2 2 4 3 2" xfId="827"/>
    <cellStyle name="ˆ’ŽƒŽ‚›‰ 2 2 4 4" xfId="828"/>
    <cellStyle name="ˆ’ŽƒŽ‚›‰ 2 2 5" xfId="829"/>
    <cellStyle name="ˆ’ŽƒŽ‚›‰ 2 2 5 2" xfId="830"/>
    <cellStyle name="ˆ’ŽƒŽ‚›‰ 2 2 5 2 2" xfId="831"/>
    <cellStyle name="ˆ’ŽƒŽ‚›‰ 2 2 5 3" xfId="832"/>
    <cellStyle name="ˆ’ŽƒŽ‚›‰ 2 2 5 4" xfId="833"/>
    <cellStyle name="ˆ’ŽƒŽ‚›‰ 2 2 6" xfId="834"/>
    <cellStyle name="ˆ’ŽƒŽ‚›‰ 2 2 6 2" xfId="835"/>
    <cellStyle name="ˆ’ŽƒŽ‚›‰ 2 2 6 3" xfId="836"/>
    <cellStyle name="ˆ’ŽƒŽ‚›‰ 2 2 7" xfId="837"/>
    <cellStyle name="ˆ’ŽƒŽ‚›‰ 2 2 7 2" xfId="838"/>
    <cellStyle name="ˆ’ŽƒŽ‚›‰ 2 2 8" xfId="839"/>
    <cellStyle name="ˆ’ŽƒŽ‚›‰ 2 2 9" xfId="840"/>
    <cellStyle name="ˆ’ŽƒŽ‚›‰ 2 20" xfId="841"/>
    <cellStyle name="ˆ’ŽƒŽ‚›‰ 2 21" xfId="842"/>
    <cellStyle name="ˆ’ŽƒŽ‚›‰ 2 22" xfId="843"/>
    <cellStyle name="ˆ’ŽƒŽ‚›‰ 2 23" xfId="844"/>
    <cellStyle name="ˆ’ŽƒŽ‚›‰ 2 24" xfId="845"/>
    <cellStyle name="ˆ’ŽƒŽ‚›‰ 2 25" xfId="846"/>
    <cellStyle name="ˆ’ŽƒŽ‚›‰ 2 26" xfId="847"/>
    <cellStyle name="ˆ’ŽƒŽ‚›‰ 2 27" xfId="848"/>
    <cellStyle name="ˆ’ŽƒŽ‚›‰ 2 28" xfId="849"/>
    <cellStyle name="ˆ’ŽƒŽ‚›‰ 2 3" xfId="850"/>
    <cellStyle name="ˆ’ŽƒŽ‚›‰ 2 3 10" xfId="851"/>
    <cellStyle name="ˆ’ŽƒŽ‚›‰ 2 3 11" xfId="852"/>
    <cellStyle name="ˆ’ŽƒŽ‚›‰ 2 3 12" xfId="853"/>
    <cellStyle name="ˆ’ŽƒŽ‚›‰ 2 3 13" xfId="854"/>
    <cellStyle name="ˆ’ŽƒŽ‚›‰ 2 3 14" xfId="855"/>
    <cellStyle name="ˆ’ŽƒŽ‚›‰ 2 3 15" xfId="856"/>
    <cellStyle name="ˆ’ŽƒŽ‚›‰ 2 3 16" xfId="857"/>
    <cellStyle name="ˆ’ŽƒŽ‚›‰ 2 3 17" xfId="858"/>
    <cellStyle name="ˆ’ŽƒŽ‚›‰ 2 3 18" xfId="859"/>
    <cellStyle name="ˆ’ŽƒŽ‚›‰ 2 3 19" xfId="860"/>
    <cellStyle name="ˆ’ŽƒŽ‚›‰ 2 3 2" xfId="861"/>
    <cellStyle name="ˆ’ŽƒŽ‚›‰ 2 3 2 10" xfId="862"/>
    <cellStyle name="ˆ’ŽƒŽ‚›‰ 2 3 2 11" xfId="863"/>
    <cellStyle name="ˆ’ŽƒŽ‚›‰ 2 3 2 12" xfId="864"/>
    <cellStyle name="ˆ’ŽƒŽ‚›‰ 2 3 2 13" xfId="865"/>
    <cellStyle name="ˆ’ŽƒŽ‚›‰ 2 3 2 14" xfId="866"/>
    <cellStyle name="ˆ’ŽƒŽ‚›‰ 2 3 2 15" xfId="867"/>
    <cellStyle name="ˆ’ŽƒŽ‚›‰ 2 3 2 16" xfId="868"/>
    <cellStyle name="ˆ’ŽƒŽ‚›‰ 2 3 2 17" xfId="869"/>
    <cellStyle name="ˆ’ŽƒŽ‚›‰ 2 3 2 18" xfId="870"/>
    <cellStyle name="ˆ’ŽƒŽ‚›‰ 2 3 2 2" xfId="871"/>
    <cellStyle name="ˆ’ŽƒŽ‚›‰ 2 3 2 2 2" xfId="872"/>
    <cellStyle name="ˆ’ŽƒŽ‚›‰ 2 3 2 2 2 2" xfId="873"/>
    <cellStyle name="ˆ’ŽƒŽ‚›‰ 2 3 2 2 3" xfId="874"/>
    <cellStyle name="ˆ’ŽƒŽ‚›‰ 2 3 2 2 4" xfId="875"/>
    <cellStyle name="ˆ’ŽƒŽ‚›‰ 2 3 2 3" xfId="876"/>
    <cellStyle name="ˆ’ŽƒŽ‚›‰ 2 3 2 3 2" xfId="877"/>
    <cellStyle name="ˆ’ŽƒŽ‚›‰ 2 3 2 3 3" xfId="878"/>
    <cellStyle name="ˆ’ŽƒŽ‚›‰ 2 3 2 4" xfId="879"/>
    <cellStyle name="ˆ’ŽƒŽ‚›‰ 2 3 2 4 2" xfId="880"/>
    <cellStyle name="ˆ’ŽƒŽ‚›‰ 2 3 2 5" xfId="881"/>
    <cellStyle name="ˆ’ŽƒŽ‚›‰ 2 3 2 6" xfId="882"/>
    <cellStyle name="ˆ’ŽƒŽ‚›‰ 2 3 2 7" xfId="883"/>
    <cellStyle name="ˆ’ŽƒŽ‚›‰ 2 3 2 8" xfId="884"/>
    <cellStyle name="ˆ’ŽƒŽ‚›‰ 2 3 2 9" xfId="885"/>
    <cellStyle name="ˆ’ŽƒŽ‚›‰ 2 3 20" xfId="886"/>
    <cellStyle name="ˆ’ŽƒŽ‚›‰ 2 3 3" xfId="887"/>
    <cellStyle name="ˆ’ŽƒŽ‚›‰ 2 3 3 10" xfId="888"/>
    <cellStyle name="ˆ’ŽƒŽ‚›‰ 2 3 3 11" xfId="889"/>
    <cellStyle name="ˆ’ŽƒŽ‚›‰ 2 3 3 12" xfId="890"/>
    <cellStyle name="ˆ’ŽƒŽ‚›‰ 2 3 3 13" xfId="891"/>
    <cellStyle name="ˆ’ŽƒŽ‚›‰ 2 3 3 14" xfId="892"/>
    <cellStyle name="ˆ’ŽƒŽ‚›‰ 2 3 3 15" xfId="893"/>
    <cellStyle name="ˆ’ŽƒŽ‚›‰ 2 3 3 16" xfId="894"/>
    <cellStyle name="ˆ’ŽƒŽ‚›‰ 2 3 3 17" xfId="895"/>
    <cellStyle name="ˆ’ŽƒŽ‚›‰ 2 3 3 18" xfId="896"/>
    <cellStyle name="ˆ’ŽƒŽ‚›‰ 2 3 3 2" xfId="897"/>
    <cellStyle name="ˆ’ŽƒŽ‚›‰ 2 3 3 2 2" xfId="898"/>
    <cellStyle name="ˆ’ŽƒŽ‚›‰ 2 3 3 2 2 2" xfId="899"/>
    <cellStyle name="ˆ’ŽƒŽ‚›‰ 2 3 3 2 3" xfId="900"/>
    <cellStyle name="ˆ’ŽƒŽ‚›‰ 2 3 3 2 4" xfId="901"/>
    <cellStyle name="ˆ’ŽƒŽ‚›‰ 2 3 3 3" xfId="902"/>
    <cellStyle name="ˆ’ŽƒŽ‚›‰ 2 3 3 3 2" xfId="903"/>
    <cellStyle name="ˆ’ŽƒŽ‚›‰ 2 3 3 3 3" xfId="904"/>
    <cellStyle name="ˆ’ŽƒŽ‚›‰ 2 3 3 4" xfId="905"/>
    <cellStyle name="ˆ’ŽƒŽ‚›‰ 2 3 3 4 2" xfId="906"/>
    <cellStyle name="ˆ’ŽƒŽ‚›‰ 2 3 3 5" xfId="907"/>
    <cellStyle name="ˆ’ŽƒŽ‚›‰ 2 3 3 6" xfId="908"/>
    <cellStyle name="ˆ’ŽƒŽ‚›‰ 2 3 3 7" xfId="909"/>
    <cellStyle name="ˆ’ŽƒŽ‚›‰ 2 3 3 8" xfId="910"/>
    <cellStyle name="ˆ’ŽƒŽ‚›‰ 2 3 3 9" xfId="911"/>
    <cellStyle name="ˆ’ŽƒŽ‚›‰ 2 3 4" xfId="912"/>
    <cellStyle name="ˆ’ŽƒŽ‚›‰ 2 3 4 2" xfId="913"/>
    <cellStyle name="ˆ’ŽƒŽ‚›‰ 2 3 4 2 2" xfId="914"/>
    <cellStyle name="ˆ’ŽƒŽ‚›‰ 2 3 4 2 3" xfId="915"/>
    <cellStyle name="ˆ’ŽƒŽ‚›‰ 2 3 4 3" xfId="916"/>
    <cellStyle name="ˆ’ŽƒŽ‚›‰ 2 3 4 3 2" xfId="917"/>
    <cellStyle name="ˆ’ŽƒŽ‚›‰ 2 3 4 4" xfId="918"/>
    <cellStyle name="ˆ’ŽƒŽ‚›‰ 2 3 4 5" xfId="919"/>
    <cellStyle name="ˆ’ŽƒŽ‚›‰ 2 3 5" xfId="920"/>
    <cellStyle name="ˆ’ŽƒŽ‚›‰ 2 3 5 2" xfId="921"/>
    <cellStyle name="ˆ’ŽƒŽ‚›‰ 2 3 5 2 2" xfId="922"/>
    <cellStyle name="ˆ’ŽƒŽ‚›‰ 2 3 5 3" xfId="923"/>
    <cellStyle name="ˆ’ŽƒŽ‚›‰ 2 3 5 4" xfId="924"/>
    <cellStyle name="ˆ’ŽƒŽ‚›‰ 2 3 6" xfId="925"/>
    <cellStyle name="ˆ’ŽƒŽ‚›‰ 2 3 6 2" xfId="926"/>
    <cellStyle name="ˆ’ŽƒŽ‚›‰ 2 3 6 3" xfId="927"/>
    <cellStyle name="ˆ’ŽƒŽ‚›‰ 2 3 7" xfId="928"/>
    <cellStyle name="ˆ’ŽƒŽ‚›‰ 2 3 8" xfId="929"/>
    <cellStyle name="ˆ’ŽƒŽ‚›‰ 2 3 9" xfId="930"/>
    <cellStyle name="ˆ’ŽƒŽ‚›‰ 2 4" xfId="931"/>
    <cellStyle name="ˆ’ŽƒŽ‚›‰ 2 4 10" xfId="932"/>
    <cellStyle name="ˆ’ŽƒŽ‚›‰ 2 4 11" xfId="933"/>
    <cellStyle name="ˆ’ŽƒŽ‚›‰ 2 4 12" xfId="934"/>
    <cellStyle name="ˆ’ŽƒŽ‚›‰ 2 4 13" xfId="935"/>
    <cellStyle name="ˆ’ŽƒŽ‚›‰ 2 4 14" xfId="936"/>
    <cellStyle name="ˆ’ŽƒŽ‚›‰ 2 4 15" xfId="937"/>
    <cellStyle name="ˆ’ŽƒŽ‚›‰ 2 4 16" xfId="938"/>
    <cellStyle name="ˆ’ŽƒŽ‚›‰ 2 4 17" xfId="939"/>
    <cellStyle name="ˆ’ŽƒŽ‚›‰ 2 4 18" xfId="940"/>
    <cellStyle name="ˆ’ŽƒŽ‚›‰ 2 4 19" xfId="941"/>
    <cellStyle name="ˆ’ŽƒŽ‚›‰ 2 4 2" xfId="942"/>
    <cellStyle name="ˆ’ŽƒŽ‚›‰ 2 4 2 10" xfId="943"/>
    <cellStyle name="ˆ’ŽƒŽ‚›‰ 2 4 2 11" xfId="944"/>
    <cellStyle name="ˆ’ŽƒŽ‚›‰ 2 4 2 12" xfId="945"/>
    <cellStyle name="ˆ’ŽƒŽ‚›‰ 2 4 2 13" xfId="946"/>
    <cellStyle name="ˆ’ŽƒŽ‚›‰ 2 4 2 14" xfId="947"/>
    <cellStyle name="ˆ’ŽƒŽ‚›‰ 2 4 2 15" xfId="948"/>
    <cellStyle name="ˆ’ŽƒŽ‚›‰ 2 4 2 16" xfId="949"/>
    <cellStyle name="ˆ’ŽƒŽ‚›‰ 2 4 2 17" xfId="950"/>
    <cellStyle name="ˆ’ŽƒŽ‚›‰ 2 4 2 18" xfId="951"/>
    <cellStyle name="ˆ’ŽƒŽ‚›‰ 2 4 2 2" xfId="952"/>
    <cellStyle name="ˆ’ŽƒŽ‚›‰ 2 4 2 2 2" xfId="953"/>
    <cellStyle name="ˆ’ŽƒŽ‚›‰ 2 4 2 2 2 2" xfId="954"/>
    <cellStyle name="ˆ’ŽƒŽ‚›‰ 2 4 2 2 3" xfId="955"/>
    <cellStyle name="ˆ’ŽƒŽ‚›‰ 2 4 2 2 4" xfId="956"/>
    <cellStyle name="ˆ’ŽƒŽ‚›‰ 2 4 2 3" xfId="957"/>
    <cellStyle name="ˆ’ŽƒŽ‚›‰ 2 4 2 3 2" xfId="958"/>
    <cellStyle name="ˆ’ŽƒŽ‚›‰ 2 4 2 3 3" xfId="959"/>
    <cellStyle name="ˆ’ŽƒŽ‚›‰ 2 4 2 4" xfId="960"/>
    <cellStyle name="ˆ’ŽƒŽ‚›‰ 2 4 2 4 2" xfId="961"/>
    <cellStyle name="ˆ’ŽƒŽ‚›‰ 2 4 2 5" xfId="962"/>
    <cellStyle name="ˆ’ŽƒŽ‚›‰ 2 4 2 6" xfId="963"/>
    <cellStyle name="ˆ’ŽƒŽ‚›‰ 2 4 2 7" xfId="964"/>
    <cellStyle name="ˆ’ŽƒŽ‚›‰ 2 4 2 8" xfId="965"/>
    <cellStyle name="ˆ’ŽƒŽ‚›‰ 2 4 2 9" xfId="966"/>
    <cellStyle name="ˆ’ŽƒŽ‚›‰ 2 4 20" xfId="967"/>
    <cellStyle name="ˆ’ŽƒŽ‚›‰ 2 4 21" xfId="968"/>
    <cellStyle name="ˆ’ŽƒŽ‚›‰ 2 4 3" xfId="969"/>
    <cellStyle name="ˆ’ŽƒŽ‚›‰ 2 4 3 10" xfId="970"/>
    <cellStyle name="ˆ’ŽƒŽ‚›‰ 2 4 3 11" xfId="971"/>
    <cellStyle name="ˆ’ŽƒŽ‚›‰ 2 4 3 12" xfId="972"/>
    <cellStyle name="ˆ’ŽƒŽ‚›‰ 2 4 3 13" xfId="973"/>
    <cellStyle name="ˆ’ŽƒŽ‚›‰ 2 4 3 14" xfId="974"/>
    <cellStyle name="ˆ’ŽƒŽ‚›‰ 2 4 3 15" xfId="975"/>
    <cellStyle name="ˆ’ŽƒŽ‚›‰ 2 4 3 16" xfId="976"/>
    <cellStyle name="ˆ’ŽƒŽ‚›‰ 2 4 3 17" xfId="977"/>
    <cellStyle name="ˆ’ŽƒŽ‚›‰ 2 4 3 18" xfId="978"/>
    <cellStyle name="ˆ’ŽƒŽ‚›‰ 2 4 3 2" xfId="979"/>
    <cellStyle name="ˆ’ŽƒŽ‚›‰ 2 4 3 2 2" xfId="980"/>
    <cellStyle name="ˆ’ŽƒŽ‚›‰ 2 4 3 2 2 2" xfId="981"/>
    <cellStyle name="ˆ’ŽƒŽ‚›‰ 2 4 3 2 3" xfId="982"/>
    <cellStyle name="ˆ’ŽƒŽ‚›‰ 2 4 3 2 4" xfId="983"/>
    <cellStyle name="ˆ’ŽƒŽ‚›‰ 2 4 3 3" xfId="984"/>
    <cellStyle name="ˆ’ŽƒŽ‚›‰ 2 4 3 3 2" xfId="985"/>
    <cellStyle name="ˆ’ŽƒŽ‚›‰ 2 4 3 3 3" xfId="986"/>
    <cellStyle name="ˆ’ŽƒŽ‚›‰ 2 4 3 4" xfId="987"/>
    <cellStyle name="ˆ’ŽƒŽ‚›‰ 2 4 3 4 2" xfId="988"/>
    <cellStyle name="ˆ’ŽƒŽ‚›‰ 2 4 3 5" xfId="989"/>
    <cellStyle name="ˆ’ŽƒŽ‚›‰ 2 4 3 6" xfId="990"/>
    <cellStyle name="ˆ’ŽƒŽ‚›‰ 2 4 3 7" xfId="991"/>
    <cellStyle name="ˆ’ŽƒŽ‚›‰ 2 4 3 8" xfId="992"/>
    <cellStyle name="ˆ’ŽƒŽ‚›‰ 2 4 3 9" xfId="993"/>
    <cellStyle name="ˆ’ŽƒŽ‚›‰ 2 4 4" xfId="994"/>
    <cellStyle name="ˆ’ŽƒŽ‚›‰ 2 4 4 2" xfId="995"/>
    <cellStyle name="ˆ’ŽƒŽ‚›‰ 2 4 4 2 2" xfId="996"/>
    <cellStyle name="ˆ’ŽƒŽ‚›‰ 2 4 4 2 3" xfId="997"/>
    <cellStyle name="ˆ’ŽƒŽ‚›‰ 2 4 4 3" xfId="998"/>
    <cellStyle name="ˆ’ŽƒŽ‚›‰ 2 4 4 3 2" xfId="999"/>
    <cellStyle name="ˆ’ŽƒŽ‚›‰ 2 4 4 4" xfId="1000"/>
    <cellStyle name="ˆ’ŽƒŽ‚›‰ 2 4 4 5" xfId="1001"/>
    <cellStyle name="ˆ’ŽƒŽ‚›‰ 2 4 5" xfId="1002"/>
    <cellStyle name="ˆ’ŽƒŽ‚›‰ 2 4 5 2" xfId="1003"/>
    <cellStyle name="ˆ’ŽƒŽ‚›‰ 2 4 5 2 2" xfId="1004"/>
    <cellStyle name="ˆ’ŽƒŽ‚›‰ 2 4 5 3" xfId="1005"/>
    <cellStyle name="ˆ’ŽƒŽ‚›‰ 2 4 5 4" xfId="1006"/>
    <cellStyle name="ˆ’ŽƒŽ‚›‰ 2 4 6" xfId="1007"/>
    <cellStyle name="ˆ’ŽƒŽ‚›‰ 2 4 6 2" xfId="1008"/>
    <cellStyle name="ˆ’ŽƒŽ‚›‰ 2 4 6 3" xfId="1009"/>
    <cellStyle name="ˆ’ŽƒŽ‚›‰ 2 4 7" xfId="1010"/>
    <cellStyle name="ˆ’ŽƒŽ‚›‰ 2 4 7 2" xfId="1011"/>
    <cellStyle name="ˆ’ŽƒŽ‚›‰ 2 4 8" xfId="1012"/>
    <cellStyle name="ˆ’ŽƒŽ‚›‰ 2 4 9" xfId="1013"/>
    <cellStyle name="ˆ’ŽƒŽ‚›‰ 2 5" xfId="1014"/>
    <cellStyle name="ˆ’ŽƒŽ‚›‰ 2 5 10" xfId="1015"/>
    <cellStyle name="ˆ’ŽƒŽ‚›‰ 2 5 11" xfId="1016"/>
    <cellStyle name="ˆ’ŽƒŽ‚›‰ 2 5 12" xfId="1017"/>
    <cellStyle name="ˆ’ŽƒŽ‚›‰ 2 5 13" xfId="1018"/>
    <cellStyle name="ˆ’ŽƒŽ‚›‰ 2 5 14" xfId="1019"/>
    <cellStyle name="ˆ’ŽƒŽ‚›‰ 2 5 15" xfId="1020"/>
    <cellStyle name="ˆ’ŽƒŽ‚›‰ 2 5 16" xfId="1021"/>
    <cellStyle name="ˆ’ŽƒŽ‚›‰ 2 5 17" xfId="1022"/>
    <cellStyle name="ˆ’ŽƒŽ‚›‰ 2 5 18" xfId="1023"/>
    <cellStyle name="ˆ’ŽƒŽ‚›‰ 2 5 19" xfId="1024"/>
    <cellStyle name="ˆ’ŽƒŽ‚›‰ 2 5 2" xfId="1025"/>
    <cellStyle name="ˆ’ŽƒŽ‚›‰ 2 5 2 10" xfId="1026"/>
    <cellStyle name="ˆ’ŽƒŽ‚›‰ 2 5 2 11" xfId="1027"/>
    <cellStyle name="ˆ’ŽƒŽ‚›‰ 2 5 2 12" xfId="1028"/>
    <cellStyle name="ˆ’ŽƒŽ‚›‰ 2 5 2 13" xfId="1029"/>
    <cellStyle name="ˆ’ŽƒŽ‚›‰ 2 5 2 14" xfId="1030"/>
    <cellStyle name="ˆ’ŽƒŽ‚›‰ 2 5 2 15" xfId="1031"/>
    <cellStyle name="ˆ’ŽƒŽ‚›‰ 2 5 2 16" xfId="1032"/>
    <cellStyle name="ˆ’ŽƒŽ‚›‰ 2 5 2 17" xfId="1033"/>
    <cellStyle name="ˆ’ŽƒŽ‚›‰ 2 5 2 18" xfId="1034"/>
    <cellStyle name="ˆ’ŽƒŽ‚›‰ 2 5 2 2" xfId="1035"/>
    <cellStyle name="ˆ’ŽƒŽ‚›‰ 2 5 2 2 2" xfId="1036"/>
    <cellStyle name="ˆ’ŽƒŽ‚›‰ 2 5 2 2 3" xfId="1037"/>
    <cellStyle name="ˆ’ŽƒŽ‚›‰ 2 5 2 2 4" xfId="1038"/>
    <cellStyle name="ˆ’ŽƒŽ‚›‰ 2 5 2 3" xfId="1039"/>
    <cellStyle name="ˆ’ŽƒŽ‚›‰ 2 5 2 3 2" xfId="1040"/>
    <cellStyle name="ˆ’ŽƒŽ‚›‰ 2 5 2 3 3" xfId="1041"/>
    <cellStyle name="ˆ’ŽƒŽ‚›‰ 2 5 2 4" xfId="1042"/>
    <cellStyle name="ˆ’ŽƒŽ‚›‰ 2 5 2 4 2" xfId="1043"/>
    <cellStyle name="ˆ’ŽƒŽ‚›‰ 2 5 2 5" xfId="1044"/>
    <cellStyle name="ˆ’ŽƒŽ‚›‰ 2 5 2 6" xfId="1045"/>
    <cellStyle name="ˆ’ŽƒŽ‚›‰ 2 5 2 7" xfId="1046"/>
    <cellStyle name="ˆ’ŽƒŽ‚›‰ 2 5 2 8" xfId="1047"/>
    <cellStyle name="ˆ’ŽƒŽ‚›‰ 2 5 2 9" xfId="1048"/>
    <cellStyle name="ˆ’ŽƒŽ‚›‰ 2 5 20" xfId="1049"/>
    <cellStyle name="ˆ’ŽƒŽ‚›‰ 2 5 21" xfId="1050"/>
    <cellStyle name="ˆ’ŽƒŽ‚›‰ 2 5 3" xfId="1051"/>
    <cellStyle name="ˆ’ŽƒŽ‚›‰ 2 5 3 10" xfId="1052"/>
    <cellStyle name="ˆ’ŽƒŽ‚›‰ 2 5 3 11" xfId="1053"/>
    <cellStyle name="ˆ’ŽƒŽ‚›‰ 2 5 3 12" xfId="1054"/>
    <cellStyle name="ˆ’ŽƒŽ‚›‰ 2 5 3 13" xfId="1055"/>
    <cellStyle name="ˆ’ŽƒŽ‚›‰ 2 5 3 14" xfId="1056"/>
    <cellStyle name="ˆ’ŽƒŽ‚›‰ 2 5 3 15" xfId="1057"/>
    <cellStyle name="ˆ’ŽƒŽ‚›‰ 2 5 3 16" xfId="1058"/>
    <cellStyle name="ˆ’ŽƒŽ‚›‰ 2 5 3 17" xfId="1059"/>
    <cellStyle name="ˆ’ŽƒŽ‚›‰ 2 5 3 18" xfId="1060"/>
    <cellStyle name="ˆ’ŽƒŽ‚›‰ 2 5 3 2" xfId="1061"/>
    <cellStyle name="ˆ’ŽƒŽ‚›‰ 2 5 3 2 2" xfId="1062"/>
    <cellStyle name="ˆ’ŽƒŽ‚›‰ 2 5 3 2 2 2" xfId="1063"/>
    <cellStyle name="ˆ’ŽƒŽ‚›‰ 2 5 3 2 3" xfId="1064"/>
    <cellStyle name="ˆ’ŽƒŽ‚›‰ 2 5 3 2 4" xfId="1065"/>
    <cellStyle name="ˆ’ŽƒŽ‚›‰ 2 5 3 3" xfId="1066"/>
    <cellStyle name="ˆ’ŽƒŽ‚›‰ 2 5 3 3 2" xfId="1067"/>
    <cellStyle name="ˆ’ŽƒŽ‚›‰ 2 5 3 3 3" xfId="1068"/>
    <cellStyle name="ˆ’ŽƒŽ‚›‰ 2 5 3 4" xfId="1069"/>
    <cellStyle name="ˆ’ŽƒŽ‚›‰ 2 5 3 4 2" xfId="1070"/>
    <cellStyle name="ˆ’ŽƒŽ‚›‰ 2 5 3 5" xfId="1071"/>
    <cellStyle name="ˆ’ŽƒŽ‚›‰ 2 5 3 6" xfId="1072"/>
    <cellStyle name="ˆ’ŽƒŽ‚›‰ 2 5 3 7" xfId="1073"/>
    <cellStyle name="ˆ’ŽƒŽ‚›‰ 2 5 3 8" xfId="1074"/>
    <cellStyle name="ˆ’ŽƒŽ‚›‰ 2 5 3 9" xfId="1075"/>
    <cellStyle name="ˆ’ŽƒŽ‚›‰ 2 5 4" xfId="1076"/>
    <cellStyle name="ˆ’ŽƒŽ‚›‰ 2 5 4 2" xfId="1077"/>
    <cellStyle name="ˆ’ŽƒŽ‚›‰ 2 5 4 2 2" xfId="1078"/>
    <cellStyle name="ˆ’ŽƒŽ‚›‰ 2 5 4 2 3" xfId="1079"/>
    <cellStyle name="ˆ’ŽƒŽ‚›‰ 2 5 4 3" xfId="1080"/>
    <cellStyle name="ˆ’ŽƒŽ‚›‰ 2 5 4 3 2" xfId="1081"/>
    <cellStyle name="ˆ’ŽƒŽ‚›‰ 2 5 4 4" xfId="1082"/>
    <cellStyle name="ˆ’ŽƒŽ‚›‰ 2 5 4 5" xfId="1083"/>
    <cellStyle name="ˆ’ŽƒŽ‚›‰ 2 5 5" xfId="1084"/>
    <cellStyle name="ˆ’ŽƒŽ‚›‰ 2 5 5 2" xfId="1085"/>
    <cellStyle name="ˆ’ŽƒŽ‚›‰ 2 5 5 2 2" xfId="1086"/>
    <cellStyle name="ˆ’ŽƒŽ‚›‰ 2 5 5 3" xfId="1087"/>
    <cellStyle name="ˆ’ŽƒŽ‚›‰ 2 5 5 4" xfId="1088"/>
    <cellStyle name="ˆ’ŽƒŽ‚›‰ 2 5 6" xfId="1089"/>
    <cellStyle name="ˆ’ŽƒŽ‚›‰ 2 5 6 2" xfId="1090"/>
    <cellStyle name="ˆ’ŽƒŽ‚›‰ 2 5 6 3" xfId="1091"/>
    <cellStyle name="ˆ’ŽƒŽ‚›‰ 2 5 7" xfId="1092"/>
    <cellStyle name="ˆ’ŽƒŽ‚›‰ 2 5 7 2" xfId="1093"/>
    <cellStyle name="ˆ’ŽƒŽ‚›‰ 2 5 8" xfId="1094"/>
    <cellStyle name="ˆ’ŽƒŽ‚›‰ 2 5 9" xfId="1095"/>
    <cellStyle name="ˆ’ŽƒŽ‚›‰ 2 6" xfId="1096"/>
    <cellStyle name="ˆ’ŽƒŽ‚›‰ 2 6 10" xfId="1097"/>
    <cellStyle name="ˆ’ŽƒŽ‚›‰ 2 6 11" xfId="1098"/>
    <cellStyle name="ˆ’ŽƒŽ‚›‰ 2 6 12" xfId="1099"/>
    <cellStyle name="ˆ’ŽƒŽ‚›‰ 2 6 13" xfId="1100"/>
    <cellStyle name="ˆ’ŽƒŽ‚›‰ 2 6 14" xfId="1101"/>
    <cellStyle name="ˆ’ŽƒŽ‚›‰ 2 6 15" xfId="1102"/>
    <cellStyle name="ˆ’ŽƒŽ‚›‰ 2 6 16" xfId="1103"/>
    <cellStyle name="ˆ’ŽƒŽ‚›‰ 2 6 17" xfId="1104"/>
    <cellStyle name="ˆ’ŽƒŽ‚›‰ 2 6 18" xfId="1105"/>
    <cellStyle name="ˆ’ŽƒŽ‚›‰ 2 6 19" xfId="1106"/>
    <cellStyle name="ˆ’ŽƒŽ‚›‰ 2 6 2" xfId="1107"/>
    <cellStyle name="ˆ’ŽƒŽ‚›‰ 2 6 2 10" xfId="1108"/>
    <cellStyle name="ˆ’ŽƒŽ‚›‰ 2 6 2 11" xfId="1109"/>
    <cellStyle name="ˆ’ŽƒŽ‚›‰ 2 6 2 12" xfId="1110"/>
    <cellStyle name="ˆ’ŽƒŽ‚›‰ 2 6 2 13" xfId="1111"/>
    <cellStyle name="ˆ’ŽƒŽ‚›‰ 2 6 2 14" xfId="1112"/>
    <cellStyle name="ˆ’ŽƒŽ‚›‰ 2 6 2 15" xfId="1113"/>
    <cellStyle name="ˆ’ŽƒŽ‚›‰ 2 6 2 16" xfId="1114"/>
    <cellStyle name="ˆ’ŽƒŽ‚›‰ 2 6 2 17" xfId="1115"/>
    <cellStyle name="ˆ’ŽƒŽ‚›‰ 2 6 2 18" xfId="1116"/>
    <cellStyle name="ˆ’ŽƒŽ‚›‰ 2 6 2 2" xfId="1117"/>
    <cellStyle name="ˆ’ŽƒŽ‚›‰ 2 6 2 2 2" xfId="1118"/>
    <cellStyle name="ˆ’ŽƒŽ‚›‰ 2 6 2 2 2 2" xfId="1119"/>
    <cellStyle name="ˆ’ŽƒŽ‚›‰ 2 6 2 2 3" xfId="1120"/>
    <cellStyle name="ˆ’ŽƒŽ‚›‰ 2 6 2 2 4" xfId="1121"/>
    <cellStyle name="ˆ’ŽƒŽ‚›‰ 2 6 2 3" xfId="1122"/>
    <cellStyle name="ˆ’ŽƒŽ‚›‰ 2 6 2 3 2" xfId="1123"/>
    <cellStyle name="ˆ’ŽƒŽ‚›‰ 2 6 2 3 3" xfId="1124"/>
    <cellStyle name="ˆ’ŽƒŽ‚›‰ 2 6 2 4" xfId="1125"/>
    <cellStyle name="ˆ’ŽƒŽ‚›‰ 2 6 2 4 2" xfId="1126"/>
    <cellStyle name="ˆ’ŽƒŽ‚›‰ 2 6 2 5" xfId="1127"/>
    <cellStyle name="ˆ’ŽƒŽ‚›‰ 2 6 2 6" xfId="1128"/>
    <cellStyle name="ˆ’ŽƒŽ‚›‰ 2 6 2 7" xfId="1129"/>
    <cellStyle name="ˆ’ŽƒŽ‚›‰ 2 6 2 8" xfId="1130"/>
    <cellStyle name="ˆ’ŽƒŽ‚›‰ 2 6 2 9" xfId="1131"/>
    <cellStyle name="ˆ’ŽƒŽ‚›‰ 2 6 20" xfId="1132"/>
    <cellStyle name="ˆ’ŽƒŽ‚›‰ 2 6 3" xfId="1133"/>
    <cellStyle name="ˆ’ŽƒŽ‚›‰ 2 6 3 10" xfId="1134"/>
    <cellStyle name="ˆ’ŽƒŽ‚›‰ 2 6 3 11" xfId="1135"/>
    <cellStyle name="ˆ’ŽƒŽ‚›‰ 2 6 3 12" xfId="1136"/>
    <cellStyle name="ˆ’ŽƒŽ‚›‰ 2 6 3 13" xfId="1137"/>
    <cellStyle name="ˆ’ŽƒŽ‚›‰ 2 6 3 14" xfId="1138"/>
    <cellStyle name="ˆ’ŽƒŽ‚›‰ 2 6 3 15" xfId="1139"/>
    <cellStyle name="ˆ’ŽƒŽ‚›‰ 2 6 3 16" xfId="1140"/>
    <cellStyle name="ˆ’ŽƒŽ‚›‰ 2 6 3 17" xfId="1141"/>
    <cellStyle name="ˆ’ŽƒŽ‚›‰ 2 6 3 18" xfId="1142"/>
    <cellStyle name="ˆ’ŽƒŽ‚›‰ 2 6 3 2" xfId="1143"/>
    <cellStyle name="ˆ’ŽƒŽ‚›‰ 2 6 3 2 2 2" xfId="1144"/>
    <cellStyle name="ˆ’ŽƒŽ‚›‰ 2 6 3 2 3" xfId="1145"/>
    <cellStyle name="ˆ’ŽƒŽ‚›‰ 2 6 3 2 4" xfId="1146"/>
    <cellStyle name="ˆ’ŽƒŽ‚›‰ 2 6 3 3" xfId="1147"/>
    <cellStyle name="ˆ’ŽƒŽ‚›‰ 2 6 3 4" xfId="1148"/>
    <cellStyle name="ˆ’ŽƒŽ‚›‰ 2 6 3 5" xfId="1149"/>
    <cellStyle name="ˆ’ŽƒŽ‚›‰ 2 6 3 6" xfId="1150"/>
    <cellStyle name="ˆ’ŽƒŽ‚›‰ 2 6 3 7" xfId="1151"/>
    <cellStyle name="ˆ’ŽƒŽ‚›‰ 2 6 3 8" xfId="1152"/>
    <cellStyle name="ˆ’ŽƒŽ‚›‰ 2 6 3 9" xfId="1153"/>
    <cellStyle name="ˆ’ŽƒŽ‚›‰ 2 6 4" xfId="1154"/>
    <cellStyle name="ˆ’ŽƒŽ‚›‰ 2 6 5" xfId="1155"/>
    <cellStyle name="ˆ’ŽƒŽ‚›‰ 2 6 6" xfId="1156"/>
    <cellStyle name="ˆ’ŽƒŽ‚›‰ 2 6 7" xfId="1157"/>
    <cellStyle name="ˆ’ŽƒŽ‚›‰ 2 6 8" xfId="1158"/>
    <cellStyle name="ˆ’ŽƒŽ‚›‰ 2 6 9" xfId="1159"/>
    <cellStyle name="ˆ’ŽƒŽ‚›‰ 2 7" xfId="1160"/>
    <cellStyle name="ˆ’ŽƒŽ‚›‰ 2 7 10" xfId="1161"/>
    <cellStyle name="ˆ’ŽƒŽ‚›‰ 2 7 11" xfId="1162"/>
    <cellStyle name="ˆ’ŽƒŽ‚›‰ 2 7 12" xfId="1163"/>
    <cellStyle name="ˆ’ŽƒŽ‚›‰ 2 7 13" xfId="1164"/>
    <cellStyle name="ˆ’ŽƒŽ‚›‰ 2 7 14" xfId="1165"/>
    <cellStyle name="ˆ’ŽƒŽ‚›‰ 2 7 15" xfId="1166"/>
    <cellStyle name="ˆ’ŽƒŽ‚›‰ 2 7 16" xfId="1167"/>
    <cellStyle name="ˆ’ŽƒŽ‚›‰ 2 7 17" xfId="1168"/>
    <cellStyle name="ˆ’ŽƒŽ‚›‰ 2 7 18" xfId="1169"/>
    <cellStyle name="ˆ’ŽƒŽ‚›‰ 2 7 2" xfId="1170"/>
    <cellStyle name="ˆ’ŽƒŽ‚›‰ 2 7 3" xfId="1171"/>
    <cellStyle name="ˆ’ŽƒŽ‚›‰ 2 7 4" xfId="1172"/>
    <cellStyle name="ˆ’ŽƒŽ‚›‰ 2 7 5" xfId="1173"/>
    <cellStyle name="ˆ’ŽƒŽ‚›‰ 2 7 6" xfId="1174"/>
    <cellStyle name="ˆ’ŽƒŽ‚›‰ 2 7 7" xfId="1175"/>
    <cellStyle name="ˆ’ŽƒŽ‚›‰ 2 7 8" xfId="1176"/>
    <cellStyle name="ˆ’ŽƒŽ‚›‰ 2 7 9" xfId="1177"/>
    <cellStyle name="ˆ’ŽƒŽ‚›‰ 2 8" xfId="1178"/>
    <cellStyle name="ˆ’ŽƒŽ‚›‰ 2 8 10" xfId="1179"/>
    <cellStyle name="ˆ’ŽƒŽ‚›‰ 2 8 11" xfId="1180"/>
    <cellStyle name="ˆ’ŽƒŽ‚›‰ 2 8 12" xfId="1181"/>
    <cellStyle name="ˆ’ŽƒŽ‚›‰ 2 8 13" xfId="1182"/>
    <cellStyle name="ˆ’ŽƒŽ‚›‰ 2 8 14" xfId="1183"/>
    <cellStyle name="ˆ’ŽƒŽ‚›‰ 2 8 15" xfId="1184"/>
    <cellStyle name="ˆ’ŽƒŽ‚›‰ 2 8 16" xfId="1185"/>
    <cellStyle name="ˆ’ŽƒŽ‚›‰ 2 8 17" xfId="1186"/>
    <cellStyle name="ˆ’ŽƒŽ‚›‰ 2 8 18" xfId="1187"/>
    <cellStyle name="ˆ’ŽƒŽ‚›‰ 2 8 2" xfId="1188"/>
    <cellStyle name="ˆ’ŽƒŽ‚›‰ 2 8 2 2" xfId="1189"/>
    <cellStyle name="ˆ’ŽƒŽ‚›‰ 2 8 3" xfId="1190"/>
    <cellStyle name="ˆ’ŽƒŽ‚›‰ 2 8 4" xfId="1191"/>
    <cellStyle name="ˆ’ŽƒŽ‚›‰ 2 8 5" xfId="1192"/>
    <cellStyle name="ˆ’ŽƒŽ‚›‰ 2 8 6" xfId="1193"/>
    <cellStyle name="ˆ’ŽƒŽ‚›‰ 2 8 7" xfId="1194"/>
    <cellStyle name="ˆ’ŽƒŽ‚›‰ 2 8 8" xfId="1195"/>
    <cellStyle name="ˆ’ŽƒŽ‚›‰ 2 8 9" xfId="1196"/>
    <cellStyle name="ˆ’ŽƒŽ‚›‰ 2 9" xfId="1197"/>
    <cellStyle name="ˆ’ŽƒŽ‚›‰ 20" xfId="1198"/>
    <cellStyle name="ˆ’ŽƒŽ‚›‰ 21" xfId="1199"/>
    <cellStyle name="ˆ’ŽƒŽ‚›‰ 22" xfId="1200"/>
    <cellStyle name="ˆ’ŽƒŽ‚›‰ 23" xfId="1201"/>
    <cellStyle name="ˆ’ŽƒŽ‚›‰ 24" xfId="1202"/>
    <cellStyle name="ˆ’ŽƒŽ‚›‰ 25" xfId="1203"/>
    <cellStyle name="ˆ’ŽƒŽ‚›‰ 26" xfId="1204"/>
    <cellStyle name="ˆ’ŽƒŽ‚›‰ 27" xfId="1205"/>
    <cellStyle name="ˆ’ŽƒŽ‚›‰ 28" xfId="1206"/>
    <cellStyle name="ˆ’ŽƒŽ‚›‰ 29" xfId="1207"/>
    <cellStyle name="ˆ’ŽƒŽ‚›‰ 3" xfId="1208"/>
    <cellStyle name="ˆ’ŽƒŽ‚›‰ 3 10" xfId="1209"/>
    <cellStyle name="ˆ’ŽƒŽ‚›‰ 3 11" xfId="1210"/>
    <cellStyle name="ˆ’ŽƒŽ‚›‰ 3 12" xfId="1211"/>
    <cellStyle name="ˆ’ŽƒŽ‚›‰ 3 13" xfId="1212"/>
    <cellStyle name="ˆ’ŽƒŽ‚›‰ 3 14" xfId="1213"/>
    <cellStyle name="ˆ’ŽƒŽ‚›‰ 3 15" xfId="1214"/>
    <cellStyle name="ˆ’ŽƒŽ‚›‰ 3 16" xfId="1215"/>
    <cellStyle name="ˆ’ŽƒŽ‚›‰ 3 17" xfId="1216"/>
    <cellStyle name="ˆ’ŽƒŽ‚›‰ 3 18" xfId="1217"/>
    <cellStyle name="ˆ’ŽƒŽ‚›‰ 3 19" xfId="1218"/>
    <cellStyle name="ˆ’ŽƒŽ‚›‰ 3 2" xfId="1219"/>
    <cellStyle name="ˆ’ŽƒŽ‚›‰ 3 2 10" xfId="1220"/>
    <cellStyle name="ˆ’ŽƒŽ‚›‰ 3 2 11" xfId="1221"/>
    <cellStyle name="ˆ’ŽƒŽ‚›‰ 3 2 12" xfId="1222"/>
    <cellStyle name="ˆ’ŽƒŽ‚›‰ 3 2 13" xfId="1223"/>
    <cellStyle name="ˆ’ŽƒŽ‚›‰ 3 2 14" xfId="1224"/>
    <cellStyle name="ˆ’ŽƒŽ‚›‰ 3 2 15" xfId="1225"/>
    <cellStyle name="ˆ’ŽƒŽ‚›‰ 3 2 16" xfId="1226"/>
    <cellStyle name="ˆ’ŽƒŽ‚›‰ 3 2 17" xfId="1227"/>
    <cellStyle name="ˆ’ŽƒŽ‚›‰ 3 2 18" xfId="1228"/>
    <cellStyle name="ˆ’ŽƒŽ‚›‰ 3 2 19" xfId="1229"/>
    <cellStyle name="ˆ’ŽƒŽ‚›‰ 3 2 2" xfId="1230"/>
    <cellStyle name="ˆ’ŽƒŽ‚›‰ 3 2 2 10" xfId="1231"/>
    <cellStyle name="ˆ’ŽƒŽ‚›‰ 3 2 2 11" xfId="1232"/>
    <cellStyle name="ˆ’ŽƒŽ‚›‰ 3 2 2 12" xfId="1233"/>
    <cellStyle name="ˆ’ŽƒŽ‚›‰ 3 2 2 13" xfId="1234"/>
    <cellStyle name="ˆ’ŽƒŽ‚›‰ 3 2 2 14" xfId="1235"/>
    <cellStyle name="ˆ’ŽƒŽ‚›‰ 3 2 2 15" xfId="1236"/>
    <cellStyle name="ˆ’ŽƒŽ‚›‰ 3 2 2 16" xfId="1237"/>
    <cellStyle name="ˆ’ŽƒŽ‚›‰ 3 2 2 17" xfId="1238"/>
    <cellStyle name="ˆ’ŽƒŽ‚›‰ 3 2 2 18" xfId="1239"/>
    <cellStyle name="ˆ’ŽƒŽ‚›‰ 3 2 2 2" xfId="1240"/>
    <cellStyle name="ˆ’ŽƒŽ‚›‰ 3 2 2 2 2" xfId="1241"/>
    <cellStyle name="ˆ’ŽƒŽ‚›‰ 3 2 2 2 2 2" xfId="1242"/>
    <cellStyle name="ˆ’ŽƒŽ‚›‰ 3 2 2 2 3" xfId="1243"/>
    <cellStyle name="ˆ’ŽƒŽ‚›‰ 3 2 2 2 4" xfId="1244"/>
    <cellStyle name="ˆ’ŽƒŽ‚›‰ 3 2 2 3" xfId="1245"/>
    <cellStyle name="ˆ’ŽƒŽ‚›‰ 3 2 2 3 2" xfId="1246"/>
    <cellStyle name="ˆ’ŽƒŽ‚›‰ 3 2 2 3 3" xfId="1247"/>
    <cellStyle name="ˆ’ŽƒŽ‚›‰ 3 2 2 4" xfId="1248"/>
    <cellStyle name="ˆ’ŽƒŽ‚›‰ 3 2 2 4 2" xfId="1249"/>
    <cellStyle name="ˆ’ŽƒŽ‚›‰ 3 2 2 5" xfId="1250"/>
    <cellStyle name="ˆ’ŽƒŽ‚›‰ 3 2 2 6" xfId="1251"/>
    <cellStyle name="ˆ’ŽƒŽ‚›‰ 3 2 2 7" xfId="1252"/>
    <cellStyle name="ˆ’ŽƒŽ‚›‰ 3 2 2 8" xfId="1253"/>
    <cellStyle name="ˆ’ŽƒŽ‚›‰ 3 2 2 9" xfId="1254"/>
    <cellStyle name="ˆ’ŽƒŽ‚›‰ 3 2 20" xfId="1255"/>
    <cellStyle name="ˆ’ŽƒŽ‚›‰ 3 2 21" xfId="1256"/>
    <cellStyle name="ˆ’ŽƒŽ‚›‰ 3 2 22" xfId="1257"/>
    <cellStyle name="ˆ’ŽƒŽ‚›‰ 3 2 23" xfId="1258"/>
    <cellStyle name="ˆ’ŽƒŽ‚›‰ 3 2 3" xfId="1259"/>
    <cellStyle name="ˆ’ŽƒŽ‚›‰ 3 2 3 10" xfId="1260"/>
    <cellStyle name="ˆ’ŽƒŽ‚›‰ 3 2 3 11" xfId="1261"/>
    <cellStyle name="ˆ’ŽƒŽ‚›‰ 3 2 3 12" xfId="1262"/>
    <cellStyle name="ˆ’ŽƒŽ‚›‰ 3 2 3 13" xfId="1263"/>
    <cellStyle name="ˆ’ŽƒŽ‚›‰ 3 2 3 14" xfId="1264"/>
    <cellStyle name="ˆ’ŽƒŽ‚›‰ 3 2 3 15" xfId="1265"/>
    <cellStyle name="ˆ’ŽƒŽ‚›‰ 3 2 3 16" xfId="1266"/>
    <cellStyle name="ˆ’ŽƒŽ‚›‰ 3 2 3 17" xfId="1267"/>
    <cellStyle name="ˆ’ŽƒŽ‚›‰ 3 2 3 18" xfId="1268"/>
    <cellStyle name="ˆ’ŽƒŽ‚›‰ 3 2 3 2" xfId="1269"/>
    <cellStyle name="ˆ’ŽƒŽ‚›‰ 3 2 3 2 2" xfId="1270"/>
    <cellStyle name="ˆ’ŽƒŽ‚›‰ 3 2 3 2 2 2" xfId="1271"/>
    <cellStyle name="ˆ’ŽƒŽ‚›‰ 3 2 3 2 3" xfId="1272"/>
    <cellStyle name="ˆ’ŽƒŽ‚›‰ 3 2 3 2 4" xfId="1273"/>
    <cellStyle name="ˆ’ŽƒŽ‚›‰ 3 2 3 3" xfId="1274"/>
    <cellStyle name="ˆ’ŽƒŽ‚›‰ 3 2 3 3 2" xfId="1275"/>
    <cellStyle name="ˆ’ŽƒŽ‚›‰ 3 2 3 3 3" xfId="1276"/>
    <cellStyle name="ˆ’ŽƒŽ‚›‰ 3 2 3 4" xfId="1277"/>
    <cellStyle name="ˆ’ŽƒŽ‚›‰ 3 2 3 4 2" xfId="1278"/>
    <cellStyle name="ˆ’ŽƒŽ‚›‰ 3 2 3 5" xfId="1279"/>
    <cellStyle name="ˆ’ŽƒŽ‚›‰ 3 2 3 6" xfId="1280"/>
    <cellStyle name="ˆ’ŽƒŽ‚›‰ 3 2 3 7" xfId="1281"/>
    <cellStyle name="ˆ’ŽƒŽ‚›‰ 3 2 3 8" xfId="1282"/>
    <cellStyle name="ˆ’ŽƒŽ‚›‰ 3 2 3 9" xfId="1283"/>
    <cellStyle name="ˆ’ŽƒŽ‚›‰ 3 2 4" xfId="1284"/>
    <cellStyle name="ˆ’ŽƒŽ‚›‰ 3 2 4 2" xfId="1285"/>
    <cellStyle name="ˆ’ŽƒŽ‚›‰ 3 2 4 2 2" xfId="1286"/>
    <cellStyle name="ˆ’ŽƒŽ‚›‰ 3 2 4 2 3" xfId="1287"/>
    <cellStyle name="ˆ’ŽƒŽ‚›‰ 3 2 4 3" xfId="1288"/>
    <cellStyle name="ˆ’ŽƒŽ‚›‰ 3 2 4 3 2" xfId="1289"/>
    <cellStyle name="ˆ’ŽƒŽ‚›‰ 3 2 4 4" xfId="1290"/>
    <cellStyle name="ˆ’ŽƒŽ‚›‰ 3 2 4 5" xfId="1291"/>
    <cellStyle name="ˆ’ŽƒŽ‚›‰ 3 2 5" xfId="1292"/>
    <cellStyle name="ˆ’ŽƒŽ‚›‰ 3 2 5 2" xfId="1293"/>
    <cellStyle name="ˆ’ŽƒŽ‚›‰ 3 2 5 2 2" xfId="1294"/>
    <cellStyle name="ˆ’ŽƒŽ‚›‰ 3 2 5 3" xfId="1295"/>
    <cellStyle name="ˆ’ŽƒŽ‚›‰ 3 2 5 4" xfId="1296"/>
    <cellStyle name="ˆ’ŽƒŽ‚›‰ 3 2 6" xfId="1297"/>
    <cellStyle name="ˆ’ŽƒŽ‚›‰ 3 2 6 2" xfId="1298"/>
    <cellStyle name="ˆ’ŽƒŽ‚›‰ 3 2 6 3" xfId="1299"/>
    <cellStyle name="ˆ’ŽƒŽ‚›‰ 3 2 7" xfId="1300"/>
    <cellStyle name="ˆ’ŽƒŽ‚›‰ 3 2 7 2" xfId="1301"/>
    <cellStyle name="ˆ’ŽƒŽ‚›‰ 3 2 8" xfId="1302"/>
    <cellStyle name="ˆ’ŽƒŽ‚›‰ 3 2 9" xfId="1303"/>
    <cellStyle name="ˆ’ŽƒŽ‚›‰ 3 20" xfId="1304"/>
    <cellStyle name="ˆ’ŽƒŽ‚›‰ 3 21" xfId="1305"/>
    <cellStyle name="ˆ’ŽƒŽ‚›‰ 3 22" xfId="1306"/>
    <cellStyle name="ˆ’ŽƒŽ‚›‰ 3 23" xfId="1307"/>
    <cellStyle name="ˆ’ŽƒŽ‚›‰ 3 24" xfId="1308"/>
    <cellStyle name="ˆ’ŽƒŽ‚›‰ 3 25" xfId="1309"/>
    <cellStyle name="ˆ’ŽƒŽ‚›‰ 3 26" xfId="1310"/>
    <cellStyle name="ˆ’ŽƒŽ‚›‰ 3 27" xfId="1311"/>
    <cellStyle name="ˆ’ŽƒŽ‚›‰ 3 28" xfId="1312"/>
    <cellStyle name="ˆ’ŽƒŽ‚›‰ 3 3" xfId="1313"/>
    <cellStyle name="ˆ’ŽƒŽ‚›‰ 3 3 10" xfId="1314"/>
    <cellStyle name="ˆ’ŽƒŽ‚›‰ 3 3 11" xfId="1315"/>
    <cellStyle name="ˆ’ŽƒŽ‚›‰ 3 3 12" xfId="1316"/>
    <cellStyle name="ˆ’ŽƒŽ‚›‰ 3 3 13" xfId="1317"/>
    <cellStyle name="ˆ’ŽƒŽ‚›‰ 3 3 14" xfId="1318"/>
    <cellStyle name="ˆ’ŽƒŽ‚›‰ 3 3 15" xfId="1319"/>
    <cellStyle name="ˆ’ŽƒŽ‚›‰ 3 3 16" xfId="1320"/>
    <cellStyle name="ˆ’ŽƒŽ‚›‰ 3 3 17" xfId="1321"/>
    <cellStyle name="ˆ’ŽƒŽ‚›‰ 3 3 18" xfId="1322"/>
    <cellStyle name="ˆ’ŽƒŽ‚›‰ 3 3 19" xfId="1323"/>
    <cellStyle name="ˆ’ŽƒŽ‚›‰ 3 3 2" xfId="1324"/>
    <cellStyle name="ˆ’ŽƒŽ‚›‰ 3 3 2 10" xfId="1325"/>
    <cellStyle name="ˆ’ŽƒŽ‚›‰ 3 3 2 11" xfId="1326"/>
    <cellStyle name="ˆ’ŽƒŽ‚›‰ 3 3 2 12" xfId="1327"/>
    <cellStyle name="ˆ’ŽƒŽ‚›‰ 3 3 2 13" xfId="1328"/>
    <cellStyle name="ˆ’ŽƒŽ‚›‰ 3 3 2 14" xfId="1329"/>
    <cellStyle name="ˆ’ŽƒŽ‚›‰ 3 3 2 15" xfId="1330"/>
    <cellStyle name="ˆ’ŽƒŽ‚›‰ 3 3 2 16" xfId="1331"/>
    <cellStyle name="ˆ’ŽƒŽ‚›‰ 3 3 2 17" xfId="1332"/>
    <cellStyle name="ˆ’ŽƒŽ‚›‰ 3 3 2 18" xfId="1333"/>
    <cellStyle name="ˆ’ŽƒŽ‚›‰ 3 3 2 2" xfId="1334"/>
    <cellStyle name="ˆ’ŽƒŽ‚›‰ 3 3 2 2 2" xfId="1335"/>
    <cellStyle name="ˆ’ŽƒŽ‚›‰ 3 3 2 2 2 2" xfId="1336"/>
    <cellStyle name="ˆ’ŽƒŽ‚›‰ 3 3 2 2 3" xfId="1337"/>
    <cellStyle name="ˆ’ŽƒŽ‚›‰ 3 3 2 2 4" xfId="1338"/>
    <cellStyle name="ˆ’ŽƒŽ‚›‰ 3 3 2 3" xfId="1339"/>
    <cellStyle name="ˆ’ŽƒŽ‚›‰ 3 3 2 3 2" xfId="1340"/>
    <cellStyle name="ˆ’ŽƒŽ‚›‰ 3 3 2 3 3" xfId="1341"/>
    <cellStyle name="ˆ’ŽƒŽ‚›‰ 3 3 2 4" xfId="1342"/>
    <cellStyle name="ˆ’ŽƒŽ‚›‰ 3 3 2 4 2" xfId="1343"/>
    <cellStyle name="ˆ’ŽƒŽ‚›‰ 3 3 2 5" xfId="1344"/>
    <cellStyle name="ˆ’ŽƒŽ‚›‰ 3 3 2 6" xfId="1345"/>
    <cellStyle name="ˆ’ŽƒŽ‚›‰ 3 3 2 7" xfId="1346"/>
    <cellStyle name="ˆ’ŽƒŽ‚›‰ 3 3 2 8" xfId="1347"/>
    <cellStyle name="ˆ’ŽƒŽ‚›‰ 3 3 2 9" xfId="1348"/>
    <cellStyle name="ˆ’ŽƒŽ‚›‰ 3 3 20" xfId="1349"/>
    <cellStyle name="ˆ’ŽƒŽ‚›‰ 3 3 3" xfId="1350"/>
    <cellStyle name="ˆ’ŽƒŽ‚›‰ 3 3 3 10" xfId="1351"/>
    <cellStyle name="ˆ’ŽƒŽ‚›‰ 3 3 3 11" xfId="1352"/>
    <cellStyle name="ˆ’ŽƒŽ‚›‰ 3 3 3 12" xfId="1353"/>
    <cellStyle name="ˆ’ŽƒŽ‚›‰ 3 3 3 13" xfId="1354"/>
    <cellStyle name="ˆ’ŽƒŽ‚›‰ 3 3 3 14" xfId="1355"/>
    <cellStyle name="ˆ’ŽƒŽ‚›‰ 3 3 3 15" xfId="1356"/>
    <cellStyle name="ˆ’ŽƒŽ‚›‰ 3 3 3 16" xfId="1357"/>
    <cellStyle name="ˆ’ŽƒŽ‚›‰ 3 3 3 17" xfId="1358"/>
    <cellStyle name="ˆ’ŽƒŽ‚›‰ 3 3 3 18" xfId="1359"/>
    <cellStyle name="ˆ’ŽƒŽ‚›‰ 3 3 3 2" xfId="1360"/>
    <cellStyle name="ˆ’ŽƒŽ‚›‰ 3 3 3 2 2" xfId="1361"/>
    <cellStyle name="ˆ’ŽƒŽ‚›‰ 3 3 3 2 2 2" xfId="1362"/>
    <cellStyle name="ˆ’ŽƒŽ‚›‰ 3 3 3 2 3" xfId="1363"/>
    <cellStyle name="ˆ’ŽƒŽ‚›‰ 3 3 3 2 4" xfId="1364"/>
    <cellStyle name="ˆ’ŽƒŽ‚›‰ 3 3 3 3" xfId="1365"/>
    <cellStyle name="ˆ’ŽƒŽ‚›‰ 3 3 3 3 2" xfId="1366"/>
    <cellStyle name="ˆ’ŽƒŽ‚›‰ 3 3 3 3 3" xfId="1367"/>
    <cellStyle name="ˆ’ŽƒŽ‚›‰ 3 3 3 4" xfId="1368"/>
    <cellStyle name="ˆ’ŽƒŽ‚›‰ 3 3 3 4 2" xfId="1369"/>
    <cellStyle name="ˆ’ŽƒŽ‚›‰ 3 3 3 5" xfId="1370"/>
    <cellStyle name="ˆ’ŽƒŽ‚›‰ 3 3 3 6" xfId="1371"/>
    <cellStyle name="ˆ’ŽƒŽ‚›‰ 3 3 3 7" xfId="1372"/>
    <cellStyle name="ˆ’ŽƒŽ‚›‰ 3 3 3 8" xfId="1373"/>
    <cellStyle name="ˆ’ŽƒŽ‚›‰ 3 3 3 9" xfId="1374"/>
    <cellStyle name="ˆ’ŽƒŽ‚›‰ 3 3 4" xfId="1375"/>
    <cellStyle name="ˆ’ŽƒŽ‚›‰ 3 3 4 2" xfId="1376"/>
    <cellStyle name="ˆ’ŽƒŽ‚›‰ 3 3 4 2 2" xfId="1377"/>
    <cellStyle name="ˆ’ŽƒŽ‚›‰ 3 3 4 2 3" xfId="1378"/>
    <cellStyle name="ˆ’ŽƒŽ‚›‰ 3 3 4 3" xfId="1379"/>
    <cellStyle name="ˆ’ŽƒŽ‚›‰ 3 3 4 3 2" xfId="1380"/>
    <cellStyle name="ˆ’ŽƒŽ‚›‰ 3 3 4 4" xfId="1381"/>
    <cellStyle name="ˆ’ŽƒŽ‚›‰ 3 3 4 5" xfId="1382"/>
    <cellStyle name="ˆ’ŽƒŽ‚›‰ 3 3 5" xfId="1383"/>
    <cellStyle name="ˆ’ŽƒŽ‚›‰ 3 3 5 2" xfId="1384"/>
    <cellStyle name="ˆ’ŽƒŽ‚›‰ 3 3 5 2 2" xfId="1385"/>
    <cellStyle name="ˆ’ŽƒŽ‚›‰ 3 3 5 3" xfId="1386"/>
    <cellStyle name="ˆ’ŽƒŽ‚›‰ 3 3 5 4" xfId="1387"/>
    <cellStyle name="ˆ’ŽƒŽ‚›‰ 3 3 6" xfId="1388"/>
    <cellStyle name="ˆ’ŽƒŽ‚›‰ 3 3 6 2" xfId="1389"/>
    <cellStyle name="ˆ’ŽƒŽ‚›‰ 3 3 6 3" xfId="1390"/>
    <cellStyle name="ˆ’ŽƒŽ‚›‰ 3 3 7" xfId="1391"/>
    <cellStyle name="ˆ’ŽƒŽ‚›‰ 3 3 7 2" xfId="1392"/>
    <cellStyle name="ˆ’ŽƒŽ‚›‰ 3 3 8" xfId="1393"/>
    <cellStyle name="ˆ’ŽƒŽ‚›‰ 3 3 9" xfId="1394"/>
    <cellStyle name="ˆ’ŽƒŽ‚›‰ 3 4" xfId="1395"/>
    <cellStyle name="ˆ’ŽƒŽ‚›‰ 3 4 10" xfId="1396"/>
    <cellStyle name="ˆ’ŽƒŽ‚›‰ 3 4 11" xfId="1397"/>
    <cellStyle name="ˆ’ŽƒŽ‚›‰ 3 4 12" xfId="1398"/>
    <cellStyle name="ˆ’ŽƒŽ‚›‰ 3 4 13" xfId="1399"/>
    <cellStyle name="ˆ’ŽƒŽ‚›‰ 3 4 14" xfId="1400"/>
    <cellStyle name="ˆ’ŽƒŽ‚›‰ 3 4 15" xfId="1401"/>
    <cellStyle name="ˆ’ŽƒŽ‚›‰ 3 4 16" xfId="1402"/>
    <cellStyle name="ˆ’ŽƒŽ‚›‰ 3 4 17" xfId="1403"/>
    <cellStyle name="ˆ’ŽƒŽ‚›‰ 3 4 18" xfId="1404"/>
    <cellStyle name="ˆ’ŽƒŽ‚›‰ 3 4 19" xfId="1405"/>
    <cellStyle name="ˆ’ŽƒŽ‚›‰ 3 4 2" xfId="1406"/>
    <cellStyle name="ˆ’ŽƒŽ‚›‰ 3 4 2 10" xfId="1407"/>
    <cellStyle name="ˆ’ŽƒŽ‚›‰ 3 4 2 11" xfId="1408"/>
    <cellStyle name="ˆ’ŽƒŽ‚›‰ 3 4 2 12" xfId="1409"/>
    <cellStyle name="ˆ’ŽƒŽ‚›‰ 3 4 2 13" xfId="1410"/>
    <cellStyle name="ˆ’ŽƒŽ‚›‰ 3 4 2 14" xfId="1411"/>
    <cellStyle name="ˆ’ŽƒŽ‚›‰ 3 4 2 15" xfId="1412"/>
    <cellStyle name="ˆ’ŽƒŽ‚›‰ 3 4 2 16" xfId="1413"/>
    <cellStyle name="ˆ’ŽƒŽ‚›‰ 3 4 2 17" xfId="1414"/>
    <cellStyle name="ˆ’ŽƒŽ‚›‰ 3 4 2 18" xfId="1415"/>
    <cellStyle name="ˆ’ŽƒŽ‚›‰ 3 4 2 2" xfId="1416"/>
    <cellStyle name="ˆ’ŽƒŽ‚›‰ 3 4 2 2 2" xfId="1417"/>
    <cellStyle name="ˆ’ŽƒŽ‚›‰ 3 4 2 2 2 2" xfId="1418"/>
    <cellStyle name="ˆ’ŽƒŽ‚›‰ 3 4 2 2 3" xfId="1419"/>
    <cellStyle name="ˆ’ŽƒŽ‚›‰ 3 4 2 2 4" xfId="1420"/>
    <cellStyle name="ˆ’ŽƒŽ‚›‰ 3 4 2 3" xfId="1421"/>
    <cellStyle name="ˆ’ŽƒŽ‚›‰ 3 4 2 3 2" xfId="1422"/>
    <cellStyle name="ˆ’ŽƒŽ‚›‰ 3 4 2 3 3" xfId="1423"/>
    <cellStyle name="ˆ’ŽƒŽ‚›‰ 3 4 2 4" xfId="1424"/>
    <cellStyle name="ˆ’ŽƒŽ‚›‰ 3 4 2 4 2" xfId="1425"/>
    <cellStyle name="ˆ’ŽƒŽ‚›‰ 3 4 2 5" xfId="1426"/>
    <cellStyle name="ˆ’ŽƒŽ‚›‰ 3 4 2 6" xfId="1427"/>
    <cellStyle name="ˆ’ŽƒŽ‚›‰ 3 4 2 7" xfId="1428"/>
    <cellStyle name="ˆ’ŽƒŽ‚›‰ 3 4 2 8" xfId="1429"/>
    <cellStyle name="ˆ’ŽƒŽ‚›‰ 3 4 2 9" xfId="1430"/>
    <cellStyle name="ˆ’ŽƒŽ‚›‰ 3 4 20" xfId="1431"/>
    <cellStyle name="ˆ’ŽƒŽ‚›‰ 3 4 21" xfId="1432"/>
    <cellStyle name="ˆ’ŽƒŽ‚›‰ 3 4 3" xfId="1433"/>
    <cellStyle name="ˆ’ŽƒŽ‚›‰ 3 4 3 10" xfId="1434"/>
    <cellStyle name="ˆ’ŽƒŽ‚›‰ 3 4 3 11" xfId="1435"/>
    <cellStyle name="ˆ’ŽƒŽ‚›‰ 3 4 3 12" xfId="1436"/>
    <cellStyle name="ˆ’ŽƒŽ‚›‰ 3 4 3 13" xfId="1437"/>
    <cellStyle name="ˆ’ŽƒŽ‚›‰ 3 4 3 14" xfId="1438"/>
    <cellStyle name="ˆ’ŽƒŽ‚›‰ 3 4 3 15" xfId="1439"/>
    <cellStyle name="ˆ’ŽƒŽ‚›‰ 3 4 3 16" xfId="1440"/>
    <cellStyle name="ˆ’ŽƒŽ‚›‰ 3 4 3 17" xfId="1441"/>
    <cellStyle name="ˆ’ŽƒŽ‚›‰ 3 4 3 18" xfId="1442"/>
    <cellStyle name="ˆ’ŽƒŽ‚›‰ 3 4 3 2" xfId="1443"/>
    <cellStyle name="ˆ’ŽƒŽ‚›‰ 3 4 3 2 2" xfId="1444"/>
    <cellStyle name="ˆ’ŽƒŽ‚›‰ 3 4 3 2 2 2" xfId="1445"/>
    <cellStyle name="ˆ’ŽƒŽ‚›‰ 3 4 3 2 3" xfId="1446"/>
    <cellStyle name="ˆ’ŽƒŽ‚›‰ 3 4 3 2 4" xfId="1447"/>
    <cellStyle name="ˆ’ŽƒŽ‚›‰ 3 4 3 3" xfId="1448"/>
    <cellStyle name="ˆ’ŽƒŽ‚›‰ 3 4 3 3 2" xfId="1449"/>
    <cellStyle name="ˆ’ŽƒŽ‚›‰ 3 4 3 3 3" xfId="1450"/>
    <cellStyle name="ˆ’ŽƒŽ‚›‰ 3 4 3 4" xfId="1451"/>
    <cellStyle name="ˆ’ŽƒŽ‚›‰ 3 4 3 4 2" xfId="1452"/>
    <cellStyle name="ˆ’ŽƒŽ‚›‰ 3 4 3 5" xfId="1453"/>
    <cellStyle name="ˆ’ŽƒŽ‚›‰ 3 4 3 6" xfId="1454"/>
    <cellStyle name="ˆ’ŽƒŽ‚›‰ 3 4 3 7" xfId="1455"/>
    <cellStyle name="ˆ’ŽƒŽ‚›‰ 3 4 3 8" xfId="1456"/>
    <cellStyle name="ˆ’ŽƒŽ‚›‰ 3 4 3 9" xfId="1457"/>
    <cellStyle name="ˆ’ŽƒŽ‚›‰ 3 4 4" xfId="1458"/>
    <cellStyle name="ˆ’ŽƒŽ‚›‰ 3 4 4 2" xfId="1459"/>
    <cellStyle name="ˆ’ŽƒŽ‚›‰ 3 4 4 2 2" xfId="1460"/>
    <cellStyle name="ˆ’ŽƒŽ‚›‰ 3 4 4 2 3" xfId="1461"/>
    <cellStyle name="ˆ’ŽƒŽ‚›‰ 3 4 4 3" xfId="1462"/>
    <cellStyle name="ˆ’ŽƒŽ‚›‰ 3 4 4 3 2" xfId="1463"/>
    <cellStyle name="ˆ’ŽƒŽ‚›‰ 3 4 4 4" xfId="1464"/>
    <cellStyle name="ˆ’ŽƒŽ‚›‰ 3 4 4 5" xfId="1465"/>
    <cellStyle name="ˆ’ŽƒŽ‚›‰ 3 4 5" xfId="1466"/>
    <cellStyle name="ˆ’ŽƒŽ‚›‰ 3 4 5 2" xfId="1467"/>
    <cellStyle name="ˆ’ŽƒŽ‚›‰ 3 4 5 2 2" xfId="1468"/>
    <cellStyle name="ˆ’ŽƒŽ‚›‰ 3 4 5 3" xfId="1469"/>
    <cellStyle name="ˆ’ŽƒŽ‚›‰ 3 4 5 4" xfId="1470"/>
    <cellStyle name="ˆ’ŽƒŽ‚›‰ 3 4 6" xfId="1471"/>
    <cellStyle name="ˆ’ŽƒŽ‚›‰ 3 4 6 2" xfId="1472"/>
    <cellStyle name="ˆ’ŽƒŽ‚›‰ 3 4 6 3" xfId="1473"/>
    <cellStyle name="ˆ’ŽƒŽ‚›‰ 3 4 7" xfId="1474"/>
    <cellStyle name="ˆ’ŽƒŽ‚›‰ 3 4 7 2" xfId="1475"/>
    <cellStyle name="ˆ’ŽƒŽ‚›‰ 3 4 8" xfId="1476"/>
    <cellStyle name="ˆ’ŽƒŽ‚›‰ 3 4 9" xfId="1477"/>
    <cellStyle name="ˆ’ŽƒŽ‚›‰ 3 5" xfId="1478"/>
    <cellStyle name="ˆ’ŽƒŽ‚›‰ 3 5 10" xfId="1479"/>
    <cellStyle name="ˆ’ŽƒŽ‚›‰ 3 5 11" xfId="1480"/>
    <cellStyle name="ˆ’ŽƒŽ‚›‰ 3 5 12" xfId="1481"/>
    <cellStyle name="ˆ’ŽƒŽ‚›‰ 3 5 13" xfId="1482"/>
    <cellStyle name="ˆ’ŽƒŽ‚›‰ 3 5 14" xfId="1483"/>
    <cellStyle name="ˆ’ŽƒŽ‚›‰ 3 5 15" xfId="1484"/>
    <cellStyle name="ˆ’ŽƒŽ‚›‰ 3 5 16" xfId="1485"/>
    <cellStyle name="ˆ’ŽƒŽ‚›‰ 3 5 17" xfId="1486"/>
    <cellStyle name="ˆ’ŽƒŽ‚›‰ 3 5 18" xfId="1487"/>
    <cellStyle name="ˆ’ŽƒŽ‚›‰ 3 5 19" xfId="1488"/>
    <cellStyle name="ˆ’ŽƒŽ‚›‰ 3 5 2" xfId="1489"/>
    <cellStyle name="ˆ’ŽƒŽ‚›‰ 3 5 2 10" xfId="1490"/>
    <cellStyle name="ˆ’ŽƒŽ‚›‰ 3 5 2 11" xfId="1491"/>
    <cellStyle name="ˆ’ŽƒŽ‚›‰ 3 5 2 12" xfId="1492"/>
    <cellStyle name="ˆ’ŽƒŽ‚›‰ 3 5 2 13" xfId="1493"/>
    <cellStyle name="ˆ’ŽƒŽ‚›‰ 3 5 2 14" xfId="1494"/>
    <cellStyle name="ˆ’ŽƒŽ‚›‰ 3 5 2 15" xfId="1495"/>
    <cellStyle name="ˆ’ŽƒŽ‚›‰ 3 5 2 16" xfId="1496"/>
    <cellStyle name="ˆ’ŽƒŽ‚›‰ 3 5 2 17" xfId="1497"/>
    <cellStyle name="ˆ’ŽƒŽ‚›‰ 3 5 2 18" xfId="1498"/>
    <cellStyle name="ˆ’ŽƒŽ‚›‰ 3 5 2 2" xfId="1499"/>
    <cellStyle name="ˆ’ŽƒŽ‚›‰ 3 5 2 2 2" xfId="1500"/>
    <cellStyle name="ˆ’ŽƒŽ‚›‰ 3 5 2 2 2 2" xfId="1501"/>
    <cellStyle name="ˆ’ŽƒŽ‚›‰ 3 5 2 2 3" xfId="1502"/>
    <cellStyle name="ˆ’ŽƒŽ‚›‰ 3 5 2 2 4" xfId="1503"/>
    <cellStyle name="ˆ’ŽƒŽ‚›‰ 3 5 2 3" xfId="1504"/>
    <cellStyle name="ˆ’ŽƒŽ‚›‰ 3 5 2 3 2" xfId="1505"/>
    <cellStyle name="ˆ’ŽƒŽ‚›‰ 3 5 2 3 3" xfId="1506"/>
    <cellStyle name="ˆ’ŽƒŽ‚›‰ 3 5 2 4" xfId="1507"/>
    <cellStyle name="ˆ’ŽƒŽ‚›‰ 3 5 2 4 2" xfId="1508"/>
    <cellStyle name="ˆ’ŽƒŽ‚›‰ 3 5 2 5" xfId="1509"/>
    <cellStyle name="ˆ’ŽƒŽ‚›‰ 3 5 2 6" xfId="1510"/>
    <cellStyle name="ˆ’ŽƒŽ‚›‰ 3 5 2 7" xfId="1511"/>
    <cellStyle name="ˆ’ŽƒŽ‚›‰ 3 5 2 8" xfId="1512"/>
    <cellStyle name="ˆ’ŽƒŽ‚›‰ 3 5 2 9" xfId="1513"/>
    <cellStyle name="ˆ’ŽƒŽ‚›‰ 3 5 20" xfId="1514"/>
    <cellStyle name="ˆ’ŽƒŽ‚›‰ 3 5 21" xfId="1515"/>
    <cellStyle name="ˆ’ŽƒŽ‚›‰ 3 5 3" xfId="1516"/>
    <cellStyle name="ˆ’ŽƒŽ‚›‰ 3 5 3 10" xfId="1517"/>
    <cellStyle name="ˆ’ŽƒŽ‚›‰ 3 5 3 11" xfId="1518"/>
    <cellStyle name="ˆ’ŽƒŽ‚›‰ 3 5 3 12" xfId="1519"/>
    <cellStyle name="ˆ’ŽƒŽ‚›‰ 3 5 3 13" xfId="1520"/>
    <cellStyle name="ˆ’ŽƒŽ‚›‰ 3 5 3 14" xfId="1521"/>
    <cellStyle name="ˆ’ŽƒŽ‚›‰ 3 5 3 15" xfId="1522"/>
    <cellStyle name="ˆ’ŽƒŽ‚›‰ 3 5 3 16" xfId="1523"/>
    <cellStyle name="ˆ’ŽƒŽ‚›‰ 3 5 3 17" xfId="1524"/>
    <cellStyle name="ˆ’ŽƒŽ‚›‰ 3 5 3 18" xfId="1525"/>
    <cellStyle name="ˆ’ŽƒŽ‚›‰ 3 5 3 2" xfId="1526"/>
    <cellStyle name="ˆ’ŽƒŽ‚›‰ 3 5 3 2 2" xfId="1527"/>
    <cellStyle name="ˆ’ŽƒŽ‚›‰ 3 5 3 2 2 2" xfId="1528"/>
    <cellStyle name="ˆ’ŽƒŽ‚›‰ 3 5 3 2 3" xfId="1529"/>
    <cellStyle name="ˆ’ŽƒŽ‚›‰ 3 5 3 2 4" xfId="1530"/>
    <cellStyle name="ˆ’ŽƒŽ‚›‰ 3 5 3 3" xfId="1531"/>
    <cellStyle name="ˆ’ŽƒŽ‚›‰ 3 5 3 3 2" xfId="1532"/>
    <cellStyle name="ˆ’ŽƒŽ‚›‰ 3 5 3 3 3" xfId="1533"/>
    <cellStyle name="ˆ’ŽƒŽ‚›‰ 3 5 3 4" xfId="1534"/>
    <cellStyle name="ˆ’ŽƒŽ‚›‰ 3 5 3 4 2" xfId="1535"/>
    <cellStyle name="ˆ’ŽƒŽ‚›‰ 3 5 3 5" xfId="1536"/>
    <cellStyle name="ˆ’ŽƒŽ‚›‰ 3 5 3 6" xfId="1537"/>
    <cellStyle name="ˆ’ŽƒŽ‚›‰ 3 5 3 7" xfId="1538"/>
    <cellStyle name="ˆ’ŽƒŽ‚›‰ 3 5 3 8" xfId="1539"/>
    <cellStyle name="ˆ’ŽƒŽ‚›‰ 3 5 3 9" xfId="1540"/>
    <cellStyle name="ˆ’ŽƒŽ‚›‰ 3 5 4" xfId="1541"/>
    <cellStyle name="ˆ’ŽƒŽ‚›‰ 3 5 4 2" xfId="1542"/>
    <cellStyle name="ˆ’ŽƒŽ‚›‰ 3 5 4 2 2" xfId="1543"/>
    <cellStyle name="ˆ’ŽƒŽ‚›‰ 3 5 4 2 3" xfId="1544"/>
    <cellStyle name="ˆ’ŽƒŽ‚›‰ 3 5 4 3" xfId="1545"/>
    <cellStyle name="ˆ’ŽƒŽ‚›‰ 3 5 4 3 2" xfId="1546"/>
    <cellStyle name="ˆ’ŽƒŽ‚›‰ 3 5 4 4" xfId="1547"/>
    <cellStyle name="ˆ’ŽƒŽ‚›‰ 3 5 4 5" xfId="1548"/>
    <cellStyle name="ˆ’ŽƒŽ‚›‰ 3 5 5" xfId="1549"/>
    <cellStyle name="ˆ’ŽƒŽ‚›‰ 3 5 5 2" xfId="1550"/>
    <cellStyle name="ˆ’ŽƒŽ‚›‰ 3 5 5 2 2" xfId="1551"/>
    <cellStyle name="ˆ’ŽƒŽ‚›‰ 3 5 5 3" xfId="1552"/>
    <cellStyle name="ˆ’ŽƒŽ‚›‰ 3 5 5 4" xfId="1553"/>
    <cellStyle name="ˆ’ŽƒŽ‚›‰ 3 5 6" xfId="1554"/>
    <cellStyle name="ˆ’ŽƒŽ‚›‰ 3 5 6 2" xfId="1555"/>
    <cellStyle name="ˆ’ŽƒŽ‚›‰ 3 5 6 3" xfId="1556"/>
    <cellStyle name="ˆ’ŽƒŽ‚›‰ 3 5 7" xfId="1557"/>
    <cellStyle name="ˆ’ŽƒŽ‚›‰ 3 5 7 2" xfId="1558"/>
    <cellStyle name="ˆ’ŽƒŽ‚›‰ 3 5 8" xfId="1559"/>
    <cellStyle name="ˆ’ŽƒŽ‚›‰ 3 5 9" xfId="1560"/>
    <cellStyle name="ˆ’ŽƒŽ‚›‰ 3 6" xfId="1561"/>
    <cellStyle name="ˆ’ŽƒŽ‚›‰ 3 6 10" xfId="1562"/>
    <cellStyle name="ˆ’ŽƒŽ‚›‰ 3 6 11" xfId="1563"/>
    <cellStyle name="ˆ’ŽƒŽ‚›‰ 3 6 12" xfId="1564"/>
    <cellStyle name="ˆ’ŽƒŽ‚›‰ 3 6 13" xfId="1565"/>
    <cellStyle name="ˆ’ŽƒŽ‚›‰ 3 6 14" xfId="1566"/>
    <cellStyle name="ˆ’ŽƒŽ‚›‰ 3 6 15" xfId="1567"/>
    <cellStyle name="ˆ’ŽƒŽ‚›‰ 3 6 16" xfId="1568"/>
    <cellStyle name="ˆ’ŽƒŽ‚›‰ 3 6 17" xfId="1569"/>
    <cellStyle name="ˆ’ŽƒŽ‚›‰ 3 6 18" xfId="1570"/>
    <cellStyle name="ˆ’ŽƒŽ‚›‰ 3 6 19" xfId="1571"/>
    <cellStyle name="ˆ’ŽƒŽ‚›‰ 3 6 2" xfId="1572"/>
    <cellStyle name="ˆ’ŽƒŽ‚›‰ 3 6 2 10" xfId="1573"/>
    <cellStyle name="ˆ’ŽƒŽ‚›‰ 3 6 2 11" xfId="1574"/>
    <cellStyle name="ˆ’ŽƒŽ‚›‰ 3 6 2 12" xfId="1575"/>
    <cellStyle name="ˆ’ŽƒŽ‚›‰ 3 6 2 13" xfId="1576"/>
    <cellStyle name="ˆ’ŽƒŽ‚›‰ 3 6 2 14" xfId="1577"/>
    <cellStyle name="ˆ’ŽƒŽ‚›‰ 3 6 2 15" xfId="1578"/>
    <cellStyle name="ˆ’ŽƒŽ‚›‰ 3 6 2 16" xfId="1579"/>
    <cellStyle name="ˆ’ŽƒŽ‚›‰ 3 6 2 17" xfId="1580"/>
    <cellStyle name="ˆ’ŽƒŽ‚›‰ 3 6 2 18" xfId="1581"/>
    <cellStyle name="ˆ’ŽƒŽ‚›‰ 3 6 2 2" xfId="1582"/>
    <cellStyle name="ˆ’ŽƒŽ‚›‰ 3 6 2 2 2" xfId="1583"/>
    <cellStyle name="ˆ’ŽƒŽ‚›‰ 3 6 2 2 2 2" xfId="1584"/>
    <cellStyle name="ˆ’ŽƒŽ‚›‰ 3 6 2 2 3" xfId="1585"/>
    <cellStyle name="ˆ’ŽƒŽ‚›‰ 3 6 2 2 4" xfId="1586"/>
    <cellStyle name="ˆ’ŽƒŽ‚›‰ 3 6 2 3" xfId="1587"/>
    <cellStyle name="ˆ’ŽƒŽ‚›‰ 3 6 2 3 2" xfId="1588"/>
    <cellStyle name="ˆ’ŽƒŽ‚›‰ 3 6 2 3 3" xfId="1589"/>
    <cellStyle name="ˆ’ŽƒŽ‚›‰ 3 6 2 4" xfId="1590"/>
    <cellStyle name="ˆ’ŽƒŽ‚›‰ 3 6 2 4 2" xfId="1591"/>
    <cellStyle name="ˆ’ŽƒŽ‚›‰ 3 6 2 5" xfId="1592"/>
    <cellStyle name="ˆ’ŽƒŽ‚›‰ 3 6 2 6" xfId="1593"/>
    <cellStyle name="ˆ’ŽƒŽ‚›‰ 3 6 2 7" xfId="1594"/>
    <cellStyle name="ˆ’ŽƒŽ‚›‰ 3 6 2 8" xfId="1595"/>
    <cellStyle name="ˆ’ŽƒŽ‚›‰ 3 6 2 9" xfId="1596"/>
    <cellStyle name="ˆ’ŽƒŽ‚›‰ 3 6 20" xfId="1597"/>
    <cellStyle name="ˆ’ŽƒŽ‚›‰ 3 6 3" xfId="1598"/>
    <cellStyle name="ˆ’ŽƒŽ‚›‰ 3 6 3 10" xfId="1599"/>
    <cellStyle name="ˆ’ŽƒŽ‚›‰ 3 6 3 11" xfId="1600"/>
    <cellStyle name="ˆ’ŽƒŽ‚›‰ 3 6 3 12" xfId="1601"/>
    <cellStyle name="ˆ’ŽƒŽ‚›‰ 3 6 3 13" xfId="1602"/>
    <cellStyle name="ˆ’ŽƒŽ‚›‰ 3 6 3 14" xfId="1603"/>
    <cellStyle name="ˆ’ŽƒŽ‚›‰ 3 6 3 15" xfId="1604"/>
    <cellStyle name="ˆ’ŽƒŽ‚›‰ 3 6 3 16" xfId="1605"/>
    <cellStyle name="ˆ’ŽƒŽ‚›‰ 3 6 3 17" xfId="1606"/>
    <cellStyle name="ˆ’ŽƒŽ‚›‰ 3 6 3 18" xfId="1607"/>
    <cellStyle name="ˆ’ŽƒŽ‚›‰ 3 6 3 2" xfId="1608"/>
    <cellStyle name="ˆ’ŽƒŽ‚›‰ 3 6 3 2 2" xfId="1609"/>
    <cellStyle name="ˆ’ŽƒŽ‚›‰ 3 6 3 2 2 2" xfId="1610"/>
    <cellStyle name="ˆ’ŽƒŽ‚›‰ 3 6 3 2 3" xfId="1611"/>
    <cellStyle name="ˆ’ŽƒŽ‚›‰ 3 6 3 2 4" xfId="1612"/>
    <cellStyle name="ˆ’ŽƒŽ‚›‰ 3 6 3 3" xfId="1613"/>
    <cellStyle name="ˆ’ŽƒŽ‚›‰ 3 6 3 3 2" xfId="1614"/>
    <cellStyle name="ˆ’ŽƒŽ‚›‰ 3 6 3 3 3" xfId="1615"/>
    <cellStyle name="ˆ’ŽƒŽ‚›‰ 3 6 3 4" xfId="1616"/>
    <cellStyle name="ˆ’ŽƒŽ‚›‰ 3 6 3 4 2" xfId="1617"/>
    <cellStyle name="ˆ’ŽƒŽ‚›‰ 3 6 3 5" xfId="1618"/>
    <cellStyle name="ˆ’ŽƒŽ‚›‰ 3 6 3 6" xfId="1619"/>
    <cellStyle name="ˆ’ŽƒŽ‚›‰ 3 6 3 7" xfId="1620"/>
    <cellStyle name="ˆ’ŽƒŽ‚›‰ 3 6 3 8" xfId="1621"/>
    <cellStyle name="ˆ’ŽƒŽ‚›‰ 3 6 3 9" xfId="1622"/>
    <cellStyle name="ˆ’ŽƒŽ‚›‰ 3 6 4" xfId="1623"/>
    <cellStyle name="ˆ’ŽƒŽ‚›‰ 3 6 4 2" xfId="1624"/>
    <cellStyle name="ˆ’ŽƒŽ‚›‰ 3 6 4 2 2" xfId="1625"/>
    <cellStyle name="ˆ’ŽƒŽ‚›‰ 3 6 4 3" xfId="1626"/>
    <cellStyle name="ˆ’ŽƒŽ‚›‰ 3 6 4 4" xfId="1627"/>
    <cellStyle name="ˆ’ŽƒŽ‚›‰ 3 6 5" xfId="1628"/>
    <cellStyle name="ˆ’ŽƒŽ‚›‰ 3 6 5 2" xfId="1629"/>
    <cellStyle name="ˆ’ŽƒŽ‚›‰ 3 6 6" xfId="1630"/>
    <cellStyle name="ˆ’ŽƒŽ‚›‰ 3 6 7" xfId="1631"/>
    <cellStyle name="ˆ’ŽƒŽ‚›‰ 3 6 8" xfId="1632"/>
    <cellStyle name="ˆ’ŽƒŽ‚›‰ 3 6 9" xfId="1633"/>
    <cellStyle name="ˆ’ŽƒŽ‚›‰ 3 7" xfId="1634"/>
    <cellStyle name="ˆ’ŽƒŽ‚›‰ 3 7 10" xfId="1635"/>
    <cellStyle name="ˆ’ŽƒŽ‚›‰ 3 7 11" xfId="1636"/>
    <cellStyle name="ˆ’ŽƒŽ‚›‰ 3 7 12" xfId="1637"/>
    <cellStyle name="ˆ’ŽƒŽ‚›‰ 3 7 13" xfId="1638"/>
    <cellStyle name="ˆ’ŽƒŽ‚›‰ 3 7 14" xfId="1639"/>
    <cellStyle name="ˆ’ŽƒŽ‚›‰ 3 7 15" xfId="1640"/>
    <cellStyle name="ˆ’ŽƒŽ‚›‰ 3 7 16" xfId="1641"/>
    <cellStyle name="ˆ’ŽƒŽ‚›‰ 3 7 17" xfId="1642"/>
    <cellStyle name="ˆ’ŽƒŽ‚›‰ 3 7 18" xfId="1643"/>
    <cellStyle name="ˆ’ŽƒŽ‚›‰ 3 7 2" xfId="1644"/>
    <cellStyle name="ˆ’ŽƒŽ‚›‰ 3 7 2 2" xfId="1645"/>
    <cellStyle name="ˆ’ŽƒŽ‚›‰ 3 7 2 2 2" xfId="1646"/>
    <cellStyle name="ˆ’ŽƒŽ‚›‰ 3 7 2 3" xfId="1647"/>
    <cellStyle name="ˆ’ŽƒŽ‚›‰ 3 7 2 4" xfId="1648"/>
    <cellStyle name="ˆ’ŽƒŽ‚›‰ 3 7 3" xfId="1649"/>
    <cellStyle name="ˆ’ŽƒŽ‚›‰ 3 7 3 2" xfId="1650"/>
    <cellStyle name="ˆ’ŽƒŽ‚›‰ 3 7 3 3" xfId="1651"/>
    <cellStyle name="ˆ’ŽƒŽ‚›‰ 3 7 4" xfId="1652"/>
    <cellStyle name="ˆ’ŽƒŽ‚›‰ 3 7 4 2" xfId="1653"/>
    <cellStyle name="ˆ’ŽƒŽ‚›‰ 3 7 5" xfId="1654"/>
    <cellStyle name="ˆ’ŽƒŽ‚›‰ 3 7 6" xfId="1655"/>
    <cellStyle name="ˆ’ŽƒŽ‚›‰ 3 7 7" xfId="1656"/>
    <cellStyle name="ˆ’ŽƒŽ‚›‰ 3 7 8" xfId="1657"/>
    <cellStyle name="ˆ’ŽƒŽ‚›‰ 3 7 9" xfId="1658"/>
    <cellStyle name="ˆ’ŽƒŽ‚›‰ 3 8" xfId="1659"/>
    <cellStyle name="ˆ’ŽƒŽ‚›‰ 3 8 10" xfId="1660"/>
    <cellStyle name="ˆ’ŽƒŽ‚›‰ 3 8 11" xfId="1661"/>
    <cellStyle name="ˆ’ŽƒŽ‚›‰ 3 8 12" xfId="1662"/>
    <cellStyle name="ˆ’ŽƒŽ‚›‰ 3 8 13" xfId="1663"/>
    <cellStyle name="ˆ’ŽƒŽ‚›‰ 3 8 14" xfId="1664"/>
    <cellStyle name="ˆ’ŽƒŽ‚›‰ 3 8 15" xfId="1665"/>
    <cellStyle name="ˆ’ŽƒŽ‚›‰ 3 8 16" xfId="1666"/>
    <cellStyle name="ˆ’ŽƒŽ‚›‰ 3 8 17" xfId="1667"/>
    <cellStyle name="ˆ’ŽƒŽ‚›‰ 3 8 18" xfId="1668"/>
    <cellStyle name="ˆ’ŽƒŽ‚›‰ 3 8 2" xfId="1669"/>
    <cellStyle name="ˆ’ŽƒŽ‚›‰ 3 8 2 2" xfId="1670"/>
    <cellStyle name="ˆ’ŽƒŽ‚›‰ 3 8 3" xfId="1671"/>
    <cellStyle name="ˆ’ŽƒŽ‚›‰ 3 8 4" xfId="1672"/>
    <cellStyle name="ˆ’ŽƒŽ‚›‰ 3 8 5" xfId="1673"/>
    <cellStyle name="ˆ’ŽƒŽ‚›‰ 3 8 6" xfId="1674"/>
    <cellStyle name="ˆ’ŽƒŽ‚›‰ 3 8 7" xfId="1675"/>
    <cellStyle name="ˆ’ŽƒŽ‚›‰ 3 8 8" xfId="1676"/>
    <cellStyle name="ˆ’ŽƒŽ‚›‰ 3 8 9" xfId="1677"/>
    <cellStyle name="ˆ’ŽƒŽ‚›‰ 3 9" xfId="1678"/>
    <cellStyle name="ˆ’ŽƒŽ‚›‰ 30" xfId="1679"/>
    <cellStyle name="ˆ’ŽƒŽ‚›‰ 31" xfId="1680"/>
    <cellStyle name="ˆ’ŽƒŽ‚›‰ 32" xfId="1681"/>
    <cellStyle name="ˆ’ŽƒŽ‚›‰ 4" xfId="1682"/>
    <cellStyle name="ˆ’ŽƒŽ‚›‰ 4 10" xfId="1683"/>
    <cellStyle name="ˆ’ŽƒŽ‚›‰ 4 11" xfId="1684"/>
    <cellStyle name="ˆ’ŽƒŽ‚›‰ 4 12" xfId="1685"/>
    <cellStyle name="ˆ’ŽƒŽ‚›‰ 4 13" xfId="1686"/>
    <cellStyle name="ˆ’ŽƒŽ‚›‰ 4 14" xfId="1687"/>
    <cellStyle name="ˆ’ŽƒŽ‚›‰ 4 15" xfId="1688"/>
    <cellStyle name="ˆ’ŽƒŽ‚›‰ 4 16" xfId="1689"/>
    <cellStyle name="ˆ’ŽƒŽ‚›‰ 4 17" xfId="1690"/>
    <cellStyle name="ˆ’ŽƒŽ‚›‰ 4 18" xfId="1691"/>
    <cellStyle name="ˆ’ŽƒŽ‚›‰ 4 19" xfId="1692"/>
    <cellStyle name="ˆ’ŽƒŽ‚›‰ 4 2" xfId="1693"/>
    <cellStyle name="ˆ’ŽƒŽ‚›‰ 4 2 10" xfId="1694"/>
    <cellStyle name="ˆ’ŽƒŽ‚›‰ 4 2 11" xfId="1695"/>
    <cellStyle name="ˆ’ŽƒŽ‚›‰ 4 2 12" xfId="1696"/>
    <cellStyle name="ˆ’ŽƒŽ‚›‰ 4 2 13" xfId="1697"/>
    <cellStyle name="ˆ’ŽƒŽ‚›‰ 4 2 14" xfId="1698"/>
    <cellStyle name="ˆ’ŽƒŽ‚›‰ 4 2 15" xfId="1699"/>
    <cellStyle name="ˆ’ŽƒŽ‚›‰ 4 2 16" xfId="1700"/>
    <cellStyle name="ˆ’ŽƒŽ‚›‰ 4 2 17" xfId="1701"/>
    <cellStyle name="ˆ’ŽƒŽ‚›‰ 4 2 18" xfId="1702"/>
    <cellStyle name="ˆ’ŽƒŽ‚›‰ 4 2 19" xfId="1703"/>
    <cellStyle name="ˆ’ŽƒŽ‚›‰ 4 2 2" xfId="1704"/>
    <cellStyle name="ˆ’ŽƒŽ‚›‰ 4 2 2 10" xfId="1705"/>
    <cellStyle name="ˆ’ŽƒŽ‚›‰ 4 2 2 11" xfId="1706"/>
    <cellStyle name="ˆ’ŽƒŽ‚›‰ 4 2 2 12" xfId="1707"/>
    <cellStyle name="ˆ’ŽƒŽ‚›‰ 4 2 2 13" xfId="1708"/>
    <cellStyle name="ˆ’ŽƒŽ‚›‰ 4 2 2 14" xfId="1709"/>
    <cellStyle name="ˆ’ŽƒŽ‚›‰ 4 2 2 15" xfId="1710"/>
    <cellStyle name="ˆ’ŽƒŽ‚›‰ 4 2 2 16" xfId="1711"/>
    <cellStyle name="ˆ’ŽƒŽ‚›‰ 4 2 2 17" xfId="1712"/>
    <cellStyle name="ˆ’ŽƒŽ‚›‰ 4 2 2 18" xfId="1713"/>
    <cellStyle name="ˆ’ŽƒŽ‚›‰ 4 2 2 2" xfId="1714"/>
    <cellStyle name="ˆ’ŽƒŽ‚›‰ 4 2 2 2 2" xfId="1715"/>
    <cellStyle name="ˆ’ŽƒŽ‚›‰ 4 2 2 2 2 2" xfId="1716"/>
    <cellStyle name="ˆ’ŽƒŽ‚›‰ 4 2 2 2 3" xfId="1717"/>
    <cellStyle name="ˆ’ŽƒŽ‚›‰ 4 2 2 2 4" xfId="1718"/>
    <cellStyle name="ˆ’ŽƒŽ‚›‰ 4 2 2 3" xfId="1719"/>
    <cellStyle name="ˆ’ŽƒŽ‚›‰ 4 2 2 3 2" xfId="1720"/>
    <cellStyle name="ˆ’ŽƒŽ‚›‰ 4 2 2 3 3" xfId="1721"/>
    <cellStyle name="ˆ’ŽƒŽ‚›‰ 4 2 2 4" xfId="1722"/>
    <cellStyle name="ˆ’ŽƒŽ‚›‰ 4 2 2 4 2" xfId="1723"/>
    <cellStyle name="ˆ’ŽƒŽ‚›‰ 4 2 2 5" xfId="1724"/>
    <cellStyle name="ˆ’ŽƒŽ‚›‰ 4 2 2 6" xfId="1725"/>
    <cellStyle name="ˆ’ŽƒŽ‚›‰ 4 2 2 7" xfId="1726"/>
    <cellStyle name="ˆ’ŽƒŽ‚›‰ 4 2 2 8" xfId="1727"/>
    <cellStyle name="ˆ’ŽƒŽ‚›‰ 4 2 2 9" xfId="1728"/>
    <cellStyle name="ˆ’ŽƒŽ‚›‰ 4 2 20" xfId="1729"/>
    <cellStyle name="ˆ’ŽƒŽ‚›‰ 4 2 21" xfId="1730"/>
    <cellStyle name="ˆ’ŽƒŽ‚›‰ 4 2 22" xfId="1731"/>
    <cellStyle name="ˆ’ŽƒŽ‚›‰ 4 2 23" xfId="1732"/>
    <cellStyle name="ˆ’ŽƒŽ‚›‰ 4 2 3" xfId="1733"/>
    <cellStyle name="ˆ’ŽƒŽ‚›‰ 4 2 3 10" xfId="1734"/>
    <cellStyle name="ˆ’ŽƒŽ‚›‰ 4 2 3 11" xfId="1735"/>
    <cellStyle name="ˆ’ŽƒŽ‚›‰ 4 2 3 12" xfId="1736"/>
    <cellStyle name="ˆ’ŽƒŽ‚›‰ 4 2 3 13" xfId="1737"/>
    <cellStyle name="ˆ’ŽƒŽ‚›‰ 4 2 3 14" xfId="1738"/>
    <cellStyle name="ˆ’ŽƒŽ‚›‰ 4 2 3 15" xfId="1739"/>
    <cellStyle name="ˆ’ŽƒŽ‚›‰ 4 2 3 16" xfId="1740"/>
    <cellStyle name="ˆ’ŽƒŽ‚›‰ 4 2 3 17" xfId="1741"/>
    <cellStyle name="ˆ’ŽƒŽ‚›‰ 4 2 3 18" xfId="1742"/>
    <cellStyle name="ˆ’ŽƒŽ‚›‰ 4 2 3 2" xfId="1743"/>
    <cellStyle name="ˆ’ŽƒŽ‚›‰ 4 2 3 2 2" xfId="1744"/>
    <cellStyle name="ˆ’ŽƒŽ‚›‰ 4 2 3 2 2 2" xfId="1745"/>
    <cellStyle name="ˆ’ŽƒŽ‚›‰ 4 2 3 2 3" xfId="1746"/>
    <cellStyle name="ˆ’ŽƒŽ‚›‰ 4 2 3 2 4" xfId="1747"/>
    <cellStyle name="ˆ’ŽƒŽ‚›‰ 4 2 3 3" xfId="1748"/>
    <cellStyle name="ˆ’ŽƒŽ‚›‰ 4 2 3 3 2" xfId="1749"/>
    <cellStyle name="ˆ’ŽƒŽ‚›‰ 4 2 3 3 3" xfId="1750"/>
    <cellStyle name="ˆ’ŽƒŽ‚›‰ 4 2 3 4" xfId="1751"/>
    <cellStyle name="ˆ’ŽƒŽ‚›‰ 4 2 3 4 2" xfId="1752"/>
    <cellStyle name="ˆ’ŽƒŽ‚›‰ 4 2 3 5" xfId="1753"/>
    <cellStyle name="ˆ’ŽƒŽ‚›‰ 4 2 3 6" xfId="1754"/>
    <cellStyle name="ˆ’ŽƒŽ‚›‰ 4 2 3 7" xfId="1755"/>
    <cellStyle name="ˆ’ŽƒŽ‚›‰ 4 2 3 8" xfId="1756"/>
    <cellStyle name="ˆ’ŽƒŽ‚›‰ 4 2 3 9" xfId="1757"/>
    <cellStyle name="ˆ’ŽƒŽ‚›‰ 4 2 4" xfId="1758"/>
    <cellStyle name="ˆ’ŽƒŽ‚›‰ 4 2 4 2" xfId="1759"/>
    <cellStyle name="ˆ’ŽƒŽ‚›‰ 4 2 4 2 2" xfId="1760"/>
    <cellStyle name="ˆ’ŽƒŽ‚›‰ 4 2 4 2 3" xfId="1761"/>
    <cellStyle name="ˆ’ŽƒŽ‚›‰ 4 2 4 3" xfId="1762"/>
    <cellStyle name="ˆ’ŽƒŽ‚›‰ 4 2 4 3 2" xfId="1763"/>
    <cellStyle name="ˆ’ŽƒŽ‚›‰ 4 2 4 4" xfId="1764"/>
    <cellStyle name="ˆ’ŽƒŽ‚›‰ 4 2 4 5" xfId="1765"/>
    <cellStyle name="ˆ’ŽƒŽ‚›‰ 4 2 5" xfId="1766"/>
    <cellStyle name="ˆ’ŽƒŽ‚›‰ 4 2 5 2" xfId="1767"/>
    <cellStyle name="ˆ’ŽƒŽ‚›‰ 4 2 5 2 2" xfId="1768"/>
    <cellStyle name="ˆ’ŽƒŽ‚›‰ 4 2 5 3" xfId="1769"/>
    <cellStyle name="ˆ’ŽƒŽ‚›‰ 4 2 5 4" xfId="1770"/>
    <cellStyle name="ˆ’ŽƒŽ‚›‰ 4 2 6" xfId="1771"/>
    <cellStyle name="ˆ’ŽƒŽ‚›‰ 4 2 6 2" xfId="1772"/>
    <cellStyle name="ˆ’ŽƒŽ‚›‰ 4 2 6 3" xfId="1773"/>
    <cellStyle name="ˆ’ŽƒŽ‚›‰ 4 2 7" xfId="1774"/>
    <cellStyle name="ˆ’ŽƒŽ‚›‰ 4 2 7 2" xfId="1775"/>
    <cellStyle name="ˆ’ŽƒŽ‚›‰ 4 2 8" xfId="1776"/>
    <cellStyle name="ˆ’ŽƒŽ‚›‰ 4 2 9" xfId="1777"/>
    <cellStyle name="ˆ’ŽƒŽ‚›‰ 4 20" xfId="1778"/>
    <cellStyle name="ˆ’ŽƒŽ‚›‰ 4 21" xfId="1779"/>
    <cellStyle name="ˆ’ŽƒŽ‚›‰ 4 22" xfId="1780"/>
    <cellStyle name="ˆ’ŽƒŽ‚›‰ 4 23" xfId="1781"/>
    <cellStyle name="ˆ’ŽƒŽ‚›‰ 4 24" xfId="1782"/>
    <cellStyle name="ˆ’ŽƒŽ‚›‰ 4 25" xfId="1783"/>
    <cellStyle name="ˆ’ŽƒŽ‚›‰ 4 26" xfId="1784"/>
    <cellStyle name="ˆ’ŽƒŽ‚›‰ 4 27" xfId="1785"/>
    <cellStyle name="ˆ’ŽƒŽ‚›‰ 4 28" xfId="1786"/>
    <cellStyle name="ˆ’ŽƒŽ‚›‰ 4 3" xfId="1787"/>
    <cellStyle name="ˆ’ŽƒŽ‚›‰ 4 3 10" xfId="1788"/>
    <cellStyle name="ˆ’ŽƒŽ‚›‰ 4 3 11" xfId="1789"/>
    <cellStyle name="ˆ’ŽƒŽ‚›‰ 4 3 12" xfId="1790"/>
    <cellStyle name="ˆ’ŽƒŽ‚›‰ 4 3 13" xfId="1791"/>
    <cellStyle name="ˆ’ŽƒŽ‚›‰ 4 3 14" xfId="1792"/>
    <cellStyle name="ˆ’ŽƒŽ‚›‰ 4 3 15" xfId="1793"/>
    <cellStyle name="ˆ’ŽƒŽ‚›‰ 4 3 16" xfId="1794"/>
    <cellStyle name="ˆ’ŽƒŽ‚›‰ 4 3 17" xfId="1795"/>
    <cellStyle name="ˆ’ŽƒŽ‚›‰ 4 3 18" xfId="1796"/>
    <cellStyle name="ˆ’ŽƒŽ‚›‰ 4 3 19" xfId="1797"/>
    <cellStyle name="ˆ’ŽƒŽ‚›‰ 4 3 2" xfId="1798"/>
    <cellStyle name="ˆ’ŽƒŽ‚›‰ 4 3 2 10" xfId="1799"/>
    <cellStyle name="ˆ’ŽƒŽ‚›‰ 4 3 2 11" xfId="1800"/>
    <cellStyle name="ˆ’ŽƒŽ‚›‰ 4 3 2 12" xfId="1801"/>
    <cellStyle name="ˆ’ŽƒŽ‚›‰ 4 3 2 13" xfId="1802"/>
    <cellStyle name="ˆ’ŽƒŽ‚›‰ 4 3 2 14" xfId="1803"/>
    <cellStyle name="ˆ’ŽƒŽ‚›‰ 4 3 2 15" xfId="1804"/>
    <cellStyle name="ˆ’ŽƒŽ‚›‰ 4 3 2 16" xfId="1805"/>
    <cellStyle name="ˆ’ŽƒŽ‚›‰ 4 3 2 17" xfId="1806"/>
    <cellStyle name="ˆ’ŽƒŽ‚›‰ 4 3 2 18" xfId="1807"/>
    <cellStyle name="ˆ’ŽƒŽ‚›‰ 4 3 2 2" xfId="1808"/>
    <cellStyle name="ˆ’ŽƒŽ‚›‰ 4 3 2 2 2" xfId="1809"/>
    <cellStyle name="ˆ’ŽƒŽ‚›‰ 4 3 2 2 2 2" xfId="1810"/>
    <cellStyle name="ˆ’ŽƒŽ‚›‰ 4 3 2 2 3" xfId="1811"/>
    <cellStyle name="ˆ’ŽƒŽ‚›‰ 4 3 2 2 4" xfId="1812"/>
    <cellStyle name="ˆ’ŽƒŽ‚›‰ 4 3 2 3" xfId="1813"/>
    <cellStyle name="ˆ’ŽƒŽ‚›‰ 4 3 2 3 2" xfId="1814"/>
    <cellStyle name="ˆ’ŽƒŽ‚›‰ 4 3 2 3 3" xfId="1815"/>
    <cellStyle name="ˆ’ŽƒŽ‚›‰ 4 3 2 4" xfId="1816"/>
    <cellStyle name="ˆ’ŽƒŽ‚›‰ 4 3 2 4 2" xfId="1817"/>
    <cellStyle name="ˆ’ŽƒŽ‚›‰ 4 3 2 5" xfId="1818"/>
    <cellStyle name="ˆ’ŽƒŽ‚›‰ 4 3 2 6" xfId="1819"/>
    <cellStyle name="ˆ’ŽƒŽ‚›‰ 4 3 2 7" xfId="1820"/>
    <cellStyle name="ˆ’ŽƒŽ‚›‰ 4 3 2 8" xfId="1821"/>
    <cellStyle name="ˆ’ŽƒŽ‚›‰ 4 3 2 9" xfId="1822"/>
    <cellStyle name="ˆ’ŽƒŽ‚›‰ 4 3 20" xfId="1823"/>
    <cellStyle name="ˆ’ŽƒŽ‚›‰ 4 3 3" xfId="1824"/>
    <cellStyle name="ˆ’ŽƒŽ‚›‰ 4 3 3 10" xfId="1825"/>
    <cellStyle name="ˆ’ŽƒŽ‚›‰ 4 3 3 11" xfId="1826"/>
    <cellStyle name="ˆ’ŽƒŽ‚›‰ 4 3 3 12" xfId="1827"/>
    <cellStyle name="ˆ’ŽƒŽ‚›‰ 4 3 3 13" xfId="1828"/>
    <cellStyle name="ˆ’ŽƒŽ‚›‰ 4 3 3 14" xfId="1829"/>
    <cellStyle name="ˆ’ŽƒŽ‚›‰ 4 3 3 15" xfId="1830"/>
    <cellStyle name="ˆ’ŽƒŽ‚›‰ 4 3 3 16" xfId="1831"/>
    <cellStyle name="ˆ’ŽƒŽ‚›‰ 4 3 3 17" xfId="1832"/>
    <cellStyle name="ˆ’ŽƒŽ‚›‰ 4 3 3 18" xfId="1833"/>
    <cellStyle name="ˆ’ŽƒŽ‚›‰ 4 3 3 2" xfId="1834"/>
    <cellStyle name="ˆ’ŽƒŽ‚›‰ 4 3 3 2 2" xfId="1835"/>
    <cellStyle name="ˆ’ŽƒŽ‚›‰ 4 3 3 2 2 2" xfId="1836"/>
    <cellStyle name="ˆ’ŽƒŽ‚›‰ 4 3 3 2 3" xfId="1837"/>
    <cellStyle name="ˆ’ŽƒŽ‚›‰ 4 3 3 2 4" xfId="1838"/>
    <cellStyle name="ˆ’ŽƒŽ‚›‰ 4 3 3 3" xfId="1839"/>
    <cellStyle name="ˆ’ŽƒŽ‚›‰ 4 3 3 3 2" xfId="1840"/>
    <cellStyle name="ˆ’ŽƒŽ‚›‰ 4 3 3 3 3" xfId="1841"/>
    <cellStyle name="ˆ’ŽƒŽ‚›‰ 4 3 3 4" xfId="1842"/>
    <cellStyle name="ˆ’ŽƒŽ‚›‰ 4 3 3 4 2" xfId="1843"/>
    <cellStyle name="ˆ’ŽƒŽ‚›‰ 4 3 3 5" xfId="1844"/>
    <cellStyle name="ˆ’ŽƒŽ‚›‰ 4 3 3 6" xfId="1845"/>
    <cellStyle name="ˆ’ŽƒŽ‚›‰ 4 3 3 7" xfId="1846"/>
    <cellStyle name="ˆ’ŽƒŽ‚›‰ 4 3 3 8" xfId="1847"/>
    <cellStyle name="ˆ’ŽƒŽ‚›‰ 4 3 3 9" xfId="1848"/>
    <cellStyle name="ˆ’ŽƒŽ‚›‰ 4 3 4" xfId="1849"/>
    <cellStyle name="ˆ’ŽƒŽ‚›‰ 4 3 4 2" xfId="1850"/>
    <cellStyle name="ˆ’ŽƒŽ‚›‰ 4 3 4 2 2" xfId="1851"/>
    <cellStyle name="ˆ’ŽƒŽ‚›‰ 4 3 4 2 3" xfId="1852"/>
    <cellStyle name="ˆ’ŽƒŽ‚›‰ 4 3 4 3" xfId="1853"/>
    <cellStyle name="ˆ’ŽƒŽ‚›‰ 4 3 4 3 2" xfId="1854"/>
    <cellStyle name="ˆ’ŽƒŽ‚›‰ 4 3 4 4" xfId="1855"/>
    <cellStyle name="ˆ’ŽƒŽ‚›‰ 4 3 4 5" xfId="1856"/>
    <cellStyle name="ˆ’ŽƒŽ‚›‰ 4 3 5" xfId="1857"/>
    <cellStyle name="ˆ’ŽƒŽ‚›‰ 4 3 5 2" xfId="1858"/>
    <cellStyle name="ˆ’ŽƒŽ‚›‰ 4 3 5 2 2" xfId="1859"/>
    <cellStyle name="ˆ’ŽƒŽ‚›‰ 4 3 5 3" xfId="1860"/>
    <cellStyle name="ˆ’ŽƒŽ‚›‰ 4 3 5 4" xfId="1861"/>
    <cellStyle name="ˆ’ŽƒŽ‚›‰ 4 3 6" xfId="1862"/>
    <cellStyle name="ˆ’ŽƒŽ‚›‰ 4 3 6 2" xfId="1863"/>
    <cellStyle name="ˆ’ŽƒŽ‚›‰ 4 3 6 3" xfId="1864"/>
    <cellStyle name="ˆ’ŽƒŽ‚›‰ 4 3 7" xfId="1865"/>
    <cellStyle name="ˆ’ŽƒŽ‚›‰ 4 3 7 2" xfId="1866"/>
    <cellStyle name="ˆ’ŽƒŽ‚›‰ 4 3 8" xfId="1867"/>
    <cellStyle name="ˆ’ŽƒŽ‚›‰ 4 3 9" xfId="1868"/>
    <cellStyle name="ˆ’ŽƒŽ‚›‰ 4 4" xfId="1869"/>
    <cellStyle name="ˆ’ŽƒŽ‚›‰ 4 4 10" xfId="1870"/>
    <cellStyle name="ˆ’ŽƒŽ‚›‰ 4 4 11" xfId="1871"/>
    <cellStyle name="ˆ’ŽƒŽ‚›‰ 4 4 12" xfId="1872"/>
    <cellStyle name="ˆ’ŽƒŽ‚›‰ 4 4 13" xfId="1873"/>
    <cellStyle name="ˆ’ŽƒŽ‚›‰ 4 4 14" xfId="1874"/>
    <cellStyle name="ˆ’ŽƒŽ‚›‰ 4 4 15" xfId="1875"/>
    <cellStyle name="ˆ’ŽƒŽ‚›‰ 4 4 16" xfId="1876"/>
    <cellStyle name="ˆ’ŽƒŽ‚›‰ 4 4 17" xfId="1877"/>
    <cellStyle name="ˆ’ŽƒŽ‚›‰ 4 4 18" xfId="1878"/>
    <cellStyle name="ˆ’ŽƒŽ‚›‰ 4 4 19" xfId="1879"/>
    <cellStyle name="ˆ’ŽƒŽ‚›‰ 4 4 2" xfId="1880"/>
    <cellStyle name="ˆ’ŽƒŽ‚›‰ 4 4 2 10" xfId="1881"/>
    <cellStyle name="ˆ’ŽƒŽ‚›‰ 4 4 2 11" xfId="1882"/>
    <cellStyle name="ˆ’ŽƒŽ‚›‰ 4 4 2 12" xfId="1883"/>
    <cellStyle name="ˆ’ŽƒŽ‚›‰ 4 4 2 13" xfId="1884"/>
    <cellStyle name="ˆ’ŽƒŽ‚›‰ 4 4 2 14" xfId="1885"/>
    <cellStyle name="ˆ’ŽƒŽ‚›‰ 4 4 2 15" xfId="1886"/>
    <cellStyle name="ˆ’ŽƒŽ‚›‰ 4 4 2 16" xfId="1887"/>
    <cellStyle name="ˆ’ŽƒŽ‚›‰ 4 4 2 17" xfId="1888"/>
    <cellStyle name="ˆ’ŽƒŽ‚›‰ 4 4 2 18" xfId="1889"/>
    <cellStyle name="ˆ’ŽƒŽ‚›‰ 4 4 2 2" xfId="1890"/>
    <cellStyle name="ˆ’ŽƒŽ‚›‰ 4 4 2 2 2" xfId="1891"/>
    <cellStyle name="ˆ’ŽƒŽ‚›‰ 4 4 2 2 2 2" xfId="1892"/>
    <cellStyle name="ˆ’ŽƒŽ‚›‰ 4 4 2 2 3" xfId="1893"/>
    <cellStyle name="ˆ’ŽƒŽ‚›‰ 4 4 2 2 4" xfId="1894"/>
    <cellStyle name="ˆ’ŽƒŽ‚›‰ 4 4 2 3" xfId="1895"/>
    <cellStyle name="ˆ’ŽƒŽ‚›‰ 4 4 2 3 2" xfId="1896"/>
    <cellStyle name="ˆ’ŽƒŽ‚›‰ 4 4 2 3 3" xfId="1897"/>
    <cellStyle name="ˆ’ŽƒŽ‚›‰ 4 4 2 4" xfId="1898"/>
    <cellStyle name="ˆ’ŽƒŽ‚›‰ 4 4 2 4 2" xfId="1899"/>
    <cellStyle name="ˆ’ŽƒŽ‚›‰ 4 4 2 5" xfId="1900"/>
    <cellStyle name="ˆ’ŽƒŽ‚›‰ 4 4 2 6" xfId="1901"/>
    <cellStyle name="ˆ’ŽƒŽ‚›‰ 4 4 2 7" xfId="1902"/>
    <cellStyle name="ˆ’ŽƒŽ‚›‰ 4 4 2 8" xfId="1903"/>
    <cellStyle name="ˆ’ŽƒŽ‚›‰ 4 4 2 9" xfId="1904"/>
    <cellStyle name="ˆ’ŽƒŽ‚›‰ 4 4 20" xfId="1905"/>
    <cellStyle name="ˆ’ŽƒŽ‚›‰ 4 4 21" xfId="1906"/>
    <cellStyle name="ˆ’ŽƒŽ‚›‰ 4 4 3" xfId="1907"/>
    <cellStyle name="ˆ’ŽƒŽ‚›‰ 4 4 3 10" xfId="1908"/>
    <cellStyle name="ˆ’ŽƒŽ‚›‰ 4 4 3 11" xfId="1909"/>
    <cellStyle name="ˆ’ŽƒŽ‚›‰ 4 4 3 12" xfId="1910"/>
    <cellStyle name="ˆ’ŽƒŽ‚›‰ 4 4 3 13" xfId="1911"/>
    <cellStyle name="ˆ’ŽƒŽ‚›‰ 4 4 3 14" xfId="1912"/>
    <cellStyle name="ˆ’ŽƒŽ‚›‰ 4 4 3 15" xfId="1913"/>
    <cellStyle name="ˆ’ŽƒŽ‚›‰ 4 4 3 16" xfId="1914"/>
    <cellStyle name="ˆ’ŽƒŽ‚›‰ 4 4 3 17" xfId="1915"/>
    <cellStyle name="ˆ’ŽƒŽ‚›‰ 4 4 3 18" xfId="1916"/>
    <cellStyle name="ˆ’ŽƒŽ‚›‰ 4 4 3 2" xfId="1917"/>
    <cellStyle name="ˆ’ŽƒŽ‚›‰ 4 4 3 2 2" xfId="1918"/>
    <cellStyle name="ˆ’ŽƒŽ‚›‰ 4 4 3 2 2 2" xfId="1919"/>
    <cellStyle name="ˆ’ŽƒŽ‚›‰ 4 4 3 2 3" xfId="1920"/>
    <cellStyle name="ˆ’ŽƒŽ‚›‰ 4 4 3 2 4" xfId="1921"/>
    <cellStyle name="ˆ’ŽƒŽ‚›‰ 4 4 3 3" xfId="1922"/>
    <cellStyle name="ˆ’ŽƒŽ‚›‰ 4 4 3 3 2" xfId="1923"/>
    <cellStyle name="ˆ’ŽƒŽ‚›‰ 4 4 3 3 3" xfId="1924"/>
    <cellStyle name="ˆ’ŽƒŽ‚›‰ 4 4 3 4" xfId="1925"/>
    <cellStyle name="ˆ’ŽƒŽ‚›‰ 4 4 3 4 2" xfId="1926"/>
    <cellStyle name="ˆ’ŽƒŽ‚›‰ 4 4 3 5" xfId="1927"/>
    <cellStyle name="ˆ’ŽƒŽ‚›‰ 4 4 3 6" xfId="1928"/>
    <cellStyle name="ˆ’ŽƒŽ‚›‰ 4 4 3 7" xfId="1929"/>
    <cellStyle name="ˆ’ŽƒŽ‚›‰ 4 4 3 8" xfId="1930"/>
    <cellStyle name="ˆ’ŽƒŽ‚›‰ 4 4 3 9" xfId="1931"/>
    <cellStyle name="ˆ’ŽƒŽ‚›‰ 4 4 4" xfId="1932"/>
    <cellStyle name="ˆ’ŽƒŽ‚›‰ 4 4 4 2" xfId="1933"/>
    <cellStyle name="ˆ’ŽƒŽ‚›‰ 4 4 4 2 2" xfId="1934"/>
    <cellStyle name="ˆ’ŽƒŽ‚›‰ 4 4 4 2 3" xfId="1935"/>
    <cellStyle name="ˆ’ŽƒŽ‚›‰ 4 4 4 3" xfId="1936"/>
    <cellStyle name="ˆ’ŽƒŽ‚›‰ 4 4 4 3 2" xfId="1937"/>
    <cellStyle name="ˆ’ŽƒŽ‚›‰ 4 4 4 4" xfId="1938"/>
    <cellStyle name="ˆ’ŽƒŽ‚›‰ 4 4 4 5" xfId="1939"/>
    <cellStyle name="ˆ’ŽƒŽ‚›‰ 4 4 5" xfId="1940"/>
    <cellStyle name="ˆ’ŽƒŽ‚›‰ 4 4 5 2" xfId="1941"/>
    <cellStyle name="ˆ’ŽƒŽ‚›‰ 4 4 5 2 2" xfId="1942"/>
    <cellStyle name="ˆ’ŽƒŽ‚›‰ 4 4 5 3" xfId="1943"/>
    <cellStyle name="ˆ’ŽƒŽ‚›‰ 4 4 5 4" xfId="1944"/>
    <cellStyle name="ˆ’ŽƒŽ‚›‰ 4 4 6" xfId="1945"/>
    <cellStyle name="ˆ’ŽƒŽ‚›‰ 4 4 6 2" xfId="1946"/>
    <cellStyle name="ˆ’ŽƒŽ‚›‰ 4 4 6 3" xfId="1947"/>
    <cellStyle name="ˆ’ŽƒŽ‚›‰ 4 4 7" xfId="1948"/>
    <cellStyle name="ˆ’ŽƒŽ‚›‰ 4 4 7 2" xfId="1949"/>
    <cellStyle name="ˆ’ŽƒŽ‚›‰ 4 4 8" xfId="1950"/>
    <cellStyle name="ˆ’ŽƒŽ‚›‰ 4 4 9" xfId="1951"/>
    <cellStyle name="ˆ’ŽƒŽ‚›‰ 4 5" xfId="1952"/>
    <cellStyle name="ˆ’ŽƒŽ‚›‰ 4 5 10" xfId="1953"/>
    <cellStyle name="ˆ’ŽƒŽ‚›‰ 4 5 11" xfId="1954"/>
    <cellStyle name="ˆ’ŽƒŽ‚›‰ 4 5 12" xfId="1955"/>
    <cellStyle name="ˆ’ŽƒŽ‚›‰ 4 5 13" xfId="1956"/>
    <cellStyle name="ˆ’ŽƒŽ‚›‰ 4 5 14" xfId="1957"/>
    <cellStyle name="ˆ’ŽƒŽ‚›‰ 4 5 15" xfId="1958"/>
    <cellStyle name="ˆ’ŽƒŽ‚›‰ 4 5 16" xfId="1959"/>
    <cellStyle name="ˆ’ŽƒŽ‚›‰ 4 5 17" xfId="1960"/>
    <cellStyle name="ˆ’ŽƒŽ‚›‰ 4 5 18" xfId="1961"/>
    <cellStyle name="ˆ’ŽƒŽ‚›‰ 4 5 19" xfId="1962"/>
    <cellStyle name="ˆ’ŽƒŽ‚›‰ 4 5 2" xfId="1963"/>
    <cellStyle name="ˆ’ŽƒŽ‚›‰ 4 5 2 10" xfId="1964"/>
    <cellStyle name="ˆ’ŽƒŽ‚›‰ 4 5 2 11" xfId="1965"/>
    <cellStyle name="ˆ’ŽƒŽ‚›‰ 4 5 2 12" xfId="1966"/>
    <cellStyle name="ˆ’ŽƒŽ‚›‰ 4 5 2 13" xfId="1967"/>
    <cellStyle name="ˆ’ŽƒŽ‚›‰ 4 5 2 14" xfId="1968"/>
    <cellStyle name="ˆ’ŽƒŽ‚›‰ 4 5 2 15" xfId="1969"/>
    <cellStyle name="ˆ’ŽƒŽ‚›‰ 4 5 2 16" xfId="1970"/>
    <cellStyle name="ˆ’ŽƒŽ‚›‰ 4 5 2 17" xfId="1971"/>
    <cellStyle name="ˆ’ŽƒŽ‚›‰ 4 5 2 18" xfId="1972"/>
    <cellStyle name="ˆ’ŽƒŽ‚›‰ 4 5 2 2" xfId="1973"/>
    <cellStyle name="ˆ’ŽƒŽ‚›‰ 4 5 2 2 2" xfId="1974"/>
    <cellStyle name="ˆ’ŽƒŽ‚›‰ 4 5 2 2 2 2" xfId="1975"/>
    <cellStyle name="ˆ’ŽƒŽ‚›‰ 4 5 2 2 3" xfId="1976"/>
    <cellStyle name="ˆ’ŽƒŽ‚›‰ 4 5 2 2 4" xfId="1977"/>
    <cellStyle name="ˆ’ŽƒŽ‚›‰ 4 5 2 3" xfId="1978"/>
    <cellStyle name="ˆ’ŽƒŽ‚›‰ 4 5 2 3 2" xfId="1979"/>
    <cellStyle name="ˆ’ŽƒŽ‚›‰ 4 5 2 3 3" xfId="1980"/>
    <cellStyle name="ˆ’ŽƒŽ‚›‰ 4 5 2 4" xfId="1981"/>
    <cellStyle name="ˆ’ŽƒŽ‚›‰ 4 5 2 4 2" xfId="1982"/>
    <cellStyle name="ˆ’ŽƒŽ‚›‰ 4 5 2 5" xfId="1983"/>
    <cellStyle name="ˆ’ŽƒŽ‚›‰ 4 5 2 6" xfId="1984"/>
    <cellStyle name="ˆ’ŽƒŽ‚›‰ 4 5 2 7" xfId="1985"/>
    <cellStyle name="ˆ’ŽƒŽ‚›‰ 4 5 2 8" xfId="1986"/>
    <cellStyle name="ˆ’ŽƒŽ‚›‰ 4 5 2 9" xfId="1987"/>
    <cellStyle name="ˆ’ŽƒŽ‚›‰ 4 5 20" xfId="1988"/>
    <cellStyle name="ˆ’ŽƒŽ‚›‰ 4 5 21" xfId="1989"/>
    <cellStyle name="ˆ’ŽƒŽ‚›‰ 4 5 3" xfId="1990"/>
    <cellStyle name="ˆ’ŽƒŽ‚›‰ 4 5 3 10" xfId="1991"/>
    <cellStyle name="ˆ’ŽƒŽ‚›‰ 4 5 3 11" xfId="1992"/>
    <cellStyle name="ˆ’ŽƒŽ‚›‰ 4 5 3 12" xfId="1993"/>
    <cellStyle name="ˆ’ŽƒŽ‚›‰ 4 5 3 13" xfId="1994"/>
    <cellStyle name="ˆ’ŽƒŽ‚›‰ 4 5 3 14" xfId="1995"/>
    <cellStyle name="ˆ’ŽƒŽ‚›‰ 4 5 3 15" xfId="1996"/>
    <cellStyle name="ˆ’ŽƒŽ‚›‰ 4 5 3 16" xfId="1997"/>
    <cellStyle name="ˆ’ŽƒŽ‚›‰ 4 5 3 17" xfId="1998"/>
    <cellStyle name="ˆ’ŽƒŽ‚›‰ 4 5 3 18" xfId="1999"/>
    <cellStyle name="ˆ’ŽƒŽ‚›‰ 4 5 3 2" xfId="2000"/>
    <cellStyle name="ˆ’ŽƒŽ‚›‰ 4 5 3 2 2" xfId="2001"/>
    <cellStyle name="ˆ’ŽƒŽ‚›‰ 4 5 3 2 2 2" xfId="2002"/>
    <cellStyle name="ˆ’ŽƒŽ‚›‰ 4 5 3 2 3" xfId="2003"/>
    <cellStyle name="ˆ’ŽƒŽ‚›‰ 4 5 3 2 4" xfId="2004"/>
    <cellStyle name="ˆ’ŽƒŽ‚›‰ 4 5 3 3" xfId="2005"/>
    <cellStyle name="ˆ’ŽƒŽ‚›‰ 4 5 3 3 2" xfId="2006"/>
    <cellStyle name="ˆ’ŽƒŽ‚›‰ 4 5 3 3 3" xfId="2007"/>
    <cellStyle name="ˆ’ŽƒŽ‚›‰ 4 5 3 4" xfId="2008"/>
    <cellStyle name="ˆ’ŽƒŽ‚›‰ 4 5 3 4 2" xfId="2009"/>
    <cellStyle name="ˆ’ŽƒŽ‚›‰ 4 5 3 5" xfId="2010"/>
    <cellStyle name="ˆ’ŽƒŽ‚›‰ 4 5 3 6" xfId="2011"/>
    <cellStyle name="ˆ’ŽƒŽ‚›‰ 4 5 3 7" xfId="2012"/>
    <cellStyle name="ˆ’ŽƒŽ‚›‰ 4 5 3 8" xfId="2013"/>
    <cellStyle name="ˆ’ŽƒŽ‚›‰ 4 5 3 9" xfId="2014"/>
    <cellStyle name="ˆ’ŽƒŽ‚›‰ 4 5 4" xfId="2015"/>
    <cellStyle name="ˆ’ŽƒŽ‚›‰ 4 5 4 2" xfId="2016"/>
    <cellStyle name="ˆ’ŽƒŽ‚›‰ 4 5 4 2 2" xfId="2017"/>
    <cellStyle name="ˆ’ŽƒŽ‚›‰ 4 5 4 2 3" xfId="2018"/>
    <cellStyle name="ˆ’ŽƒŽ‚›‰ 4 5 4 3" xfId="2019"/>
    <cellStyle name="ˆ’ŽƒŽ‚›‰ 4 5 4 3 2" xfId="2020"/>
    <cellStyle name="ˆ’ŽƒŽ‚›‰ 4 5 4 4" xfId="2021"/>
    <cellStyle name="ˆ’ŽƒŽ‚›‰ 4 5 4 5" xfId="2022"/>
    <cellStyle name="ˆ’ŽƒŽ‚›‰ 4 5 5" xfId="2023"/>
    <cellStyle name="ˆ’ŽƒŽ‚›‰ 4 5 5 2" xfId="2024"/>
    <cellStyle name="ˆ’ŽƒŽ‚›‰ 4 5 5 2 2" xfId="2025"/>
    <cellStyle name="ˆ’ŽƒŽ‚›‰ 4 5 5 3" xfId="2026"/>
    <cellStyle name="ˆ’ŽƒŽ‚›‰ 4 5 5 4" xfId="2027"/>
    <cellStyle name="ˆ’ŽƒŽ‚›‰ 4 5 6" xfId="2028"/>
    <cellStyle name="ˆ’ŽƒŽ‚›‰ 4 5 6 2" xfId="2029"/>
    <cellStyle name="ˆ’ŽƒŽ‚›‰ 4 5 6 3" xfId="2030"/>
    <cellStyle name="ˆ’ŽƒŽ‚›‰ 4 5 7" xfId="2031"/>
    <cellStyle name="ˆ’ŽƒŽ‚›‰ 4 5 7 2" xfId="2032"/>
    <cellStyle name="ˆ’ŽƒŽ‚›‰ 4 5 8" xfId="2033"/>
    <cellStyle name="ˆ’ŽƒŽ‚›‰ 4 5 9" xfId="2034"/>
    <cellStyle name="ˆ’ŽƒŽ‚›‰ 4 6" xfId="2035"/>
    <cellStyle name="ˆ’ŽƒŽ‚›‰ 4 6 10" xfId="2036"/>
    <cellStyle name="ˆ’ŽƒŽ‚›‰ 4 6 11" xfId="2037"/>
    <cellStyle name="ˆ’ŽƒŽ‚›‰ 4 6 12" xfId="2038"/>
    <cellStyle name="ˆ’ŽƒŽ‚›‰ 4 6 13" xfId="2039"/>
    <cellStyle name="ˆ’ŽƒŽ‚›‰ 4 6 14" xfId="2040"/>
    <cellStyle name="ˆ’ŽƒŽ‚›‰ 4 6 15" xfId="2041"/>
    <cellStyle name="ˆ’ŽƒŽ‚›‰ 4 6 16" xfId="2042"/>
    <cellStyle name="ˆ’ŽƒŽ‚›‰ 4 6 17" xfId="2043"/>
    <cellStyle name="ˆ’ŽƒŽ‚›‰ 4 6 18" xfId="2044"/>
    <cellStyle name="ˆ’ŽƒŽ‚›‰ 4 6 19" xfId="2045"/>
    <cellStyle name="ˆ’ŽƒŽ‚›‰ 4 6 2" xfId="2046"/>
    <cellStyle name="ˆ’ŽƒŽ‚›‰ 4 6 2 10" xfId="2047"/>
    <cellStyle name="ˆ’ŽƒŽ‚›‰ 4 6 2 11" xfId="2048"/>
    <cellStyle name="ˆ’ŽƒŽ‚›‰ 4 6 2 12" xfId="2049"/>
    <cellStyle name="ˆ’ŽƒŽ‚›‰ 4 6 2 13" xfId="2050"/>
    <cellStyle name="ˆ’ŽƒŽ‚›‰ 4 6 2 14" xfId="2051"/>
    <cellStyle name="ˆ’ŽƒŽ‚›‰ 4 6 2 15" xfId="2052"/>
    <cellStyle name="ˆ’ŽƒŽ‚›‰ 4 6 2 16" xfId="2053"/>
    <cellStyle name="ˆ’ŽƒŽ‚›‰ 4 6 2 17" xfId="2054"/>
    <cellStyle name="ˆ’ŽƒŽ‚›‰ 4 6 2 18" xfId="2055"/>
    <cellStyle name="ˆ’ŽƒŽ‚›‰ 4 6 2 2" xfId="2056"/>
    <cellStyle name="ˆ’ŽƒŽ‚›‰ 4 6 2 2 2" xfId="2057"/>
    <cellStyle name="ˆ’ŽƒŽ‚›‰ 4 6 2 2 2 2" xfId="2058"/>
    <cellStyle name="ˆ’ŽƒŽ‚›‰ 4 6 2 2 3" xfId="2059"/>
    <cellStyle name="ˆ’ŽƒŽ‚›‰ 4 6 2 2 4" xfId="2060"/>
    <cellStyle name="ˆ’ŽƒŽ‚›‰ 4 6 2 3" xfId="2061"/>
    <cellStyle name="ˆ’ŽƒŽ‚›‰ 4 6 2 3 2" xfId="2062"/>
    <cellStyle name="ˆ’ŽƒŽ‚›‰ 4 6 2 3 3" xfId="2063"/>
    <cellStyle name="ˆ’ŽƒŽ‚›‰ 4 6 2 4" xfId="2064"/>
    <cellStyle name="ˆ’ŽƒŽ‚›‰ 4 6 2 4 2" xfId="2065"/>
    <cellStyle name="ˆ’ŽƒŽ‚›‰ 4 6 2 5" xfId="2066"/>
    <cellStyle name="ˆ’ŽƒŽ‚›‰ 4 6 2 6" xfId="2067"/>
    <cellStyle name="ˆ’ŽƒŽ‚›‰ 4 6 2 7" xfId="2068"/>
    <cellStyle name="ˆ’ŽƒŽ‚›‰ 4 6 2 8" xfId="2069"/>
    <cellStyle name="ˆ’ŽƒŽ‚›‰ 4 6 2 9" xfId="2070"/>
    <cellStyle name="ˆ’ŽƒŽ‚›‰ 4 6 20" xfId="2071"/>
    <cellStyle name="ˆ’ŽƒŽ‚›‰ 4 6 3" xfId="2072"/>
    <cellStyle name="ˆ’ŽƒŽ‚›‰ 4 6 3 10" xfId="2073"/>
    <cellStyle name="ˆ’ŽƒŽ‚›‰ 4 6 3 11" xfId="2074"/>
    <cellStyle name="ˆ’ŽƒŽ‚›‰ 4 6 3 12" xfId="2075"/>
    <cellStyle name="ˆ’ŽƒŽ‚›‰ 4 6 3 13" xfId="2076"/>
    <cellStyle name="ˆ’ŽƒŽ‚›‰ 4 6 3 14" xfId="2077"/>
    <cellStyle name="ˆ’ŽƒŽ‚›‰ 4 6 3 15" xfId="2078"/>
    <cellStyle name="ˆ’ŽƒŽ‚›‰ 4 6 3 16" xfId="2079"/>
    <cellStyle name="ˆ’ŽƒŽ‚›‰ 4 6 3 17" xfId="2080"/>
    <cellStyle name="ˆ’ŽƒŽ‚›‰ 4 6 3 18" xfId="2081"/>
    <cellStyle name="ˆ’ŽƒŽ‚›‰ 4 6 3 2" xfId="2082"/>
    <cellStyle name="ˆ’ŽƒŽ‚›‰ 4 6 3 2 2" xfId="2083"/>
    <cellStyle name="ˆ’ŽƒŽ‚›‰ 4 6 3 2 2 2" xfId="2084"/>
    <cellStyle name="ˆ’ŽƒŽ‚›‰ 4 6 3 2 3" xfId="2085"/>
    <cellStyle name="ˆ’ŽƒŽ‚›‰ 4 6 3 2 4" xfId="2086"/>
    <cellStyle name="ˆ’ŽƒŽ‚›‰ 4 6 3 3" xfId="2087"/>
    <cellStyle name="ˆ’ŽƒŽ‚›‰ 4 6 3 3 2" xfId="2088"/>
    <cellStyle name="ˆ’ŽƒŽ‚›‰ 4 6 3 3 3" xfId="2089"/>
    <cellStyle name="ˆ’ŽƒŽ‚›‰ 4 6 3 4" xfId="2090"/>
    <cellStyle name="ˆ’ŽƒŽ‚›‰ 4 6 3 4 2" xfId="2091"/>
    <cellStyle name="ˆ’ŽƒŽ‚›‰ 4 6 3 5" xfId="2092"/>
    <cellStyle name="ˆ’ŽƒŽ‚›‰ 4 6 3 6" xfId="2093"/>
    <cellStyle name="ˆ’ŽƒŽ‚›‰ 4 6 3 7" xfId="2094"/>
    <cellStyle name="ˆ’ŽƒŽ‚›‰ 4 6 3 8" xfId="2095"/>
    <cellStyle name="ˆ’ŽƒŽ‚›‰ 4 6 3 9" xfId="2096"/>
    <cellStyle name="ˆ’ŽƒŽ‚›‰ 4 6 4" xfId="2097"/>
    <cellStyle name="ˆ’ŽƒŽ‚›‰ 4 6 4 2" xfId="2098"/>
    <cellStyle name="ˆ’ŽƒŽ‚›‰ 4 6 4 2 2" xfId="2099"/>
    <cellStyle name="ˆ’ŽƒŽ‚›‰ 4 6 4 3" xfId="2100"/>
    <cellStyle name="ˆ’ŽƒŽ‚›‰ 4 6 4 4" xfId="2101"/>
    <cellStyle name="ˆ’ŽƒŽ‚›‰ 4 6 5" xfId="2102"/>
    <cellStyle name="ˆ’ŽƒŽ‚›‰ 4 6 5 2" xfId="2103"/>
    <cellStyle name="ˆ’ŽƒŽ‚›‰ 4 6 6" xfId="2104"/>
    <cellStyle name="ˆ’ŽƒŽ‚›‰ 4 6 7" xfId="2105"/>
    <cellStyle name="ˆ’ŽƒŽ‚›‰ 4 6 8" xfId="2106"/>
    <cellStyle name="ˆ’ŽƒŽ‚›‰ 4 6 9" xfId="2107"/>
    <cellStyle name="ˆ’ŽƒŽ‚›‰ 4 7" xfId="2108"/>
    <cellStyle name="ˆ’ŽƒŽ‚›‰ 4 7 10" xfId="2109"/>
    <cellStyle name="ˆ’ŽƒŽ‚›‰ 4 7 11" xfId="2110"/>
    <cellStyle name="ˆ’ŽƒŽ‚›‰ 4 7 12" xfId="2111"/>
    <cellStyle name="ˆ’ŽƒŽ‚›‰ 4 7 13" xfId="2112"/>
    <cellStyle name="ˆ’ŽƒŽ‚›‰ 4 7 14" xfId="2113"/>
    <cellStyle name="ˆ’ŽƒŽ‚›‰ 4 7 15" xfId="2114"/>
    <cellStyle name="ˆ’ŽƒŽ‚›‰ 4 7 16" xfId="2115"/>
    <cellStyle name="ˆ’ŽƒŽ‚›‰ 4 7 17" xfId="2116"/>
    <cellStyle name="ˆ’ŽƒŽ‚›‰ 4 7 18" xfId="2117"/>
    <cellStyle name="ˆ’ŽƒŽ‚›‰ 4 7 2" xfId="2118"/>
    <cellStyle name="ˆ’ŽƒŽ‚›‰ 4 7 2 2" xfId="2119"/>
    <cellStyle name="ˆ’ŽƒŽ‚›‰ 4 7 2 2 2" xfId="2120"/>
    <cellStyle name="ˆ’ŽƒŽ‚›‰ 4 7 2 3" xfId="2121"/>
    <cellStyle name="ˆ’ŽƒŽ‚›‰ 4 7 2 4" xfId="2122"/>
    <cellStyle name="ˆ’ŽƒŽ‚›‰ 4 7 3" xfId="2123"/>
    <cellStyle name="ˆ’ŽƒŽ‚›‰ 4 7 3 2" xfId="2124"/>
    <cellStyle name="ˆ’ŽƒŽ‚›‰ 4 7 3 3" xfId="2125"/>
    <cellStyle name="ˆ’ŽƒŽ‚›‰ 4 7 4" xfId="2126"/>
    <cellStyle name="ˆ’ŽƒŽ‚›‰ 4 7 4 2" xfId="2127"/>
    <cellStyle name="ˆ’ŽƒŽ‚›‰ 4 7 5" xfId="2128"/>
    <cellStyle name="ˆ’ŽƒŽ‚›‰ 4 7 6" xfId="2129"/>
    <cellStyle name="ˆ’ŽƒŽ‚›‰ 4 7 7" xfId="2130"/>
    <cellStyle name="ˆ’ŽƒŽ‚›‰ 4 7 8" xfId="2131"/>
    <cellStyle name="ˆ’ŽƒŽ‚›‰ 4 7 9" xfId="2132"/>
    <cellStyle name="ˆ’ŽƒŽ‚›‰ 4 8" xfId="2133"/>
    <cellStyle name="ˆ’ŽƒŽ‚›‰ 4 8 10" xfId="2134"/>
    <cellStyle name="ˆ’ŽƒŽ‚›‰ 4 8 11" xfId="2135"/>
    <cellStyle name="ˆ’ŽƒŽ‚›‰ 4 8 12" xfId="2136"/>
    <cellStyle name="ˆ’ŽƒŽ‚›‰ 4 8 13" xfId="2137"/>
    <cellStyle name="ˆ’ŽƒŽ‚›‰ 4 8 14" xfId="2138"/>
    <cellStyle name="ˆ’ŽƒŽ‚›‰ 4 8 15" xfId="2139"/>
    <cellStyle name="ˆ’ŽƒŽ‚›‰ 4 8 16" xfId="2140"/>
    <cellStyle name="ˆ’ŽƒŽ‚›‰ 4 8 17" xfId="2141"/>
    <cellStyle name="ˆ’ŽƒŽ‚›‰ 4 8 18" xfId="2142"/>
    <cellStyle name="ˆ’ŽƒŽ‚›‰ 4 8 2" xfId="2143"/>
    <cellStyle name="ˆ’ŽƒŽ‚›‰ 4 8 2 2" xfId="2144"/>
    <cellStyle name="ˆ’ŽƒŽ‚›‰ 4 8 3" xfId="2145"/>
    <cellStyle name="ˆ’ŽƒŽ‚›‰ 4 8 4" xfId="2146"/>
    <cellStyle name="ˆ’ŽƒŽ‚›‰ 4 8 5" xfId="2147"/>
    <cellStyle name="ˆ’ŽƒŽ‚›‰ 4 8 6" xfId="2148"/>
    <cellStyle name="ˆ’ŽƒŽ‚›‰ 4 8 7" xfId="2149"/>
    <cellStyle name="ˆ’ŽƒŽ‚›‰ 4 8 8" xfId="2150"/>
    <cellStyle name="ˆ’ŽƒŽ‚›‰ 4 8 9" xfId="2151"/>
    <cellStyle name="ˆ’ŽƒŽ‚›‰ 4 9" xfId="2152"/>
    <cellStyle name="ˆ’ŽƒŽ‚›‰ 5" xfId="2153"/>
    <cellStyle name="ˆ’ŽƒŽ‚›‰ 5 10" xfId="2154"/>
    <cellStyle name="ˆ’ŽƒŽ‚›‰ 5 11" xfId="2155"/>
    <cellStyle name="ˆ’ŽƒŽ‚›‰ 5 12" xfId="2156"/>
    <cellStyle name="ˆ’ŽƒŽ‚›‰ 5 13" xfId="2157"/>
    <cellStyle name="ˆ’ŽƒŽ‚›‰ 5 14" xfId="2158"/>
    <cellStyle name="ˆ’ŽƒŽ‚›‰ 5 15" xfId="2159"/>
    <cellStyle name="ˆ’ŽƒŽ‚›‰ 5 16" xfId="2160"/>
    <cellStyle name="ˆ’ŽƒŽ‚›‰ 5 17" xfId="2161"/>
    <cellStyle name="ˆ’ŽƒŽ‚›‰ 5 18" xfId="2162"/>
    <cellStyle name="ˆ’ŽƒŽ‚›‰ 5 19" xfId="2163"/>
    <cellStyle name="ˆ’ŽƒŽ‚›‰ 5 2" xfId="2164"/>
    <cellStyle name="ˆ’ŽƒŽ‚›‰ 5 2 10" xfId="2165"/>
    <cellStyle name="ˆ’ŽƒŽ‚›‰ 5 2 11" xfId="2166"/>
    <cellStyle name="ˆ’ŽƒŽ‚›‰ 5 2 12" xfId="2167"/>
    <cellStyle name="ˆ’ŽƒŽ‚›‰ 5 2 13" xfId="2168"/>
    <cellStyle name="ˆ’ŽƒŽ‚›‰ 5 2 14" xfId="2169"/>
    <cellStyle name="ˆ’ŽƒŽ‚›‰ 5 2 15" xfId="2170"/>
    <cellStyle name="ˆ’ŽƒŽ‚›‰ 5 2 16" xfId="2171"/>
    <cellStyle name="ˆ’ŽƒŽ‚›‰ 5 2 17" xfId="2172"/>
    <cellStyle name="ˆ’ŽƒŽ‚›‰ 5 2 18" xfId="2173"/>
    <cellStyle name="ˆ’ŽƒŽ‚›‰ 5 2 19" xfId="2174"/>
    <cellStyle name="ˆ’ŽƒŽ‚›‰ 5 2 2" xfId="2175"/>
    <cellStyle name="ˆ’ŽƒŽ‚›‰ 5 2 2 10" xfId="2176"/>
    <cellStyle name="ˆ’ŽƒŽ‚›‰ 5 2 2 11" xfId="2177"/>
    <cellStyle name="ˆ’ŽƒŽ‚›‰ 5 2 2 12" xfId="2178"/>
    <cellStyle name="ˆ’ŽƒŽ‚›‰ 5 2 2 13" xfId="2179"/>
    <cellStyle name="ˆ’ŽƒŽ‚›‰ 5 2 2 14" xfId="2180"/>
    <cellStyle name="ˆ’ŽƒŽ‚›‰ 5 2 2 15" xfId="2181"/>
    <cellStyle name="ˆ’ŽƒŽ‚›‰ 5 2 2 16" xfId="2182"/>
    <cellStyle name="ˆ’ŽƒŽ‚›‰ 5 2 2 17" xfId="2183"/>
    <cellStyle name="ˆ’ŽƒŽ‚›‰ 5 2 2 18" xfId="2184"/>
    <cellStyle name="ˆ’ŽƒŽ‚›‰ 5 2 2 2" xfId="2185"/>
    <cellStyle name="ˆ’ŽƒŽ‚›‰ 5 2 2 2 2" xfId="2186"/>
    <cellStyle name="ˆ’ŽƒŽ‚›‰ 5 2 2 2 2 2" xfId="2187"/>
    <cellStyle name="ˆ’ŽƒŽ‚›‰ 5 2 2 2 3" xfId="2188"/>
    <cellStyle name="ˆ’ŽƒŽ‚›‰ 5 2 2 2 4" xfId="2189"/>
    <cellStyle name="ˆ’ŽƒŽ‚›‰ 5 2 2 3" xfId="2190"/>
    <cellStyle name="ˆ’ŽƒŽ‚›‰ 5 2 2 3 2" xfId="2191"/>
    <cellStyle name="ˆ’ŽƒŽ‚›‰ 5 2 2 3 3" xfId="2192"/>
    <cellStyle name="ˆ’ŽƒŽ‚›‰ 5 2 2 4" xfId="2193"/>
    <cellStyle name="ˆ’ŽƒŽ‚›‰ 5 2 2 4 2" xfId="2194"/>
    <cellStyle name="ˆ’ŽƒŽ‚›‰ 5 2 2 5" xfId="2195"/>
    <cellStyle name="ˆ’ŽƒŽ‚›‰ 5 2 2 6" xfId="2196"/>
    <cellStyle name="ˆ’ŽƒŽ‚›‰ 5 2 2 7" xfId="2197"/>
    <cellStyle name="ˆ’ŽƒŽ‚›‰ 5 2 2 8" xfId="2198"/>
    <cellStyle name="ˆ’ŽƒŽ‚›‰ 5 2 2 9" xfId="2199"/>
    <cellStyle name="ˆ’ŽƒŽ‚›‰ 5 2 20" xfId="2200"/>
    <cellStyle name="ˆ’ŽƒŽ‚›‰ 5 2 21" xfId="2201"/>
    <cellStyle name="ˆ’ŽƒŽ‚›‰ 5 2 22" xfId="2202"/>
    <cellStyle name="ˆ’ŽƒŽ‚›‰ 5 2 23" xfId="2203"/>
    <cellStyle name="ˆ’ŽƒŽ‚›‰ 5 2 3" xfId="2204"/>
    <cellStyle name="ˆ’ŽƒŽ‚›‰ 5 2 3 10" xfId="2205"/>
    <cellStyle name="ˆ’ŽƒŽ‚›‰ 5 2 3 11" xfId="2206"/>
    <cellStyle name="ˆ’ŽƒŽ‚›‰ 5 2 3 12" xfId="2207"/>
    <cellStyle name="ˆ’ŽƒŽ‚›‰ 5 2 3 13" xfId="2208"/>
    <cellStyle name="ˆ’ŽƒŽ‚›‰ 5 2 3 14" xfId="2209"/>
    <cellStyle name="ˆ’ŽƒŽ‚›‰ 5 2 3 15" xfId="2210"/>
    <cellStyle name="ˆ’ŽƒŽ‚›‰ 5 2 3 16" xfId="2211"/>
    <cellStyle name="ˆ’ŽƒŽ‚›‰ 5 2 3 17" xfId="2212"/>
    <cellStyle name="ˆ’ŽƒŽ‚›‰ 5 2 3 18" xfId="2213"/>
    <cellStyle name="ˆ’ŽƒŽ‚›‰ 5 2 3 2" xfId="2214"/>
    <cellStyle name="ˆ’ŽƒŽ‚›‰ 5 2 3 2 2" xfId="2215"/>
    <cellStyle name="ˆ’ŽƒŽ‚›‰ 5 2 3 2 2 2" xfId="2216"/>
    <cellStyle name="ˆ’ŽƒŽ‚›‰ 5 2 3 2 3" xfId="2217"/>
    <cellStyle name="ˆ’ŽƒŽ‚›‰ 5 2 3 2 4" xfId="2218"/>
    <cellStyle name="ˆ’ŽƒŽ‚›‰ 5 2 3 3" xfId="2219"/>
    <cellStyle name="ˆ’ŽƒŽ‚›‰ 5 2 3 3 2" xfId="2220"/>
    <cellStyle name="ˆ’ŽƒŽ‚›‰ 5 2 3 3 3" xfId="2221"/>
    <cellStyle name="ˆ’ŽƒŽ‚›‰ 5 2 3 4" xfId="2222"/>
    <cellStyle name="ˆ’ŽƒŽ‚›‰ 5 2 3 4 2" xfId="2223"/>
    <cellStyle name="ˆ’ŽƒŽ‚›‰ 5 2 3 5" xfId="2224"/>
    <cellStyle name="ˆ’ŽƒŽ‚›‰ 5 2 3 6" xfId="2225"/>
    <cellStyle name="ˆ’ŽƒŽ‚›‰ 5 2 3 7" xfId="2226"/>
    <cellStyle name="ˆ’ŽƒŽ‚›‰ 5 2 3 8" xfId="2227"/>
    <cellStyle name="ˆ’ŽƒŽ‚›‰ 5 2 3 9" xfId="2228"/>
    <cellStyle name="ˆ’ŽƒŽ‚›‰ 5 2 4" xfId="2229"/>
    <cellStyle name="ˆ’ŽƒŽ‚›‰ 5 2 4 2" xfId="2230"/>
    <cellStyle name="ˆ’ŽƒŽ‚›‰ 5 2 4 2 2" xfId="2231"/>
    <cellStyle name="ˆ’ŽƒŽ‚›‰ 5 2 4 2 3" xfId="2232"/>
    <cellStyle name="ˆ’ŽƒŽ‚›‰ 5 2 4 3" xfId="2233"/>
    <cellStyle name="ˆ’ŽƒŽ‚›‰ 5 2 4 3 2" xfId="2234"/>
    <cellStyle name="ˆ’ŽƒŽ‚›‰ 5 2 4 4" xfId="2235"/>
    <cellStyle name="ˆ’ŽƒŽ‚›‰ 5 2 4 5" xfId="2236"/>
    <cellStyle name="ˆ’ŽƒŽ‚›‰ 5 2 5" xfId="2237"/>
    <cellStyle name="ˆ’ŽƒŽ‚›‰ 5 2 5 2" xfId="2238"/>
    <cellStyle name="ˆ’ŽƒŽ‚›‰ 5 2 5 2 2" xfId="2239"/>
    <cellStyle name="ˆ’ŽƒŽ‚›‰ 5 2 5 3" xfId="2240"/>
    <cellStyle name="ˆ’ŽƒŽ‚›‰ 5 2 5 4" xfId="2241"/>
    <cellStyle name="ˆ’ŽƒŽ‚›‰ 5 2 6" xfId="2242"/>
    <cellStyle name="ˆ’ŽƒŽ‚›‰ 5 2 6 2" xfId="2243"/>
    <cellStyle name="ˆ’ŽƒŽ‚›‰ 5 2 6 3" xfId="2244"/>
    <cellStyle name="ˆ’ŽƒŽ‚›‰ 5 2 7" xfId="2245"/>
    <cellStyle name="ˆ’ŽƒŽ‚›‰ 5 2 7 2" xfId="2246"/>
    <cellStyle name="ˆ’ŽƒŽ‚›‰ 5 2 8" xfId="2247"/>
    <cellStyle name="ˆ’ŽƒŽ‚›‰ 5 2 9" xfId="2248"/>
    <cellStyle name="ˆ’ŽƒŽ‚›‰ 5 20" xfId="2249"/>
    <cellStyle name="ˆ’ŽƒŽ‚›‰ 5 21" xfId="2250"/>
    <cellStyle name="ˆ’ŽƒŽ‚›‰ 5 22" xfId="2251"/>
    <cellStyle name="ˆ’ŽƒŽ‚›‰ 5 23" xfId="2252"/>
    <cellStyle name="ˆ’ŽƒŽ‚›‰ 5 24" xfId="2253"/>
    <cellStyle name="ˆ’ŽƒŽ‚›‰ 5 25" xfId="2254"/>
    <cellStyle name="ˆ’ŽƒŽ‚›‰ 5 26" xfId="2255"/>
    <cellStyle name="ˆ’ŽƒŽ‚›‰ 5 27" xfId="2256"/>
    <cellStyle name="ˆ’ŽƒŽ‚›‰ 5 28" xfId="2257"/>
    <cellStyle name="ˆ’ŽƒŽ‚›‰ 5 3" xfId="2258"/>
    <cellStyle name="ˆ’ŽƒŽ‚›‰ 5 3 10" xfId="2259"/>
    <cellStyle name="ˆ’ŽƒŽ‚›‰ 5 3 11" xfId="2260"/>
    <cellStyle name="ˆ’ŽƒŽ‚›‰ 5 3 12" xfId="2261"/>
    <cellStyle name="ˆ’ŽƒŽ‚›‰ 5 3 13" xfId="2262"/>
    <cellStyle name="ˆ’ŽƒŽ‚›‰ 5 3 14" xfId="2263"/>
    <cellStyle name="ˆ’ŽƒŽ‚›‰ 5 3 15" xfId="2264"/>
    <cellStyle name="ˆ’ŽƒŽ‚›‰ 5 3 16" xfId="2265"/>
    <cellStyle name="ˆ’ŽƒŽ‚›‰ 5 3 17" xfId="2266"/>
    <cellStyle name="ˆ’ŽƒŽ‚›‰ 5 3 18" xfId="2267"/>
    <cellStyle name="ˆ’ŽƒŽ‚›‰ 5 3 19" xfId="2268"/>
    <cellStyle name="ˆ’ŽƒŽ‚›‰ 5 3 2" xfId="2269"/>
    <cellStyle name="ˆ’ŽƒŽ‚›‰ 5 3 2 10" xfId="2270"/>
    <cellStyle name="ˆ’ŽƒŽ‚›‰ 5 3 2 11" xfId="2271"/>
    <cellStyle name="ˆ’ŽƒŽ‚›‰ 5 3 2 12" xfId="2272"/>
    <cellStyle name="ˆ’ŽƒŽ‚›‰ 5 3 2 13" xfId="2273"/>
    <cellStyle name="ˆ’ŽƒŽ‚›‰ 5 3 2 14" xfId="2274"/>
    <cellStyle name="ˆ’ŽƒŽ‚›‰ 5 3 2 15" xfId="2275"/>
    <cellStyle name="ˆ’ŽƒŽ‚›‰ 5 3 2 16" xfId="2276"/>
    <cellStyle name="ˆ’ŽƒŽ‚›‰ 5 3 2 17" xfId="2277"/>
    <cellStyle name="ˆ’ŽƒŽ‚›‰ 5 3 2 18" xfId="2278"/>
    <cellStyle name="ˆ’ŽƒŽ‚›‰ 5 3 2 2" xfId="2279"/>
    <cellStyle name="ˆ’ŽƒŽ‚›‰ 5 3 2 2 2" xfId="2280"/>
    <cellStyle name="ˆ’ŽƒŽ‚›‰ 5 3 2 2 2 2" xfId="2281"/>
    <cellStyle name="ˆ’ŽƒŽ‚›‰ 5 3 2 2 3" xfId="2282"/>
    <cellStyle name="ˆ’ŽƒŽ‚›‰ 5 3 2 2 4" xfId="2283"/>
    <cellStyle name="ˆ’ŽƒŽ‚›‰ 5 3 2 3" xfId="2284"/>
    <cellStyle name="ˆ’ŽƒŽ‚›‰ 5 3 2 3 2" xfId="2285"/>
    <cellStyle name="ˆ’ŽƒŽ‚›‰ 5 3 2 3 3" xfId="2286"/>
    <cellStyle name="ˆ’ŽƒŽ‚›‰ 5 3 2 4" xfId="2287"/>
    <cellStyle name="ˆ’ŽƒŽ‚›‰ 5 3 2 4 2" xfId="2288"/>
    <cellStyle name="ˆ’ŽƒŽ‚›‰ 5 3 2 5" xfId="2289"/>
    <cellStyle name="ˆ’ŽƒŽ‚›‰ 5 3 2 6" xfId="2290"/>
    <cellStyle name="ˆ’ŽƒŽ‚›‰ 5 3 2 7" xfId="2291"/>
    <cellStyle name="ˆ’ŽƒŽ‚›‰ 5 3 2 8" xfId="2292"/>
    <cellStyle name="ˆ’ŽƒŽ‚›‰ 5 3 2 9" xfId="2293"/>
    <cellStyle name="ˆ’ŽƒŽ‚›‰ 5 3 20" xfId="2294"/>
    <cellStyle name="ˆ’ŽƒŽ‚›‰ 5 3 3" xfId="2295"/>
    <cellStyle name="ˆ’ŽƒŽ‚›‰ 5 3 3 10" xfId="2296"/>
    <cellStyle name="ˆ’ŽƒŽ‚›‰ 5 3 3 11" xfId="2297"/>
    <cellStyle name="ˆ’ŽƒŽ‚›‰ 5 3 3 12" xfId="2298"/>
    <cellStyle name="ˆ’ŽƒŽ‚›‰ 5 3 3 13" xfId="2299"/>
    <cellStyle name="ˆ’ŽƒŽ‚›‰ 5 3 3 14" xfId="2300"/>
    <cellStyle name="ˆ’ŽƒŽ‚›‰ 5 3 3 15" xfId="2301"/>
    <cellStyle name="ˆ’ŽƒŽ‚›‰ 5 3 3 16" xfId="2302"/>
    <cellStyle name="ˆ’ŽƒŽ‚›‰ 5 3 3 17" xfId="2303"/>
    <cellStyle name="ˆ’ŽƒŽ‚›‰ 5 3 3 18" xfId="2304"/>
    <cellStyle name="ˆ’ŽƒŽ‚›‰ 5 3 3 2" xfId="2305"/>
    <cellStyle name="ˆ’ŽƒŽ‚›‰ 5 3 3 2 2" xfId="2306"/>
    <cellStyle name="ˆ’ŽƒŽ‚›‰ 5 3 3 2 2 2" xfId="2307"/>
    <cellStyle name="ˆ’ŽƒŽ‚›‰ 5 3 3 2 3" xfId="2308"/>
    <cellStyle name="ˆ’ŽƒŽ‚›‰ 5 3 3 2 4" xfId="2309"/>
    <cellStyle name="ˆ’ŽƒŽ‚›‰ 5 3 3 3" xfId="2310"/>
    <cellStyle name="ˆ’ŽƒŽ‚›‰ 5 3 3 3 2" xfId="2311"/>
    <cellStyle name="ˆ’ŽƒŽ‚›‰ 5 3 3 3 3" xfId="2312"/>
    <cellStyle name="ˆ’ŽƒŽ‚›‰ 5 3 3 4" xfId="2313"/>
    <cellStyle name="ˆ’ŽƒŽ‚›‰ 5 3 3 4 2" xfId="2314"/>
    <cellStyle name="ˆ’ŽƒŽ‚›‰ 5 3 3 5" xfId="2315"/>
    <cellStyle name="ˆ’ŽƒŽ‚›‰ 5 3 3 6" xfId="2316"/>
    <cellStyle name="ˆ’ŽƒŽ‚›‰ 5 3 3 7" xfId="2317"/>
    <cellStyle name="ˆ’ŽƒŽ‚›‰ 5 3 3 8" xfId="2318"/>
    <cellStyle name="ˆ’ŽƒŽ‚›‰ 5 3 3 9" xfId="2319"/>
    <cellStyle name="ˆ’ŽƒŽ‚›‰ 5 3 4" xfId="2320"/>
    <cellStyle name="ˆ’ŽƒŽ‚›‰ 5 3 4 2" xfId="2321"/>
    <cellStyle name="ˆ’ŽƒŽ‚›‰ 5 3 4 2 2" xfId="2322"/>
    <cellStyle name="ˆ’ŽƒŽ‚›‰ 5 3 4 2 3" xfId="2323"/>
    <cellStyle name="ˆ’ŽƒŽ‚›‰ 5 3 4 3" xfId="2324"/>
    <cellStyle name="ˆ’ŽƒŽ‚›‰ 5 3 4 3 2" xfId="2325"/>
    <cellStyle name="ˆ’ŽƒŽ‚›‰ 5 3 4 4" xfId="2326"/>
    <cellStyle name="ˆ’ŽƒŽ‚›‰ 5 3 4 5" xfId="2327"/>
    <cellStyle name="ˆ’ŽƒŽ‚›‰ 5 3 5" xfId="2328"/>
    <cellStyle name="ˆ’ŽƒŽ‚›‰ 5 3 5 2" xfId="2329"/>
    <cellStyle name="ˆ’ŽƒŽ‚›‰ 5 3 5 2 2" xfId="2330"/>
    <cellStyle name="ˆ’ŽƒŽ‚›‰ 5 3 5 3" xfId="2331"/>
    <cellStyle name="ˆ’ŽƒŽ‚›‰ 5 3 5 4" xfId="2332"/>
    <cellStyle name="ˆ’ŽƒŽ‚›‰ 5 3 6" xfId="2333"/>
    <cellStyle name="ˆ’ŽƒŽ‚›‰ 5 3 6 2" xfId="2334"/>
    <cellStyle name="ˆ’ŽƒŽ‚›‰ 5 3 6 3" xfId="2335"/>
    <cellStyle name="ˆ’ŽƒŽ‚›‰ 5 3 7" xfId="2336"/>
    <cellStyle name="ˆ’ŽƒŽ‚›‰ 5 3 7 2" xfId="2337"/>
    <cellStyle name="ˆ’ŽƒŽ‚›‰ 5 3 8" xfId="2338"/>
    <cellStyle name="ˆ’ŽƒŽ‚›‰ 5 3 9" xfId="2339"/>
    <cellStyle name="ˆ’ŽƒŽ‚›‰ 5 4" xfId="2340"/>
    <cellStyle name="ˆ’ŽƒŽ‚›‰ 5 4 10" xfId="2341"/>
    <cellStyle name="ˆ’ŽƒŽ‚›‰ 5 4 11" xfId="2342"/>
    <cellStyle name="ˆ’ŽƒŽ‚›‰ 5 4 12" xfId="2343"/>
    <cellStyle name="ˆ’ŽƒŽ‚›‰ 5 4 13" xfId="2344"/>
    <cellStyle name="ˆ’ŽƒŽ‚›‰ 5 4 14" xfId="2345"/>
    <cellStyle name="ˆ’ŽƒŽ‚›‰ 5 4 15" xfId="2346"/>
    <cellStyle name="ˆ’ŽƒŽ‚›‰ 5 4 16" xfId="2347"/>
    <cellStyle name="ˆ’ŽƒŽ‚›‰ 5 4 17" xfId="2348"/>
    <cellStyle name="ˆ’ŽƒŽ‚›‰ 5 4 18" xfId="2349"/>
    <cellStyle name="ˆ’ŽƒŽ‚›‰ 5 4 19" xfId="2350"/>
    <cellStyle name="ˆ’ŽƒŽ‚›‰ 5 4 2" xfId="2351"/>
    <cellStyle name="ˆ’ŽƒŽ‚›‰ 5 4 2 10" xfId="2352"/>
    <cellStyle name="ˆ’ŽƒŽ‚›‰ 5 4 2 11" xfId="2353"/>
    <cellStyle name="ˆ’ŽƒŽ‚›‰ 5 4 2 12" xfId="2354"/>
    <cellStyle name="ˆ’ŽƒŽ‚›‰ 5 4 2 13" xfId="2355"/>
    <cellStyle name="ˆ’ŽƒŽ‚›‰ 5 4 2 14" xfId="2356"/>
    <cellStyle name="ˆ’ŽƒŽ‚›‰ 5 4 2 15" xfId="2357"/>
    <cellStyle name="ˆ’ŽƒŽ‚›‰ 5 4 2 16" xfId="2358"/>
    <cellStyle name="ˆ’ŽƒŽ‚›‰ 5 4 2 17" xfId="2359"/>
    <cellStyle name="ˆ’ŽƒŽ‚›‰ 5 4 2 18" xfId="2360"/>
    <cellStyle name="ˆ’ŽƒŽ‚›‰ 5 4 2 2" xfId="2361"/>
    <cellStyle name="ˆ’ŽƒŽ‚›‰ 5 4 2 2 2" xfId="2362"/>
    <cellStyle name="ˆ’ŽƒŽ‚›‰ 5 4 2 2 2 2" xfId="2363"/>
    <cellStyle name="ˆ’ŽƒŽ‚›‰ 5 4 2 2 3" xfId="2364"/>
    <cellStyle name="ˆ’ŽƒŽ‚›‰ 5 4 2 2 4" xfId="2365"/>
    <cellStyle name="ˆ’ŽƒŽ‚›‰ 5 4 2 3" xfId="2366"/>
    <cellStyle name="ˆ’ŽƒŽ‚›‰ 5 4 2 3 2" xfId="2367"/>
    <cellStyle name="ˆ’ŽƒŽ‚›‰ 5 4 2 3 3" xfId="2368"/>
    <cellStyle name="ˆ’ŽƒŽ‚›‰ 5 4 2 4" xfId="2369"/>
    <cellStyle name="ˆ’ŽƒŽ‚›‰ 5 4 2 4 2" xfId="2370"/>
    <cellStyle name="ˆ’ŽƒŽ‚›‰ 5 4 2 5" xfId="2371"/>
    <cellStyle name="ˆ’ŽƒŽ‚›‰ 5 4 2 6" xfId="2372"/>
    <cellStyle name="ˆ’ŽƒŽ‚›‰ 5 4 2 7" xfId="2373"/>
    <cellStyle name="ˆ’ŽƒŽ‚›‰ 5 4 2 8" xfId="2374"/>
    <cellStyle name="ˆ’ŽƒŽ‚›‰ 5 4 2 9" xfId="2375"/>
    <cellStyle name="ˆ’ŽƒŽ‚›‰ 5 4 20" xfId="2376"/>
    <cellStyle name="ˆ’ŽƒŽ‚›‰ 5 4 21" xfId="2377"/>
    <cellStyle name="ˆ’ŽƒŽ‚›‰ 5 4 3" xfId="2378"/>
    <cellStyle name="ˆ’ŽƒŽ‚›‰ 5 4 3 10" xfId="2379"/>
    <cellStyle name="ˆ’ŽƒŽ‚›‰ 5 4 3 11" xfId="2380"/>
    <cellStyle name="ˆ’ŽƒŽ‚›‰ 5 4 3 12" xfId="2381"/>
    <cellStyle name="ˆ’ŽƒŽ‚›‰ 5 4 3 13" xfId="2382"/>
    <cellStyle name="ˆ’ŽƒŽ‚›‰ 5 4 3 14" xfId="2383"/>
    <cellStyle name="ˆ’ŽƒŽ‚›‰ 5 4 3 15" xfId="2384"/>
    <cellStyle name="ˆ’ŽƒŽ‚›‰ 5 4 3 16" xfId="2385"/>
    <cellStyle name="ˆ’ŽƒŽ‚›‰ 5 4 3 17" xfId="2386"/>
    <cellStyle name="ˆ’ŽƒŽ‚›‰ 5 4 3 18" xfId="2387"/>
    <cellStyle name="ˆ’ŽƒŽ‚›‰ 5 4 3 2" xfId="2388"/>
    <cellStyle name="ˆ’ŽƒŽ‚›‰ 5 4 3 2 2" xfId="2389"/>
    <cellStyle name="ˆ’ŽƒŽ‚›‰ 5 4 3 2 2 2" xfId="2390"/>
    <cellStyle name="ˆ’ŽƒŽ‚›‰ 5 4 3 2 3" xfId="2391"/>
    <cellStyle name="ˆ’ŽƒŽ‚›‰ 5 4 3 2 4" xfId="2392"/>
    <cellStyle name="ˆ’ŽƒŽ‚›‰ 5 4 3 3" xfId="2393"/>
    <cellStyle name="ˆ’ŽƒŽ‚›‰ 5 4 3 3 2" xfId="2394"/>
    <cellStyle name="ˆ’ŽƒŽ‚›‰ 5 4 3 3 3" xfId="2395"/>
    <cellStyle name="ˆ’ŽƒŽ‚›‰ 5 4 3 4" xfId="2396"/>
    <cellStyle name="ˆ’ŽƒŽ‚›‰ 5 4 3 4 2" xfId="2397"/>
    <cellStyle name="ˆ’ŽƒŽ‚›‰ 5 4 3 5" xfId="2398"/>
    <cellStyle name="ˆ’ŽƒŽ‚›‰ 5 4 3 6" xfId="2399"/>
    <cellStyle name="ˆ’ŽƒŽ‚›‰ 5 4 3 7" xfId="2400"/>
    <cellStyle name="ˆ’ŽƒŽ‚›‰ 5 4 3 8" xfId="2401"/>
    <cellStyle name="ˆ’ŽƒŽ‚›‰ 5 4 3 9" xfId="2402"/>
    <cellStyle name="ˆ’ŽƒŽ‚›‰ 5 4 4" xfId="2403"/>
    <cellStyle name="ˆ’ŽƒŽ‚›‰ 5 4 4 2" xfId="2404"/>
    <cellStyle name="ˆ’ŽƒŽ‚›‰ 5 4 4 2 2" xfId="2405"/>
    <cellStyle name="ˆ’ŽƒŽ‚›‰ 5 4 4 2 3" xfId="2406"/>
    <cellStyle name="ˆ’ŽƒŽ‚›‰ 5 4 4 3" xfId="2407"/>
    <cellStyle name="ˆ’ŽƒŽ‚›‰ 5 4 4 3 2" xfId="2408"/>
    <cellStyle name="ˆ’ŽƒŽ‚›‰ 5 4 4 4" xfId="2409"/>
    <cellStyle name="ˆ’ŽƒŽ‚›‰ 5 4 4 5" xfId="2410"/>
    <cellStyle name="ˆ’ŽƒŽ‚›‰ 5 4 5" xfId="2411"/>
    <cellStyle name="ˆ’ŽƒŽ‚›‰ 5 4 5 2" xfId="2412"/>
    <cellStyle name="ˆ’ŽƒŽ‚›‰ 5 4 5 2 2" xfId="2413"/>
    <cellStyle name="ˆ’ŽƒŽ‚›‰ 5 4 5 3" xfId="2414"/>
    <cellStyle name="ˆ’ŽƒŽ‚›‰ 5 4 5 4" xfId="2415"/>
    <cellStyle name="ˆ’ŽƒŽ‚›‰ 5 4 6" xfId="2416"/>
    <cellStyle name="ˆ’ŽƒŽ‚›‰ 5 4 6 2" xfId="2417"/>
    <cellStyle name="ˆ’ŽƒŽ‚›‰ 5 4 6 3" xfId="2418"/>
    <cellStyle name="ˆ’ŽƒŽ‚›‰ 5 4 7" xfId="2419"/>
    <cellStyle name="ˆ’ŽƒŽ‚›‰ 5 4 7 2" xfId="2420"/>
    <cellStyle name="ˆ’ŽƒŽ‚›‰ 5 4 8" xfId="2421"/>
    <cellStyle name="ˆ’ŽƒŽ‚›‰ 5 4 9" xfId="2422"/>
    <cellStyle name="ˆ’ŽƒŽ‚›‰ 5 5" xfId="2423"/>
    <cellStyle name="ˆ’ŽƒŽ‚›‰ 5 5 10" xfId="2424"/>
    <cellStyle name="ˆ’ŽƒŽ‚›‰ 5 5 11" xfId="2425"/>
    <cellStyle name="ˆ’ŽƒŽ‚›‰ 5 5 12" xfId="2426"/>
    <cellStyle name="ˆ’ŽƒŽ‚›‰ 5 5 13" xfId="2427"/>
    <cellStyle name="ˆ’ŽƒŽ‚›‰ 5 5 14" xfId="2428"/>
    <cellStyle name="ˆ’ŽƒŽ‚›‰ 5 5 15" xfId="2429"/>
    <cellStyle name="ˆ’ŽƒŽ‚›‰ 5 5 16" xfId="2430"/>
    <cellStyle name="ˆ’ŽƒŽ‚›‰ 5 5 17" xfId="2431"/>
    <cellStyle name="ˆ’ŽƒŽ‚›‰ 5 5 18" xfId="2432"/>
    <cellStyle name="ˆ’ŽƒŽ‚›‰ 5 5 19" xfId="2433"/>
    <cellStyle name="ˆ’ŽƒŽ‚›‰ 5 5 2" xfId="2434"/>
    <cellStyle name="ˆ’ŽƒŽ‚›‰ 5 5 2 10" xfId="2435"/>
    <cellStyle name="ˆ’ŽƒŽ‚›‰ 5 5 2 11" xfId="2436"/>
    <cellStyle name="ˆ’ŽƒŽ‚›‰ 5 5 2 12" xfId="2437"/>
    <cellStyle name="ˆ’ŽƒŽ‚›‰ 5 5 2 13" xfId="2438"/>
    <cellStyle name="ˆ’ŽƒŽ‚›‰ 5 5 2 14" xfId="2439"/>
    <cellStyle name="ˆ’ŽƒŽ‚›‰ 5 5 2 15" xfId="2440"/>
    <cellStyle name="ˆ’ŽƒŽ‚›‰ 5 5 2 16" xfId="2441"/>
    <cellStyle name="ˆ’ŽƒŽ‚›‰ 5 5 2 17" xfId="2442"/>
    <cellStyle name="ˆ’ŽƒŽ‚›‰ 5 5 2 18" xfId="2443"/>
    <cellStyle name="ˆ’ŽƒŽ‚›‰ 5 5 2 2" xfId="2444"/>
    <cellStyle name="ˆ’ŽƒŽ‚›‰ 5 5 2 2 2" xfId="2445"/>
    <cellStyle name="ˆ’ŽƒŽ‚›‰ 5 5 2 2 2 2" xfId="2446"/>
    <cellStyle name="ˆ’ŽƒŽ‚›‰ 5 5 2 2 3" xfId="2447"/>
    <cellStyle name="ˆ’ŽƒŽ‚›‰ 5 5 2 2 4" xfId="2448"/>
    <cellStyle name="ˆ’ŽƒŽ‚›‰ 5 5 2 3" xfId="2449"/>
    <cellStyle name="ˆ’ŽƒŽ‚›‰ 5 5 2 3 2" xfId="2450"/>
    <cellStyle name="ˆ’ŽƒŽ‚›‰ 5 5 2 3 3" xfId="2451"/>
    <cellStyle name="ˆ’ŽƒŽ‚›‰ 5 5 2 4" xfId="2452"/>
    <cellStyle name="ˆ’ŽƒŽ‚›‰ 5 5 2 4 2" xfId="2453"/>
    <cellStyle name="ˆ’ŽƒŽ‚›‰ 5 5 2 5" xfId="2454"/>
    <cellStyle name="ˆ’ŽƒŽ‚›‰ 5 5 2 6" xfId="2455"/>
    <cellStyle name="ˆ’ŽƒŽ‚›‰ 5 5 2 7" xfId="2456"/>
    <cellStyle name="ˆ’ŽƒŽ‚›‰ 5 5 2 8" xfId="2457"/>
    <cellStyle name="ˆ’ŽƒŽ‚›‰ 5 5 2 9" xfId="2458"/>
    <cellStyle name="ˆ’ŽƒŽ‚›‰ 5 5 20" xfId="2459"/>
    <cellStyle name="ˆ’ŽƒŽ‚›‰ 5 5 21" xfId="2460"/>
    <cellStyle name="ˆ’ŽƒŽ‚›‰ 5 5 3" xfId="2461"/>
    <cellStyle name="ˆ’ŽƒŽ‚›‰ 5 5 3 10" xfId="2462"/>
    <cellStyle name="ˆ’ŽƒŽ‚›‰ 5 5 3 11" xfId="2463"/>
    <cellStyle name="ˆ’ŽƒŽ‚›‰ 5 5 3 12" xfId="2464"/>
    <cellStyle name="ˆ’ŽƒŽ‚›‰ 5 5 3 13" xfId="2465"/>
    <cellStyle name="ˆ’ŽƒŽ‚›‰ 5 5 3 14" xfId="2466"/>
    <cellStyle name="ˆ’ŽƒŽ‚›‰ 5 5 3 15" xfId="2467"/>
    <cellStyle name="ˆ’ŽƒŽ‚›‰ 5 5 3 16" xfId="2468"/>
    <cellStyle name="ˆ’ŽƒŽ‚›‰ 5 5 3 17" xfId="2469"/>
    <cellStyle name="ˆ’ŽƒŽ‚›‰ 5 5 3 18" xfId="2470"/>
    <cellStyle name="ˆ’ŽƒŽ‚›‰ 5 5 3 2" xfId="2471"/>
    <cellStyle name="ˆ’ŽƒŽ‚›‰ 5 5 3 2 2" xfId="2472"/>
    <cellStyle name="ˆ’ŽƒŽ‚›‰ 5 5 3 2 2 2" xfId="2473"/>
    <cellStyle name="ˆ’ŽƒŽ‚›‰ 5 5 3 2 3" xfId="2474"/>
    <cellStyle name="ˆ’ŽƒŽ‚›‰ 5 5 3 2 4" xfId="2475"/>
    <cellStyle name="ˆ’ŽƒŽ‚›‰ 5 5 3 3" xfId="2476"/>
    <cellStyle name="ˆ’ŽƒŽ‚›‰ 5 5 3 3 2" xfId="2477"/>
    <cellStyle name="ˆ’ŽƒŽ‚›‰ 5 5 3 3 3" xfId="2478"/>
    <cellStyle name="ˆ’ŽƒŽ‚›‰ 5 5 3 4" xfId="2479"/>
    <cellStyle name="ˆ’ŽƒŽ‚›‰ 5 5 3 4 2" xfId="2480"/>
    <cellStyle name="ˆ’ŽƒŽ‚›‰ 5 5 3 5" xfId="2481"/>
    <cellStyle name="ˆ’ŽƒŽ‚›‰ 5 5 3 6" xfId="2482"/>
    <cellStyle name="ˆ’ŽƒŽ‚›‰ 5 5 3 7" xfId="2483"/>
    <cellStyle name="ˆ’ŽƒŽ‚›‰ 5 5 3 8" xfId="2484"/>
    <cellStyle name="ˆ’ŽƒŽ‚›‰ 5 5 3 9" xfId="2485"/>
    <cellStyle name="ˆ’ŽƒŽ‚›‰ 5 5 4" xfId="2486"/>
    <cellStyle name="ˆ’ŽƒŽ‚›‰ 5 5 4 2" xfId="2487"/>
    <cellStyle name="ˆ’ŽƒŽ‚›‰ 5 5 4 2 2" xfId="2488"/>
    <cellStyle name="ˆ’ŽƒŽ‚›‰ 5 5 4 2 3" xfId="2489"/>
    <cellStyle name="ˆ’ŽƒŽ‚›‰ 5 5 4 3" xfId="2490"/>
    <cellStyle name="ˆ’ŽƒŽ‚›‰ 5 5 4 3 2" xfId="2491"/>
    <cellStyle name="ˆ’ŽƒŽ‚›‰ 5 5 4 4" xfId="2492"/>
    <cellStyle name="ˆ’ŽƒŽ‚›‰ 5 5 4 5" xfId="2493"/>
    <cellStyle name="ˆ’ŽƒŽ‚›‰ 5 5 5" xfId="2494"/>
    <cellStyle name="ˆ’ŽƒŽ‚›‰ 5 5 5 2" xfId="2495"/>
    <cellStyle name="ˆ’ŽƒŽ‚›‰ 5 5 5 2 2" xfId="2496"/>
    <cellStyle name="ˆ’ŽƒŽ‚›‰ 5 5 5 3" xfId="2497"/>
    <cellStyle name="ˆ’ŽƒŽ‚›‰ 5 5 5 4" xfId="2498"/>
    <cellStyle name="ˆ’ŽƒŽ‚›‰ 5 5 6" xfId="2499"/>
    <cellStyle name="ˆ’ŽƒŽ‚›‰ 5 5 6 2" xfId="2500"/>
    <cellStyle name="ˆ’ŽƒŽ‚›‰ 5 5 6 3" xfId="2501"/>
    <cellStyle name="ˆ’ŽƒŽ‚›‰ 5 5 7" xfId="2502"/>
    <cellStyle name="ˆ’ŽƒŽ‚›‰ 5 5 7 2" xfId="2503"/>
    <cellStyle name="ˆ’ŽƒŽ‚›‰ 5 5 8" xfId="2504"/>
    <cellStyle name="ˆ’ŽƒŽ‚›‰ 5 5 9" xfId="2505"/>
    <cellStyle name="ˆ’ŽƒŽ‚›‰ 5 6" xfId="2506"/>
    <cellStyle name="ˆ’ŽƒŽ‚›‰ 5 6 10" xfId="2507"/>
    <cellStyle name="ˆ’ŽƒŽ‚›‰ 5 6 11" xfId="2508"/>
    <cellStyle name="ˆ’ŽƒŽ‚›‰ 5 6 12" xfId="2509"/>
    <cellStyle name="ˆ’ŽƒŽ‚›‰ 5 6 13" xfId="2510"/>
    <cellStyle name="ˆ’ŽƒŽ‚›‰ 5 6 14" xfId="2511"/>
    <cellStyle name="ˆ’ŽƒŽ‚›‰ 5 6 15" xfId="2512"/>
    <cellStyle name="ˆ’ŽƒŽ‚›‰ 5 6 16" xfId="2513"/>
    <cellStyle name="ˆ’ŽƒŽ‚›‰ 5 6 17" xfId="2514"/>
    <cellStyle name="ˆ’ŽƒŽ‚›‰ 5 6 18" xfId="2515"/>
    <cellStyle name="ˆ’ŽƒŽ‚›‰ 5 6 19" xfId="2516"/>
    <cellStyle name="ˆ’ŽƒŽ‚›‰ 5 6 2" xfId="2517"/>
    <cellStyle name="ˆ’ŽƒŽ‚›‰ 5 6 2 10" xfId="2518"/>
    <cellStyle name="ˆ’ŽƒŽ‚›‰ 5 6 2 11" xfId="2519"/>
    <cellStyle name="ˆ’ŽƒŽ‚›‰ 5 6 2 12" xfId="2520"/>
    <cellStyle name="ˆ’ŽƒŽ‚›‰ 5 6 2 13" xfId="2521"/>
    <cellStyle name="ˆ’ŽƒŽ‚›‰ 5 6 2 14" xfId="2522"/>
    <cellStyle name="ˆ’ŽƒŽ‚›‰ 5 6 2 15" xfId="2523"/>
    <cellStyle name="ˆ’ŽƒŽ‚›‰ 5 6 2 16" xfId="2524"/>
    <cellStyle name="ˆ’ŽƒŽ‚›‰ 5 6 2 17" xfId="2525"/>
    <cellStyle name="ˆ’ŽƒŽ‚›‰ 5 6 2 18" xfId="2526"/>
    <cellStyle name="ˆ’ŽƒŽ‚›‰ 5 6 2 2" xfId="2527"/>
    <cellStyle name="ˆ’ŽƒŽ‚›‰ 5 6 2 2 2" xfId="2528"/>
    <cellStyle name="ˆ’ŽƒŽ‚›‰ 5 6 2 2 2 2" xfId="2529"/>
    <cellStyle name="ˆ’ŽƒŽ‚›‰ 5 6 2 2 3" xfId="2530"/>
    <cellStyle name="ˆ’ŽƒŽ‚›‰ 5 6 2 2 4" xfId="2531"/>
    <cellStyle name="ˆ’ŽƒŽ‚›‰ 5 6 2 3" xfId="2532"/>
    <cellStyle name="ˆ’ŽƒŽ‚›‰ 5 6 2 3 2" xfId="2533"/>
    <cellStyle name="ˆ’ŽƒŽ‚›‰ 5 6 2 3 3" xfId="2534"/>
    <cellStyle name="ˆ’ŽƒŽ‚›‰ 5 6 2 4" xfId="2535"/>
    <cellStyle name="ˆ’ŽƒŽ‚›‰ 5 6 2 4 2" xfId="2536"/>
    <cellStyle name="ˆ’ŽƒŽ‚›‰ 5 6 2 5" xfId="2537"/>
    <cellStyle name="ˆ’ŽƒŽ‚›‰ 5 6 2 6" xfId="2538"/>
    <cellStyle name="ˆ’ŽƒŽ‚›‰ 5 6 2 7" xfId="2539"/>
    <cellStyle name="ˆ’ŽƒŽ‚›‰ 5 6 2 8" xfId="2540"/>
    <cellStyle name="ˆ’ŽƒŽ‚›‰ 5 6 2 9" xfId="2541"/>
    <cellStyle name="ˆ’ŽƒŽ‚›‰ 5 6 20" xfId="2542"/>
    <cellStyle name="ˆ’ŽƒŽ‚›‰ 5 6 3" xfId="2543"/>
    <cellStyle name="ˆ’ŽƒŽ‚›‰ 5 6 3 10" xfId="2544"/>
    <cellStyle name="ˆ’ŽƒŽ‚›‰ 5 6 3 11" xfId="2545"/>
    <cellStyle name="ˆ’ŽƒŽ‚›‰ 5 6 3 12" xfId="2546"/>
    <cellStyle name="ˆ’ŽƒŽ‚›‰ 5 6 3 13" xfId="2547"/>
    <cellStyle name="ˆ’ŽƒŽ‚›‰ 5 6 3 14" xfId="2548"/>
    <cellStyle name="ˆ’ŽƒŽ‚›‰ 5 6 3 15" xfId="2549"/>
    <cellStyle name="ˆ’ŽƒŽ‚›‰ 5 6 3 16" xfId="2550"/>
    <cellStyle name="ˆ’ŽƒŽ‚›‰ 5 6 3 17" xfId="2551"/>
    <cellStyle name="ˆ’ŽƒŽ‚›‰ 5 6 3 18" xfId="2552"/>
    <cellStyle name="ˆ’ŽƒŽ‚›‰ 5 6 3 2" xfId="2553"/>
    <cellStyle name="ˆ’ŽƒŽ‚›‰ 5 6 3 2 2" xfId="2554"/>
    <cellStyle name="ˆ’ŽƒŽ‚›‰ 5 6 3 2 2 2" xfId="2555"/>
    <cellStyle name="ˆ’ŽƒŽ‚›‰ 5 6 3 2 3" xfId="2556"/>
    <cellStyle name="ˆ’ŽƒŽ‚›‰ 5 6 3 2 4" xfId="2557"/>
    <cellStyle name="ˆ’ŽƒŽ‚›‰ 5 6 3 3" xfId="2558"/>
    <cellStyle name="ˆ’ŽƒŽ‚›‰ 5 6 3 3 2" xfId="2559"/>
    <cellStyle name="ˆ’ŽƒŽ‚›‰ 5 6 3 3 3" xfId="2560"/>
    <cellStyle name="ˆ’ŽƒŽ‚›‰ 5 6 3 4" xfId="2561"/>
    <cellStyle name="ˆ’ŽƒŽ‚›‰ 5 6 3 4 2" xfId="2562"/>
    <cellStyle name="ˆ’ŽƒŽ‚›‰ 5 6 3 5" xfId="2563"/>
    <cellStyle name="ˆ’ŽƒŽ‚›‰ 5 6 3 6" xfId="2564"/>
    <cellStyle name="ˆ’ŽƒŽ‚›‰ 5 6 3 7" xfId="2565"/>
    <cellStyle name="ˆ’ŽƒŽ‚›‰ 5 6 3 8" xfId="2566"/>
    <cellStyle name="ˆ’ŽƒŽ‚›‰ 5 6 3 9" xfId="2567"/>
    <cellStyle name="ˆ’ŽƒŽ‚›‰ 5 6 4" xfId="2568"/>
    <cellStyle name="ˆ’ŽƒŽ‚›‰ 5 6 4 2" xfId="2569"/>
    <cellStyle name="ˆ’ŽƒŽ‚›‰ 5 6 4 2 2" xfId="2570"/>
    <cellStyle name="ˆ’ŽƒŽ‚›‰ 5 6 4 3" xfId="2571"/>
    <cellStyle name="ˆ’ŽƒŽ‚›‰ 5 6 4 4" xfId="2572"/>
    <cellStyle name="ˆ’ŽƒŽ‚›‰ 5 6 5" xfId="2573"/>
    <cellStyle name="ˆ’ŽƒŽ‚›‰ 5 6 5 2" xfId="2574"/>
    <cellStyle name="ˆ’ŽƒŽ‚›‰ 5 6 6" xfId="2575"/>
    <cellStyle name="ˆ’ŽƒŽ‚›‰ 5 6 7" xfId="2576"/>
    <cellStyle name="ˆ’ŽƒŽ‚›‰ 5 6 8" xfId="2577"/>
    <cellStyle name="ˆ’ŽƒŽ‚›‰ 5 6 9" xfId="2578"/>
    <cellStyle name="ˆ’ŽƒŽ‚›‰ 5 7" xfId="2579"/>
    <cellStyle name="ˆ’ŽƒŽ‚›‰ 5 7 10" xfId="2580"/>
    <cellStyle name="ˆ’ŽƒŽ‚›‰ 5 7 11" xfId="2581"/>
    <cellStyle name="ˆ’ŽƒŽ‚›‰ 5 7 12" xfId="2582"/>
    <cellStyle name="ˆ’ŽƒŽ‚›‰ 5 7 13" xfId="2583"/>
    <cellStyle name="ˆ’ŽƒŽ‚›‰ 5 7 14" xfId="2584"/>
    <cellStyle name="ˆ’ŽƒŽ‚›‰ 5 7 15" xfId="2585"/>
    <cellStyle name="ˆ’ŽƒŽ‚›‰ 5 7 16" xfId="2586"/>
    <cellStyle name="ˆ’ŽƒŽ‚›‰ 5 7 17" xfId="2587"/>
    <cellStyle name="ˆ’ŽƒŽ‚›‰ 5 7 18" xfId="2588"/>
    <cellStyle name="ˆ’ŽƒŽ‚›‰ 5 7 2" xfId="2589"/>
    <cellStyle name="ˆ’ŽƒŽ‚›‰ 5 7 2 2" xfId="2590"/>
    <cellStyle name="ˆ’ŽƒŽ‚›‰ 5 7 2 2 2" xfId="2591"/>
    <cellStyle name="ˆ’ŽƒŽ‚›‰ 5 7 2 3" xfId="2592"/>
    <cellStyle name="ˆ’ŽƒŽ‚›‰ 5 7 2 4" xfId="2593"/>
    <cellStyle name="ˆ’ŽƒŽ‚›‰ 5 7 3" xfId="2594"/>
    <cellStyle name="ˆ’ŽƒŽ‚›‰ 5 7 3 2" xfId="2595"/>
    <cellStyle name="ˆ’ŽƒŽ‚›‰ 5 7 3 3" xfId="2596"/>
    <cellStyle name="ˆ’ŽƒŽ‚›‰ 5 7 4" xfId="2597"/>
    <cellStyle name="ˆ’ŽƒŽ‚›‰ 5 7 4 2" xfId="2598"/>
    <cellStyle name="ˆ’ŽƒŽ‚›‰ 5 7 5" xfId="2599"/>
    <cellStyle name="ˆ’ŽƒŽ‚›‰ 5 7 6" xfId="2600"/>
    <cellStyle name="ˆ’ŽƒŽ‚›‰ 5 7 7" xfId="2601"/>
    <cellStyle name="ˆ’ŽƒŽ‚›‰ 5 7 8" xfId="2602"/>
    <cellStyle name="ˆ’ŽƒŽ‚›‰ 5 7 9" xfId="2603"/>
    <cellStyle name="ˆ’ŽƒŽ‚›‰ 5 8" xfId="2604"/>
    <cellStyle name="ˆ’ŽƒŽ‚›‰ 5 8 10" xfId="2605"/>
    <cellStyle name="ˆ’ŽƒŽ‚›‰ 5 8 11" xfId="2606"/>
    <cellStyle name="ˆ’ŽƒŽ‚›‰ 5 8 12" xfId="2607"/>
    <cellStyle name="ˆ’ŽƒŽ‚›‰ 5 8 13" xfId="2608"/>
    <cellStyle name="ˆ’ŽƒŽ‚›‰ 5 8 14" xfId="2609"/>
    <cellStyle name="ˆ’ŽƒŽ‚›‰ 5 8 15" xfId="2610"/>
    <cellStyle name="ˆ’ŽƒŽ‚›‰ 5 8 16" xfId="2611"/>
    <cellStyle name="ˆ’ŽƒŽ‚›‰ 5 8 17" xfId="2612"/>
    <cellStyle name="ˆ’ŽƒŽ‚›‰ 5 8 18" xfId="2613"/>
    <cellStyle name="ˆ’ŽƒŽ‚›‰ 5 8 2" xfId="2614"/>
    <cellStyle name="ˆ’ŽƒŽ‚›‰ 5 8 2 2" xfId="2615"/>
    <cellStyle name="ˆ’ŽƒŽ‚›‰ 5 8 3" xfId="2616"/>
    <cellStyle name="ˆ’ŽƒŽ‚›‰ 5 8 4" xfId="2617"/>
    <cellStyle name="ˆ’ŽƒŽ‚›‰ 5 8 5" xfId="2618"/>
    <cellStyle name="ˆ’ŽƒŽ‚›‰ 5 8 6" xfId="2619"/>
    <cellStyle name="ˆ’ŽƒŽ‚›‰ 5 8 7" xfId="2620"/>
    <cellStyle name="ˆ’ŽƒŽ‚›‰ 5 8 8" xfId="2621"/>
    <cellStyle name="ˆ’ŽƒŽ‚›‰ 5 8 9" xfId="2622"/>
    <cellStyle name="ˆ’ŽƒŽ‚›‰ 5 9" xfId="2623"/>
    <cellStyle name="ˆ’ŽƒŽ‚›‰ 6" xfId="2624"/>
    <cellStyle name="ˆ’ŽƒŽ‚›‰ 6 10" xfId="2625"/>
    <cellStyle name="ˆ’ŽƒŽ‚›‰ 6 11" xfId="2626"/>
    <cellStyle name="ˆ’ŽƒŽ‚›‰ 6 12" xfId="2627"/>
    <cellStyle name="ˆ’ŽƒŽ‚›‰ 6 13" xfId="2628"/>
    <cellStyle name="ˆ’ŽƒŽ‚›‰ 6 14" xfId="2629"/>
    <cellStyle name="ˆ’ŽƒŽ‚›‰ 6 15" xfId="2630"/>
    <cellStyle name="ˆ’ŽƒŽ‚›‰ 6 16" xfId="2631"/>
    <cellStyle name="ˆ’ŽƒŽ‚›‰ 6 17" xfId="2632"/>
    <cellStyle name="ˆ’ŽƒŽ‚›‰ 6 18" xfId="2633"/>
    <cellStyle name="ˆ’ŽƒŽ‚›‰ 6 19" xfId="2634"/>
    <cellStyle name="ˆ’ŽƒŽ‚›‰ 6 2" xfId="2635"/>
    <cellStyle name="ˆ’ŽƒŽ‚›‰ 6 2 10" xfId="2636"/>
    <cellStyle name="ˆ’ŽƒŽ‚›‰ 6 2 11" xfId="2637"/>
    <cellStyle name="ˆ’ŽƒŽ‚›‰ 6 2 12" xfId="2638"/>
    <cellStyle name="ˆ’ŽƒŽ‚›‰ 6 2 13" xfId="2639"/>
    <cellStyle name="ˆ’ŽƒŽ‚›‰ 6 2 14" xfId="2640"/>
    <cellStyle name="ˆ’ŽƒŽ‚›‰ 6 2 15" xfId="2641"/>
    <cellStyle name="ˆ’ŽƒŽ‚›‰ 6 2 16" xfId="2642"/>
    <cellStyle name="ˆ’ŽƒŽ‚›‰ 6 2 17" xfId="2643"/>
    <cellStyle name="ˆ’ŽƒŽ‚›‰ 6 2 18" xfId="2644"/>
    <cellStyle name="ˆ’ŽƒŽ‚›‰ 6 2 2" xfId="2645"/>
    <cellStyle name="ˆ’ŽƒŽ‚›‰ 6 2 2 2" xfId="2646"/>
    <cellStyle name="ˆ’ŽƒŽ‚›‰ 6 2 2 2 2" xfId="2647"/>
    <cellStyle name="ˆ’ŽƒŽ‚›‰ 6 2 2 3" xfId="2648"/>
    <cellStyle name="ˆ’ŽƒŽ‚›‰ 6 2 2 4" xfId="2649"/>
    <cellStyle name="ˆ’ŽƒŽ‚›‰ 6 2 3" xfId="2650"/>
    <cellStyle name="ˆ’ŽƒŽ‚›‰ 6 2 3 2" xfId="2651"/>
    <cellStyle name="ˆ’ŽƒŽ‚›‰ 6 2 3 3" xfId="2652"/>
    <cellStyle name="ˆ’ŽƒŽ‚›‰ 6 2 4" xfId="2653"/>
    <cellStyle name="ˆ’ŽƒŽ‚›‰ 6 2 4 2" xfId="2654"/>
    <cellStyle name="ˆ’ŽƒŽ‚›‰ 6 2 5" xfId="2655"/>
    <cellStyle name="ˆ’ŽƒŽ‚›‰ 6 2 6" xfId="2656"/>
    <cellStyle name="ˆ’ŽƒŽ‚›‰ 6 2 7" xfId="2657"/>
    <cellStyle name="ˆ’ŽƒŽ‚›‰ 6 2 8" xfId="2658"/>
    <cellStyle name="ˆ’ŽƒŽ‚›‰ 6 2 9" xfId="2659"/>
    <cellStyle name="ˆ’ŽƒŽ‚›‰ 6 20" xfId="2660"/>
    <cellStyle name="ˆ’ŽƒŽ‚›‰ 6 21" xfId="2661"/>
    <cellStyle name="ˆ’ŽƒŽ‚›‰ 6 22" xfId="2662"/>
    <cellStyle name="ˆ’ŽƒŽ‚›‰ 6 23" xfId="2663"/>
    <cellStyle name="ˆ’ŽƒŽ‚›‰ 6 3" xfId="2664"/>
    <cellStyle name="ˆ’ŽƒŽ‚›‰ 6 3 10" xfId="2665"/>
    <cellStyle name="ˆ’ŽƒŽ‚›‰ 6 3 11" xfId="2666"/>
    <cellStyle name="ˆ’ŽƒŽ‚›‰ 6 3 12" xfId="2667"/>
    <cellStyle name="ˆ’ŽƒŽ‚›‰ 6 3 13" xfId="2668"/>
    <cellStyle name="ˆ’ŽƒŽ‚›‰ 6 3 14" xfId="2669"/>
    <cellStyle name="ˆ’ŽƒŽ‚›‰ 6 3 15" xfId="2670"/>
    <cellStyle name="ˆ’ŽƒŽ‚›‰ 6 3 16" xfId="2671"/>
    <cellStyle name="ˆ’ŽƒŽ‚›‰ 6 3 17" xfId="2672"/>
    <cellStyle name="ˆ’ŽƒŽ‚›‰ 6 3 18" xfId="2673"/>
    <cellStyle name="ˆ’ŽƒŽ‚›‰ 6 3 2" xfId="2674"/>
    <cellStyle name="ˆ’ŽƒŽ‚›‰ 6 3 2 2" xfId="2675"/>
    <cellStyle name="ˆ’ŽƒŽ‚›‰ 6 3 2 2 2" xfId="2676"/>
    <cellStyle name="ˆ’ŽƒŽ‚›‰ 6 3 2 3" xfId="2677"/>
    <cellStyle name="ˆ’ŽƒŽ‚›‰ 6 3 2 4" xfId="2678"/>
    <cellStyle name="ˆ’ŽƒŽ‚›‰ 6 3 3" xfId="2679"/>
    <cellStyle name="ˆ’ŽƒŽ‚›‰ 6 3 3 2" xfId="2680"/>
    <cellStyle name="ˆ’ŽƒŽ‚›‰ 6 3 3 3" xfId="2681"/>
    <cellStyle name="ˆ’ŽƒŽ‚›‰ 6 3 4" xfId="2682"/>
    <cellStyle name="ˆ’ŽƒŽ‚›‰ 6 3 4 2" xfId="2683"/>
    <cellStyle name="ˆ’ŽƒŽ‚›‰ 6 3 5" xfId="2684"/>
    <cellStyle name="ˆ’ŽƒŽ‚›‰ 6 3 6" xfId="2685"/>
    <cellStyle name="ˆ’ŽƒŽ‚›‰ 6 3 7" xfId="2686"/>
    <cellStyle name="ˆ’ŽƒŽ‚›‰ 6 3 8" xfId="2687"/>
    <cellStyle name="ˆ’ŽƒŽ‚›‰ 6 3 9" xfId="2688"/>
    <cellStyle name="ˆ’ŽƒŽ‚›‰ 6 4" xfId="2689"/>
    <cellStyle name="ˆ’ŽƒŽ‚›‰ 6 4 2" xfId="2690"/>
    <cellStyle name="ˆ’ŽƒŽ‚›‰ 6 4 2 2" xfId="2691"/>
    <cellStyle name="ˆ’ŽƒŽ‚›‰ 6 4 2 3" xfId="2692"/>
    <cellStyle name="ˆ’ŽƒŽ‚›‰ 6 4 3" xfId="2693"/>
    <cellStyle name="ˆ’ŽƒŽ‚›‰ 6 4 3 2" xfId="2694"/>
    <cellStyle name="ˆ’ŽƒŽ‚›‰ 6 4 4" xfId="2695"/>
    <cellStyle name="ˆ’ŽƒŽ‚›‰ 6 4 5" xfId="2696"/>
    <cellStyle name="ˆ’ŽƒŽ‚›‰ 6 5" xfId="2697"/>
    <cellStyle name="ˆ’ŽƒŽ‚›‰ 6 5 2" xfId="2698"/>
    <cellStyle name="ˆ’ŽƒŽ‚›‰ 6 5 2 2" xfId="2699"/>
    <cellStyle name="ˆ’ŽƒŽ‚›‰ 6 5 3" xfId="2700"/>
    <cellStyle name="ˆ’ŽƒŽ‚›‰ 6 5 4" xfId="2701"/>
    <cellStyle name="ˆ’ŽƒŽ‚›‰ 6 6" xfId="2702"/>
    <cellStyle name="ˆ’ŽƒŽ‚›‰ 6 6 2" xfId="2703"/>
    <cellStyle name="ˆ’ŽƒŽ‚›‰ 6 6 3" xfId="2704"/>
    <cellStyle name="ˆ’ŽƒŽ‚›‰ 6 7" xfId="2705"/>
    <cellStyle name="ˆ’ŽƒŽ‚›‰ 6 7 2" xfId="2706"/>
    <cellStyle name="ˆ’ŽƒŽ‚›‰ 6 8" xfId="2707"/>
    <cellStyle name="ˆ’ŽƒŽ‚›‰ 6 9" xfId="2708"/>
    <cellStyle name="ˆ’ŽƒŽ‚›‰ 7" xfId="2709"/>
    <cellStyle name="ˆ’ŽƒŽ‚›‰ 7 10" xfId="2710"/>
    <cellStyle name="ˆ’ŽƒŽ‚›‰ 7 11" xfId="2711"/>
    <cellStyle name="ˆ’ŽƒŽ‚›‰ 7 12" xfId="2712"/>
    <cellStyle name="ˆ’ŽƒŽ‚›‰ 7 13" xfId="2713"/>
    <cellStyle name="ˆ’ŽƒŽ‚›‰ 7 14" xfId="2714"/>
    <cellStyle name="ˆ’ŽƒŽ‚›‰ 7 15" xfId="2715"/>
    <cellStyle name="ˆ’ŽƒŽ‚›‰ 7 16" xfId="2716"/>
    <cellStyle name="ˆ’ŽƒŽ‚›‰ 7 17" xfId="2717"/>
    <cellStyle name="ˆ’ŽƒŽ‚›‰ 7 18" xfId="2718"/>
    <cellStyle name="ˆ’ŽƒŽ‚›‰ 7 19" xfId="2719"/>
    <cellStyle name="ˆ’ŽƒŽ‚›‰ 7 2" xfId="2720"/>
    <cellStyle name="ˆ’ŽƒŽ‚›‰ 7 2 10" xfId="2721"/>
    <cellStyle name="ˆ’ŽƒŽ‚›‰ 7 2 11" xfId="2722"/>
    <cellStyle name="ˆ’ŽƒŽ‚›‰ 7 2 12" xfId="2723"/>
    <cellStyle name="ˆ’ŽƒŽ‚›‰ 7 2 13" xfId="2724"/>
    <cellStyle name="ˆ’ŽƒŽ‚›‰ 7 2 14" xfId="2725"/>
    <cellStyle name="ˆ’ŽƒŽ‚›‰ 7 2 15" xfId="2726"/>
    <cellStyle name="ˆ’ŽƒŽ‚›‰ 7 2 16" xfId="2727"/>
    <cellStyle name="ˆ’ŽƒŽ‚›‰ 7 2 17" xfId="2728"/>
    <cellStyle name="ˆ’ŽƒŽ‚›‰ 7 2 18" xfId="2729"/>
    <cellStyle name="ˆ’ŽƒŽ‚›‰ 7 2 2" xfId="2730"/>
    <cellStyle name="ˆ’ŽƒŽ‚›‰ 7 2 2 2" xfId="2731"/>
    <cellStyle name="ˆ’ŽƒŽ‚›‰ 7 2 2 2 2" xfId="2732"/>
    <cellStyle name="ˆ’ŽƒŽ‚›‰ 7 2 2 3" xfId="2733"/>
    <cellStyle name="ˆ’ŽƒŽ‚›‰ 7 2 2 4" xfId="2734"/>
    <cellStyle name="ˆ’ŽƒŽ‚›‰ 7 2 3" xfId="2735"/>
    <cellStyle name="ˆ’ŽƒŽ‚›‰ 7 2 3 2" xfId="2736"/>
    <cellStyle name="ˆ’ŽƒŽ‚›‰ 7 2 3 3" xfId="2737"/>
    <cellStyle name="ˆ’ŽƒŽ‚›‰ 7 2 4" xfId="2738"/>
    <cellStyle name="ˆ’ŽƒŽ‚›‰ 7 2 4 2" xfId="2739"/>
    <cellStyle name="ˆ’ŽƒŽ‚›‰ 7 2 5" xfId="2740"/>
    <cellStyle name="ˆ’ŽƒŽ‚›‰ 7 2 6" xfId="2741"/>
    <cellStyle name="ˆ’ŽƒŽ‚›‰ 7 2 7" xfId="2742"/>
    <cellStyle name="ˆ’ŽƒŽ‚›‰ 7 2 8" xfId="2743"/>
    <cellStyle name="ˆ’ŽƒŽ‚›‰ 7 2 9" xfId="2744"/>
    <cellStyle name="ˆ’ŽƒŽ‚›‰ 7 20" xfId="2745"/>
    <cellStyle name="ˆ’ŽƒŽ‚›‰ 7 3" xfId="2746"/>
    <cellStyle name="ˆ’ŽƒŽ‚›‰ 7 3 10" xfId="2747"/>
    <cellStyle name="ˆ’ŽƒŽ‚›‰ 7 3 11" xfId="2748"/>
    <cellStyle name="ˆ’ŽƒŽ‚›‰ 7 3 12" xfId="2749"/>
    <cellStyle name="ˆ’ŽƒŽ‚›‰ 7 3 13" xfId="2750"/>
    <cellStyle name="ˆ’ŽƒŽ‚›‰ 7 3 14" xfId="2751"/>
    <cellStyle name="ˆ’ŽƒŽ‚›‰ 7 3 15" xfId="2752"/>
    <cellStyle name="ˆ’ŽƒŽ‚›‰ 7 3 16" xfId="2753"/>
    <cellStyle name="ˆ’ŽƒŽ‚›‰ 7 3 17" xfId="2754"/>
    <cellStyle name="ˆ’ŽƒŽ‚›‰ 7 3 18" xfId="2755"/>
    <cellStyle name="ˆ’ŽƒŽ‚›‰ 7 3 2" xfId="2756"/>
    <cellStyle name="ˆ’ŽƒŽ‚›‰ 7 3 2 2" xfId="2757"/>
    <cellStyle name="ˆ’ŽƒŽ‚›‰ 7 3 2 2 2" xfId="2758"/>
    <cellStyle name="ˆ’ŽƒŽ‚›‰ 7 3 2 3" xfId="2759"/>
    <cellStyle name="ˆ’ŽƒŽ‚›‰ 7 3 2 4" xfId="2760"/>
    <cellStyle name="ˆ’ŽƒŽ‚›‰ 7 3 3" xfId="2761"/>
    <cellStyle name="ˆ’ŽƒŽ‚›‰ 7 3 3 2" xfId="2762"/>
    <cellStyle name="ˆ’ŽƒŽ‚›‰ 7 3 3 3" xfId="2763"/>
    <cellStyle name="ˆ’ŽƒŽ‚›‰ 7 3 4" xfId="2764"/>
    <cellStyle name="ˆ’ŽƒŽ‚›‰ 7 3 4 2" xfId="2765"/>
    <cellStyle name="ˆ’ŽƒŽ‚›‰ 7 3 5" xfId="2766"/>
    <cellStyle name="ˆ’ŽƒŽ‚›‰ 7 3 6" xfId="2767"/>
    <cellStyle name="ˆ’ŽƒŽ‚›‰ 7 3 7" xfId="2768"/>
    <cellStyle name="ˆ’ŽƒŽ‚›‰ 7 3 8" xfId="2769"/>
    <cellStyle name="ˆ’ŽƒŽ‚›‰ 7 3 9" xfId="2770"/>
    <cellStyle name="ˆ’ŽƒŽ‚›‰ 7 4" xfId="2771"/>
    <cellStyle name="ˆ’ŽƒŽ‚›‰ 7 4 2" xfId="2772"/>
    <cellStyle name="ˆ’ŽƒŽ‚›‰ 7 4 2 2" xfId="2773"/>
    <cellStyle name="ˆ’ŽƒŽ‚›‰ 7 4 2 3" xfId="2774"/>
    <cellStyle name="ˆ’ŽƒŽ‚›‰ 7 4 3" xfId="2775"/>
    <cellStyle name="ˆ’ŽƒŽ‚›‰ 7 4 3 2" xfId="2776"/>
    <cellStyle name="ˆ’ŽƒŽ‚›‰ 7 4 4" xfId="2777"/>
    <cellStyle name="ˆ’ŽƒŽ‚›‰ 7 4 5" xfId="2778"/>
    <cellStyle name="ˆ’ŽƒŽ‚›‰ 7 5" xfId="2779"/>
    <cellStyle name="ˆ’ŽƒŽ‚›‰ 7 5 2" xfId="2780"/>
    <cellStyle name="ˆ’ŽƒŽ‚›‰ 7 5 2 2" xfId="2781"/>
    <cellStyle name="ˆ’ŽƒŽ‚›‰ 7 5 3" xfId="2782"/>
    <cellStyle name="ˆ’ŽƒŽ‚›‰ 7 5 4" xfId="2783"/>
    <cellStyle name="ˆ’ŽƒŽ‚›‰ 7 6" xfId="2784"/>
    <cellStyle name="ˆ’ŽƒŽ‚›‰ 7 6 2" xfId="2785"/>
    <cellStyle name="ˆ’ŽƒŽ‚›‰ 7 6 3" xfId="2786"/>
    <cellStyle name="ˆ’ŽƒŽ‚›‰ 7 7" xfId="2787"/>
    <cellStyle name="ˆ’ŽƒŽ‚›‰ 7 7 2" xfId="2788"/>
    <cellStyle name="ˆ’ŽƒŽ‚›‰ 7 8" xfId="2789"/>
    <cellStyle name="ˆ’ŽƒŽ‚›‰ 7 9" xfId="2790"/>
    <cellStyle name="ˆ’ŽƒŽ‚›‰ 8" xfId="2791"/>
    <cellStyle name="ˆ’ŽƒŽ‚›‰ 8 10" xfId="2792"/>
    <cellStyle name="ˆ’ŽƒŽ‚›‰ 8 11" xfId="2793"/>
    <cellStyle name="ˆ’ŽƒŽ‚›‰ 8 12" xfId="2794"/>
    <cellStyle name="ˆ’ŽƒŽ‚›‰ 8 13" xfId="2795"/>
    <cellStyle name="ˆ’ŽƒŽ‚›‰ 8 14" xfId="2796"/>
    <cellStyle name="ˆ’ŽƒŽ‚›‰ 8 15" xfId="2797"/>
    <cellStyle name="ˆ’ŽƒŽ‚›‰ 8 16" xfId="2798"/>
    <cellStyle name="ˆ’ŽƒŽ‚›‰ 8 17" xfId="2799"/>
    <cellStyle name="ˆ’ŽƒŽ‚›‰ 8 18" xfId="2800"/>
    <cellStyle name="ˆ’ŽƒŽ‚›‰ 8 19" xfId="2801"/>
    <cellStyle name="ˆ’ŽƒŽ‚›‰ 8 2" xfId="2802"/>
    <cellStyle name="ˆ’ŽƒŽ‚›‰ 8 2 10" xfId="2803"/>
    <cellStyle name="ˆ’ŽƒŽ‚›‰ 8 2 11" xfId="2804"/>
    <cellStyle name="ˆ’ŽƒŽ‚›‰ 8 2 12" xfId="2805"/>
    <cellStyle name="ˆ’ŽƒŽ‚›‰ 8 2 13" xfId="2806"/>
    <cellStyle name="ˆ’ŽƒŽ‚›‰ 8 2 14" xfId="2807"/>
    <cellStyle name="ˆ’ŽƒŽ‚›‰ 8 2 15" xfId="2808"/>
    <cellStyle name="ˆ’ŽƒŽ‚›‰ 8 2 16" xfId="2809"/>
    <cellStyle name="ˆ’ŽƒŽ‚›‰ 8 2 17" xfId="2810"/>
    <cellStyle name="ˆ’ŽƒŽ‚›‰ 8 2 18" xfId="2811"/>
    <cellStyle name="ˆ’ŽƒŽ‚›‰ 8 2 2" xfId="2812"/>
    <cellStyle name="ˆ’ŽƒŽ‚›‰ 8 2 2 2" xfId="2813"/>
    <cellStyle name="ˆ’ŽƒŽ‚›‰ 8 2 2 2 2" xfId="2814"/>
    <cellStyle name="ˆ’ŽƒŽ‚›‰ 8 2 2 3" xfId="2815"/>
    <cellStyle name="ˆ’ŽƒŽ‚›‰ 8 2 2 4" xfId="2816"/>
    <cellStyle name="ˆ’ŽƒŽ‚›‰ 8 2 3" xfId="2817"/>
    <cellStyle name="ˆ’ŽƒŽ‚›‰ 8 2 3 2" xfId="2818"/>
    <cellStyle name="ˆ’ŽƒŽ‚›‰ 8 2 3 3" xfId="2819"/>
    <cellStyle name="ˆ’ŽƒŽ‚›‰ 8 2 4" xfId="2820"/>
    <cellStyle name="ˆ’ŽƒŽ‚›‰ 8 2 4 2" xfId="2821"/>
    <cellStyle name="ˆ’ŽƒŽ‚›‰ 8 2 5" xfId="2822"/>
    <cellStyle name="ˆ’ŽƒŽ‚›‰ 8 2 6" xfId="2823"/>
    <cellStyle name="ˆ’ŽƒŽ‚›‰ 8 2 7" xfId="2824"/>
    <cellStyle name="ˆ’ŽƒŽ‚›‰ 8 2 8" xfId="2825"/>
    <cellStyle name="ˆ’ŽƒŽ‚›‰ 8 2 9" xfId="2826"/>
    <cellStyle name="ˆ’ŽƒŽ‚›‰ 8 20" xfId="2827"/>
    <cellStyle name="ˆ’ŽƒŽ‚›‰ 8 21" xfId="2828"/>
    <cellStyle name="ˆ’ŽƒŽ‚›‰ 8 3" xfId="2829"/>
    <cellStyle name="ˆ’ŽƒŽ‚›‰ 8 3 10" xfId="2830"/>
    <cellStyle name="ˆ’ŽƒŽ‚›‰ 8 3 11" xfId="2831"/>
    <cellStyle name="ˆ’ŽƒŽ‚›‰ 8 3 12" xfId="2832"/>
    <cellStyle name="ˆ’ŽƒŽ‚›‰ 8 3 13" xfId="2833"/>
    <cellStyle name="ˆ’ŽƒŽ‚›‰ 8 3 14" xfId="2834"/>
    <cellStyle name="ˆ’ŽƒŽ‚›‰ 8 3 15" xfId="2835"/>
    <cellStyle name="ˆ’ŽƒŽ‚›‰ 8 3 16" xfId="2836"/>
    <cellStyle name="ˆ’ŽƒŽ‚›‰ 8 3 17" xfId="2837"/>
    <cellStyle name="ˆ’ŽƒŽ‚›‰ 8 3 18" xfId="2838"/>
    <cellStyle name="ˆ’ŽƒŽ‚›‰ 8 3 2" xfId="2839"/>
    <cellStyle name="ˆ’ŽƒŽ‚›‰ 8 3 2 2" xfId="2840"/>
    <cellStyle name="ˆ’ŽƒŽ‚›‰ 8 3 2 2 2" xfId="2841"/>
    <cellStyle name="ˆ’ŽƒŽ‚›‰ 8 3 2 3" xfId="2842"/>
    <cellStyle name="ˆ’ŽƒŽ‚›‰ 8 3 2 4" xfId="2843"/>
    <cellStyle name="ˆ’ŽƒŽ‚›‰ 8 3 3" xfId="2844"/>
    <cellStyle name="ˆ’ŽƒŽ‚›‰ 8 3 3 2" xfId="2845"/>
    <cellStyle name="ˆ’ŽƒŽ‚›‰ 8 3 3 3" xfId="2846"/>
    <cellStyle name="ˆ’ŽƒŽ‚›‰ 8 3 4" xfId="2847"/>
    <cellStyle name="ˆ’ŽƒŽ‚›‰ 8 3 4 2" xfId="2848"/>
    <cellStyle name="ˆ’ŽƒŽ‚›‰ 8 3 5" xfId="2849"/>
    <cellStyle name="ˆ’ŽƒŽ‚›‰ 8 3 6" xfId="2850"/>
    <cellStyle name="ˆ’ŽƒŽ‚›‰ 8 3 7" xfId="2851"/>
    <cellStyle name="ˆ’ŽƒŽ‚›‰ 8 3 8" xfId="2852"/>
    <cellStyle name="ˆ’ŽƒŽ‚›‰ 8 3 9" xfId="2853"/>
    <cellStyle name="ˆ’ŽƒŽ‚›‰ 8 4" xfId="2854"/>
    <cellStyle name="ˆ’ŽƒŽ‚›‰ 8 4 2" xfId="2855"/>
    <cellStyle name="ˆ’ŽƒŽ‚›‰ 8 4 2 2" xfId="2856"/>
    <cellStyle name="ˆ’ŽƒŽ‚›‰ 8 4 2 3" xfId="2857"/>
    <cellStyle name="ˆ’ŽƒŽ‚›‰ 8 4 3" xfId="2858"/>
    <cellStyle name="ˆ’ŽƒŽ‚›‰ 8 4 3 2" xfId="2859"/>
    <cellStyle name="ˆ’ŽƒŽ‚›‰ 8 4 4" xfId="2860"/>
    <cellStyle name="ˆ’ŽƒŽ‚›‰ 8 4 5" xfId="2861"/>
    <cellStyle name="ˆ’ŽƒŽ‚›‰ 8 5" xfId="2862"/>
    <cellStyle name="ˆ’ŽƒŽ‚›‰ 8 5 2" xfId="2863"/>
    <cellStyle name="ˆ’ŽƒŽ‚›‰ 8 5 2 2" xfId="2864"/>
    <cellStyle name="ˆ’ŽƒŽ‚›‰ 8 5 3" xfId="2865"/>
    <cellStyle name="ˆ’ŽƒŽ‚›‰ 8 5 4" xfId="2866"/>
    <cellStyle name="ˆ’ŽƒŽ‚›‰ 8 6" xfId="2867"/>
    <cellStyle name="ˆ’ŽƒŽ‚›‰ 8 6 2" xfId="2868"/>
    <cellStyle name="ˆ’ŽƒŽ‚›‰ 8 6 3" xfId="2869"/>
    <cellStyle name="ˆ’ŽƒŽ‚›‰ 8 7" xfId="2870"/>
    <cellStyle name="ˆ’ŽƒŽ‚›‰ 8 7 2" xfId="2871"/>
    <cellStyle name="ˆ’ŽƒŽ‚›‰ 8 8" xfId="2872"/>
    <cellStyle name="ˆ’ŽƒŽ‚›‰ 8 9" xfId="2873"/>
    <cellStyle name="ˆ’ŽƒŽ‚›‰ 9" xfId="2874"/>
    <cellStyle name="ˆ’ŽƒŽ‚›‰ 9 10" xfId="2875"/>
    <cellStyle name="ˆ’ŽƒŽ‚›‰ 9 11" xfId="2876"/>
    <cellStyle name="ˆ’ŽƒŽ‚›‰ 9 12" xfId="2877"/>
    <cellStyle name="ˆ’ŽƒŽ‚›‰ 9 13" xfId="2878"/>
    <cellStyle name="ˆ’ŽƒŽ‚›‰ 9 14" xfId="2879"/>
    <cellStyle name="ˆ’ŽƒŽ‚›‰ 9 15" xfId="2880"/>
    <cellStyle name="ˆ’ŽƒŽ‚›‰ 9 16" xfId="2881"/>
    <cellStyle name="ˆ’ŽƒŽ‚›‰ 9 17" xfId="2882"/>
    <cellStyle name="ˆ’ŽƒŽ‚›‰ 9 18" xfId="2883"/>
    <cellStyle name="ˆ’ŽƒŽ‚›‰ 9 19" xfId="2884"/>
    <cellStyle name="ˆ’ŽƒŽ‚›‰ 9 2" xfId="2885"/>
    <cellStyle name="ˆ’ŽƒŽ‚›‰ 9 2 10" xfId="2886"/>
    <cellStyle name="ˆ’ŽƒŽ‚›‰ 9 2 11" xfId="2887"/>
    <cellStyle name="ˆ’ŽƒŽ‚›‰ 9 2 12" xfId="2888"/>
    <cellStyle name="ˆ’ŽƒŽ‚›‰ 9 2 13" xfId="2889"/>
    <cellStyle name="ˆ’ŽƒŽ‚›‰ 9 2 14" xfId="2890"/>
    <cellStyle name="ˆ’ŽƒŽ‚›‰ 9 2 15" xfId="2891"/>
    <cellStyle name="ˆ’ŽƒŽ‚›‰ 9 2 16" xfId="2892"/>
    <cellStyle name="ˆ’ŽƒŽ‚›‰ 9 2 17" xfId="2893"/>
    <cellStyle name="ˆ’ŽƒŽ‚›‰ 9 2 18" xfId="2894"/>
    <cellStyle name="ˆ’ŽƒŽ‚›‰ 9 2 2" xfId="2895"/>
    <cellStyle name="ˆ’ŽƒŽ‚›‰ 9 2 2 2" xfId="2896"/>
    <cellStyle name="ˆ’ŽƒŽ‚›‰ 9 2 2 2 2" xfId="2897"/>
    <cellStyle name="ˆ’ŽƒŽ‚›‰ 9 2 2 3" xfId="2898"/>
    <cellStyle name="ˆ’ŽƒŽ‚›‰ 9 2 2 4" xfId="2899"/>
    <cellStyle name="ˆ’ŽƒŽ‚›‰ 9 2 3" xfId="2900"/>
    <cellStyle name="ˆ’ŽƒŽ‚›‰ 9 2 3 2" xfId="2901"/>
    <cellStyle name="ˆ’ŽƒŽ‚›‰ 9 2 3 3" xfId="2902"/>
    <cellStyle name="ˆ’ŽƒŽ‚›‰ 9 2 4" xfId="2903"/>
    <cellStyle name="ˆ’ŽƒŽ‚›‰ 9 2 4 2" xfId="2904"/>
    <cellStyle name="ˆ’ŽƒŽ‚›‰ 9 2 5" xfId="2905"/>
    <cellStyle name="ˆ’ŽƒŽ‚›‰ 9 2 6" xfId="2906"/>
    <cellStyle name="ˆ’ŽƒŽ‚›‰ 9 2 7" xfId="2907"/>
    <cellStyle name="ˆ’ŽƒŽ‚›‰ 9 2 8" xfId="2908"/>
    <cellStyle name="ˆ’ŽƒŽ‚›‰ 9 2 9" xfId="2909"/>
    <cellStyle name="ˆ’ŽƒŽ‚›‰ 9 20" xfId="2910"/>
    <cellStyle name="ˆ’ŽƒŽ‚›‰ 9 21" xfId="2911"/>
    <cellStyle name="ˆ’ŽƒŽ‚›‰ 9 3" xfId="2912"/>
    <cellStyle name="ˆ’ŽƒŽ‚›‰ 9 3 10" xfId="2913"/>
    <cellStyle name="ˆ’ŽƒŽ‚›‰ 9 3 11" xfId="2914"/>
    <cellStyle name="ˆ’ŽƒŽ‚›‰ 9 3 12" xfId="2915"/>
    <cellStyle name="ˆ’ŽƒŽ‚›‰ 9 3 13" xfId="2916"/>
    <cellStyle name="ˆ’ŽƒŽ‚›‰ 9 3 14" xfId="2917"/>
    <cellStyle name="ˆ’ŽƒŽ‚›‰ 9 3 15" xfId="2918"/>
    <cellStyle name="ˆ’ŽƒŽ‚›‰ 9 3 16" xfId="2919"/>
    <cellStyle name="ˆ’ŽƒŽ‚›‰ 9 3 17" xfId="2920"/>
    <cellStyle name="ˆ’ŽƒŽ‚›‰ 9 3 18" xfId="2921"/>
    <cellStyle name="ˆ’ŽƒŽ‚›‰ 9 3 2" xfId="2922"/>
    <cellStyle name="ˆ’ŽƒŽ‚›‰ 9 3 2 2" xfId="2923"/>
    <cellStyle name="ˆ’ŽƒŽ‚›‰ 9 3 2 2 2" xfId="2924"/>
    <cellStyle name="ˆ’ŽƒŽ‚›‰ 9 3 2 3" xfId="2925"/>
    <cellStyle name="ˆ’ŽƒŽ‚›‰ 9 3 2 4" xfId="2926"/>
    <cellStyle name="ˆ’ŽƒŽ‚›‰ 9 3 3" xfId="2927"/>
    <cellStyle name="ˆ’ŽƒŽ‚›‰ 9 3 3 2" xfId="2928"/>
    <cellStyle name="ˆ’ŽƒŽ‚›‰ 9 3 3 3" xfId="2929"/>
    <cellStyle name="ˆ’ŽƒŽ‚›‰ 9 3 4" xfId="2930"/>
    <cellStyle name="ˆ’ŽƒŽ‚›‰ 9 3 4 2" xfId="2931"/>
    <cellStyle name="ˆ’ŽƒŽ‚›‰ 9 3 5" xfId="2932"/>
    <cellStyle name="ˆ’ŽƒŽ‚›‰ 9 3 6" xfId="2933"/>
    <cellStyle name="ˆ’ŽƒŽ‚›‰ 9 3 7" xfId="2934"/>
    <cellStyle name="ˆ’ŽƒŽ‚›‰ 9 3 8" xfId="2935"/>
    <cellStyle name="ˆ’ŽƒŽ‚›‰ 9 3 9" xfId="2936"/>
    <cellStyle name="ˆ’ŽƒŽ‚›‰ 9 4" xfId="2937"/>
    <cellStyle name="ˆ’ŽƒŽ‚›‰ 9 4 2" xfId="2938"/>
    <cellStyle name="ˆ’ŽƒŽ‚›‰ 9 4 2 2" xfId="2939"/>
    <cellStyle name="ˆ’ŽƒŽ‚›‰ 9 4 2 3" xfId="2940"/>
    <cellStyle name="ˆ’ŽƒŽ‚›‰ 9 4 3" xfId="2941"/>
    <cellStyle name="ˆ’ŽƒŽ‚›‰ 9 4 3 2" xfId="2942"/>
    <cellStyle name="ˆ’ŽƒŽ‚›‰ 9 4 4" xfId="2943"/>
    <cellStyle name="ˆ’ŽƒŽ‚›‰ 9 4 5" xfId="2944"/>
    <cellStyle name="ˆ’ŽƒŽ‚›‰ 9 5" xfId="2945"/>
    <cellStyle name="ˆ’ŽƒŽ‚›‰ 9 5 2" xfId="2946"/>
    <cellStyle name="ˆ’ŽƒŽ‚›‰ 9 5 2 2" xfId="2947"/>
    <cellStyle name="ˆ’ŽƒŽ‚›‰ 9 5 3" xfId="2948"/>
    <cellStyle name="ˆ’ŽƒŽ‚›‰ 9 5 4" xfId="2949"/>
    <cellStyle name="ˆ’ŽƒŽ‚›‰ 9 6" xfId="2950"/>
    <cellStyle name="ˆ’ŽƒŽ‚›‰ 9 6 2" xfId="2951"/>
    <cellStyle name="ˆ’ŽƒŽ‚›‰ 9 6 3" xfId="2952"/>
    <cellStyle name="ˆ’ŽƒŽ‚›‰ 9 7" xfId="2953"/>
    <cellStyle name="ˆ’ŽƒŽ‚›‰ 9 7 2" xfId="2954"/>
    <cellStyle name="ˆ’ŽƒŽ‚›‰ 9 8" xfId="2955"/>
    <cellStyle name="ˆ’ŽƒŽ‚›‰ 9 9" xfId="2956"/>
    <cellStyle name="_" xfId="2957"/>
    <cellStyle name="_ BS London " xfId="2958"/>
    <cellStyle name="_ heading$" xfId="2959"/>
    <cellStyle name="_ heading%" xfId="2960"/>
    <cellStyle name="_ heading£" xfId="2961"/>
    <cellStyle name="_ IS monthly1" xfId="2962"/>
    <cellStyle name="_ IS monthly1 2" xfId="2963"/>
    <cellStyle name="_ IS monthly1 3" xfId="2964"/>
    <cellStyle name="_ PAJES2006" xfId="2965"/>
    <cellStyle name="_ PAJES2006 2" xfId="2966"/>
    <cellStyle name="_ PAJES2006 3" xfId="2967"/>
    <cellStyle name="_ ТЭЦ февраль 04г" xfId="2968"/>
    <cellStyle name="_% по кредитам" xfId="2969"/>
    <cellStyle name="_% по кредитам 2" xfId="2970"/>
    <cellStyle name="_% по кредитам 3" xfId="2971"/>
    <cellStyle name="__________BK" xfId="2972"/>
    <cellStyle name="__Информационный запрос за апрель 06" xfId="2973"/>
    <cellStyle name="__Информационный запрос за апрель 06 2" xfId="2974"/>
    <cellStyle name="__Информационный запрос за апрель 06 3" xfId="2975"/>
    <cellStyle name="__Информационный запрос за март 06" xfId="2976"/>
    <cellStyle name="__Информационный запрос за март 06 2" xfId="2977"/>
    <cellStyle name="__Информационный запрос за март 06 3" xfId="2978"/>
    <cellStyle name="__Информационный запрос за ноябрь 05" xfId="2979"/>
    <cellStyle name="__Информационный запрос за ноябрь 05 2" xfId="2980"/>
    <cellStyle name="__Информационный запрос за ноябрь 05 3" xfId="2981"/>
    <cellStyle name="__Информационный запрос за Февраль 06" xfId="2982"/>
    <cellStyle name="__Информационный запрос за Февраль 06 2" xfId="2983"/>
    <cellStyle name="__Информационный запрос за Февраль 06 3" xfId="2984"/>
    <cellStyle name="__Информационный запрос за январь 06" xfId="2985"/>
    <cellStyle name="__Информационный запрос за январь 06 2" xfId="2986"/>
    <cellStyle name="__Информационный запрос за январь 06 3" xfId="2987"/>
    <cellStyle name="__Информационный запрос_июнь 06" xfId="2988"/>
    <cellStyle name="__Информационный запрос_июнь 06 2" xfId="2989"/>
    <cellStyle name="__Информационный запрос_июнь 06 3" xfId="2990"/>
    <cellStyle name="_01,60-65,47-53_ОС МСЗ_ВАРИАНТ окончательный" xfId="2991"/>
    <cellStyle name="_01,60-65,47-53_ОС МСЗ_ВАРИАНТ окончательный 2" xfId="2992"/>
    <cellStyle name="_01,60-65,47-53_ОС МСЗ_ВАРИАНТ окончательный 3" xfId="2993"/>
    <cellStyle name="_051222_ОС_ГРЭС-24 (отчет от Эксперта)" xfId="2994"/>
    <cellStyle name="_051222_ОС_ГРЭС-24 (отчет от Эксперта) 2" xfId="2995"/>
    <cellStyle name="_051222_ОС_ГРЭС-24 (отчет от Эксперта) 3" xfId="2996"/>
    <cellStyle name="_051228_сооружения" xfId="2997"/>
    <cellStyle name="_051228_сооружения 2" xfId="2998"/>
    <cellStyle name="_051228_сооружения 3" xfId="2999"/>
    <cellStyle name="_060213_Оборудование" xfId="3000"/>
    <cellStyle name="_060213_Оборудование 2" xfId="3001"/>
    <cellStyle name="_060213_Оборудование_ИСХ_ПАРАМ_КЧХК" xfId="3002"/>
    <cellStyle name="_060213_Оборудование_ИСХ_ПАРАМ_КЧХК 2" xfId="3003"/>
    <cellStyle name="_060213_Оборудование_модели" xfId="3004"/>
    <cellStyle name="_060213_Оборудование_модели 2" xfId="3005"/>
    <cellStyle name="_060213_Оборудование_модельИрина" xfId="3006"/>
    <cellStyle name="_060213_Оборудование_модельИрина 2" xfId="3007"/>
    <cellStyle name="_060213_Оборудование_модельИрина_Книга2" xfId="3008"/>
    <cellStyle name="_060213_Оборудование_модельИрина_Книга2 2" xfId="3009"/>
    <cellStyle name="_060213_Оборудование_Оборудование" xfId="3010"/>
    <cellStyle name="_060213_Оборудование_Оборудование 2" xfId="3011"/>
    <cellStyle name="_060213_Оборудование_Расчет грузопод. обор." xfId="3012"/>
    <cellStyle name="_060213_Оборудование_Расчет грузопод. обор. 2" xfId="3013"/>
    <cellStyle name="_060213_Оборудование_Расчет котлы паровые, водогр,теплообменники" xfId="3014"/>
    <cellStyle name="_060213_Оборудование_Расчет котлы паровые, водогр,теплообменники 2" xfId="3015"/>
    <cellStyle name="_060213_Оборудование_Расчет сварочное оборуд" xfId="3016"/>
    <cellStyle name="_060213_Оборудование_Расчет сварочное оборуд 2" xfId="3017"/>
    <cellStyle name="_060213_Оборудование_Расчет станки (version 1)" xfId="3018"/>
    <cellStyle name="_060213_Оборудование_Расчет станки (version 1) 2" xfId="3019"/>
    <cellStyle name="_060221_Расчет_оборудование" xfId="3020"/>
    <cellStyle name="_060221_Расчет_оборудование 2" xfId="3021"/>
    <cellStyle name="_060221_Расчет_оборудование 3" xfId="3022"/>
    <cellStyle name="_060302_Расчет оборудование" xfId="3023"/>
    <cellStyle name="_060302_Расчет оборудование 2" xfId="3024"/>
    <cellStyle name="_060302_Расчет оборудование_ИСХ_ПАРАМ_КЧХК" xfId="3025"/>
    <cellStyle name="_060302_Расчет оборудование_ИСХ_ПАРАМ_КЧХК 2" xfId="3026"/>
    <cellStyle name="_060302_Расчет оборудование_модели" xfId="3027"/>
    <cellStyle name="_060302_Расчет оборудование_модели 2" xfId="3028"/>
    <cellStyle name="_060302_Расчет оборудование_модельИрина" xfId="3029"/>
    <cellStyle name="_060302_Расчет оборудование_модельИрина 2" xfId="3030"/>
    <cellStyle name="_060302_Расчет оборудование_модельИрина_Книга2" xfId="3031"/>
    <cellStyle name="_060302_Расчет оборудование_модельИрина_Книга2 2" xfId="3032"/>
    <cellStyle name="_060302_Расчет оборудование_Оборудование" xfId="3033"/>
    <cellStyle name="_060302_Расчет оборудование_Оборудование 2" xfId="3034"/>
    <cellStyle name="_060302_Расчет оборудование_Расчет грузопод. обор." xfId="3035"/>
    <cellStyle name="_060302_Расчет оборудование_Расчет грузопод. обор. 2" xfId="3036"/>
    <cellStyle name="_060302_Расчет оборудование_Расчет котлы паровые, водогр,теплообменники" xfId="3037"/>
    <cellStyle name="_060302_Расчет оборудование_Расчет котлы паровые, водогр,теплообменники 2" xfId="3038"/>
    <cellStyle name="_060302_Расчет оборудование_Расчет сварочное оборуд" xfId="3039"/>
    <cellStyle name="_060302_Расчет оборудование_Расчет сварочное оборуд 2" xfId="3040"/>
    <cellStyle name="_060302_Расчет оборудование_Расчет станки (version 1)" xfId="3041"/>
    <cellStyle name="_060302_Расчет оборудование_Расчет станки (version 1) 2" xfId="3042"/>
    <cellStyle name="_060305_Расчет_оборудование" xfId="3043"/>
    <cellStyle name="_060305_Расчет_оборудование 2" xfId="3044"/>
    <cellStyle name="_060305_Расчет_оборудование 3" xfId="3045"/>
    <cellStyle name="_060313_Расчет_Оборудование" xfId="3046"/>
    <cellStyle name="_060313_Расчет_Оборудование 2" xfId="3047"/>
    <cellStyle name="_060313_Расчет_Оборудование_ИСХ_ПАРАМ_КЧХК" xfId="3048"/>
    <cellStyle name="_060313_Расчет_Оборудование_ИСХ_ПАРАМ_КЧХК 2" xfId="3049"/>
    <cellStyle name="_060313_Расчет_Оборудование_модели" xfId="3050"/>
    <cellStyle name="_060313_Расчет_Оборудование_модели 2" xfId="3051"/>
    <cellStyle name="_060313_Расчет_Оборудование_модельИрина" xfId="3052"/>
    <cellStyle name="_060313_Расчет_Оборудование_модельИрина 2" xfId="3053"/>
    <cellStyle name="_060313_Расчет_Оборудование_модельИрина_Книга2" xfId="3054"/>
    <cellStyle name="_060313_Расчет_Оборудование_модельИрина_Книга2 2" xfId="3055"/>
    <cellStyle name="_060313_Расчет_Оборудование_Оборудование" xfId="3056"/>
    <cellStyle name="_060313_Расчет_Оборудование_Оборудование 2" xfId="3057"/>
    <cellStyle name="_060313_Расчет_Оборудование_Расчет грузопод. обор." xfId="3058"/>
    <cellStyle name="_060313_Расчет_Оборудование_Расчет грузопод. обор. 2" xfId="3059"/>
    <cellStyle name="_060313_Расчет_Оборудование_Расчет котлы паровые, водогр,теплообменники" xfId="3060"/>
    <cellStyle name="_060313_Расчет_Оборудование_Расчет котлы паровые, водогр,теплообменники 2" xfId="3061"/>
    <cellStyle name="_060313_Расчет_Оборудование_Расчет сварочное оборуд" xfId="3062"/>
    <cellStyle name="_060313_Расчет_Оборудование_Расчет сварочное оборуд 2" xfId="3063"/>
    <cellStyle name="_060313_Расчет_Оборудование_Расчет станки (version 1)" xfId="3064"/>
    <cellStyle name="_060313_Расчет_Оборудование_Расчет станки (version 1) 2" xfId="3065"/>
    <cellStyle name="_060520_Расчет_доходный" xfId="3066"/>
    <cellStyle name="_060520_Расчет_доходный 2" xfId="3067"/>
    <cellStyle name="_060520_Расчет_доходный 3" xfId="3068"/>
    <cellStyle name="_060603_Расчет_СП" xfId="3069"/>
    <cellStyle name="_060603_Расчет_СП 2" xfId="3070"/>
    <cellStyle name="_060603_Расчет_СП 3" xfId="3071"/>
    <cellStyle name="_060614_Расчет оборудование_ТС_Староминский" xfId="3072"/>
    <cellStyle name="_060614_Расчет оборудование_ТС_Староминский 2" xfId="3073"/>
    <cellStyle name="_060614_Расчет оборудование_ТС_Староминский 3" xfId="3074"/>
    <cellStyle name="_060614_Расчет_имущество_Староминский" xfId="3075"/>
    <cellStyle name="_060614_Расчет_имущество_Староминский 2" xfId="3076"/>
    <cellStyle name="_060614_Расчет_имущество_Староминский_ИСХ_ПАРАМ_КЧХК" xfId="3077"/>
    <cellStyle name="_060614_Расчет_имущество_Староминский_ИСХ_ПАРАМ_КЧХК 2" xfId="3078"/>
    <cellStyle name="_060614_Расчет_имущество_Староминский_модели" xfId="3079"/>
    <cellStyle name="_060614_Расчет_имущество_Староминский_модели 2" xfId="3080"/>
    <cellStyle name="_060614_Расчет_имущество_Староминский_модельИрина" xfId="3081"/>
    <cellStyle name="_060614_Расчет_имущество_Староминский_модельИрина 2" xfId="3082"/>
    <cellStyle name="_060614_Расчет_имущество_Староминский_модельИрина_Книга2" xfId="3083"/>
    <cellStyle name="_060614_Расчет_имущество_Староминский_модельИрина_Книга2 2" xfId="3084"/>
    <cellStyle name="_060614_Расчет_имущество_Староминский_Оборудование" xfId="3085"/>
    <cellStyle name="_060614_Расчет_имущество_Староминский_Оборудование 2" xfId="3086"/>
    <cellStyle name="_060614_Расчет_имущество_Староминский_Расчет грузопод. обор." xfId="3087"/>
    <cellStyle name="_060614_Расчет_имущество_Староминский_Расчет грузопод. обор. 2" xfId="3088"/>
    <cellStyle name="_060614_Расчет_имущество_Староминский_Расчет котлы паровые, водогр,теплообменники" xfId="3089"/>
    <cellStyle name="_060614_Расчет_имущество_Староминский_Расчет котлы паровые, водогр,теплообменники 2" xfId="3090"/>
    <cellStyle name="_060614_Расчет_имущество_Староминский_Расчет сварочное оборуд" xfId="3091"/>
    <cellStyle name="_060614_Расчет_имущество_Староминский_Расчет сварочное оборуд 2" xfId="3092"/>
    <cellStyle name="_060614_Расчет_имущество_Староминский_Расчет станки (version 1)" xfId="3093"/>
    <cellStyle name="_060614_Расчет_имущество_Староминский_Расчет станки (version 1) 2" xfId="3094"/>
    <cellStyle name="_060726_Расчет зданий с НВИ на всё" xfId="3095"/>
    <cellStyle name="_060726_Расчет зданий с НВИ на всё 2" xfId="3096"/>
    <cellStyle name="_060726_Расчет зданий с НВИ на всё 3" xfId="3097"/>
    <cellStyle name="_060804_Расчет зданий" xfId="3098"/>
    <cellStyle name="_060804_Расчет зданий 2" xfId="3099"/>
    <cellStyle name="_060804_Расчет зданий 3" xfId="3100"/>
    <cellStyle name="_070213_Группа_13" xfId="3101"/>
    <cellStyle name="_070213_Группа_13 2" xfId="3102"/>
    <cellStyle name="_070213_Группа_13 3" xfId="3103"/>
    <cellStyle name="_070409_Расчет Здания" xfId="3104"/>
    <cellStyle name="_070409_Расчет Здания 2" xfId="3105"/>
    <cellStyle name="_070409_Расчет Здания_ИСХ_ПАРАМ_КЧХК" xfId="3106"/>
    <cellStyle name="_070409_Расчет Здания_ИСХ_ПАРАМ_КЧХК 2" xfId="3107"/>
    <cellStyle name="_070409_Расчет Здания_модели" xfId="3108"/>
    <cellStyle name="_070409_Расчет Здания_модели 2" xfId="3109"/>
    <cellStyle name="_070409_Расчет Здания_модельИрина" xfId="3110"/>
    <cellStyle name="_070409_Расчет Здания_модельИрина 2" xfId="3111"/>
    <cellStyle name="_070409_Расчет Здания_модельИрина_Книга2" xfId="3112"/>
    <cellStyle name="_070409_Расчет Здания_модельИрина_Книга2 2" xfId="3113"/>
    <cellStyle name="_070409_Расчет Здания_Оборудование" xfId="3114"/>
    <cellStyle name="_070409_Расчет Здания_Оборудование 2" xfId="3115"/>
    <cellStyle name="_070409_Расчет Здания_Расчет грузопод. обор." xfId="3116"/>
    <cellStyle name="_070409_Расчет Здания_Расчет грузопод. обор. 2" xfId="3117"/>
    <cellStyle name="_070409_Расчет Здания_Расчет котлы паровые, водогр,теплообменники" xfId="3118"/>
    <cellStyle name="_070409_Расчет Здания_Расчет котлы паровые, водогр,теплообменники 2" xfId="3119"/>
    <cellStyle name="_070409_Расчет Здания_Расчет сварочное оборуд" xfId="3120"/>
    <cellStyle name="_070409_Расчет Здания_Расчет сварочное оборуд 2" xfId="3121"/>
    <cellStyle name="_070409_Расчет Здания_Расчет станки (version 1)" xfId="3122"/>
    <cellStyle name="_070409_Расчет Здания_Расчет станки (version 1) 2" xfId="3123"/>
    <cellStyle name="_1" xfId="3124"/>
    <cellStyle name="_1 2" xfId="3125"/>
    <cellStyle name="_1 3" xfId="3126"/>
    <cellStyle name="_115_Абонентская база" xfId="3127"/>
    <cellStyle name="_115_Абонентская база 2" xfId="3128"/>
    <cellStyle name="_115_Абонентская база 3" xfId="3129"/>
    <cellStyle name="_115_Абонентская базаНовгород" xfId="3130"/>
    <cellStyle name="_115_Абонентская базаНовгород 2" xfId="3131"/>
    <cellStyle name="_115_Абонентская базаНовгород 3" xfId="3132"/>
    <cellStyle name="_115_Пакет разрешительной документации" xfId="3133"/>
    <cellStyle name="_115_Пакет разрешительной документации 2" xfId="3134"/>
    <cellStyle name="_115_Пакет разрешительной документации 3" xfId="3135"/>
    <cellStyle name="_120" xfId="3136"/>
    <cellStyle name="_120 2" xfId="3137"/>
    <cellStyle name="_120 3" xfId="3138"/>
    <cellStyle name="_2008г. и 4кв" xfId="3139"/>
    <cellStyle name="_21.1краткосрочные кредиты на 31.10.2005г." xfId="3140"/>
    <cellStyle name="_23.01.03_КрАЗ_изм НЗП_ноя0211мес.02" xfId="3141"/>
    <cellStyle name="_23.01.03_КрАЗ_изм НЗП_ноя0211мес.02 2" xfId="3142"/>
    <cellStyle name="_23.01.03_КрАЗ_изм НЗП_ноя0211мес.02 3" xfId="3143"/>
    <cellStyle name="_3 подхода_Приокские дали" xfId="3144"/>
    <cellStyle name="_3 подхода_Приокские дали 2" xfId="3145"/>
    <cellStyle name="_3 подхода_Приокские дали 3" xfId="3146"/>
    <cellStyle name="_3 подхода-Арнест-итог" xfId="3147"/>
    <cellStyle name="_3 подхода-ПИОГЛОБАЛ-14.09.04" xfId="3148"/>
    <cellStyle name="_3 подхода-ПИОГЛОБАЛ-14.09.04 2" xfId="3149"/>
    <cellStyle name="_3 подхода-ПИОГЛОБАЛ-14.09.04 3" xfId="3150"/>
    <cellStyle name="_3 подхода-ПИОГЛОБАЛ-финал" xfId="3151"/>
    <cellStyle name="_3 подхода-ПИОГЛОБАЛ-финал 2" xfId="3152"/>
    <cellStyle name="_3 подхода-ПИОГЛОБАЛ-финал 3" xfId="3153"/>
    <cellStyle name="_4_macro 2009" xfId="3154"/>
    <cellStyle name="_510_Долгосрочные кредиты и займы" xfId="3155"/>
    <cellStyle name="_510_Долгосрочные кредиты и займы 2" xfId="3156"/>
    <cellStyle name="_510_Долгосрочные кредиты и займы 3" xfId="3157"/>
    <cellStyle name="_7-3 17-03-05" xfId="3158"/>
    <cellStyle name="_7-3 17-03-05 2" xfId="3159"/>
    <cellStyle name="_7-3 17-03-05 3" xfId="3160"/>
    <cellStyle name="_an_izn" xfId="3161"/>
    <cellStyle name="_an_izn 2" xfId="3162"/>
    <cellStyle name="_Appendixes_Rolf Esteit_final" xfId="3163"/>
    <cellStyle name="_Appendixes_Rolf Esteit_final 2" xfId="3164"/>
    <cellStyle name="_Appendixes_Rolf Esteit_final 3" xfId="3165"/>
    <cellStyle name="_Asset_Valuation_Model" xfId="3166"/>
    <cellStyle name="_assumptions" xfId="3167"/>
    <cellStyle name="_assumptions 2" xfId="3168"/>
    <cellStyle name="_assumptions 3" xfId="3169"/>
    <cellStyle name="_Auto_" xfId="3170"/>
    <cellStyle name="_BI IAS FS 012206" xfId="3171"/>
    <cellStyle name="_BI IAS FS 012206 2" xfId="3172"/>
    <cellStyle name="_BI IAS FS 012206 3" xfId="3173"/>
    <cellStyle name="_BI IAS FS 111205" xfId="3174"/>
    <cellStyle name="_BI IAS FS 111205 2" xfId="3175"/>
    <cellStyle name="_BI IAS FS 111205 3" xfId="3176"/>
    <cellStyle name="_BI IAS FS 1-6 2006" xfId="3177"/>
    <cellStyle name="_BI IAS FS 1-6 2006 2" xfId="3178"/>
    <cellStyle name="_BI IAS FS 1-6 2006 3" xfId="3179"/>
    <cellStyle name="_BI IAS FS 291105" xfId="3180"/>
    <cellStyle name="_BI IAS FS 291105 2" xfId="3181"/>
    <cellStyle name="_BI IAS FS 291105 3" xfId="3182"/>
    <cellStyle name="_BK Sever StndAlone FS 05182006" xfId="3183"/>
    <cellStyle name="_BK Sever StndAlone FS 05182006 2" xfId="3184"/>
    <cellStyle name="_BK Sever StndAlone FS 05182006 3" xfId="3185"/>
    <cellStyle name="_BT IAS FS 1-6 2006" xfId="3186"/>
    <cellStyle name="_BT IAS FS 1-6 2006 2" xfId="3187"/>
    <cellStyle name="_BT IAS FS 1-6 2006 3" xfId="3188"/>
    <cellStyle name="_calculation_CHAMP" xfId="3189"/>
    <cellStyle name="_calculation_CHAMP 2" xfId="3190"/>
    <cellStyle name="_calculation_CHAMP 3" xfId="3191"/>
    <cellStyle name="_Capex 2005 19 07 05 ПК" xfId="3192"/>
    <cellStyle name="_Capex 2005 19 07 05 ПК 2" xfId="3193"/>
    <cellStyle name="_Capex 2005 19 07 05 ПК 3" xfId="3194"/>
    <cellStyle name="_Capex 2005-2006 workover" xfId="3195"/>
    <cellStyle name="_Capex 2005-2006 workover 2" xfId="3196"/>
    <cellStyle name="_Capex 2005-2006 workover 3" xfId="3197"/>
    <cellStyle name="_Comma" xfId="3198"/>
    <cellStyle name="_Comma 2" xfId="3199"/>
    <cellStyle name="_Comps_Valuation Dec 2005" xfId="3200"/>
    <cellStyle name="_Comps_Valuation Dec 2005 2" xfId="3201"/>
    <cellStyle name="_Comps_Valuation Dec 2005 3" xfId="3202"/>
    <cellStyle name="_Condition-23-08-05" xfId="3203"/>
    <cellStyle name="_Condition-23-08-05 2" xfId="3204"/>
    <cellStyle name="_Condition-23-08-05 3" xfId="3205"/>
    <cellStyle name="_Condition-long(2012-2030)нах" xfId="3206"/>
    <cellStyle name="_Copy of Book1" xfId="3207"/>
    <cellStyle name="_CPI foodimp" xfId="3208"/>
    <cellStyle name="_Currency" xfId="3209"/>
    <cellStyle name="_Currency 2" xfId="3210"/>
    <cellStyle name="_Currency 3" xfId="3211"/>
    <cellStyle name="_Currency 4" xfId="3212"/>
    <cellStyle name="_Currency 5" xfId="3213"/>
    <cellStyle name="_CurrencySpace" xfId="3214"/>
    <cellStyle name="_CurrencySpace 2" xfId="3215"/>
    <cellStyle name="_Dalsvyaz_Total" xfId="3216"/>
    <cellStyle name="_Dalsvyaz_Total 2" xfId="3217"/>
    <cellStyle name="_Dalsvyaz_Total 3" xfId="3218"/>
    <cellStyle name="_DCF" xfId="3219"/>
    <cellStyle name="_DCF SM 09-10-06" xfId="3220"/>
    <cellStyle name="_DCF VIP 26.11.2004" xfId="3221"/>
    <cellStyle name="_DCF VIP 26.11.2004 2" xfId="3222"/>
    <cellStyle name="_DCF VIP 26.11.2004 3" xfId="3223"/>
    <cellStyle name="_DCF_ A.Z._01.04.2007" xfId="3224"/>
    <cellStyle name="_DCF_01.01.2006_IFTC" xfId="3225"/>
    <cellStyle name="_DCF_7 (Рынок,150%)" xfId="3226"/>
    <cellStyle name="_DCF_7 дней" xfId="3227"/>
    <cellStyle name="_DCF_Aerocom_01.08.2006" xfId="3228"/>
    <cellStyle name="_DCF_Aerocom_01.08.2006 2" xfId="3229"/>
    <cellStyle name="_DCF_Aerocom_03.08.06" xfId="3230"/>
    <cellStyle name="_DCF_Aerocom_03.08.06 2" xfId="3231"/>
    <cellStyle name="_DCF_Dixis_11" xfId="3232"/>
    <cellStyle name="_DCF_Dixis_11 2" xfId="3233"/>
    <cellStyle name="_DCF_Dixis_11 3" xfId="3234"/>
    <cellStyle name="_DCF_KGOK" xfId="3235"/>
    <cellStyle name="_DCF_KGOK 2" xfId="3236"/>
    <cellStyle name="_DCF_KGOK 3" xfId="3237"/>
    <cellStyle name="_DCF_Kovcheg_5" xfId="3238"/>
    <cellStyle name="_DCF_Lensvyaz_final_NW Telecom" xfId="3239"/>
    <cellStyle name="_DCF_Lensvyaz_final_NW Telecom 2" xfId="3240"/>
    <cellStyle name="_DCF_Lensvyaz_final_NW Telecom 3" xfId="3241"/>
    <cellStyle name="_DCF_Lensvyaz_Oibtda" xfId="3242"/>
    <cellStyle name="_DCF_Lensvyaz_Oibtda 2" xfId="3243"/>
    <cellStyle name="_DCF_Lensvyaz_Oibtda 3" xfId="3244"/>
    <cellStyle name="_DCF_NNG_D&amp;M" xfId="3245"/>
    <cellStyle name="_DCF_NNG_D&amp;M reviewerred Ella" xfId="3246"/>
    <cellStyle name="_DCF_NORSI_01.04.06" xfId="3247"/>
    <cellStyle name="_DCF_NORSI_01.04.06 2" xfId="3248"/>
    <cellStyle name="_DCF_NORSI_01.04.06 3" xfId="3249"/>
    <cellStyle name="_DCF_Novoil_01.04.2006" xfId="3250"/>
    <cellStyle name="_DCF_Novoil_01.04.2006 2" xfId="3251"/>
    <cellStyle name="_DCF_Novoil_01.04.2006 3" xfId="3252"/>
    <cellStyle name="_DCF_OZSK_01.04.2006" xfId="3253"/>
    <cellStyle name="_DCF_OZSK_01.04.2006 2" xfId="3254"/>
    <cellStyle name="_DCF_OZSK_01.04.2006 3" xfId="3255"/>
    <cellStyle name="_DCF_Penza_GSM_V1" xfId="3256"/>
    <cellStyle name="_DCF_Rostelecom" xfId="3257"/>
    <cellStyle name="_DCF_Rostelecom 2" xfId="3258"/>
    <cellStyle name="_DCF_Rostelecom 3" xfId="3259"/>
    <cellStyle name="_DCF_RTS" xfId="3260"/>
    <cellStyle name="_DCF_RTS 2" xfId="3261"/>
    <cellStyle name="_DCF_Svyaz_Final" xfId="3262"/>
    <cellStyle name="_DCF_Svyaz_Final 2" xfId="3263"/>
    <cellStyle name="_DCF_Svyaz_Final 3" xfId="3264"/>
    <cellStyle name="_DCF_Venevmaslozavod" xfId="3265"/>
    <cellStyle name="_DCF_YGF" xfId="3266"/>
    <cellStyle name="_DCF_YGF 2" xfId="3267"/>
    <cellStyle name="_DCF_YGF 3" xfId="3268"/>
    <cellStyle name="_DCF_ВКУ" xfId="3269"/>
    <cellStyle name="_DCF_ВКУ 2" xfId="3270"/>
    <cellStyle name="_DCF_ВКУ 26%" xfId="3271"/>
    <cellStyle name="_DCF_ВКУ 26% 2" xfId="3272"/>
    <cellStyle name="_DCF_ВКУ 26% 3" xfId="3273"/>
    <cellStyle name="_DCF_ВКУ 3" xfId="3274"/>
    <cellStyle name="_DCF_ДСК-3_акции_01.01.2005" xfId="3275"/>
    <cellStyle name="_DCF_ДСК-3_акции_01.01.2005 2" xfId="3276"/>
    <cellStyle name="_DCF_ДСК-3_акции_01.01.2005 3" xfId="3277"/>
    <cellStyle name="_DCF_ДСК-3_имущ.комплекс" xfId="3278"/>
    <cellStyle name="_DCF_ДСК-3_имущ.комплекс 2" xfId="3279"/>
    <cellStyle name="_DCF_ДСК-3_имущ.комплекс 3" xfId="3280"/>
    <cellStyle name="_DCF_Земляной_вал" xfId="3281"/>
    <cellStyle name="_DCF_имущ.комплекс" xfId="3282"/>
    <cellStyle name="_DCF_имущ.комплекс 2" xfId="3283"/>
    <cellStyle name="_DCF_имущ.комплекс 3" xfId="3284"/>
    <cellStyle name="_DCF_МЗЖБИиТ" xfId="3285"/>
    <cellStyle name="_DCF_Стекольный завод" xfId="3286"/>
    <cellStyle name="_DCF_Стекольный завод 2" xfId="3287"/>
    <cellStyle name="_DCF_Стекольный завод 3" xfId="3288"/>
    <cellStyle name="_DCF_Тулачермет" xfId="3289"/>
    <cellStyle name="_DCF_Тулачермет 2" xfId="3290"/>
    <cellStyle name="_DCF_Тулачермет 3" xfId="3291"/>
    <cellStyle name="_DCF-В" xfId="3292"/>
    <cellStyle name="_DIXIS" xfId="3293"/>
    <cellStyle name="_DIXIS_Остановочные Павильоны 2009" xfId="3294"/>
    <cellStyle name="_DIXIS_План доходов 2009 год Щиты 25.11.08" xfId="3295"/>
    <cellStyle name="_Dohodny_podhod_Soglasovanie_Zarubezhstroy_01.10.2005" xfId="3296"/>
    <cellStyle name="_domestic_applience" xfId="3297"/>
    <cellStyle name="_el_prc1" xfId="3298"/>
    <cellStyle name="_excel for BM" xfId="3299"/>
    <cellStyle name="_excel for BM 2" xfId="3300"/>
    <cellStyle name="_excel for BM 3" xfId="3301"/>
    <cellStyle name="_excel for board" xfId="3302"/>
    <cellStyle name="_excel for board 2" xfId="3303"/>
    <cellStyle name="_excel for board 3" xfId="3304"/>
    <cellStyle name="_FA_muz_05 2 вар" xfId="3305"/>
    <cellStyle name="_FA_muz_05 2 вар 2" xfId="3306"/>
    <cellStyle name="_FA_Smith_acquisition_latest" xfId="3307"/>
    <cellStyle name="_FA_Smith_acquisition_latest 2" xfId="3308"/>
    <cellStyle name="_FA_Smith_acquisition_latest 3" xfId="3309"/>
    <cellStyle name="_FA_UBM_01.04.2007" xfId="3310"/>
    <cellStyle name="_FA_UBM_01.04.2007 2" xfId="3311"/>
    <cellStyle name="_FFF" xfId="3312"/>
    <cellStyle name="_FFF 2" xfId="3313"/>
    <cellStyle name="_FFF 3" xfId="3314"/>
    <cellStyle name="_FFF_17_0" xfId="3315"/>
    <cellStyle name="_FFF_17_0 2" xfId="3316"/>
    <cellStyle name="_FFF_17_0 3" xfId="3317"/>
    <cellStyle name="_FFF_17_0_1" xfId="3318"/>
    <cellStyle name="_FFF_17_0_1 2" xfId="3319"/>
    <cellStyle name="_FFF_17_0_1 3" xfId="3320"/>
    <cellStyle name="_FFF_New Form10_2" xfId="3321"/>
    <cellStyle name="_FFF_New Form10_2 2" xfId="3322"/>
    <cellStyle name="_FFF_New Form10_2 3" xfId="3323"/>
    <cellStyle name="_FFF_Nsi" xfId="3324"/>
    <cellStyle name="_FFF_Nsi 2" xfId="3325"/>
    <cellStyle name="_FFF_Nsi 3" xfId="3326"/>
    <cellStyle name="_FFF_Nsi_1" xfId="3327"/>
    <cellStyle name="_FFF_Nsi_1 2" xfId="3328"/>
    <cellStyle name="_FFF_Nsi_1 3" xfId="3329"/>
    <cellStyle name="_FFF_Nsi_139" xfId="3330"/>
    <cellStyle name="_FFF_Nsi_139 2" xfId="3331"/>
    <cellStyle name="_FFF_Nsi_139 3" xfId="3332"/>
    <cellStyle name="_FFF_Nsi_140" xfId="3333"/>
    <cellStyle name="_FFF_Nsi_140 2" xfId="3334"/>
    <cellStyle name="_FFF_Nsi_140 3" xfId="3335"/>
    <cellStyle name="_FFF_Nsi_140(Зах)" xfId="3336"/>
    <cellStyle name="_FFF_Nsi_140(Зах) 2" xfId="3337"/>
    <cellStyle name="_FFF_Nsi_140(Зах) 3" xfId="3338"/>
    <cellStyle name="_FFF_Nsi_140_mod" xfId="3339"/>
    <cellStyle name="_FFF_Nsi_140_mod 2" xfId="3340"/>
    <cellStyle name="_FFF_Nsi_140_mod 3" xfId="3341"/>
    <cellStyle name="_FFF_Summary" xfId="3342"/>
    <cellStyle name="_FFF_Summary 2" xfId="3343"/>
    <cellStyle name="_FFF_Summary 3" xfId="3344"/>
    <cellStyle name="_FFF_Tax_form_1кв_3" xfId="3345"/>
    <cellStyle name="_FFF_Tax_form_1кв_3 2" xfId="3346"/>
    <cellStyle name="_FFF_Tax_form_1кв_3 3" xfId="3347"/>
    <cellStyle name="_FFF_БКЭ" xfId="3348"/>
    <cellStyle name="_FFF_БКЭ 2" xfId="3349"/>
    <cellStyle name="_FFF_БКЭ 3" xfId="3350"/>
    <cellStyle name="_FFF_Перечень названий форм" xfId="3351"/>
    <cellStyle name="_FFF_Перечень названий форм 2" xfId="3352"/>
    <cellStyle name="_FFF_Перечень названий форм 3" xfId="3353"/>
    <cellStyle name="_Final_Book_010301" xfId="3354"/>
    <cellStyle name="_Final_Book_010301 2" xfId="3355"/>
    <cellStyle name="_Final_Book_010301 3" xfId="3356"/>
    <cellStyle name="_Final_Book_010301_17_0" xfId="3357"/>
    <cellStyle name="_Final_Book_010301_17_0 2" xfId="3358"/>
    <cellStyle name="_Final_Book_010301_17_0 3" xfId="3359"/>
    <cellStyle name="_Final_Book_010301_17_0_1" xfId="3360"/>
    <cellStyle name="_Final_Book_010301_17_0_1 2" xfId="3361"/>
    <cellStyle name="_Final_Book_010301_17_0_1 3" xfId="3362"/>
    <cellStyle name="_Final_Book_010301_New Form10_2" xfId="3363"/>
    <cellStyle name="_Final_Book_010301_New Form10_2 2" xfId="3364"/>
    <cellStyle name="_Final_Book_010301_New Form10_2 3" xfId="3365"/>
    <cellStyle name="_Final_Book_010301_Nsi" xfId="3366"/>
    <cellStyle name="_Final_Book_010301_Nsi 2" xfId="3367"/>
    <cellStyle name="_Final_Book_010301_Nsi 3" xfId="3368"/>
    <cellStyle name="_Final_Book_010301_Nsi_1" xfId="3369"/>
    <cellStyle name="_Final_Book_010301_Nsi_1 2" xfId="3370"/>
    <cellStyle name="_Final_Book_010301_Nsi_1 3" xfId="3371"/>
    <cellStyle name="_Final_Book_010301_Nsi_139" xfId="3372"/>
    <cellStyle name="_Final_Book_010301_Nsi_139 2" xfId="3373"/>
    <cellStyle name="_Final_Book_010301_Nsi_139 3" xfId="3374"/>
    <cellStyle name="_Final_Book_010301_Nsi_140" xfId="3375"/>
    <cellStyle name="_Final_Book_010301_Nsi_140 2" xfId="3376"/>
    <cellStyle name="_Final_Book_010301_Nsi_140 3" xfId="3377"/>
    <cellStyle name="_Final_Book_010301_Nsi_140(Зах)" xfId="3378"/>
    <cellStyle name="_Final_Book_010301_Nsi_140(Зах) 2" xfId="3379"/>
    <cellStyle name="_Final_Book_010301_Nsi_140(Зах) 3" xfId="3380"/>
    <cellStyle name="_Final_Book_010301_Nsi_140_mod" xfId="3381"/>
    <cellStyle name="_Final_Book_010301_Nsi_140_mod 2" xfId="3382"/>
    <cellStyle name="_Final_Book_010301_Nsi_140_mod 3" xfId="3383"/>
    <cellStyle name="_Final_Book_010301_Summary" xfId="3384"/>
    <cellStyle name="_Final_Book_010301_Summary 2" xfId="3385"/>
    <cellStyle name="_Final_Book_010301_Summary 3" xfId="3386"/>
    <cellStyle name="_Final_Book_010301_Tax_form_1кв_3" xfId="3387"/>
    <cellStyle name="_Final_Book_010301_Tax_form_1кв_3 2" xfId="3388"/>
    <cellStyle name="_Final_Book_010301_Tax_form_1кв_3 3" xfId="3389"/>
    <cellStyle name="_Final_Book_010301_БКЭ" xfId="3390"/>
    <cellStyle name="_Final_Book_010301_БКЭ 2" xfId="3391"/>
    <cellStyle name="_Final_Book_010301_БКЭ 3" xfId="3392"/>
    <cellStyle name="_Final_Book_010301_Перечень названий форм" xfId="3393"/>
    <cellStyle name="_Final_Book_010301_Перечень названий форм 2" xfId="3394"/>
    <cellStyle name="_Final_Book_010301_Перечень названий форм 3" xfId="3395"/>
    <cellStyle name="_Finance leases" xfId="3396"/>
    <cellStyle name="_Finance leases 2" xfId="3397"/>
    <cellStyle name="_Finance leases 3" xfId="3398"/>
    <cellStyle name="_GFS October 05 AR analysis" xfId="3399"/>
    <cellStyle name="_GFS October 05 AR analysis 2" xfId="3400"/>
    <cellStyle name="_GFS October 05 AR analysis 3" xfId="3401"/>
    <cellStyle name="_header_grey" xfId="3402"/>
    <cellStyle name="_header_grey 10" xfId="3403"/>
    <cellStyle name="_header_grey 11" xfId="3404"/>
    <cellStyle name="_header_grey 12" xfId="3405"/>
    <cellStyle name="_header_grey 13" xfId="3406"/>
    <cellStyle name="_header_grey 14" xfId="3407"/>
    <cellStyle name="_header_grey 15" xfId="3408"/>
    <cellStyle name="_header_grey 16" xfId="3409"/>
    <cellStyle name="_header_grey 17" xfId="3410"/>
    <cellStyle name="_header_grey 18" xfId="3411"/>
    <cellStyle name="_header_grey 19" xfId="3412"/>
    <cellStyle name="_header_grey 2" xfId="3413"/>
    <cellStyle name="_header_grey 2 10" xfId="3414"/>
    <cellStyle name="_header_grey 2 11" xfId="3415"/>
    <cellStyle name="_header_grey 2 12" xfId="3416"/>
    <cellStyle name="_header_grey 2 13" xfId="3417"/>
    <cellStyle name="_header_grey 2 14" xfId="3418"/>
    <cellStyle name="_header_grey 2 15" xfId="3419"/>
    <cellStyle name="_header_grey 2 16" xfId="3420"/>
    <cellStyle name="_header_grey 2 17" xfId="3421"/>
    <cellStyle name="_header_grey 2 18" xfId="3422"/>
    <cellStyle name="_header_grey 2 19" xfId="3423"/>
    <cellStyle name="_header_grey 2 2" xfId="3424"/>
    <cellStyle name="_header_grey 2 2 10" xfId="3425"/>
    <cellStyle name="_header_grey 2 2 11" xfId="3426"/>
    <cellStyle name="_header_grey 2 2 12" xfId="3427"/>
    <cellStyle name="_header_grey 2 2 13" xfId="3428"/>
    <cellStyle name="_header_grey 2 2 14" xfId="3429"/>
    <cellStyle name="_header_grey 2 2 15" xfId="3430"/>
    <cellStyle name="_header_grey 2 2 16" xfId="3431"/>
    <cellStyle name="_header_grey 2 2 17" xfId="3432"/>
    <cellStyle name="_header_grey 2 2 18" xfId="3433"/>
    <cellStyle name="_header_grey 2 2 2" xfId="3434"/>
    <cellStyle name="_header_grey 2 2 2 2" xfId="3435"/>
    <cellStyle name="_header_grey 2 2 2 2 2" xfId="3436"/>
    <cellStyle name="_header_grey 2 2 2 3" xfId="3437"/>
    <cellStyle name="_header_grey 2 2 2 4" xfId="3438"/>
    <cellStyle name="_header_grey 2 2 3" xfId="3439"/>
    <cellStyle name="_header_grey 2 2 3 2" xfId="3440"/>
    <cellStyle name="_header_grey 2 2 3 3" xfId="3441"/>
    <cellStyle name="_header_grey 2 2 4" xfId="3442"/>
    <cellStyle name="_header_grey 2 2 4 2" xfId="3443"/>
    <cellStyle name="_header_grey 2 2 5" xfId="3444"/>
    <cellStyle name="_header_grey 2 2 6" xfId="3445"/>
    <cellStyle name="_header_grey 2 2 7" xfId="3446"/>
    <cellStyle name="_header_grey 2 2 8" xfId="3447"/>
    <cellStyle name="_header_grey 2 2 9" xfId="3448"/>
    <cellStyle name="_header_grey 2 20" xfId="3449"/>
    <cellStyle name="_header_grey 2 21" xfId="3450"/>
    <cellStyle name="_header_grey 2 22" xfId="3451"/>
    <cellStyle name="_header_grey 2 3" xfId="3452"/>
    <cellStyle name="_header_grey 2 3 10" xfId="3453"/>
    <cellStyle name="_header_grey 2 3 11" xfId="3454"/>
    <cellStyle name="_header_grey 2 3 12" xfId="3455"/>
    <cellStyle name="_header_grey 2 3 13" xfId="3456"/>
    <cellStyle name="_header_grey 2 3 14" xfId="3457"/>
    <cellStyle name="_header_grey 2 3 15" xfId="3458"/>
    <cellStyle name="_header_grey 2 3 16" xfId="3459"/>
    <cellStyle name="_header_grey 2 3 17" xfId="3460"/>
    <cellStyle name="_header_grey 2 3 18" xfId="3461"/>
    <cellStyle name="_header_grey 2 3 2" xfId="3462"/>
    <cellStyle name="_header_grey 2 3 2 2" xfId="3463"/>
    <cellStyle name="_header_grey 2 3 2 2 2" xfId="3464"/>
    <cellStyle name="_header_grey 2 3 2 3" xfId="3465"/>
    <cellStyle name="_header_grey 2 3 2 4" xfId="3466"/>
    <cellStyle name="_header_grey 2 3 3" xfId="3467"/>
    <cellStyle name="_header_grey 2 3 3 2" xfId="3468"/>
    <cellStyle name="_header_grey 2 3 3 3" xfId="3469"/>
    <cellStyle name="_header_grey 2 3 4" xfId="3470"/>
    <cellStyle name="_header_grey 2 3 4 2" xfId="3471"/>
    <cellStyle name="_header_grey 2 3 5" xfId="3472"/>
    <cellStyle name="_header_grey 2 3 6" xfId="3473"/>
    <cellStyle name="_header_grey 2 3 7" xfId="3474"/>
    <cellStyle name="_header_grey 2 3 8" xfId="3475"/>
    <cellStyle name="_header_grey 2 3 9" xfId="3476"/>
    <cellStyle name="_header_grey 2 4" xfId="3477"/>
    <cellStyle name="_header_grey 2 4 2" xfId="3478"/>
    <cellStyle name="_header_grey 2 4 2 2" xfId="3479"/>
    <cellStyle name="_header_grey 2 4 2 3" xfId="3480"/>
    <cellStyle name="_header_grey 2 4 3" xfId="3481"/>
    <cellStyle name="_header_grey 2 4 3 2" xfId="3482"/>
    <cellStyle name="_header_grey 2 4 4" xfId="3483"/>
    <cellStyle name="_header_grey 2 4 5" xfId="3484"/>
    <cellStyle name="_header_grey 2 5" xfId="3485"/>
    <cellStyle name="_header_grey 2 5 2" xfId="3486"/>
    <cellStyle name="_header_grey 2 5 2 2" xfId="3487"/>
    <cellStyle name="_header_grey 2 5 3" xfId="3488"/>
    <cellStyle name="_header_grey 2 5 4" xfId="3489"/>
    <cellStyle name="_header_grey 2 6" xfId="3490"/>
    <cellStyle name="_header_grey 2 6 2" xfId="3491"/>
    <cellStyle name="_header_grey 2 7" xfId="3492"/>
    <cellStyle name="_header_grey 2 8" xfId="3493"/>
    <cellStyle name="_header_grey 2 9" xfId="3494"/>
    <cellStyle name="_header_grey 20" xfId="3495"/>
    <cellStyle name="_header_grey 21" xfId="3496"/>
    <cellStyle name="_header_grey 22" xfId="3497"/>
    <cellStyle name="_header_grey 23" xfId="3498"/>
    <cellStyle name="_header_grey 24" xfId="3499"/>
    <cellStyle name="_header_grey 25" xfId="3500"/>
    <cellStyle name="_header_grey 26" xfId="3501"/>
    <cellStyle name="_header_grey 3" xfId="3502"/>
    <cellStyle name="_header_grey 3 10" xfId="3503"/>
    <cellStyle name="_header_grey 3 11" xfId="3504"/>
    <cellStyle name="_header_grey 3 12" xfId="3505"/>
    <cellStyle name="_header_grey 3 13" xfId="3506"/>
    <cellStyle name="_header_grey 3 14" xfId="3507"/>
    <cellStyle name="_header_grey 3 15" xfId="3508"/>
    <cellStyle name="_header_grey 3 16" xfId="3509"/>
    <cellStyle name="_header_grey 3 17" xfId="3510"/>
    <cellStyle name="_header_grey 3 18" xfId="3511"/>
    <cellStyle name="_header_grey 3 19" xfId="3512"/>
    <cellStyle name="_header_grey 3 2" xfId="3513"/>
    <cellStyle name="_header_grey 3 2 10" xfId="3514"/>
    <cellStyle name="_header_grey 3 2 11" xfId="3515"/>
    <cellStyle name="_header_grey 3 2 12" xfId="3516"/>
    <cellStyle name="_header_grey 3 2 13" xfId="3517"/>
    <cellStyle name="_header_grey 3 2 14" xfId="3518"/>
    <cellStyle name="_header_grey 3 2 15" xfId="3519"/>
    <cellStyle name="_header_grey 3 2 16" xfId="3520"/>
    <cellStyle name="_header_grey 3 2 17" xfId="3521"/>
    <cellStyle name="_header_grey 3 2 18" xfId="3522"/>
    <cellStyle name="_header_grey 3 2 2" xfId="3523"/>
    <cellStyle name="_header_grey 3 2 2 2" xfId="3524"/>
    <cellStyle name="_header_grey 3 2 2 2 2" xfId="3525"/>
    <cellStyle name="_header_grey 3 2 2 3" xfId="3526"/>
    <cellStyle name="_header_grey 3 2 2 4" xfId="3527"/>
    <cellStyle name="_header_grey 3 2 3" xfId="3528"/>
    <cellStyle name="_header_grey 3 2 3 2" xfId="3529"/>
    <cellStyle name="_header_grey 3 2 3 3" xfId="3530"/>
    <cellStyle name="_header_grey 3 2 4" xfId="3531"/>
    <cellStyle name="_header_grey 3 2 4 2" xfId="3532"/>
    <cellStyle name="_header_grey 3 2 5" xfId="3533"/>
    <cellStyle name="_header_grey 3 2 6" xfId="3534"/>
    <cellStyle name="_header_grey 3 2 7" xfId="3535"/>
    <cellStyle name="_header_grey 3 2 8" xfId="3536"/>
    <cellStyle name="_header_grey 3 2 9" xfId="3537"/>
    <cellStyle name="_header_grey 3 20" xfId="3538"/>
    <cellStyle name="_header_grey 3 21" xfId="3539"/>
    <cellStyle name="_header_grey 3 22" xfId="3540"/>
    <cellStyle name="_header_grey 3 3" xfId="3541"/>
    <cellStyle name="_header_grey 3 3 10" xfId="3542"/>
    <cellStyle name="_header_grey 3 3 11" xfId="3543"/>
    <cellStyle name="_header_grey 3 3 12" xfId="3544"/>
    <cellStyle name="_header_grey 3 3 13" xfId="3545"/>
    <cellStyle name="_header_grey 3 3 14" xfId="3546"/>
    <cellStyle name="_header_grey 3 3 15" xfId="3547"/>
    <cellStyle name="_header_grey 3 3 16" xfId="3548"/>
    <cellStyle name="_header_grey 3 3 17" xfId="3549"/>
    <cellStyle name="_header_grey 3 3 18" xfId="3550"/>
    <cellStyle name="_header_grey 3 3 2" xfId="3551"/>
    <cellStyle name="_header_grey 3 3 2 2" xfId="3552"/>
    <cellStyle name="_header_grey 3 3 2 2 2" xfId="3553"/>
    <cellStyle name="_header_grey 3 3 2 3" xfId="3554"/>
    <cellStyle name="_header_grey 3 3 2 4" xfId="3555"/>
    <cellStyle name="_header_grey 3 3 3" xfId="3556"/>
    <cellStyle name="_header_grey 3 3 3 2" xfId="3557"/>
    <cellStyle name="_header_grey 3 3 3 3" xfId="3558"/>
    <cellStyle name="_header_grey 3 3 4" xfId="3559"/>
    <cellStyle name="_header_grey 3 3 4 2" xfId="3560"/>
    <cellStyle name="_header_grey 3 3 5" xfId="3561"/>
    <cellStyle name="_header_grey 3 3 6" xfId="3562"/>
    <cellStyle name="_header_grey 3 3 7" xfId="3563"/>
    <cellStyle name="_header_grey 3 3 8" xfId="3564"/>
    <cellStyle name="_header_grey 3 3 9" xfId="3565"/>
    <cellStyle name="_header_grey 3 4" xfId="3566"/>
    <cellStyle name="_header_grey 3 4 2" xfId="3567"/>
    <cellStyle name="_header_grey 3 4 2 2" xfId="3568"/>
    <cellStyle name="_header_grey 3 4 2 3" xfId="3569"/>
    <cellStyle name="_header_grey 3 4 3" xfId="3570"/>
    <cellStyle name="_header_grey 3 4 3 2" xfId="3571"/>
    <cellStyle name="_header_grey 3 4 4" xfId="3572"/>
    <cellStyle name="_header_grey 3 4 5" xfId="3573"/>
    <cellStyle name="_header_grey 3 5" xfId="3574"/>
    <cellStyle name="_header_grey 3 5 2" xfId="3575"/>
    <cellStyle name="_header_grey 3 5 2 2" xfId="3576"/>
    <cellStyle name="_header_grey 3 5 3" xfId="3577"/>
    <cellStyle name="_header_grey 3 5 4" xfId="3578"/>
    <cellStyle name="_header_grey 3 6" xfId="3579"/>
    <cellStyle name="_header_grey 3 6 2" xfId="3580"/>
    <cellStyle name="_header_grey 3 7" xfId="3581"/>
    <cellStyle name="_header_grey 3 8" xfId="3582"/>
    <cellStyle name="_header_grey 3 9" xfId="3583"/>
    <cellStyle name="_header_grey 4" xfId="3584"/>
    <cellStyle name="_header_grey 4 10" xfId="3585"/>
    <cellStyle name="_header_grey 4 11" xfId="3586"/>
    <cellStyle name="_header_grey 4 12" xfId="3587"/>
    <cellStyle name="_header_grey 4 13" xfId="3588"/>
    <cellStyle name="_header_grey 4 14" xfId="3589"/>
    <cellStyle name="_header_grey 4 15" xfId="3590"/>
    <cellStyle name="_header_grey 4 16" xfId="3591"/>
    <cellStyle name="_header_grey 4 17" xfId="3592"/>
    <cellStyle name="_header_grey 4 18" xfId="3593"/>
    <cellStyle name="_header_grey 4 19" xfId="3594"/>
    <cellStyle name="_header_grey 4 2" xfId="3595"/>
    <cellStyle name="_header_grey 4 2 10" xfId="3596"/>
    <cellStyle name="_header_grey 4 2 11" xfId="3597"/>
    <cellStyle name="_header_grey 4 2 12" xfId="3598"/>
    <cellStyle name="_header_grey 4 2 13" xfId="3599"/>
    <cellStyle name="_header_grey 4 2 14" xfId="3600"/>
    <cellStyle name="_header_grey 4 2 15" xfId="3601"/>
    <cellStyle name="_header_grey 4 2 16" xfId="3602"/>
    <cellStyle name="_header_grey 4 2 17" xfId="3603"/>
    <cellStyle name="_header_grey 4 2 18" xfId="3604"/>
    <cellStyle name="_header_grey 4 2 2" xfId="3605"/>
    <cellStyle name="_header_grey 4 2 2 2" xfId="3606"/>
    <cellStyle name="_header_grey 4 2 2 2 2" xfId="3607"/>
    <cellStyle name="_header_grey 4 2 2 3" xfId="3608"/>
    <cellStyle name="_header_grey 4 2 2 4" xfId="3609"/>
    <cellStyle name="_header_grey 4 2 3" xfId="3610"/>
    <cellStyle name="_header_grey 4 2 3 2" xfId="3611"/>
    <cellStyle name="_header_grey 4 2 3 3" xfId="3612"/>
    <cellStyle name="_header_grey 4 2 4" xfId="3613"/>
    <cellStyle name="_header_grey 4 2 4 2" xfId="3614"/>
    <cellStyle name="_header_grey 4 2 5" xfId="3615"/>
    <cellStyle name="_header_grey 4 2 6" xfId="3616"/>
    <cellStyle name="_header_grey 4 2 7" xfId="3617"/>
    <cellStyle name="_header_grey 4 2 8" xfId="3618"/>
    <cellStyle name="_header_grey 4 2 9" xfId="3619"/>
    <cellStyle name="_header_grey 4 20" xfId="3620"/>
    <cellStyle name="_header_grey 4 21" xfId="3621"/>
    <cellStyle name="_header_grey 4 22" xfId="3622"/>
    <cellStyle name="_header_grey 4 3" xfId="3623"/>
    <cellStyle name="_header_grey 4 3 10" xfId="3624"/>
    <cellStyle name="_header_grey 4 3 11" xfId="3625"/>
    <cellStyle name="_header_grey 4 3 12" xfId="3626"/>
    <cellStyle name="_header_grey 4 3 13" xfId="3627"/>
    <cellStyle name="_header_grey 4 3 14" xfId="3628"/>
    <cellStyle name="_header_grey 4 3 15" xfId="3629"/>
    <cellStyle name="_header_grey 4 3 16" xfId="3630"/>
    <cellStyle name="_header_grey 4 3 17" xfId="3631"/>
    <cellStyle name="_header_grey 4 3 18" xfId="3632"/>
    <cellStyle name="_header_grey 4 3 2" xfId="3633"/>
    <cellStyle name="_header_grey 4 3 2 2" xfId="3634"/>
    <cellStyle name="_header_grey 4 3 2 2 2" xfId="3635"/>
    <cellStyle name="_header_grey 4 3 2 3" xfId="3636"/>
    <cellStyle name="_header_grey 4 3 2 4" xfId="3637"/>
    <cellStyle name="_header_grey 4 3 3" xfId="3638"/>
    <cellStyle name="_header_grey 4 3 3 2" xfId="3639"/>
    <cellStyle name="_header_grey 4 3 3 3" xfId="3640"/>
    <cellStyle name="_header_grey 4 3 4" xfId="3641"/>
    <cellStyle name="_header_grey 4 3 4 2" xfId="3642"/>
    <cellStyle name="_header_grey 4 3 5" xfId="3643"/>
    <cellStyle name="_header_grey 4 3 6" xfId="3644"/>
    <cellStyle name="_header_grey 4 3 7" xfId="3645"/>
    <cellStyle name="_header_grey 4 3 8" xfId="3646"/>
    <cellStyle name="_header_grey 4 3 9" xfId="3647"/>
    <cellStyle name="_header_grey 4 4" xfId="3648"/>
    <cellStyle name="_header_grey 4 4 2" xfId="3649"/>
    <cellStyle name="_header_grey 4 4 2 2" xfId="3650"/>
    <cellStyle name="_header_grey 4 4 2 3" xfId="3651"/>
    <cellStyle name="_header_grey 4 4 3" xfId="3652"/>
    <cellStyle name="_header_grey 4 4 3 2" xfId="3653"/>
    <cellStyle name="_header_grey 4 4 4" xfId="3654"/>
    <cellStyle name="_header_grey 4 4 5" xfId="3655"/>
    <cellStyle name="_header_grey 4 5" xfId="3656"/>
    <cellStyle name="_header_grey 4 5 2" xfId="3657"/>
    <cellStyle name="_header_grey 4 5 2 2" xfId="3658"/>
    <cellStyle name="_header_grey 4 5 3" xfId="3659"/>
    <cellStyle name="_header_grey 4 5 4" xfId="3660"/>
    <cellStyle name="_header_grey 4 6" xfId="3661"/>
    <cellStyle name="_header_grey 4 6 2" xfId="3662"/>
    <cellStyle name="_header_grey 4 7" xfId="3663"/>
    <cellStyle name="_header_grey 4 8" xfId="3664"/>
    <cellStyle name="_header_grey 4 9" xfId="3665"/>
    <cellStyle name="_header_grey 5" xfId="3666"/>
    <cellStyle name="_header_grey 5 10" xfId="3667"/>
    <cellStyle name="_header_grey 5 11" xfId="3668"/>
    <cellStyle name="_header_grey 5 12" xfId="3669"/>
    <cellStyle name="_header_grey 5 13" xfId="3670"/>
    <cellStyle name="_header_grey 5 14" xfId="3671"/>
    <cellStyle name="_header_grey 5 15" xfId="3672"/>
    <cellStyle name="_header_grey 5 16" xfId="3673"/>
    <cellStyle name="_header_grey 5 17" xfId="3674"/>
    <cellStyle name="_header_grey 5 18" xfId="3675"/>
    <cellStyle name="_header_grey 5 19" xfId="3676"/>
    <cellStyle name="_header_grey 5 2" xfId="3677"/>
    <cellStyle name="_header_grey 5 2 10" xfId="3678"/>
    <cellStyle name="_header_grey 5 2 11" xfId="3679"/>
    <cellStyle name="_header_grey 5 2 12" xfId="3680"/>
    <cellStyle name="_header_grey 5 2 13" xfId="3681"/>
    <cellStyle name="_header_grey 5 2 14" xfId="3682"/>
    <cellStyle name="_header_grey 5 2 15" xfId="3683"/>
    <cellStyle name="_header_grey 5 2 16" xfId="3684"/>
    <cellStyle name="_header_grey 5 2 17" xfId="3685"/>
    <cellStyle name="_header_grey 5 2 18" xfId="3686"/>
    <cellStyle name="_header_grey 5 2 2" xfId="3687"/>
    <cellStyle name="_header_grey 5 2 2 2" xfId="3688"/>
    <cellStyle name="_header_grey 5 2 2 2 2" xfId="3689"/>
    <cellStyle name="_header_grey 5 2 2 3" xfId="3690"/>
    <cellStyle name="_header_grey 5 2 2 4" xfId="3691"/>
    <cellStyle name="_header_grey 5 2 3" xfId="3692"/>
    <cellStyle name="_header_grey 5 2 3 2" xfId="3693"/>
    <cellStyle name="_header_grey 5 2 3 3" xfId="3694"/>
    <cellStyle name="_header_grey 5 2 4" xfId="3695"/>
    <cellStyle name="_header_grey 5 2 4 2" xfId="3696"/>
    <cellStyle name="_header_grey 5 2 5" xfId="3697"/>
    <cellStyle name="_header_grey 5 2 6" xfId="3698"/>
    <cellStyle name="_header_grey 5 2 7" xfId="3699"/>
    <cellStyle name="_header_grey 5 2 8" xfId="3700"/>
    <cellStyle name="_header_grey 5 2 9" xfId="3701"/>
    <cellStyle name="_header_grey 5 20" xfId="3702"/>
    <cellStyle name="_header_grey 5 3" xfId="3703"/>
    <cellStyle name="_header_grey 5 3 10" xfId="3704"/>
    <cellStyle name="_header_grey 5 3 11" xfId="3705"/>
    <cellStyle name="_header_grey 5 3 12" xfId="3706"/>
    <cellStyle name="_header_grey 5 3 13" xfId="3707"/>
    <cellStyle name="_header_grey 5 3 14" xfId="3708"/>
    <cellStyle name="_header_grey 5 3 15" xfId="3709"/>
    <cellStyle name="_header_grey 5 3 16" xfId="3710"/>
    <cellStyle name="_header_grey 5 3 17" xfId="3711"/>
    <cellStyle name="_header_grey 5 3 18" xfId="3712"/>
    <cellStyle name="_header_grey 5 3 2" xfId="3713"/>
    <cellStyle name="_header_grey 5 3 2 2" xfId="3714"/>
    <cellStyle name="_header_grey 5 3 2 2 2" xfId="3715"/>
    <cellStyle name="_header_grey 5 3 2 3" xfId="3716"/>
    <cellStyle name="_header_grey 5 3 2 4" xfId="3717"/>
    <cellStyle name="_header_grey 5 3 3" xfId="3718"/>
    <cellStyle name="_header_grey 5 3 3 2" xfId="3719"/>
    <cellStyle name="_header_grey 5 3 3 3" xfId="3720"/>
    <cellStyle name="_header_grey 5 3 4" xfId="3721"/>
    <cellStyle name="_header_grey 5 3 4 2" xfId="3722"/>
    <cellStyle name="_header_grey 5 3 5" xfId="3723"/>
    <cellStyle name="_header_grey 5 3 6" xfId="3724"/>
    <cellStyle name="_header_grey 5 3 7" xfId="3725"/>
    <cellStyle name="_header_grey 5 3 8" xfId="3726"/>
    <cellStyle name="_header_grey 5 3 9" xfId="3727"/>
    <cellStyle name="_header_grey 5 4" xfId="3728"/>
    <cellStyle name="_header_grey 5 4 2" xfId="3729"/>
    <cellStyle name="_header_grey 5 4 2 2" xfId="3730"/>
    <cellStyle name="_header_grey 5 4 2 3" xfId="3731"/>
    <cellStyle name="_header_grey 5 4 3" xfId="3732"/>
    <cellStyle name="_header_grey 5 4 3 2" xfId="3733"/>
    <cellStyle name="_header_grey 5 4 4" xfId="3734"/>
    <cellStyle name="_header_grey 5 4 5" xfId="3735"/>
    <cellStyle name="_header_grey 5 5" xfId="3736"/>
    <cellStyle name="_header_grey 5 5 2" xfId="3737"/>
    <cellStyle name="_header_grey 5 5 2 2" xfId="3738"/>
    <cellStyle name="_header_grey 5 5 3" xfId="3739"/>
    <cellStyle name="_header_grey 5 5 4" xfId="3740"/>
    <cellStyle name="_header_grey 5 6" xfId="3741"/>
    <cellStyle name="_header_grey 5 6 2" xfId="3742"/>
    <cellStyle name="_header_grey 5 7" xfId="3743"/>
    <cellStyle name="_header_grey 5 8" xfId="3744"/>
    <cellStyle name="_header_grey 5 9" xfId="3745"/>
    <cellStyle name="_header_grey 6" xfId="3746"/>
    <cellStyle name="_header_grey 6 10" xfId="3747"/>
    <cellStyle name="_header_grey 6 11" xfId="3748"/>
    <cellStyle name="_header_grey 6 12" xfId="3749"/>
    <cellStyle name="_header_grey 6 13" xfId="3750"/>
    <cellStyle name="_header_grey 6 14" xfId="3751"/>
    <cellStyle name="_header_grey 6 15" xfId="3752"/>
    <cellStyle name="_header_grey 6 16" xfId="3753"/>
    <cellStyle name="_header_grey 6 17" xfId="3754"/>
    <cellStyle name="_header_grey 6 18" xfId="3755"/>
    <cellStyle name="_header_grey 6 19" xfId="3756"/>
    <cellStyle name="_header_grey 6 2" xfId="3757"/>
    <cellStyle name="_header_grey 6 2 10" xfId="3758"/>
    <cellStyle name="_header_grey 6 2 11" xfId="3759"/>
    <cellStyle name="_header_grey 6 2 12" xfId="3760"/>
    <cellStyle name="_header_grey 6 2 13" xfId="3761"/>
    <cellStyle name="_header_grey 6 2 14" xfId="3762"/>
    <cellStyle name="_header_grey 6 2 15" xfId="3763"/>
    <cellStyle name="_header_grey 6 2 16" xfId="3764"/>
    <cellStyle name="_header_grey 6 2 17" xfId="3765"/>
    <cellStyle name="_header_grey 6 2 18" xfId="3766"/>
    <cellStyle name="_header_grey 6 2 2" xfId="3767"/>
    <cellStyle name="_header_grey 6 2 2 2" xfId="3768"/>
    <cellStyle name="_header_grey 6 2 2 2 2" xfId="3769"/>
    <cellStyle name="_header_grey 6 2 2 3" xfId="3770"/>
    <cellStyle name="_header_grey 6 2 2 4" xfId="3771"/>
    <cellStyle name="_header_grey 6 2 3" xfId="3772"/>
    <cellStyle name="_header_grey 6 2 3 2" xfId="3773"/>
    <cellStyle name="_header_grey 6 2 3 3" xfId="3774"/>
    <cellStyle name="_header_grey 6 2 4" xfId="3775"/>
    <cellStyle name="_header_grey 6 2 4 2" xfId="3776"/>
    <cellStyle name="_header_grey 6 2 5" xfId="3777"/>
    <cellStyle name="_header_grey 6 2 6" xfId="3778"/>
    <cellStyle name="_header_grey 6 2 7" xfId="3779"/>
    <cellStyle name="_header_grey 6 2 8" xfId="3780"/>
    <cellStyle name="_header_grey 6 2 9" xfId="3781"/>
    <cellStyle name="_header_grey 6 20" xfId="3782"/>
    <cellStyle name="_header_grey 6 21" xfId="3783"/>
    <cellStyle name="_header_grey 6 3" xfId="3784"/>
    <cellStyle name="_header_grey 6 3 10" xfId="3785"/>
    <cellStyle name="_header_grey 6 3 11" xfId="3786"/>
    <cellStyle name="_header_grey 6 3 12" xfId="3787"/>
    <cellStyle name="_header_grey 6 3 13" xfId="3788"/>
    <cellStyle name="_header_grey 6 3 14" xfId="3789"/>
    <cellStyle name="_header_grey 6 3 15" xfId="3790"/>
    <cellStyle name="_header_grey 6 3 16" xfId="3791"/>
    <cellStyle name="_header_grey 6 3 17" xfId="3792"/>
    <cellStyle name="_header_grey 6 3 18" xfId="3793"/>
    <cellStyle name="_header_grey 6 3 2" xfId="3794"/>
    <cellStyle name="_header_grey 6 3 2 2" xfId="3795"/>
    <cellStyle name="_header_grey 6 3 2 2 2" xfId="3796"/>
    <cellStyle name="_header_grey 6 3 2 3" xfId="3797"/>
    <cellStyle name="_header_grey 6 3 2 4" xfId="3798"/>
    <cellStyle name="_header_grey 6 3 3" xfId="3799"/>
    <cellStyle name="_header_grey 6 3 3 2" xfId="3800"/>
    <cellStyle name="_header_grey 6 3 3 3" xfId="3801"/>
    <cellStyle name="_header_grey 6 3 4" xfId="3802"/>
    <cellStyle name="_header_grey 6 3 4 2" xfId="3803"/>
    <cellStyle name="_header_grey 6 3 5" xfId="3804"/>
    <cellStyle name="_header_grey 6 3 6" xfId="3805"/>
    <cellStyle name="_header_grey 6 3 7" xfId="3806"/>
    <cellStyle name="_header_grey 6 3 8" xfId="3807"/>
    <cellStyle name="_header_grey 6 3 9" xfId="3808"/>
    <cellStyle name="_header_grey 6 4" xfId="3809"/>
    <cellStyle name="_header_grey 6 4 2" xfId="3810"/>
    <cellStyle name="_header_grey 6 4 2 2" xfId="3811"/>
    <cellStyle name="_header_grey 6 4 2 3" xfId="3812"/>
    <cellStyle name="_header_grey 6 4 3" xfId="3813"/>
    <cellStyle name="_header_grey 6 4 3 2" xfId="3814"/>
    <cellStyle name="_header_grey 6 4 4" xfId="3815"/>
    <cellStyle name="_header_grey 6 4 5" xfId="3816"/>
    <cellStyle name="_header_grey 6 5" xfId="3817"/>
    <cellStyle name="_header_grey 6 5 2" xfId="3818"/>
    <cellStyle name="_header_grey 6 5 2 2" xfId="3819"/>
    <cellStyle name="_header_grey 6 5 3" xfId="3820"/>
    <cellStyle name="_header_grey 6 5 4" xfId="3821"/>
    <cellStyle name="_header_grey 6 6" xfId="3822"/>
    <cellStyle name="_header_grey 6 6 2" xfId="3823"/>
    <cellStyle name="_header_grey 6 7" xfId="3824"/>
    <cellStyle name="_header_grey 6 8" xfId="3825"/>
    <cellStyle name="_header_grey 6 9" xfId="3826"/>
    <cellStyle name="_header_grey 7" xfId="3827"/>
    <cellStyle name="_header_grey 7 10" xfId="3828"/>
    <cellStyle name="_header_grey 7 11" xfId="3829"/>
    <cellStyle name="_header_grey 7 12" xfId="3830"/>
    <cellStyle name="_header_grey 7 13" xfId="3831"/>
    <cellStyle name="_header_grey 7 14" xfId="3832"/>
    <cellStyle name="_header_grey 7 15" xfId="3833"/>
    <cellStyle name="_header_grey 7 16" xfId="3834"/>
    <cellStyle name="_header_grey 7 17" xfId="3835"/>
    <cellStyle name="_header_grey 7 2" xfId="3836"/>
    <cellStyle name="_header_grey 7 2 2" xfId="3837"/>
    <cellStyle name="_header_grey 7 2 2 2" xfId="3838"/>
    <cellStyle name="_header_grey 7 2 3" xfId="3839"/>
    <cellStyle name="_header_grey 7 2 4" xfId="3840"/>
    <cellStyle name="_header_grey 7 3" xfId="3841"/>
    <cellStyle name="_header_grey 7 3 2" xfId="3842"/>
    <cellStyle name="_header_grey 7 4" xfId="3843"/>
    <cellStyle name="_header_grey 7 5" xfId="3844"/>
    <cellStyle name="_header_grey 7 6" xfId="3845"/>
    <cellStyle name="_header_grey 7 7" xfId="3846"/>
    <cellStyle name="_header_grey 7 8" xfId="3847"/>
    <cellStyle name="_header_grey 7 9" xfId="3848"/>
    <cellStyle name="_header_grey 8" xfId="3849"/>
    <cellStyle name="_header_grey 8 2" xfId="3850"/>
    <cellStyle name="_header_grey 8 2 2" xfId="3851"/>
    <cellStyle name="_header_grey 8 2 2 2" xfId="3852"/>
    <cellStyle name="_header_grey 8 2 3" xfId="3853"/>
    <cellStyle name="_header_grey 8 2 4" xfId="3854"/>
    <cellStyle name="_header_grey 8 3" xfId="3855"/>
    <cellStyle name="_header_grey 8 3 2" xfId="3856"/>
    <cellStyle name="_header_grey 8 3 3" xfId="3857"/>
    <cellStyle name="_header_grey 8 4" xfId="3858"/>
    <cellStyle name="_header_grey 8 4 2" xfId="3859"/>
    <cellStyle name="_header_grey 8 5" xfId="3860"/>
    <cellStyle name="_header_grey 8 6" xfId="3861"/>
    <cellStyle name="_header_grey 9" xfId="3862"/>
    <cellStyle name="_header_grey 9 2" xfId="3863"/>
    <cellStyle name="_header_grey 9 2 2" xfId="3864"/>
    <cellStyle name="_header_grey 9 3" xfId="3865"/>
    <cellStyle name="_header_grey 9 4" xfId="3866"/>
    <cellStyle name="_header_italic" xfId="3867"/>
    <cellStyle name="_header_italic 10" xfId="3868"/>
    <cellStyle name="_header_italic 11" xfId="3869"/>
    <cellStyle name="_header_italic 12" xfId="3870"/>
    <cellStyle name="_header_italic 13" xfId="3871"/>
    <cellStyle name="_header_italic 14" xfId="3872"/>
    <cellStyle name="_header_italic 15" xfId="3873"/>
    <cellStyle name="_header_italic 16" xfId="3874"/>
    <cellStyle name="_header_italic 17" xfId="3875"/>
    <cellStyle name="_header_italic 18" xfId="3876"/>
    <cellStyle name="_header_italic 19" xfId="3877"/>
    <cellStyle name="_header_italic 2" xfId="3878"/>
    <cellStyle name="_header_italic 2 10" xfId="3879"/>
    <cellStyle name="_header_italic 2 11" xfId="3880"/>
    <cellStyle name="_header_italic 2 12" xfId="3881"/>
    <cellStyle name="_header_italic 2 13" xfId="3882"/>
    <cellStyle name="_header_italic 2 14" xfId="3883"/>
    <cellStyle name="_header_italic 2 15" xfId="3884"/>
    <cellStyle name="_header_italic 2 16" xfId="3885"/>
    <cellStyle name="_header_italic 2 17" xfId="3886"/>
    <cellStyle name="_header_italic 2 18" xfId="3887"/>
    <cellStyle name="_header_italic 2 19" xfId="3888"/>
    <cellStyle name="_header_italic 2 2" xfId="3889"/>
    <cellStyle name="_header_italic 2 2 10" xfId="3890"/>
    <cellStyle name="_header_italic 2 2 11" xfId="3891"/>
    <cellStyle name="_header_italic 2 2 12" xfId="3892"/>
    <cellStyle name="_header_italic 2 2 13" xfId="3893"/>
    <cellStyle name="_header_italic 2 2 14" xfId="3894"/>
    <cellStyle name="_header_italic 2 2 15" xfId="3895"/>
    <cellStyle name="_header_italic 2 2 16" xfId="3896"/>
    <cellStyle name="_header_italic 2 2 17" xfId="3897"/>
    <cellStyle name="_header_italic 2 2 18" xfId="3898"/>
    <cellStyle name="_header_italic 2 2 2" xfId="3899"/>
    <cellStyle name="_header_italic 2 2 2 2" xfId="3900"/>
    <cellStyle name="_header_italic 2 2 2 2 2" xfId="3901"/>
    <cellStyle name="_header_italic 2 2 2 3" xfId="3902"/>
    <cellStyle name="_header_italic 2 2 2 4" xfId="3903"/>
    <cellStyle name="_header_italic 2 2 3" xfId="3904"/>
    <cellStyle name="_header_italic 2 2 3 2" xfId="3905"/>
    <cellStyle name="_header_italic 2 2 3 3" xfId="3906"/>
    <cellStyle name="_header_italic 2 2 4" xfId="3907"/>
    <cellStyle name="_header_italic 2 2 4 2" xfId="3908"/>
    <cellStyle name="_header_italic 2 2 5" xfId="3909"/>
    <cellStyle name="_header_italic 2 2 6" xfId="3910"/>
    <cellStyle name="_header_italic 2 2 7" xfId="3911"/>
    <cellStyle name="_header_italic 2 2 8" xfId="3912"/>
    <cellStyle name="_header_italic 2 2 9" xfId="3913"/>
    <cellStyle name="_header_italic 2 20" xfId="3914"/>
    <cellStyle name="_header_italic 2 3" xfId="3915"/>
    <cellStyle name="_header_italic 2 3 10" xfId="3916"/>
    <cellStyle name="_header_italic 2 3 11" xfId="3917"/>
    <cellStyle name="_header_italic 2 3 12" xfId="3918"/>
    <cellStyle name="_header_italic 2 3 13" xfId="3919"/>
    <cellStyle name="_header_italic 2 3 14" xfId="3920"/>
    <cellStyle name="_header_italic 2 3 15" xfId="3921"/>
    <cellStyle name="_header_italic 2 3 16" xfId="3922"/>
    <cellStyle name="_header_italic 2 3 17" xfId="3923"/>
    <cellStyle name="_header_italic 2 3 18" xfId="3924"/>
    <cellStyle name="_header_italic 2 3 2" xfId="3925"/>
    <cellStyle name="_header_italic 2 3 2 2" xfId="3926"/>
    <cellStyle name="_header_italic 2 3 2 2 2" xfId="3927"/>
    <cellStyle name="_header_italic 2 3 2 3" xfId="3928"/>
    <cellStyle name="_header_italic 2 3 2 4" xfId="3929"/>
    <cellStyle name="_header_italic 2 3 3" xfId="3930"/>
    <cellStyle name="_header_italic 2 3 3 2" xfId="3931"/>
    <cellStyle name="_header_italic 2 3 3 3" xfId="3932"/>
    <cellStyle name="_header_italic 2 3 4" xfId="3933"/>
    <cellStyle name="_header_italic 2 3 4 2" xfId="3934"/>
    <cellStyle name="_header_italic 2 3 5" xfId="3935"/>
    <cellStyle name="_header_italic 2 3 6" xfId="3936"/>
    <cellStyle name="_header_italic 2 3 7" xfId="3937"/>
    <cellStyle name="_header_italic 2 3 8" xfId="3938"/>
    <cellStyle name="_header_italic 2 3 9" xfId="3939"/>
    <cellStyle name="_header_italic 2 4" xfId="3940"/>
    <cellStyle name="_header_italic 2 4 2" xfId="3941"/>
    <cellStyle name="_header_italic 2 4 2 2" xfId="3942"/>
    <cellStyle name="_header_italic 2 4 2 3" xfId="3943"/>
    <cellStyle name="_header_italic 2 4 3" xfId="3944"/>
    <cellStyle name="_header_italic 2 4 3 2" xfId="3945"/>
    <cellStyle name="_header_italic 2 4 4" xfId="3946"/>
    <cellStyle name="_header_italic 2 4 5" xfId="3947"/>
    <cellStyle name="_header_italic 2 5" xfId="3948"/>
    <cellStyle name="_header_italic 2 5 2" xfId="3949"/>
    <cellStyle name="_header_italic 2 5 2 2" xfId="3950"/>
    <cellStyle name="_header_italic 2 5 3" xfId="3951"/>
    <cellStyle name="_header_italic 2 5 4" xfId="3952"/>
    <cellStyle name="_header_italic 2 6" xfId="3953"/>
    <cellStyle name="_header_italic 2 6 2" xfId="3954"/>
    <cellStyle name="_header_italic 2 7" xfId="3955"/>
    <cellStyle name="_header_italic 2 8" xfId="3956"/>
    <cellStyle name="_header_italic 2 9" xfId="3957"/>
    <cellStyle name="_header_italic 20" xfId="3958"/>
    <cellStyle name="_header_italic 21" xfId="3959"/>
    <cellStyle name="_header_italic 22" xfId="3960"/>
    <cellStyle name="_header_italic 23" xfId="3961"/>
    <cellStyle name="_header_italic 24" xfId="3962"/>
    <cellStyle name="_header_italic 25" xfId="3963"/>
    <cellStyle name="_header_italic 3" xfId="3964"/>
    <cellStyle name="_header_italic 3 10" xfId="3965"/>
    <cellStyle name="_header_italic 3 11" xfId="3966"/>
    <cellStyle name="_header_italic 3 12" xfId="3967"/>
    <cellStyle name="_header_italic 3 13" xfId="3968"/>
    <cellStyle name="_header_italic 3 14" xfId="3969"/>
    <cellStyle name="_header_italic 3 15" xfId="3970"/>
    <cellStyle name="_header_italic 3 16" xfId="3971"/>
    <cellStyle name="_header_italic 3 17" xfId="3972"/>
    <cellStyle name="_header_italic 3 18" xfId="3973"/>
    <cellStyle name="_header_italic 3 19" xfId="3974"/>
    <cellStyle name="_header_italic 3 2" xfId="3975"/>
    <cellStyle name="_header_italic 3 2 10" xfId="3976"/>
    <cellStyle name="_header_italic 3 2 11" xfId="3977"/>
    <cellStyle name="_header_italic 3 2 12" xfId="3978"/>
    <cellStyle name="_header_italic 3 2 13" xfId="3979"/>
    <cellStyle name="_header_italic 3 2 14" xfId="3980"/>
    <cellStyle name="_header_italic 3 2 15" xfId="3981"/>
    <cellStyle name="_header_italic 3 2 16" xfId="3982"/>
    <cellStyle name="_header_italic 3 2 17" xfId="3983"/>
    <cellStyle name="_header_italic 3 2 18" xfId="3984"/>
    <cellStyle name="_header_italic 3 2 2" xfId="3985"/>
    <cellStyle name="_header_italic 3 2 2 2" xfId="3986"/>
    <cellStyle name="_header_italic 3 2 2 2 2" xfId="3987"/>
    <cellStyle name="_header_italic 3 2 2 3" xfId="3988"/>
    <cellStyle name="_header_italic 3 2 2 4" xfId="3989"/>
    <cellStyle name="_header_italic 3 2 3" xfId="3990"/>
    <cellStyle name="_header_italic 3 2 3 2" xfId="3991"/>
    <cellStyle name="_header_italic 3 2 3 3" xfId="3992"/>
    <cellStyle name="_header_italic 3 2 4" xfId="3993"/>
    <cellStyle name="_header_italic 3 2 4 2" xfId="3994"/>
    <cellStyle name="_header_italic 3 2 5" xfId="3995"/>
    <cellStyle name="_header_italic 3 2 6" xfId="3996"/>
    <cellStyle name="_header_italic 3 2 7" xfId="3997"/>
    <cellStyle name="_header_italic 3 2 8" xfId="3998"/>
    <cellStyle name="_header_italic 3 2 9" xfId="3999"/>
    <cellStyle name="_header_italic 3 20" xfId="4000"/>
    <cellStyle name="_header_italic 3 21" xfId="4001"/>
    <cellStyle name="_header_italic 3 22" xfId="4002"/>
    <cellStyle name="_header_italic 3 3" xfId="4003"/>
    <cellStyle name="_header_italic 3 3 10" xfId="4004"/>
    <cellStyle name="_header_italic 3 3 11" xfId="4005"/>
    <cellStyle name="_header_italic 3 3 12" xfId="4006"/>
    <cellStyle name="_header_italic 3 3 13" xfId="4007"/>
    <cellStyle name="_header_italic 3 3 14" xfId="4008"/>
    <cellStyle name="_header_italic 3 3 15" xfId="4009"/>
    <cellStyle name="_header_italic 3 3 16" xfId="4010"/>
    <cellStyle name="_header_italic 3 3 17" xfId="4011"/>
    <cellStyle name="_header_italic 3 3 18" xfId="4012"/>
    <cellStyle name="_header_italic 3 3 2" xfId="4013"/>
    <cellStyle name="_header_italic 3 3 2 2" xfId="4014"/>
    <cellStyle name="_header_italic 3 3 2 2 2" xfId="4015"/>
    <cellStyle name="_header_italic 3 3 2 3" xfId="4016"/>
    <cellStyle name="_header_italic 3 3 2 4" xfId="4017"/>
    <cellStyle name="_header_italic 3 3 3" xfId="4018"/>
    <cellStyle name="_header_italic 3 3 3 2" xfId="4019"/>
    <cellStyle name="_header_italic 3 3 3 3" xfId="4020"/>
    <cellStyle name="_header_italic 3 3 4" xfId="4021"/>
    <cellStyle name="_header_italic 3 3 4 2" xfId="4022"/>
    <cellStyle name="_header_italic 3 3 5" xfId="4023"/>
    <cellStyle name="_header_italic 3 3 6" xfId="4024"/>
    <cellStyle name="_header_italic 3 3 7" xfId="4025"/>
    <cellStyle name="_header_italic 3 3 8" xfId="4026"/>
    <cellStyle name="_header_italic 3 3 9" xfId="4027"/>
    <cellStyle name="_header_italic 3 4" xfId="4028"/>
    <cellStyle name="_header_italic 3 4 2" xfId="4029"/>
    <cellStyle name="_header_italic 3 4 2 2" xfId="4030"/>
    <cellStyle name="_header_italic 3 4 2 3" xfId="4031"/>
    <cellStyle name="_header_italic 3 4 3" xfId="4032"/>
    <cellStyle name="_header_italic 3 4 3 2" xfId="4033"/>
    <cellStyle name="_header_italic 3 4 4" xfId="4034"/>
    <cellStyle name="_header_italic 3 4 5" xfId="4035"/>
    <cellStyle name="_header_italic 3 5" xfId="4036"/>
    <cellStyle name="_header_italic 3 5 2" xfId="4037"/>
    <cellStyle name="_header_italic 3 5 2 2" xfId="4038"/>
    <cellStyle name="_header_italic 3 5 3" xfId="4039"/>
    <cellStyle name="_header_italic 3 5 4" xfId="4040"/>
    <cellStyle name="_header_italic 3 6" xfId="4041"/>
    <cellStyle name="_header_italic 3 6 2" xfId="4042"/>
    <cellStyle name="_header_italic 3 7" xfId="4043"/>
    <cellStyle name="_header_italic 3 8" xfId="4044"/>
    <cellStyle name="_header_italic 3 9" xfId="4045"/>
    <cellStyle name="_header_italic 4" xfId="4046"/>
    <cellStyle name="_header_italic 4 10" xfId="4047"/>
    <cellStyle name="_header_italic 4 11" xfId="4048"/>
    <cellStyle name="_header_italic 4 12" xfId="4049"/>
    <cellStyle name="_header_italic 4 13" xfId="4050"/>
    <cellStyle name="_header_italic 4 14" xfId="4051"/>
    <cellStyle name="_header_italic 4 15" xfId="4052"/>
    <cellStyle name="_header_italic 4 16" xfId="4053"/>
    <cellStyle name="_header_italic 4 17" xfId="4054"/>
    <cellStyle name="_header_italic 4 18" xfId="4055"/>
    <cellStyle name="_header_italic 4 19" xfId="4056"/>
    <cellStyle name="_header_italic 4 2" xfId="4057"/>
    <cellStyle name="_header_italic 4 2 10" xfId="4058"/>
    <cellStyle name="_header_italic 4 2 11" xfId="4059"/>
    <cellStyle name="_header_italic 4 2 12" xfId="4060"/>
    <cellStyle name="_header_italic 4 2 13" xfId="4061"/>
    <cellStyle name="_header_italic 4 2 14" xfId="4062"/>
    <cellStyle name="_header_italic 4 2 15" xfId="4063"/>
    <cellStyle name="_header_italic 4 2 16" xfId="4064"/>
    <cellStyle name="_header_italic 4 2 17" xfId="4065"/>
    <cellStyle name="_header_italic 4 2 18" xfId="4066"/>
    <cellStyle name="_header_italic 4 2 2" xfId="4067"/>
    <cellStyle name="_header_italic 4 2 2 2" xfId="4068"/>
    <cellStyle name="_header_italic 4 2 2 2 2" xfId="4069"/>
    <cellStyle name="_header_italic 4 2 2 3" xfId="4070"/>
    <cellStyle name="_header_italic 4 2 2 4" xfId="4071"/>
    <cellStyle name="_header_italic 4 2 3" xfId="4072"/>
    <cellStyle name="_header_italic 4 2 3 2" xfId="4073"/>
    <cellStyle name="_header_italic 4 2 3 3" xfId="4074"/>
    <cellStyle name="_header_italic 4 2 4" xfId="4075"/>
    <cellStyle name="_header_italic 4 2 4 2" xfId="4076"/>
    <cellStyle name="_header_italic 4 2 5" xfId="4077"/>
    <cellStyle name="_header_italic 4 2 6" xfId="4078"/>
    <cellStyle name="_header_italic 4 2 7" xfId="4079"/>
    <cellStyle name="_header_italic 4 2 8" xfId="4080"/>
    <cellStyle name="_header_italic 4 2 9" xfId="4081"/>
    <cellStyle name="_header_italic 4 20" xfId="4082"/>
    <cellStyle name="_header_italic 4 21" xfId="4083"/>
    <cellStyle name="_header_italic 4 22" xfId="4084"/>
    <cellStyle name="_header_italic 4 3" xfId="4085"/>
    <cellStyle name="_header_italic 4 3 10" xfId="4086"/>
    <cellStyle name="_header_italic 4 3 11" xfId="4087"/>
    <cellStyle name="_header_italic 4 3 12" xfId="4088"/>
    <cellStyle name="_header_italic 4 3 13" xfId="4089"/>
    <cellStyle name="_header_italic 4 3 14" xfId="4090"/>
    <cellStyle name="_header_italic 4 3 15" xfId="4091"/>
    <cellStyle name="_header_italic 4 3 16" xfId="4092"/>
    <cellStyle name="_header_italic 4 3 17" xfId="4093"/>
    <cellStyle name="_header_italic 4 3 18" xfId="4094"/>
    <cellStyle name="_header_italic 4 3 2" xfId="4095"/>
    <cellStyle name="_header_italic 4 3 2 2" xfId="4096"/>
    <cellStyle name="_header_italic 4 3 2 2 2" xfId="4097"/>
    <cellStyle name="_header_italic 4 3 2 3" xfId="4098"/>
    <cellStyle name="_header_italic 4 3 2 4" xfId="4099"/>
    <cellStyle name="_header_italic 4 3 3" xfId="4100"/>
    <cellStyle name="_header_italic 4 3 3 2" xfId="4101"/>
    <cellStyle name="_header_italic 4 3 3 3" xfId="4102"/>
    <cellStyle name="_header_italic 4 3 4" xfId="4103"/>
    <cellStyle name="_header_italic 4 3 4 2" xfId="4104"/>
    <cellStyle name="_header_italic 4 3 5" xfId="4105"/>
    <cellStyle name="_header_italic 4 3 6" xfId="4106"/>
    <cellStyle name="_header_italic 4 3 7" xfId="4107"/>
    <cellStyle name="_header_italic 4 3 8" xfId="4108"/>
    <cellStyle name="_header_italic 4 3 9" xfId="4109"/>
    <cellStyle name="_header_italic 4 4" xfId="4110"/>
    <cellStyle name="_header_italic 4 4 2" xfId="4111"/>
    <cellStyle name="_header_italic 4 4 2 2" xfId="4112"/>
    <cellStyle name="_header_italic 4 4 2 3" xfId="4113"/>
    <cellStyle name="_header_italic 4 4 3" xfId="4114"/>
    <cellStyle name="_header_italic 4 4 3 2" xfId="4115"/>
    <cellStyle name="_header_italic 4 4 4" xfId="4116"/>
    <cellStyle name="_header_italic 4 4 5" xfId="4117"/>
    <cellStyle name="_header_italic 4 5" xfId="4118"/>
    <cellStyle name="_header_italic 4 5 2" xfId="4119"/>
    <cellStyle name="_header_italic 4 5 2 2" xfId="4120"/>
    <cellStyle name="_header_italic 4 5 3" xfId="4121"/>
    <cellStyle name="_header_italic 4 5 4" xfId="4122"/>
    <cellStyle name="_header_italic 4 6" xfId="4123"/>
    <cellStyle name="_header_italic 4 6 2" xfId="4124"/>
    <cellStyle name="_header_italic 4 7" xfId="4125"/>
    <cellStyle name="_header_italic 4 8" xfId="4126"/>
    <cellStyle name="_header_italic 4 9" xfId="4127"/>
    <cellStyle name="_header_italic 5" xfId="4128"/>
    <cellStyle name="_header_italic 5 10" xfId="4129"/>
    <cellStyle name="_header_italic 5 11" xfId="4130"/>
    <cellStyle name="_header_italic 5 12" xfId="4131"/>
    <cellStyle name="_header_italic 5 13" xfId="4132"/>
    <cellStyle name="_header_italic 5 14" xfId="4133"/>
    <cellStyle name="_header_italic 5 15" xfId="4134"/>
    <cellStyle name="_header_italic 5 16" xfId="4135"/>
    <cellStyle name="_header_italic 5 17" xfId="4136"/>
    <cellStyle name="_header_italic 5 18" xfId="4137"/>
    <cellStyle name="_header_italic 5 19" xfId="4138"/>
    <cellStyle name="_header_italic 5 2" xfId="4139"/>
    <cellStyle name="_header_italic 5 2 10" xfId="4140"/>
    <cellStyle name="_header_italic 5 2 11" xfId="4141"/>
    <cellStyle name="_header_italic 5 2 12" xfId="4142"/>
    <cellStyle name="_header_italic 5 2 13" xfId="4143"/>
    <cellStyle name="_header_italic 5 2 14" xfId="4144"/>
    <cellStyle name="_header_italic 5 2 15" xfId="4145"/>
    <cellStyle name="_header_italic 5 2 16" xfId="4146"/>
    <cellStyle name="_header_italic 5 2 17" xfId="4147"/>
    <cellStyle name="_header_italic 5 2 18" xfId="4148"/>
    <cellStyle name="_header_italic 5 2 2" xfId="4149"/>
    <cellStyle name="_header_italic 5 2 2 2" xfId="4150"/>
    <cellStyle name="_header_italic 5 2 2 2 2" xfId="4151"/>
    <cellStyle name="_header_italic 5 2 2 3" xfId="4152"/>
    <cellStyle name="_header_italic 5 2 2 4" xfId="4153"/>
    <cellStyle name="_header_italic 5 2 3" xfId="4154"/>
    <cellStyle name="_header_italic 5 2 3 2" xfId="4155"/>
    <cellStyle name="_header_italic 5 2 3 3" xfId="4156"/>
    <cellStyle name="_header_italic 5 2 4" xfId="4157"/>
    <cellStyle name="_header_italic 5 2 4 2" xfId="4158"/>
    <cellStyle name="_header_italic 5 2 5" xfId="4159"/>
    <cellStyle name="_header_italic 5 2 6" xfId="4160"/>
    <cellStyle name="_header_italic 5 2 7" xfId="4161"/>
    <cellStyle name="_header_italic 5 2 8" xfId="4162"/>
    <cellStyle name="_header_italic 5 2 9" xfId="4163"/>
    <cellStyle name="_header_italic 5 20" xfId="4164"/>
    <cellStyle name="_header_italic 5 3" xfId="4165"/>
    <cellStyle name="_header_italic 5 3 10" xfId="4166"/>
    <cellStyle name="_header_italic 5 3 11" xfId="4167"/>
    <cellStyle name="_header_italic 5 3 12" xfId="4168"/>
    <cellStyle name="_header_italic 5 3 13" xfId="4169"/>
    <cellStyle name="_header_italic 5 3 14" xfId="4170"/>
    <cellStyle name="_header_italic 5 3 15" xfId="4171"/>
    <cellStyle name="_header_italic 5 3 16" xfId="4172"/>
    <cellStyle name="_header_italic 5 3 17" xfId="4173"/>
    <cellStyle name="_header_italic 5 3 18" xfId="4174"/>
    <cellStyle name="_header_italic 5 3 2" xfId="4175"/>
    <cellStyle name="_header_italic 5 3 2 2" xfId="4176"/>
    <cellStyle name="_header_italic 5 3 2 2 2" xfId="4177"/>
    <cellStyle name="_header_italic 5 3 2 3" xfId="4178"/>
    <cellStyle name="_header_italic 5 3 2 4" xfId="4179"/>
    <cellStyle name="_header_italic 5 3 3" xfId="4180"/>
    <cellStyle name="_header_italic 5 3 3 2" xfId="4181"/>
    <cellStyle name="_header_italic 5 3 3 3" xfId="4182"/>
    <cellStyle name="_header_italic 5 3 4" xfId="4183"/>
    <cellStyle name="_header_italic 5 3 4 2" xfId="4184"/>
    <cellStyle name="_header_italic 5 3 5" xfId="4185"/>
    <cellStyle name="_header_italic 5 3 6" xfId="4186"/>
    <cellStyle name="_header_italic 5 3 7" xfId="4187"/>
    <cellStyle name="_header_italic 5 3 8" xfId="4188"/>
    <cellStyle name="_header_italic 5 3 9" xfId="4189"/>
    <cellStyle name="_header_italic 5 4" xfId="4190"/>
    <cellStyle name="_header_italic 5 4 2" xfId="4191"/>
    <cellStyle name="_header_italic 5 4 2 2" xfId="4192"/>
    <cellStyle name="_header_italic 5 4 2 3" xfId="4193"/>
    <cellStyle name="_header_italic 5 4 3" xfId="4194"/>
    <cellStyle name="_header_italic 5 4 3 2" xfId="4195"/>
    <cellStyle name="_header_italic 5 4 4" xfId="4196"/>
    <cellStyle name="_header_italic 5 4 5" xfId="4197"/>
    <cellStyle name="_header_italic 5 5" xfId="4198"/>
    <cellStyle name="_header_italic 5 5 2" xfId="4199"/>
    <cellStyle name="_header_italic 5 5 2 2" xfId="4200"/>
    <cellStyle name="_header_italic 5 5 3" xfId="4201"/>
    <cellStyle name="_header_italic 5 5 4" xfId="4202"/>
    <cellStyle name="_header_italic 5 6" xfId="4203"/>
    <cellStyle name="_header_italic 5 6 2" xfId="4204"/>
    <cellStyle name="_header_italic 5 7" xfId="4205"/>
    <cellStyle name="_header_italic 5 8" xfId="4206"/>
    <cellStyle name="_header_italic 5 9" xfId="4207"/>
    <cellStyle name="_header_italic 6" xfId="4208"/>
    <cellStyle name="_header_italic 6 10" xfId="4209"/>
    <cellStyle name="_header_italic 6 11" xfId="4210"/>
    <cellStyle name="_header_italic 6 12" xfId="4211"/>
    <cellStyle name="_header_italic 6 13" xfId="4212"/>
    <cellStyle name="_header_italic 6 14" xfId="4213"/>
    <cellStyle name="_header_italic 6 15" xfId="4214"/>
    <cellStyle name="_header_italic 6 16" xfId="4215"/>
    <cellStyle name="_header_italic 6 17" xfId="4216"/>
    <cellStyle name="_header_italic 6 18" xfId="4217"/>
    <cellStyle name="_header_italic 6 19" xfId="4218"/>
    <cellStyle name="_header_italic 6 2" xfId="4219"/>
    <cellStyle name="_header_italic 6 2 10" xfId="4220"/>
    <cellStyle name="_header_italic 6 2 11" xfId="4221"/>
    <cellStyle name="_header_italic 6 2 12" xfId="4222"/>
    <cellStyle name="_header_italic 6 2 13" xfId="4223"/>
    <cellStyle name="_header_italic 6 2 14" xfId="4224"/>
    <cellStyle name="_header_italic 6 2 15" xfId="4225"/>
    <cellStyle name="_header_italic 6 2 16" xfId="4226"/>
    <cellStyle name="_header_italic 6 2 17" xfId="4227"/>
    <cellStyle name="_header_italic 6 2 18" xfId="4228"/>
    <cellStyle name="_header_italic 6 2 2" xfId="4229"/>
    <cellStyle name="_header_italic 6 2 2 2" xfId="4230"/>
    <cellStyle name="_header_italic 6 2 2 2 2" xfId="4231"/>
    <cellStyle name="_header_italic 6 2 2 3" xfId="4232"/>
    <cellStyle name="_header_italic 6 2 2 4" xfId="4233"/>
    <cellStyle name="_header_italic 6 2 3" xfId="4234"/>
    <cellStyle name="_header_italic 6 2 3 2" xfId="4235"/>
    <cellStyle name="_header_italic 6 2 3 3" xfId="4236"/>
    <cellStyle name="_header_italic 6 2 4" xfId="4237"/>
    <cellStyle name="_header_italic 6 2 4 2" xfId="4238"/>
    <cellStyle name="_header_italic 6 2 5" xfId="4239"/>
    <cellStyle name="_header_italic 6 2 6" xfId="4240"/>
    <cellStyle name="_header_italic 6 2 7" xfId="4241"/>
    <cellStyle name="_header_italic 6 2 8" xfId="4242"/>
    <cellStyle name="_header_italic 6 2 9" xfId="4243"/>
    <cellStyle name="_header_italic 6 20" xfId="4244"/>
    <cellStyle name="_header_italic 6 21" xfId="4245"/>
    <cellStyle name="_header_italic 6 3" xfId="4246"/>
    <cellStyle name="_header_italic 6 3 10" xfId="4247"/>
    <cellStyle name="_header_italic 6 3 11" xfId="4248"/>
    <cellStyle name="_header_italic 6 3 12" xfId="4249"/>
    <cellStyle name="_header_italic 6 3 13" xfId="4250"/>
    <cellStyle name="_header_italic 6 3 14" xfId="4251"/>
    <cellStyle name="_header_italic 6 3 15" xfId="4252"/>
    <cellStyle name="_header_italic 6 3 16" xfId="4253"/>
    <cellStyle name="_header_italic 6 3 17" xfId="4254"/>
    <cellStyle name="_header_italic 6 3 18" xfId="4255"/>
    <cellStyle name="_header_italic 6 3 2" xfId="4256"/>
    <cellStyle name="_header_italic 6 3 2 2" xfId="4257"/>
    <cellStyle name="_header_italic 6 3 2 2 2" xfId="4258"/>
    <cellStyle name="_header_italic 6 3 2 3" xfId="4259"/>
    <cellStyle name="_header_italic 6 3 2 4" xfId="4260"/>
    <cellStyle name="_header_italic 6 3 3" xfId="4261"/>
    <cellStyle name="_header_italic 6 3 3 2" xfId="4262"/>
    <cellStyle name="_header_italic 6 3 3 3" xfId="4263"/>
    <cellStyle name="_header_italic 6 3 4" xfId="4264"/>
    <cellStyle name="_header_italic 6 3 4 2" xfId="4265"/>
    <cellStyle name="_header_italic 6 3 5" xfId="4266"/>
    <cellStyle name="_header_italic 6 3 6" xfId="4267"/>
    <cellStyle name="_header_italic 6 3 7" xfId="4268"/>
    <cellStyle name="_header_italic 6 3 8" xfId="4269"/>
    <cellStyle name="_header_italic 6 3 9" xfId="4270"/>
    <cellStyle name="_header_italic 6 4" xfId="4271"/>
    <cellStyle name="_header_italic 6 4 2" xfId="4272"/>
    <cellStyle name="_header_italic 6 4 2 2" xfId="4273"/>
    <cellStyle name="_header_italic 6 4 2 3" xfId="4274"/>
    <cellStyle name="_header_italic 6 4 3" xfId="4275"/>
    <cellStyle name="_header_italic 6 4 3 2" xfId="4276"/>
    <cellStyle name="_header_italic 6 4 4" xfId="4277"/>
    <cellStyle name="_header_italic 6 4 5" xfId="4278"/>
    <cellStyle name="_header_italic 6 5" xfId="4279"/>
    <cellStyle name="_header_italic 6 5 2" xfId="4280"/>
    <cellStyle name="_header_italic 6 5 2 2" xfId="4281"/>
    <cellStyle name="_header_italic 6 5 3" xfId="4282"/>
    <cellStyle name="_header_italic 6 5 4" xfId="4283"/>
    <cellStyle name="_header_italic 6 6" xfId="4284"/>
    <cellStyle name="_header_italic 6 6 2" xfId="4285"/>
    <cellStyle name="_header_italic 6 7" xfId="4286"/>
    <cellStyle name="_header_italic 6 8" xfId="4287"/>
    <cellStyle name="_header_italic 6 9" xfId="4288"/>
    <cellStyle name="_header_italic 7" xfId="4289"/>
    <cellStyle name="_header_italic 7 10" xfId="4290"/>
    <cellStyle name="_header_italic 7 11" xfId="4291"/>
    <cellStyle name="_header_italic 7 12" xfId="4292"/>
    <cellStyle name="_header_italic 7 13" xfId="4293"/>
    <cellStyle name="_header_italic 7 14" xfId="4294"/>
    <cellStyle name="_header_italic 7 15" xfId="4295"/>
    <cellStyle name="_header_italic 7 16" xfId="4296"/>
    <cellStyle name="_header_italic 7 17" xfId="4297"/>
    <cellStyle name="_header_italic 7 2" xfId="4298"/>
    <cellStyle name="_header_italic 7 2 2" xfId="4299"/>
    <cellStyle name="_header_italic 7 2 2 2" xfId="4300"/>
    <cellStyle name="_header_italic 7 2 3" xfId="4301"/>
    <cellStyle name="_header_italic 7 2 4" xfId="4302"/>
    <cellStyle name="_header_italic 7 3" xfId="4303"/>
    <cellStyle name="_header_italic 7 3 2" xfId="4304"/>
    <cellStyle name="_header_italic 7 4" xfId="4305"/>
    <cellStyle name="_header_italic 7 5" xfId="4306"/>
    <cellStyle name="_header_italic 7 6" xfId="4307"/>
    <cellStyle name="_header_italic 7 7" xfId="4308"/>
    <cellStyle name="_header_italic 7 8" xfId="4309"/>
    <cellStyle name="_header_italic 7 9" xfId="4310"/>
    <cellStyle name="_header_italic 8" xfId="4311"/>
    <cellStyle name="_header_italic 8 2" xfId="4312"/>
    <cellStyle name="_header_italic 8 2 2" xfId="4313"/>
    <cellStyle name="_header_italic 8 2 2 2" xfId="4314"/>
    <cellStyle name="_header_italic 8 2 3" xfId="4315"/>
    <cellStyle name="_header_italic 8 2 4" xfId="4316"/>
    <cellStyle name="_header_italic 8 3" xfId="4317"/>
    <cellStyle name="_header_italic 8 3 2" xfId="4318"/>
    <cellStyle name="_header_italic 8 3 3" xfId="4319"/>
    <cellStyle name="_header_italic 8 4" xfId="4320"/>
    <cellStyle name="_header_italic 8 4 2" xfId="4321"/>
    <cellStyle name="_header_italic 8 5" xfId="4322"/>
    <cellStyle name="_header_italic 8 6" xfId="4323"/>
    <cellStyle name="_header_italic 9" xfId="4324"/>
    <cellStyle name="_header_italic 9 2" xfId="4325"/>
    <cellStyle name="_header_italic 9 2 2" xfId="4326"/>
    <cellStyle name="_header_italic 9 3" xfId="4327"/>
    <cellStyle name="_header_italic 9 4" xfId="4328"/>
    <cellStyle name="_header_vertical" xfId="4329"/>
    <cellStyle name="_header_vertical 10" xfId="4330"/>
    <cellStyle name="_header_vertical 11" xfId="4331"/>
    <cellStyle name="_header_vertical 12" xfId="4332"/>
    <cellStyle name="_header_vertical 13" xfId="4333"/>
    <cellStyle name="_header_vertical 14" xfId="4334"/>
    <cellStyle name="_header_vertical 15" xfId="4335"/>
    <cellStyle name="_header_vertical 16" xfId="4336"/>
    <cellStyle name="_header_vertical 17" xfId="4337"/>
    <cellStyle name="_header_vertical 18" xfId="4338"/>
    <cellStyle name="_header_vertical 19" xfId="4339"/>
    <cellStyle name="_header_vertical 2" xfId="4340"/>
    <cellStyle name="_header_vertical 2 10" xfId="4341"/>
    <cellStyle name="_header_vertical 2 11" xfId="4342"/>
    <cellStyle name="_header_vertical 2 12" xfId="4343"/>
    <cellStyle name="_header_vertical 2 13" xfId="4344"/>
    <cellStyle name="_header_vertical 2 14" xfId="4345"/>
    <cellStyle name="_header_vertical 2 15" xfId="4346"/>
    <cellStyle name="_header_vertical 2 16" xfId="4347"/>
    <cellStyle name="_header_vertical 2 17" xfId="4348"/>
    <cellStyle name="_header_vertical 2 18" xfId="4349"/>
    <cellStyle name="_header_vertical 2 19" xfId="4350"/>
    <cellStyle name="_header_vertical 2 2" xfId="4351"/>
    <cellStyle name="_header_vertical 2 2 10" xfId="4352"/>
    <cellStyle name="_header_vertical 2 2 11" xfId="4353"/>
    <cellStyle name="_header_vertical 2 2 12" xfId="4354"/>
    <cellStyle name="_header_vertical 2 2 13" xfId="4355"/>
    <cellStyle name="_header_vertical 2 2 14" xfId="4356"/>
    <cellStyle name="_header_vertical 2 2 15" xfId="4357"/>
    <cellStyle name="_header_vertical 2 2 16" xfId="4358"/>
    <cellStyle name="_header_vertical 2 2 17" xfId="4359"/>
    <cellStyle name="_header_vertical 2 2 18" xfId="4360"/>
    <cellStyle name="_header_vertical 2 2 19" xfId="4361"/>
    <cellStyle name="_header_vertical 2 2 2" xfId="4362"/>
    <cellStyle name="_header_vertical 2 2 2 2" xfId="4363"/>
    <cellStyle name="_header_vertical 2 2 2 2 2" xfId="4364"/>
    <cellStyle name="_header_vertical 2 2 2 3" xfId="4365"/>
    <cellStyle name="_header_vertical 2 2 2 4" xfId="4366"/>
    <cellStyle name="_header_vertical 2 2 20" xfId="4367"/>
    <cellStyle name="_header_vertical 2 2 21" xfId="4368"/>
    <cellStyle name="_header_vertical 2 2 3" xfId="4369"/>
    <cellStyle name="_header_vertical 2 2 3 2" xfId="4370"/>
    <cellStyle name="_header_vertical 2 2 3 3" xfId="4371"/>
    <cellStyle name="_header_vertical 2 2 4" xfId="4372"/>
    <cellStyle name="_header_vertical 2 2 4 2" xfId="4373"/>
    <cellStyle name="_header_vertical 2 2 5" xfId="4374"/>
    <cellStyle name="_header_vertical 2 2 6" xfId="4375"/>
    <cellStyle name="_header_vertical 2 2 7" xfId="4376"/>
    <cellStyle name="_header_vertical 2 2 8" xfId="4377"/>
    <cellStyle name="_header_vertical 2 2 9" xfId="4378"/>
    <cellStyle name="_header_vertical 2 20" xfId="4379"/>
    <cellStyle name="_header_vertical 2 3" xfId="4380"/>
    <cellStyle name="_header_vertical 2 3 10" xfId="4381"/>
    <cellStyle name="_header_vertical 2 3 11" xfId="4382"/>
    <cellStyle name="_header_vertical 2 3 12" xfId="4383"/>
    <cellStyle name="_header_vertical 2 3 13" xfId="4384"/>
    <cellStyle name="_header_vertical 2 3 14" xfId="4385"/>
    <cellStyle name="_header_vertical 2 3 15" xfId="4386"/>
    <cellStyle name="_header_vertical 2 3 16" xfId="4387"/>
    <cellStyle name="_header_vertical 2 3 17" xfId="4388"/>
    <cellStyle name="_header_vertical 2 3 18" xfId="4389"/>
    <cellStyle name="_header_vertical 2 3 2" xfId="4390"/>
    <cellStyle name="_header_vertical 2 3 2 2" xfId="4391"/>
    <cellStyle name="_header_vertical 2 3 2 2 2" xfId="4392"/>
    <cellStyle name="_header_vertical 2 3 2 3" xfId="4393"/>
    <cellStyle name="_header_vertical 2 3 2 4" xfId="4394"/>
    <cellStyle name="_header_vertical 2 3 3" xfId="4395"/>
    <cellStyle name="_header_vertical 2 3 3 2" xfId="4396"/>
    <cellStyle name="_header_vertical 2 3 3 3" xfId="4397"/>
    <cellStyle name="_header_vertical 2 3 4" xfId="4398"/>
    <cellStyle name="_header_vertical 2 3 4 2" xfId="4399"/>
    <cellStyle name="_header_vertical 2 3 5" xfId="4400"/>
    <cellStyle name="_header_vertical 2 3 6" xfId="4401"/>
    <cellStyle name="_header_vertical 2 3 7" xfId="4402"/>
    <cellStyle name="_header_vertical 2 3 8" xfId="4403"/>
    <cellStyle name="_header_vertical 2 3 9" xfId="4404"/>
    <cellStyle name="_header_vertical 2 4" xfId="4405"/>
    <cellStyle name="_header_vertical 2 4 2" xfId="4406"/>
    <cellStyle name="_header_vertical 2 4 2 2" xfId="4407"/>
    <cellStyle name="_header_vertical 2 4 2 3" xfId="4408"/>
    <cellStyle name="_header_vertical 2 4 3" xfId="4409"/>
    <cellStyle name="_header_vertical 2 4 3 2" xfId="4410"/>
    <cellStyle name="_header_vertical 2 4 4" xfId="4411"/>
    <cellStyle name="_header_vertical 2 4 5" xfId="4412"/>
    <cellStyle name="_header_vertical 2 5" xfId="4413"/>
    <cellStyle name="_header_vertical 2 5 2" xfId="4414"/>
    <cellStyle name="_header_vertical 2 5 2 2" xfId="4415"/>
    <cellStyle name="_header_vertical 2 5 3" xfId="4416"/>
    <cellStyle name="_header_vertical 2 5 4" xfId="4417"/>
    <cellStyle name="_header_vertical 2 6" xfId="4418"/>
    <cellStyle name="_header_vertical 2 6 2" xfId="4419"/>
    <cellStyle name="_header_vertical 2 7" xfId="4420"/>
    <cellStyle name="_header_vertical 2 8" xfId="4421"/>
    <cellStyle name="_header_vertical 2 9" xfId="4422"/>
    <cellStyle name="_header_vertical 20" xfId="4423"/>
    <cellStyle name="_header_vertical 3" xfId="4424"/>
    <cellStyle name="_header_vertical 3 2" xfId="4425"/>
    <cellStyle name="_header_vertical 3 2 2" xfId="4426"/>
    <cellStyle name="_header_vertical 3 2 2 2" xfId="4427"/>
    <cellStyle name="_header_vertical 3 2 3" xfId="4428"/>
    <cellStyle name="_header_vertical 3 2 4" xfId="4429"/>
    <cellStyle name="_header_vertical 3 3" xfId="4430"/>
    <cellStyle name="_header_vertical 3 3 2" xfId="4431"/>
    <cellStyle name="_header_vertical 3 4" xfId="4432"/>
    <cellStyle name="_header_vertical 3 5" xfId="4433"/>
    <cellStyle name="_header_vertical 4" xfId="4434"/>
    <cellStyle name="_header_vertical 4 2" xfId="4435"/>
    <cellStyle name="_header_vertical 4 2 2" xfId="4436"/>
    <cellStyle name="_header_vertical 4 2 2 2" xfId="4437"/>
    <cellStyle name="_header_vertical 4 2 3" xfId="4438"/>
    <cellStyle name="_header_vertical 4 2 4" xfId="4439"/>
    <cellStyle name="_header_vertical 4 3" xfId="4440"/>
    <cellStyle name="_header_vertical 4 3 2" xfId="4441"/>
    <cellStyle name="_header_vertical 4 3 3" xfId="4442"/>
    <cellStyle name="_header_vertical 4 4" xfId="4443"/>
    <cellStyle name="_header_vertical 4 4 2" xfId="4444"/>
    <cellStyle name="_header_vertical 4 5" xfId="4445"/>
    <cellStyle name="_header_vertical 4 6" xfId="4446"/>
    <cellStyle name="_header_vertical 5" xfId="4447"/>
    <cellStyle name="_header_vertical 5 2" xfId="4448"/>
    <cellStyle name="_header_vertical 5 2 2" xfId="4449"/>
    <cellStyle name="_header_vertical 5 3" xfId="4450"/>
    <cellStyle name="_header_vertical 5 4" xfId="4451"/>
    <cellStyle name="_header_vertical 6" xfId="4452"/>
    <cellStyle name="_header_vertical 7" xfId="4453"/>
    <cellStyle name="_header_vertical 8" xfId="4454"/>
    <cellStyle name="_header_vertical 9" xfId="4455"/>
    <cellStyle name="_Heading_16 Detail of Key Metrics_mario marco" xfId="4456"/>
    <cellStyle name="_IAS FS1" xfId="4457"/>
    <cellStyle name="_IAS FS1 2" xfId="4458"/>
    <cellStyle name="_IAS FS1 3" xfId="4459"/>
    <cellStyle name="_Identification_PTC" xfId="4460"/>
    <cellStyle name="_Identification_PTC 2" xfId="4461"/>
    <cellStyle name="_IG Cons IAS FS 8 months 2005" xfId="4462"/>
    <cellStyle name="_IG Cons IAS FS 8 months 2005 2" xfId="4463"/>
    <cellStyle name="_IG Cons IAS FS 8 months 2005 3" xfId="4464"/>
    <cellStyle name="_IG Cons IFRS FS 12 months 2005 links 031406" xfId="4465"/>
    <cellStyle name="_IG Cons IFRS FS 12 months 2005 links 031406 2" xfId="4466"/>
    <cellStyle name="_IG Cons IFRS FS 12 months 2005 links 031406 3" xfId="4467"/>
    <cellStyle name="_infl" xfId="4468"/>
    <cellStyle name="_INQUIRY_ННЗ" xfId="4469"/>
    <cellStyle name="_INQUIRY_ННЗ 2" xfId="4470"/>
    <cellStyle name="_INQUIRY_ННЗ 3" xfId="4471"/>
    <cellStyle name="_Intangible assets_Smith_final" xfId="4472"/>
    <cellStyle name="_Intangible assets_Smith_final 2" xfId="4473"/>
    <cellStyle name="_Intangible assets_Smith_final 3" xfId="4474"/>
    <cellStyle name="_Integra Group Audit 2005_PwC Proposed Adjustments_051806" xfId="4475"/>
    <cellStyle name="_Integra Group Audit 2005_PwC Proposed Adjustments_051806 2" xfId="4476"/>
    <cellStyle name="_Integra Group Audit 2005_PwC Proposed Adjustments_051806 3" xfId="4477"/>
    <cellStyle name="_Integra KRS IAS FS 1H" xfId="4478"/>
    <cellStyle name="_Integra KRS IAS FS 1H 2" xfId="4479"/>
    <cellStyle name="_Integra KRS IAS FS 1H 3" xfId="4480"/>
    <cellStyle name="_IS 2006" xfId="4481"/>
    <cellStyle name="_IS 2006 2" xfId="4482"/>
    <cellStyle name="_IS 2006 3" xfId="4483"/>
    <cellStyle name="_Key Business Plan Indicators2" xfId="4484"/>
    <cellStyle name="_Key Business Plan Indicators2 2" xfId="4485"/>
    <cellStyle name="_Key Business Plan Indicators2 3" xfId="4486"/>
    <cellStyle name="_License Final_20.01.2006 1" xfId="4487"/>
    <cellStyle name="_License Final_20.01.2006 1 2" xfId="4488"/>
    <cellStyle name="_License Final_20.01.2006 1 3" xfId="4489"/>
    <cellStyle name="_lising" xfId="4490"/>
    <cellStyle name="_List_of_companies" xfId="4491"/>
    <cellStyle name="_List_of_companies 2" xfId="4492"/>
    <cellStyle name="_List_of_companies 3" xfId="4493"/>
    <cellStyle name="_LT drilling model 26.05.06" xfId="4494"/>
    <cellStyle name="_LT drilling model 26.05.06 2" xfId="4495"/>
    <cellStyle name="_LT drilling model 26.05.06 3" xfId="4496"/>
    <cellStyle name="_LT KRS model 07.06.06" xfId="4497"/>
    <cellStyle name="_LT KRS model 07.06.06 2" xfId="4498"/>
    <cellStyle name="_LT KRS model 07.06.06 3" xfId="4499"/>
    <cellStyle name="_LT KRS model 17.06.06 main v2" xfId="4500"/>
    <cellStyle name="_LT KRS model 17.06.06 main v2 2" xfId="4501"/>
    <cellStyle name="_LT KRS model 17.06.06 main v2 3" xfId="4502"/>
    <cellStyle name="_LT KRS model 26.05.06" xfId="4503"/>
    <cellStyle name="_LT KRS model 26.05.06 2" xfId="4504"/>
    <cellStyle name="_LT KRS model 26.05.06 3" xfId="4505"/>
    <cellStyle name="_LT model 08-11-05 P75 approved Integra KRS" xfId="4506"/>
    <cellStyle name="_LT model 08-11-05 P75 approved Integra KRS ver 3" xfId="4507"/>
    <cellStyle name="_LT model 17 05 2006 v2" xfId="4508"/>
    <cellStyle name="_LT model 21-06-06 AL" xfId="4509"/>
    <cellStyle name="_LT model Геофизика 06.06.06" xfId="4510"/>
    <cellStyle name="_LT model Геофизика 26.05.06" xfId="4511"/>
    <cellStyle name="_m_Uralmash-BO_2q05" xfId="4512"/>
    <cellStyle name="_MA_Ср.Калитн." xfId="4513"/>
    <cellStyle name="_MA_Ср.Калитн. 2" xfId="4514"/>
    <cellStyle name="_MA_Ср.Калитн. 3" xfId="4515"/>
    <cellStyle name="_macro 2012 var 1" xfId="4516"/>
    <cellStyle name="_May report 9 06 06" xfId="4517"/>
    <cellStyle name="_May report 9 06 06 2" xfId="4518"/>
    <cellStyle name="_May report 9 06 06 3" xfId="4519"/>
    <cellStyle name="_Model Corrected 14.07.2006_Final" xfId="4520"/>
    <cellStyle name="_Model Corrected 14.07.2006_Final 2" xfId="4521"/>
    <cellStyle name="_Model Corrected 14.07.2006_Final 3" xfId="4522"/>
    <cellStyle name="_Model_NNG_1" xfId="4523"/>
    <cellStyle name="_Model_NNG_1 2" xfId="4524"/>
    <cellStyle name="_Model_NNG_1 3" xfId="4525"/>
    <cellStyle name="_MODEL_OS_v october17" xfId="4526"/>
    <cellStyle name="_MODEL_OS_v october17 2" xfId="4527"/>
    <cellStyle name="_MODEL_OS_v october17 3" xfId="4528"/>
    <cellStyle name="_Multiple" xfId="4529"/>
    <cellStyle name="_Multiple 2" xfId="4530"/>
    <cellStyle name="_Multiple 2 2" xfId="4531"/>
    <cellStyle name="_Multiple 3" xfId="4532"/>
    <cellStyle name="_Multiple 3 2" xfId="4533"/>
    <cellStyle name="_Multiple 4" xfId="4534"/>
    <cellStyle name="_Multiple 4 2" xfId="4535"/>
    <cellStyle name="_Multiple 5" xfId="4536"/>
    <cellStyle name="_MultipleSpace" xfId="4537"/>
    <cellStyle name="_MultipleSpace 2" xfId="4538"/>
    <cellStyle name="_MultipleSpace 3" xfId="4539"/>
    <cellStyle name="_MultipleSpace 4" xfId="4540"/>
    <cellStyle name="_MultipleSpace 5" xfId="4541"/>
    <cellStyle name="_Nefteyugansk model new leasing 29.07.2005" xfId="4542"/>
    <cellStyle name="_Nefteyugansk model new leasing 29.07.2005 2" xfId="4543"/>
    <cellStyle name="_Nefteyugansk model new leasing 29.07.2005 3" xfId="4544"/>
    <cellStyle name="_New_Sofi" xfId="4545"/>
    <cellStyle name="_New_Sofi 2" xfId="4546"/>
    <cellStyle name="_New_Sofi 3" xfId="4547"/>
    <cellStyle name="_New_Sofi_17_0" xfId="4548"/>
    <cellStyle name="_New_Sofi_17_0 2" xfId="4549"/>
    <cellStyle name="_New_Sofi_17_0 3" xfId="4550"/>
    <cellStyle name="_New_Sofi_17_0_1" xfId="4551"/>
    <cellStyle name="_New_Sofi_17_0_1 2" xfId="4552"/>
    <cellStyle name="_New_Sofi_17_0_1 3" xfId="4553"/>
    <cellStyle name="_New_Sofi_FFF" xfId="4554"/>
    <cellStyle name="_New_Sofi_FFF 2" xfId="4555"/>
    <cellStyle name="_New_Sofi_FFF 3" xfId="4556"/>
    <cellStyle name="_New_Sofi_New Form10_2" xfId="4557"/>
    <cellStyle name="_New_Sofi_New Form10_2 2" xfId="4558"/>
    <cellStyle name="_New_Sofi_New Form10_2 3" xfId="4559"/>
    <cellStyle name="_New_Sofi_Nsi" xfId="4560"/>
    <cellStyle name="_New_Sofi_Nsi 2" xfId="4561"/>
    <cellStyle name="_New_Sofi_Nsi 3" xfId="4562"/>
    <cellStyle name="_New_Sofi_Nsi_1" xfId="4563"/>
    <cellStyle name="_New_Sofi_Nsi_1 2" xfId="4564"/>
    <cellStyle name="_New_Sofi_Nsi_1 3" xfId="4565"/>
    <cellStyle name="_New_Sofi_Nsi_139" xfId="4566"/>
    <cellStyle name="_New_Sofi_Nsi_139 2" xfId="4567"/>
    <cellStyle name="_New_Sofi_Nsi_139 3" xfId="4568"/>
    <cellStyle name="_New_Sofi_Nsi_140" xfId="4569"/>
    <cellStyle name="_New_Sofi_Nsi_140 2" xfId="4570"/>
    <cellStyle name="_New_Sofi_Nsi_140 3" xfId="4571"/>
    <cellStyle name="_New_Sofi_Nsi_140(Зах)" xfId="4572"/>
    <cellStyle name="_New_Sofi_Nsi_140(Зах) 2" xfId="4573"/>
    <cellStyle name="_New_Sofi_Nsi_140(Зах) 3" xfId="4574"/>
    <cellStyle name="_New_Sofi_Nsi_140_mod" xfId="4575"/>
    <cellStyle name="_New_Sofi_Nsi_140_mod 2" xfId="4576"/>
    <cellStyle name="_New_Sofi_Nsi_140_mod 3" xfId="4577"/>
    <cellStyle name="_New_Sofi_Summary" xfId="4578"/>
    <cellStyle name="_New_Sofi_Summary 2" xfId="4579"/>
    <cellStyle name="_New_Sofi_Summary 3" xfId="4580"/>
    <cellStyle name="_New_Sofi_Tax_form_1кв_3" xfId="4581"/>
    <cellStyle name="_New_Sofi_Tax_form_1кв_3 2" xfId="4582"/>
    <cellStyle name="_New_Sofi_Tax_form_1кв_3 3" xfId="4583"/>
    <cellStyle name="_New_Sofi_БКЭ" xfId="4584"/>
    <cellStyle name="_New_Sofi_БКЭ 2" xfId="4585"/>
    <cellStyle name="_New_Sofi_БКЭ 3" xfId="4586"/>
    <cellStyle name="_New_Sofi_Перечень названий форм" xfId="4587"/>
    <cellStyle name="_New_Sofi_Перечень названий форм 2" xfId="4588"/>
    <cellStyle name="_New_Sofi_Перечень названий форм 3" xfId="4589"/>
    <cellStyle name="_Notes to IFRS FS 061306" xfId="4590"/>
    <cellStyle name="_Notes to IFRS FS 061306 2" xfId="4591"/>
    <cellStyle name="_Notes to IFRS FS 061306 3" xfId="4592"/>
    <cellStyle name="_NPO BT September 05 AR analysis" xfId="4593"/>
    <cellStyle name="_NPO BT September 05 AR analysis 2" xfId="4594"/>
    <cellStyle name="_NPO BT September 05 AR analysis 3" xfId="4595"/>
    <cellStyle name="_NPV_Magnit" xfId="4596"/>
    <cellStyle name="_NPV_Magnit 2" xfId="4597"/>
    <cellStyle name="_NPV_Magnit 3" xfId="4598"/>
    <cellStyle name="_Nsi" xfId="4599"/>
    <cellStyle name="_Nsi 2" xfId="4600"/>
    <cellStyle name="_Nsi 3" xfId="4601"/>
    <cellStyle name="_OS_Chuvashiya" xfId="4602"/>
    <cellStyle name="_OS_Chuvashiya 2" xfId="4603"/>
    <cellStyle name="_OS_Chuvashiya 3" xfId="4604"/>
    <cellStyle name="_OTS IAS FS 1-6 2006" xfId="4605"/>
    <cellStyle name="_OTS IAS FS 1-6 2006 2" xfId="4606"/>
    <cellStyle name="_OTS IAS FS 1-6 2006 3" xfId="4607"/>
    <cellStyle name="_Oценка затратный подход" xfId="4608"/>
    <cellStyle name="_Oценка затратный подход 2" xfId="4609"/>
    <cellStyle name="_Oценка затратный подход 3" xfId="4610"/>
    <cellStyle name="_Percent" xfId="4611"/>
    <cellStyle name="_Percent 2" xfId="4612"/>
    <cellStyle name="_Percent 2 2" xfId="4613"/>
    <cellStyle name="_Percent 3" xfId="4614"/>
    <cellStyle name="_Percent 3 2" xfId="4615"/>
    <cellStyle name="_Percent 4" xfId="4616"/>
    <cellStyle name="_Percent 4 2" xfId="4617"/>
    <cellStyle name="_Percent 5" xfId="4618"/>
    <cellStyle name="_PercentSpace" xfId="4619"/>
    <cellStyle name="_PercentSpace 2" xfId="4620"/>
    <cellStyle name="_PercentSpace 2 2" xfId="4621"/>
    <cellStyle name="_PercentSpace 3" xfId="4622"/>
    <cellStyle name="_PercentSpace 3 2" xfId="4623"/>
    <cellStyle name="_PercentSpace 4" xfId="4624"/>
    <cellStyle name="_PercentSpace 4 2" xfId="4625"/>
    <cellStyle name="_PercentSpace 5" xfId="4626"/>
    <cellStyle name="_PNBK IAS FS 04.12.2006" xfId="4627"/>
    <cellStyle name="_PNBK IAS FS 04.12.2006 2" xfId="4628"/>
    <cellStyle name="_PNBK IAS FS 04.12.2006 3" xfId="4629"/>
    <cellStyle name="_PPA_Sakhatelecom_011007" xfId="4630"/>
    <cellStyle name="_PPA_Sakhatelecom_011007 2" xfId="4631"/>
    <cellStyle name="_PPA_Sakhatelecom_011007 3" xfId="4632"/>
    <cellStyle name="_PPA_Valuation_Model_RPZ_25.01" xfId="4633"/>
    <cellStyle name="_PPA_Valuation_Model_RPZ_25.01 2" xfId="4634"/>
    <cellStyle name="_PPA_Valuation_Model_RPZ_25.01 3" xfId="4635"/>
    <cellStyle name="_RP-2000" xfId="4636"/>
    <cellStyle name="_RP-2000 2" xfId="4637"/>
    <cellStyle name="_RP-2000 3" xfId="4638"/>
    <cellStyle name="_SeriesAttributes" xfId="4639"/>
    <cellStyle name="_Sheet2" xfId="4640"/>
    <cellStyle name="_Sheet2 2" xfId="4641"/>
    <cellStyle name="_Sheet2 3" xfId="4642"/>
    <cellStyle name="_SubHeading_16 Detail of Key Metrics_mario marco" xfId="4643"/>
    <cellStyle name="_SZNP - Eqiuty Roll" xfId="4644"/>
    <cellStyle name="_SZNP - Eqiuty Roll 2" xfId="4645"/>
    <cellStyle name="_SZNP - Eqiuty Roll 3" xfId="4646"/>
    <cellStyle name="_SZNP - rasshifrovki-002000-333" xfId="4647"/>
    <cellStyle name="_SZNP - rasshifrovki-002000-333 2" xfId="4648"/>
    <cellStyle name="_SZNP - rasshifrovki-002000-333 3" xfId="4649"/>
    <cellStyle name="_SZNP - TRS-092000" xfId="4650"/>
    <cellStyle name="_SZNP - TRS-092000 2" xfId="4651"/>
    <cellStyle name="_SZNP - TRS-092000 3" xfId="4652"/>
    <cellStyle name="_TableHead_16 Detail of Key Metrics_mario marco" xfId="4653"/>
    <cellStyle name="_TableHead_16 Detail of Key Metrics_mario marco 2" xfId="4654"/>
    <cellStyle name="_TB1" xfId="4655"/>
    <cellStyle name="_TB1 2" xfId="4656"/>
    <cellStyle name="_TB1 3" xfId="4657"/>
    <cellStyle name="_Template на 31.07.06г (16.08.06)" xfId="4658"/>
    <cellStyle name="_Template на 31.07.06г (16.08.06) 2" xfId="4659"/>
    <cellStyle name="_Template на 31.07.06г (16.08.06) 3" xfId="4660"/>
    <cellStyle name="_Template_conversion" xfId="4661"/>
    <cellStyle name="_Template_conversion 2" xfId="4662"/>
    <cellStyle name="_Template_conversion 3" xfId="4663"/>
    <cellStyle name="_UBS Flame valuation model v53 - FINAL" xfId="4664"/>
    <cellStyle name="_UBS Flame valuation model v53 - FINAL 2" xfId="4665"/>
    <cellStyle name="_UBS Flame valuation model v53 - FINAL 3" xfId="4666"/>
    <cellStyle name="_URBO IAS FS 051806" xfId="4667"/>
    <cellStyle name="_URBO IAS FS 051806 2" xfId="4668"/>
    <cellStyle name="_URBO IAS FS 051806 3" xfId="4669"/>
    <cellStyle name="_URBO IAS FS 1-6 2006" xfId="4670"/>
    <cellStyle name="_URBO IAS FS 1-6 2006 2" xfId="4671"/>
    <cellStyle name="_URBO IAS FS 1-6 2006 3" xfId="4672"/>
    <cellStyle name="_URBO NCA" xfId="4673"/>
    <cellStyle name="_URBO NCA 2" xfId="4674"/>
    <cellStyle name="_URBO NCA 3" xfId="4675"/>
    <cellStyle name="_URBO_IAS FS 9month05" xfId="4676"/>
    <cellStyle name="_URBO_IAS FS 9month05 2" xfId="4677"/>
    <cellStyle name="_URBO_IAS FS 9month05 3" xfId="4678"/>
    <cellStyle name="_URBO-BI Group 2003-2004 012506" xfId="4679"/>
    <cellStyle name="_URBO-BI Group 2003-2004 012506 2" xfId="4680"/>
    <cellStyle name="_URBO-BI Group 2003-2004 012506 3" xfId="4681"/>
    <cellStyle name="_v-2013-2030- 2b17.01.11Нах-cpiнов. курс inn 1-2-Е1xls" xfId="4682"/>
    <cellStyle name="_valuation Sokos adj2" xfId="4683"/>
    <cellStyle name="_wire line CapEx" xfId="4684"/>
    <cellStyle name="_wire line CapEx 2" xfId="4685"/>
    <cellStyle name="_wire line CapEx 3" xfId="4686"/>
    <cellStyle name="_Zatratny_podhod_01.01.2006_IFTC" xfId="4687"/>
    <cellStyle name="_Альянс дебиторская задолженность (23-11-05)" xfId="4688"/>
    <cellStyle name="_Альянс дебиторская задолженность (23-11-05) 2" xfId="4689"/>
    <cellStyle name="_Альянс дебиторская задолженность (23-11-05) 3" xfId="4690"/>
    <cellStyle name="_Анализ дебеторской задолженности на 31.12.05" xfId="4691"/>
    <cellStyle name="_Анализ дебеторской задолженности на 31.12.05 2" xfId="4692"/>
    <cellStyle name="_Анализ дебеторской задолженности на 31.12.05 3" xfId="4693"/>
    <cellStyle name="_аннуитет" xfId="4694"/>
    <cellStyle name="_АОЗ на 30.06.06" xfId="4695"/>
    <cellStyle name="_АОЗ на 30.06.06 2" xfId="4696"/>
    <cellStyle name="_АОЗ на 30.06.06 3" xfId="4697"/>
    <cellStyle name="_банкоматы" xfId="4698"/>
    <cellStyle name="_банкоматы 2" xfId="4699"/>
    <cellStyle name="_Бизнес план Интегра КРС_2005 октябрь" xfId="4700"/>
    <cellStyle name="_Бизнес план Интегра КРС_2005 октябрь 2" xfId="4701"/>
    <cellStyle name="_Бизнес план Интегра КРС_2005 октябрь 3" xfId="4702"/>
    <cellStyle name="_Бизнес план Интегра КРС_2005 октябрь_АХС Бизнес план 2006 собств.техн." xfId="4703"/>
    <cellStyle name="_Бизнес план Интегра КРС_2005 октябрь_АХС Бизнес план 2006 собств.техн. 2" xfId="4704"/>
    <cellStyle name="_Бизнес план Интегра КРС_2005 октябрь_АХС Бизнес план 2006 собств.техн. 3" xfId="4705"/>
    <cellStyle name="_Бизнес план Интегра КРС_2005 октябрь_Бизнес-план 2006 Интегра КРС Нягань (Имущество)" xfId="4706"/>
    <cellStyle name="_Бизнес план Интегра КРС_2005 октябрь_Бизнес-план 2006 Интегра КРС Нягань (Имущество) 2" xfId="4707"/>
    <cellStyle name="_Бизнес план Интегра КРС_2005 октябрь_Бизнес-план 2006 Интегра КРС Нягань (Имущество) 3" xfId="4708"/>
    <cellStyle name="_Бизнес план Интегра КРС_2005 октябрь_Ванюгин общ.вопросы" xfId="4709"/>
    <cellStyle name="_Бизнес план Интегра КРС_2005 октябрь_Ванюгин общ.вопросы 2" xfId="4710"/>
    <cellStyle name="_Бизнес план Интегра КРС_2005 октябрь_Ванюгин общ.вопросы 3" xfId="4711"/>
    <cellStyle name="_Бизнес план Интегра КРС_2005 октябрь_ОТ и ПБ Бизнес план. 2006 г собств.техн." xfId="4712"/>
    <cellStyle name="_Бизнес план Интегра КРС_2005 октябрь_ОТ и ПБ Бизнес план. 2006 г собств.техн. 2" xfId="4713"/>
    <cellStyle name="_Бизнес план Интегра КРС_2005 октябрь_ОТ и ПБ Бизнес план. 2006 г собств.техн. 3" xfId="4714"/>
    <cellStyle name="_Бизнес план Интегра КРС_2005 октябрь_ПП прогноз" xfId="4715"/>
    <cellStyle name="_Бизнес план Интегра КРС_2005 октябрь_ПП прогноз 2" xfId="4716"/>
    <cellStyle name="_Бизнес план Интегра КРС_2005 октябрь_ПП прогноз 3" xfId="4717"/>
    <cellStyle name="_Бизнес план Интегра КРС_2005 октябрь_расшифровка ГСМ к БП 2006" xfId="4718"/>
    <cellStyle name="_Бизнес план Интегра КРС_2005 октябрь_расшифровка ГСМ к БП 2006 2" xfId="4719"/>
    <cellStyle name="_Бизнес план Интегра КРС_2005 октябрь_расшифровка ГСМ к БП 2006 3" xfId="4720"/>
    <cellStyle name="_Бизнес-план_ПРОЕКТ" xfId="4721"/>
    <cellStyle name="_Бизнес-план_ПРОЕКТ 2" xfId="4722"/>
    <cellStyle name="_Бизнес-план_ПРОЕКТ 3" xfId="4723"/>
    <cellStyle name="_БП ОГЭ август 8" xfId="4724"/>
    <cellStyle name="_БП ОГЭ август 8 2" xfId="4725"/>
    <cellStyle name="_БП ОГЭ август 8 3" xfId="4726"/>
    <cellStyle name="_БПр" xfId="4727"/>
    <cellStyle name="_БПр 2" xfId="4728"/>
    <cellStyle name="_БПр 3" xfId="4729"/>
    <cellStyle name="_БПр_ЗПИФ" xfId="4730"/>
    <cellStyle name="_БПр_ЗПИФ 2" xfId="4731"/>
    <cellStyle name="_БПр_ЗПИФ 3" xfId="4732"/>
    <cellStyle name="_брукс" xfId="4733"/>
    <cellStyle name="_БСА и Манеж доходный" xfId="4734"/>
    <cellStyle name="_бюджет для ННГФ" xfId="4735"/>
    <cellStyle name="_бюджет для ННГФ 2" xfId="4736"/>
    <cellStyle name="_бюджет для ННГФ 3" xfId="4737"/>
    <cellStyle name="_Векселя - расчет" xfId="4738"/>
    <cellStyle name="_Векселя - расчет 2" xfId="4739"/>
    <cellStyle name="_Векселя - расчет 3" xfId="4740"/>
    <cellStyle name="_Векселя - расчет 4" xfId="4741"/>
    <cellStyle name="_Векселя - расчет 5" xfId="4742"/>
    <cellStyle name="_Векселя - расчет_ИСХ_ПАРАМ_Галоген" xfId="4743"/>
    <cellStyle name="_Векселя - расчет_Книга2" xfId="4744"/>
    <cellStyle name="_Векселя - расчет_модельИрина" xfId="4745"/>
    <cellStyle name="_Векселя - расчет_модельИрина_Книга2" xfId="4746"/>
    <cellStyle name="_Векселя - расчет_Оборудование" xfId="4747"/>
    <cellStyle name="_Векселя - расчет_Расчет" xfId="4748"/>
    <cellStyle name="_Векселя - расчет_Расчет_Gabler" xfId="4749"/>
    <cellStyle name="_Векселя - расчет_Расчет_Gabler1" xfId="4750"/>
    <cellStyle name="_Векселя - расчет_Сооружения" xfId="4751"/>
    <cellStyle name="_ВНИИБТ БИ Анализ ТМЦ свод" xfId="4752"/>
    <cellStyle name="_ВНИИБТ БИ Анализ ТМЦ свод 2" xfId="4753"/>
    <cellStyle name="_ВНИИБТ БИ Анализ ТМЦ свод 3" xfId="4754"/>
    <cellStyle name="_Все поправки" xfId="4755"/>
    <cellStyle name="_Газ-расчет-16 0508Клдо 2023" xfId="4756"/>
    <cellStyle name="_Гончарный 2006" xfId="4757"/>
    <cellStyle name="_Гончарный 2006 2" xfId="4758"/>
    <cellStyle name="_Гончарный 2006 3" xfId="4759"/>
    <cellStyle name="_ГФС дебиторская задолженность на 1.11.05с комментарием" xfId="4760"/>
    <cellStyle name="_ГФС дебиторская задолженность на 1.11.05с комментарием 2" xfId="4761"/>
    <cellStyle name="_ГФС дебиторская задолженность на 1.11.05с комментарием 3" xfId="4762"/>
    <cellStyle name="_ДДП" xfId="4763"/>
    <cellStyle name="_деньги по кап" xfId="4764"/>
    <cellStyle name="_деньги по кап 2" xfId="4765"/>
    <cellStyle name="_деньги по кап 3" xfId="4766"/>
    <cellStyle name="_ДжиннТелЭкон" xfId="4767"/>
    <cellStyle name="_ДжиннТелЭкон_Остановочные Павильоны 2009" xfId="4768"/>
    <cellStyle name="_ДжиннТелЭкон_План доходов 2009 год Щиты 25.11.08" xfId="4769"/>
    <cellStyle name="_Диагностика оборудования  2006 г." xfId="4770"/>
    <cellStyle name="_Диагностика оборудования  2006 г. 2" xfId="4771"/>
    <cellStyle name="_Диагностика оборудования  2006 г. 3" xfId="4772"/>
    <cellStyle name="_Диагностика оборудования  2006 г._АХС Бизнес план 2006 собств.техн." xfId="4773"/>
    <cellStyle name="_Диагностика оборудования  2006 г._АХС Бизнес план 2006 собств.техн. 2" xfId="4774"/>
    <cellStyle name="_Диагностика оборудования  2006 г._АХС Бизнес план 2006 собств.техн. 3" xfId="4775"/>
    <cellStyle name="_Диагностика оборудования  2006 г._Бизнес-план 2006 Интегра КРС Нягань (Имущество)" xfId="4776"/>
    <cellStyle name="_Диагностика оборудования  2006 г._Бизнес-план 2006 Интегра КРС Нягань (Имущество) 2" xfId="4777"/>
    <cellStyle name="_Диагностика оборудования  2006 г._Бизнес-план 2006 Интегра КРС Нягань (Имущество) 3" xfId="4778"/>
    <cellStyle name="_Диагностика оборудования  2006 г._Ванюгин общ.вопросы" xfId="4779"/>
    <cellStyle name="_Диагностика оборудования  2006 г._Ванюгин общ.вопросы 2" xfId="4780"/>
    <cellStyle name="_Диагностика оборудования  2006 г._Ванюгин общ.вопросы 3" xfId="4781"/>
    <cellStyle name="_Диагностика оборудования  2006 г._ОТ и ПБ Бизнес план. 2006 г собств.техн." xfId="4782"/>
    <cellStyle name="_Диагностика оборудования  2006 г._ОТ и ПБ Бизнес план. 2006 г собств.техн. 2" xfId="4783"/>
    <cellStyle name="_Диагностика оборудования  2006 г._ОТ и ПБ Бизнес план. 2006 г собств.техн. 3" xfId="4784"/>
    <cellStyle name="_Диагностика оборудования  2006 г._ПП прогноз" xfId="4785"/>
    <cellStyle name="_Диагностика оборудования  2006 г._ПП прогноз 2" xfId="4786"/>
    <cellStyle name="_Диагностика оборудования  2006 г._ПП прогноз 3" xfId="4787"/>
    <cellStyle name="_Диагностика оборудования  2006 г._расшифровка ГСМ к БП 2006" xfId="4788"/>
    <cellStyle name="_Диагностика оборудования  2006 г._расшифровка ГСМ к БП 2006 2" xfId="4789"/>
    <cellStyle name="_Диагностика оборудования  2006 г._расшифровка ГСМ к БП 2006 3" xfId="4790"/>
    <cellStyle name="_дивиденды" xfId="4791"/>
    <cellStyle name="_дивиденды 2" xfId="4792"/>
    <cellStyle name="_дивиденды 3" xfId="4793"/>
    <cellStyle name="_Дозакл 5 мес.2000" xfId="4794"/>
    <cellStyle name="_Дозакл 5 мес.2000 2" xfId="4795"/>
    <cellStyle name="_Дозакл 5 мес.2000 3" xfId="4796"/>
    <cellStyle name="_Доходный и сравнительный по недвижимости без НДС" xfId="4797"/>
    <cellStyle name="_Доходный и сравнительный по недвижимости без НДС 2" xfId="4798"/>
    <cellStyle name="_Доходный и сравнительный по недвижимости без НДС 3" xfId="4799"/>
    <cellStyle name="_Доходный подход_Брянск_07.10.2005" xfId="4800"/>
    <cellStyle name="_доходный_оценка" xfId="4801"/>
    <cellStyle name="_доходный_оценка 2" xfId="4802"/>
    <cellStyle name="_доходный_оценка 3" xfId="4803"/>
    <cellStyle name="_Доходный_сериалы_без олигарха" xfId="4804"/>
    <cellStyle name="_Запрос (пп 5.3, 7.2-7.4, 7.6, 7.8-7.9)" xfId="4805"/>
    <cellStyle name="_Запрос (пп 5.3, 7.2-7.4, 7.6, 7.8-7.9) 2" xfId="4806"/>
    <cellStyle name="_Запрос (пп 5.3, 7.2-7.4, 7.6, 7.8-7.9) 3" xfId="4807"/>
    <cellStyle name="_Запрос_Центр НЭО_08.05.07" xfId="4808"/>
    <cellStyle name="_Запрос_Центр НЭО_08.05.07 2" xfId="4809"/>
    <cellStyle name="_Затратный" xfId="4810"/>
    <cellStyle name="_Затратный подход" xfId="4811"/>
    <cellStyle name="_Из Астрахани" xfId="4812"/>
    <cellStyle name="_Из Астрахани 2" xfId="4813"/>
    <cellStyle name="_Из Астрахани_ИСХ_ПАРАМ_КЧХК" xfId="4814"/>
    <cellStyle name="_Из Астрахани_ИСХ_ПАРАМ_КЧХК 2" xfId="4815"/>
    <cellStyle name="_Из Астрахани_модели" xfId="4816"/>
    <cellStyle name="_Из Астрахани_модели 2" xfId="4817"/>
    <cellStyle name="_Из Астрахани_модельИрина" xfId="4818"/>
    <cellStyle name="_Из Астрахани_модельИрина 2" xfId="4819"/>
    <cellStyle name="_Из Астрахани_модельИрина_Книга2" xfId="4820"/>
    <cellStyle name="_Из Астрахани_модельИрина_Книга2 2" xfId="4821"/>
    <cellStyle name="_Из Астрахани_Оборудование" xfId="4822"/>
    <cellStyle name="_Из Астрахани_Оборудование 2" xfId="4823"/>
    <cellStyle name="_Из Астрахани_Расчет грузопод. обор." xfId="4824"/>
    <cellStyle name="_Из Астрахани_Расчет грузопод. обор. 2" xfId="4825"/>
    <cellStyle name="_Из Астрахани_Расчет котлы паровые, водогр,теплообменники" xfId="4826"/>
    <cellStyle name="_Из Астрахани_Расчет котлы паровые, водогр,теплообменники 2" xfId="4827"/>
    <cellStyle name="_Из Астрахани_Расчет сварочное оборуд" xfId="4828"/>
    <cellStyle name="_Из Астрахани_Расчет сварочное оборуд 2" xfId="4829"/>
    <cellStyle name="_Из Астрахани_Расчет станки (version 1)" xfId="4830"/>
    <cellStyle name="_Из Астрахани_Расчет станки (version 1) 2" xfId="4831"/>
    <cellStyle name="_Имущественный комплекс_МСЗ" xfId="4832"/>
    <cellStyle name="_Индекс Ко-Инвест" xfId="4833"/>
    <cellStyle name="_Индекс Ко-Инвест 2" xfId="4834"/>
    <cellStyle name="_Индекс Ко-Инвест 3" xfId="4835"/>
    <cellStyle name="_Индексы ИРИП" xfId="4836"/>
    <cellStyle name="_Индексы ИРИП 2" xfId="4837"/>
    <cellStyle name="_Индексы ИРИП_ИСХ_ПАРАМ_КЧХК" xfId="4838"/>
    <cellStyle name="_Индексы ИРИП_ИСХ_ПАРАМ_КЧХК 2" xfId="4839"/>
    <cellStyle name="_Индексы ИРИП_модели" xfId="4840"/>
    <cellStyle name="_Индексы ИРИП_модели 2" xfId="4841"/>
    <cellStyle name="_Индексы ИРИП_модельИрина" xfId="4842"/>
    <cellStyle name="_Индексы ИРИП_модельИрина 2" xfId="4843"/>
    <cellStyle name="_Индексы ИРИП_модельИрина_Книга2" xfId="4844"/>
    <cellStyle name="_Индексы ИРИП_модельИрина_Книга2 2" xfId="4845"/>
    <cellStyle name="_Индексы ИРИП_Оборудование" xfId="4846"/>
    <cellStyle name="_Индексы ИРИП_Оборудование 2" xfId="4847"/>
    <cellStyle name="_Индексы ИРИП_Расчет грузопод. обор." xfId="4848"/>
    <cellStyle name="_Индексы ИРИП_Расчет грузопод. обор. 2" xfId="4849"/>
    <cellStyle name="_Индексы ИРИП_Расчет котлы паровые, водогр,теплообменники" xfId="4850"/>
    <cellStyle name="_Индексы ИРИП_Расчет котлы паровые, водогр,теплообменники 2" xfId="4851"/>
    <cellStyle name="_Индексы ИРИП_Расчет сварочное оборуд" xfId="4852"/>
    <cellStyle name="_Индексы ИРИП_Расчет сварочное оборуд 2" xfId="4853"/>
    <cellStyle name="_Индексы ИРИП_Расчет станки (version 1)" xfId="4854"/>
    <cellStyle name="_Индексы ИРИП_Расчет станки (version 1) 2" xfId="4855"/>
    <cellStyle name="_Индексы СМР" xfId="4856"/>
    <cellStyle name="_Индексы СМР 2" xfId="4857"/>
    <cellStyle name="_Индексы СМР 3" xfId="4858"/>
    <cellStyle name="_инфляция" xfId="4859"/>
    <cellStyle name="_Информационный запрос 121505" xfId="4860"/>
    <cellStyle name="_Информационный запрос 121505 2" xfId="4861"/>
    <cellStyle name="_Информационный запрос 121505 3" xfId="4862"/>
    <cellStyle name="_Информационный запрос за июнь НОВЫЙ" xfId="4863"/>
    <cellStyle name="_Информационный запрос за июнь НОВЫЙ 2" xfId="4864"/>
    <cellStyle name="_Информационный запрос за июнь НОВЫЙ 3" xfId="4865"/>
    <cellStyle name="_Информационный запрос Интегра КРС за декабрь 2005 г" xfId="4866"/>
    <cellStyle name="_Информационный запрос Интегра КРС за декабрь 2005 г 2" xfId="4867"/>
    <cellStyle name="_Информационный запрос Интегра КРС за декабрь 2005 г 3" xfId="4868"/>
    <cellStyle name="_Информационный запрос Интегра КРС за январь 2005 г" xfId="4869"/>
    <cellStyle name="_Информационный запрос Интегра КРС за январь 2005 г 2" xfId="4870"/>
    <cellStyle name="_Информационный запрос Интегра КРС за январь 2005 г 3" xfId="4871"/>
    <cellStyle name="_Информационный запрос_templ2 ate май" xfId="4872"/>
    <cellStyle name="_Информационный запрос_templ2 ate май 2" xfId="4873"/>
    <cellStyle name="_Информационный запрос_templ2 ate май 3" xfId="4874"/>
    <cellStyle name="_Информационный запрос_template" xfId="4875"/>
    <cellStyle name="_Информационный запрос_template 2" xfId="4876"/>
    <cellStyle name="_Информационный запрос_template 3" xfId="4877"/>
    <cellStyle name="_Информационный запрос_template v2" xfId="4878"/>
    <cellStyle name="_Информационный запрос_template v2 (31.07.06)" xfId="4879"/>
    <cellStyle name="_Информационный запрос_template v2 (31.07.06) 2" xfId="4880"/>
    <cellStyle name="_Информационный запрос_template v2 (31.07.06) 3" xfId="4881"/>
    <cellStyle name="_Информационный запрос_template v2 2" xfId="4882"/>
    <cellStyle name="_Информационный запрос_template v2 3" xfId="4883"/>
    <cellStyle name="_Информационный запрос_template v2 4" xfId="4884"/>
    <cellStyle name="_Информационный запрос_template v2 5" xfId="4885"/>
    <cellStyle name="_Информационный запрос_template v2 6" xfId="4886"/>
    <cellStyle name="_Информационный запрос_template май" xfId="4887"/>
    <cellStyle name="_Информационный запрос_template май 2" xfId="4888"/>
    <cellStyle name="_Информационный запрос_template май 3" xfId="4889"/>
    <cellStyle name="_Информационный запрос_июнь 06" xfId="4890"/>
    <cellStyle name="_Информационный запрос_июнь 06 2" xfId="4891"/>
    <cellStyle name="_Информационный запрос_июнь 06 3" xfId="4892"/>
    <cellStyle name="_ИПЦЖКХ2105 08-до 2023вар1" xfId="4893"/>
    <cellStyle name="_ИСХОДНЫЕ ПАРАМ СУАЛ" xfId="4894"/>
    <cellStyle name="_ИСХОДНЫЕ ПАРАМ СУАЛ 2" xfId="4895"/>
    <cellStyle name="_ИСХОДНЫЕ ПАРАМ СУАЛ 3" xfId="4896"/>
    <cellStyle name="_Итог" xfId="4897"/>
    <cellStyle name="_Итог 2" xfId="4898"/>
    <cellStyle name="_Итог 3" xfId="4899"/>
    <cellStyle name="_Кавказ - пример" xfId="4900"/>
    <cellStyle name="_Кавказ - пример 2" xfId="4901"/>
    <cellStyle name="_Кавказ - пример 3" xfId="4902"/>
    <cellStyle name="_Кавказ - пример 4" xfId="4903"/>
    <cellStyle name="_Кавказ - пример 5" xfId="4904"/>
    <cellStyle name="_Кавказ - пример_ИСХ_ПАРАМ_Галоген" xfId="4905"/>
    <cellStyle name="_Кавказ - пример_Книга2" xfId="4906"/>
    <cellStyle name="_Кавказ - пример_модельИрина" xfId="4907"/>
    <cellStyle name="_Кавказ - пример_модельИрина_Книга2" xfId="4908"/>
    <cellStyle name="_Кавказ - пример_Оборудование" xfId="4909"/>
    <cellStyle name="_Кавказ - пример_Расчет" xfId="4910"/>
    <cellStyle name="_Кавказ - пример_Расчет_Gabler" xfId="4911"/>
    <cellStyle name="_Кавказ - пример_Расчет_Gabler1" xfId="4912"/>
    <cellStyle name="_Кавказ - пример_Сооружения" xfId="4913"/>
    <cellStyle name="_Кафе Город " xfId="4914"/>
    <cellStyle name="_Кафе Город _Остановочные Павильоны 2009" xfId="4915"/>
    <cellStyle name="_Кафе Город _План доходов 2009 год Щиты 25.11.08" xfId="4916"/>
    <cellStyle name="_КВ освоение 2006 27 04 06" xfId="4917"/>
    <cellStyle name="_КВ освоение 2006 27 04 06 2" xfId="4918"/>
    <cellStyle name="_КВ освоение 2006 27 04 06 3" xfId="4919"/>
    <cellStyle name="_КК_сметный расчет" xfId="4920"/>
    <cellStyle name="_КК_сметный расчет 2" xfId="4921"/>
    <cellStyle name="_КК_сметный расчет 3" xfId="4922"/>
    <cellStyle name="_Книга1" xfId="4923"/>
    <cellStyle name="_Книга1 (2)" xfId="4924"/>
    <cellStyle name="_Книга1 (2) 2" xfId="4925"/>
    <cellStyle name="_Книга1 (2) 3" xfId="4926"/>
    <cellStyle name="_Книга1 2" xfId="4927"/>
    <cellStyle name="_Книга1 3" xfId="4928"/>
    <cellStyle name="_Книга1 4" xfId="4929"/>
    <cellStyle name="_Книга1 5" xfId="4930"/>
    <cellStyle name="_Книга1 6" xfId="4931"/>
    <cellStyle name="_Книга1_120" xfId="4932"/>
    <cellStyle name="_Книга1_120 2" xfId="4933"/>
    <cellStyle name="_Книга1_120 3" xfId="4934"/>
    <cellStyle name="_Книга1_DCF_01.01.2006_IFTC" xfId="4935"/>
    <cellStyle name="_Книга1_DCF_01.01.2006_IFTC 2" xfId="4936"/>
    <cellStyle name="_Книга1_DCF_01.01.2006_IFTC 3" xfId="4937"/>
    <cellStyle name="_Книга1_DCF_Soglasovanie_01.01.2006_Delta" xfId="4938"/>
    <cellStyle name="_Книга1_DCF_TKB_01.04.2006" xfId="4939"/>
    <cellStyle name="_Книга1_DCF_TKB_01.04.2006 2" xfId="4940"/>
    <cellStyle name="_Книга1_DCF_TKB_01.04.2006 3" xfId="4941"/>
    <cellStyle name="_Книга1_DCF_Кокс_исправлен" xfId="4942"/>
    <cellStyle name="_Книга1_DCF_Кокс_исправлен 2" xfId="4943"/>
    <cellStyle name="_Книга1_DCF_Кокс_исправлен 3" xfId="4944"/>
    <cellStyle name="_Книга1_Dohodny_podhod_Soglasovanie" xfId="4945"/>
    <cellStyle name="_Книга1_Dohodny_podhod_Soglasovanie_09.11.2005" xfId="4946"/>
    <cellStyle name="_Книга1_Dohodny_podhod_Soglasovanie_Zarubezhstroy_01.10.2005" xfId="4947"/>
    <cellStyle name="_Книга1_Dohodny_podhod_Soglasovanie_Zarubezhstroy_01.10.2005 2" xfId="4948"/>
    <cellStyle name="_Книга1_Dohodny_podhod_Soglasovanie_Zarubezhstroy_01.10.2005 3" xfId="4949"/>
    <cellStyle name="_Книга1_ExpValCalc01.04.2006" xfId="4950"/>
    <cellStyle name="_Книга1_Finanaliz_CHPC_01.01.2007" xfId="4951"/>
    <cellStyle name="_Книга1_Market_Company_Licence" xfId="4952"/>
    <cellStyle name="_Книга1_Soglasovanie_01.10.2005" xfId="4953"/>
    <cellStyle name="_Книга1_Zatratny_podhod_01.01.2006_IFTC" xfId="4954"/>
    <cellStyle name="_Книга1_Zatratny_podhod_01.04.2006_3 SSU" xfId="4955"/>
    <cellStyle name="_Книга1_Дельта-доходный подход и согласование" xfId="4956"/>
    <cellStyle name="_Книга1_Для расчета амортизации-Ульяновск" xfId="4957"/>
    <cellStyle name="_Книга1_ЗП_TKB_01.04.2006" xfId="4958"/>
    <cellStyle name="_Книга1_Копия Dohodny_podhod_Soglasovanie_Zarubezhstroy_01.10.2005" xfId="4959"/>
    <cellStyle name="_Книга1_Копия Dohodny_podhod_Soglasovanie_Zarubezhstroy_01.10.2005 2" xfId="4960"/>
    <cellStyle name="_Книга1_Копия Dohodny_podhod_Soglasovanie_Zarubezhstroy_01.10.2005 3" xfId="4961"/>
    <cellStyle name="_Книга1_МЧА_01.10.2005" xfId="4962"/>
    <cellStyle name="_Книга1_МЧА_MIR_01.10.2005" xfId="4963"/>
    <cellStyle name="_Книга1_МЧА_MODUL_01.10.2005" xfId="4964"/>
    <cellStyle name="_Книга1_МЧА_ZARUBEZSTROY_01.10.2005" xfId="4965"/>
    <cellStyle name="_Книга1_Согласование_02.11.2005" xfId="4966"/>
    <cellStyle name="_Книга1_Сравнительный подход - медиа_Чебоксары" xfId="4967"/>
    <cellStyle name="_Книга1_Фин.вложения_TKB_01.04.2006" xfId="4968"/>
    <cellStyle name="_Книга2" xfId="4969"/>
    <cellStyle name="_Книга3" xfId="4970"/>
    <cellStyle name="_Книга3 2" xfId="4971"/>
    <cellStyle name="_Книга3 3" xfId="4972"/>
    <cellStyle name="_Книга3_17_0" xfId="4973"/>
    <cellStyle name="_Книга3_17_0 2" xfId="4974"/>
    <cellStyle name="_Книга3_17_0 3" xfId="4975"/>
    <cellStyle name="_Книга3_17_0_1" xfId="4976"/>
    <cellStyle name="_Книга3_17_0_1 2" xfId="4977"/>
    <cellStyle name="_Книга3_17_0_1 3" xfId="4978"/>
    <cellStyle name="_Книга3_New Form10_2" xfId="4979"/>
    <cellStyle name="_Книга3_New Form10_2 2" xfId="4980"/>
    <cellStyle name="_Книга3_New Form10_2 3" xfId="4981"/>
    <cellStyle name="_Книга3_Nsi" xfId="4982"/>
    <cellStyle name="_Книга3_Nsi 2" xfId="4983"/>
    <cellStyle name="_Книга3_Nsi 3" xfId="4984"/>
    <cellStyle name="_Книга3_Nsi_1" xfId="4985"/>
    <cellStyle name="_Книга3_Nsi_1 2" xfId="4986"/>
    <cellStyle name="_Книга3_Nsi_1 3" xfId="4987"/>
    <cellStyle name="_Книга3_Nsi_139" xfId="4988"/>
    <cellStyle name="_Книга3_Nsi_139 2" xfId="4989"/>
    <cellStyle name="_Книга3_Nsi_139 3" xfId="4990"/>
    <cellStyle name="_Книга3_Nsi_140" xfId="4991"/>
    <cellStyle name="_Книга3_Nsi_140 2" xfId="4992"/>
    <cellStyle name="_Книга3_Nsi_140 3" xfId="4993"/>
    <cellStyle name="_Книга3_Nsi_140(Зах)" xfId="4994"/>
    <cellStyle name="_Книга3_Nsi_140(Зах) 2" xfId="4995"/>
    <cellStyle name="_Книга3_Nsi_140(Зах) 3" xfId="4996"/>
    <cellStyle name="_Книга3_Nsi_140_mod" xfId="4997"/>
    <cellStyle name="_Книга3_Nsi_140_mod 2" xfId="4998"/>
    <cellStyle name="_Книга3_Nsi_140_mod 3" xfId="4999"/>
    <cellStyle name="_Книга3_Summary" xfId="5000"/>
    <cellStyle name="_Книга3_Summary 2" xfId="5001"/>
    <cellStyle name="_Книга3_Summary 3" xfId="5002"/>
    <cellStyle name="_Книга3_Tax_form_1кв_3" xfId="5003"/>
    <cellStyle name="_Книга3_Tax_form_1кв_3 2" xfId="5004"/>
    <cellStyle name="_Книга3_Tax_form_1кв_3 3" xfId="5005"/>
    <cellStyle name="_Книга3_БКЭ" xfId="5006"/>
    <cellStyle name="_Книга3_БКЭ 2" xfId="5007"/>
    <cellStyle name="_Книга3_БКЭ 3" xfId="5008"/>
    <cellStyle name="_Книга3_Перечень названий форм" xfId="5009"/>
    <cellStyle name="_Книга3_Перечень названий форм 2" xfId="5010"/>
    <cellStyle name="_Книга3_Перечень названий форм 3" xfId="5011"/>
    <cellStyle name="_Книга7" xfId="5012"/>
    <cellStyle name="_Книга7 2" xfId="5013"/>
    <cellStyle name="_Книга7 3" xfId="5014"/>
    <cellStyle name="_Книга7_17_0" xfId="5015"/>
    <cellStyle name="_Книга7_17_0 2" xfId="5016"/>
    <cellStyle name="_Книга7_17_0 3" xfId="5017"/>
    <cellStyle name="_Книга7_17_0_1" xfId="5018"/>
    <cellStyle name="_Книга7_17_0_1 2" xfId="5019"/>
    <cellStyle name="_Книга7_17_0_1 3" xfId="5020"/>
    <cellStyle name="_Книга7_New Form10_2" xfId="5021"/>
    <cellStyle name="_Книга7_New Form10_2 2" xfId="5022"/>
    <cellStyle name="_Книга7_New Form10_2 3" xfId="5023"/>
    <cellStyle name="_Книга7_Nsi" xfId="5024"/>
    <cellStyle name="_Книга7_Nsi 2" xfId="5025"/>
    <cellStyle name="_Книга7_Nsi 3" xfId="5026"/>
    <cellStyle name="_Книга7_Nsi_1" xfId="5027"/>
    <cellStyle name="_Книга7_Nsi_1 2" xfId="5028"/>
    <cellStyle name="_Книга7_Nsi_1 3" xfId="5029"/>
    <cellStyle name="_Книга7_Nsi_139" xfId="5030"/>
    <cellStyle name="_Книга7_Nsi_139 2" xfId="5031"/>
    <cellStyle name="_Книга7_Nsi_139 3" xfId="5032"/>
    <cellStyle name="_Книга7_Nsi_140" xfId="5033"/>
    <cellStyle name="_Книга7_Nsi_140 2" xfId="5034"/>
    <cellStyle name="_Книга7_Nsi_140 3" xfId="5035"/>
    <cellStyle name="_Книга7_Nsi_140(Зах)" xfId="5036"/>
    <cellStyle name="_Книга7_Nsi_140(Зах) 2" xfId="5037"/>
    <cellStyle name="_Книга7_Nsi_140(Зах) 3" xfId="5038"/>
    <cellStyle name="_Книга7_Nsi_140_mod" xfId="5039"/>
    <cellStyle name="_Книга7_Nsi_140_mod 2" xfId="5040"/>
    <cellStyle name="_Книга7_Nsi_140_mod 3" xfId="5041"/>
    <cellStyle name="_Книга7_Summary" xfId="5042"/>
    <cellStyle name="_Книга7_Summary 2" xfId="5043"/>
    <cellStyle name="_Книга7_Summary 3" xfId="5044"/>
    <cellStyle name="_Книга7_Tax_form_1кв_3" xfId="5045"/>
    <cellStyle name="_Книга7_Tax_form_1кв_3 2" xfId="5046"/>
    <cellStyle name="_Книга7_Tax_form_1кв_3 3" xfId="5047"/>
    <cellStyle name="_Книга7_БКЭ" xfId="5048"/>
    <cellStyle name="_Книга7_БКЭ 2" xfId="5049"/>
    <cellStyle name="_Книга7_БКЭ 3" xfId="5050"/>
    <cellStyle name="_Книга7_Перечень названий форм" xfId="5051"/>
    <cellStyle name="_Книга7_Перечень названий форм 2" xfId="5052"/>
    <cellStyle name="_Книга7_Перечень названий форм 3" xfId="5053"/>
    <cellStyle name="_Комплекс СП" xfId="5054"/>
    <cellStyle name="_Константы 01.04.06_1" xfId="5055"/>
    <cellStyle name="_Константы 01.04.06_1 2" xfId="5056"/>
    <cellStyle name="_Копия DCF_Svyaz_Final" xfId="5057"/>
    <cellStyle name="_Копия DCF_Svyaz_Final 2" xfId="5058"/>
    <cellStyle name="_Копия DCF_Svyaz_Final 3" xfId="5059"/>
    <cellStyle name="_Копия DCF_ДСК-3_акции_01.01.2005" xfId="5060"/>
    <cellStyle name="_Копия DCF_ДСК-3_акции_01.01.2005 2" xfId="5061"/>
    <cellStyle name="_Копия DCF_ДСК-3_акции_01.01.2005 3" xfId="5062"/>
    <cellStyle name="_Копия Расчет_фабрика 8 марта_итог" xfId="5063"/>
    <cellStyle name="_Копия Расчет_фабрика 8 марта_итог 2" xfId="5064"/>
    <cellStyle name="_Копия Расчет_фабрика 8 марта_итог 3" xfId="5065"/>
    <cellStyle name="_Копия расчеты" xfId="5066"/>
    <cellStyle name="_Копия расчеты 2" xfId="5067"/>
    <cellStyle name="_Краснодар_Самара" xfId="5068"/>
    <cellStyle name="_курсовые разницы 01,06,08" xfId="5069"/>
    <cellStyle name="_Ликвидационная ст-ть для оборудования" xfId="5070"/>
    <cellStyle name="_Лист в ТЭЦ март 04г" xfId="5071"/>
    <cellStyle name="_Лист по Non organic (2)" xfId="5072"/>
    <cellStyle name="_Лист по Non organic (2) 2" xfId="5073"/>
    <cellStyle name="_Лист по Non organic (2) 3" xfId="5074"/>
    <cellStyle name="_Лист1" xfId="5075"/>
    <cellStyle name="_Лист1 2" xfId="5076"/>
    <cellStyle name="_Лист1_ИСХ_ПАРАМ_КЧХК" xfId="5077"/>
    <cellStyle name="_Лист1_ИСХ_ПАРАМ_КЧХК 2" xfId="5078"/>
    <cellStyle name="_Лист1_модели" xfId="5079"/>
    <cellStyle name="_Лист1_модели 2" xfId="5080"/>
    <cellStyle name="_Лист1_модельИрина" xfId="5081"/>
    <cellStyle name="_Лист1_модельИрина 2" xfId="5082"/>
    <cellStyle name="_Лист1_модельИрина_Книга2" xfId="5083"/>
    <cellStyle name="_Лист1_модельИрина_Книга2 2" xfId="5084"/>
    <cellStyle name="_Лист1_Оборудование" xfId="5085"/>
    <cellStyle name="_Лист1_Оборудование 2" xfId="5086"/>
    <cellStyle name="_Лист1_Расчет грузопод. обор." xfId="5087"/>
    <cellStyle name="_Лист1_Расчет грузопод. обор. 2" xfId="5088"/>
    <cellStyle name="_Лист1_Расчет котлы паровые, водогр,теплообменники" xfId="5089"/>
    <cellStyle name="_Лист1_Расчет котлы паровые, водогр,теплообменники 2" xfId="5090"/>
    <cellStyle name="_Лист1_Расчет сварочное оборуд" xfId="5091"/>
    <cellStyle name="_Лист1_Расчет сварочное оборуд 2" xfId="5092"/>
    <cellStyle name="_Лист1_Расчет станки (version 1)" xfId="5093"/>
    <cellStyle name="_Лист1_Расчет станки (version 1) 2" xfId="5094"/>
    <cellStyle name="_Лист2" xfId="5095"/>
    <cellStyle name="_Лист2 2" xfId="5096"/>
    <cellStyle name="_Лист2 3" xfId="5097"/>
    <cellStyle name="_Лист3" xfId="5098"/>
    <cellStyle name="_ЛНГС - формы для доходного подхода190404-00" xfId="5099"/>
    <cellStyle name="_ЛНГС - формы для доходного подхода190404-00 2" xfId="5100"/>
    <cellStyle name="_ЛНГС - формы для доходного подхода190404-00 3" xfId="5101"/>
    <cellStyle name="_ЛНГС - формы для доходного подхода190404-00 4" xfId="5102"/>
    <cellStyle name="_ЛНГС - формы для доходного подхода190404-00 5" xfId="5103"/>
    <cellStyle name="_ЛНГС - формы для доходного подхода190404-00_ИСХ_ПАРАМ_Галоген" xfId="5104"/>
    <cellStyle name="_ЛНГС - формы для доходного подхода190404-00_Книга2" xfId="5105"/>
    <cellStyle name="_ЛНГС - формы для доходного подхода190404-00_модельИрина" xfId="5106"/>
    <cellStyle name="_ЛНГС - формы для доходного подхода190404-00_модельИрина_Книга2" xfId="5107"/>
    <cellStyle name="_ЛНГС - формы для доходного подхода190404-00_Оборудование" xfId="5108"/>
    <cellStyle name="_ЛНГС - формы для доходного подхода190404-00_Расчет" xfId="5109"/>
    <cellStyle name="_ЛНГС - формы для доходного подхода190404-00_Расчет_Gabler" xfId="5110"/>
    <cellStyle name="_ЛНГС - формы для доходного подхода190404-00_Расчет_Gabler1" xfId="5111"/>
    <cellStyle name="_ЛНГС - формы для доходного подхода190404-00_Сооружения" xfId="5112"/>
    <cellStyle name="_ЛНГС_ ДП-WACC-УРпроцент-финал" xfId="5113"/>
    <cellStyle name="_ЛНГС_ ДП-WACC-УРпроцент-финал 2" xfId="5114"/>
    <cellStyle name="_ЛНГС_ ДП-WACC-УРпроцент-финал 3" xfId="5115"/>
    <cellStyle name="_ЛНГС_ ДП-финал" xfId="5116"/>
    <cellStyle name="_ЛНГС_ ДП-финал 2" xfId="5117"/>
    <cellStyle name="_ЛНГС_ ДП-финал 3" xfId="5118"/>
    <cellStyle name="_Макро_2030 год" xfId="5119"/>
    <cellStyle name="_маркетинг" xfId="5120"/>
    <cellStyle name="_МиО_расчет_2" xfId="5121"/>
    <cellStyle name="_МиО_расчет_2 2" xfId="5122"/>
    <cellStyle name="_МиО_расчет_2 3" xfId="5123"/>
    <cellStyle name="_Модель - 2(23)" xfId="5124"/>
    <cellStyle name="_Модель АлСА " xfId="5125"/>
    <cellStyle name="_Модель АлСА  2" xfId="5126"/>
    <cellStyle name="_Модель АлСА  3" xfId="5127"/>
    <cellStyle name="_Модель развития 220506 (реал добав)1 (version 1)" xfId="5128"/>
    <cellStyle name="_Модель, Ванино3" xfId="5129"/>
    <cellStyle name="_МЧА" xfId="5130"/>
    <cellStyle name="_МЧА_ZARUBEZSTROY_01.10.2005" xfId="5131"/>
    <cellStyle name="_МЧА_Осетровский ЛДК_01.03.2007" xfId="5132"/>
    <cellStyle name="_на 01.01.2005_доходный_ОАО НУТРИНВЕСТХОЛДИНГ_14.05.2005_14-31" xfId="5133"/>
    <cellStyle name="_на 01.01.2005_доходный_ОАО НУТРИНВЕСТХОЛДИНГ_14.05.2005_14-31 2" xfId="5134"/>
    <cellStyle name="_на 01.01.2005_доходный_ОАО НУТРИНВЕСТХОЛДИНГ_14.05.2005_14-31 3" xfId="5135"/>
    <cellStyle name="_на 01.01.2005_доходный_ОАО НУТРИНВЕСТХОЛДИНГ_14.05.2005_14-31 4" xfId="5136"/>
    <cellStyle name="_на 01.01.2005_доходный_ОАО НУТРИНВЕСТХОЛДИНГ_14.05.2005_14-31 5" xfId="5137"/>
    <cellStyle name="_на 01.01.2005_доходный_ОАО НУТРИНВЕСТХОЛДИНГ_14.05.2005_14-31_ИСХ_ПАРАМ_Галоген" xfId="5138"/>
    <cellStyle name="_на 01.01.2005_доходный_ОАО НУТРИНВЕСТХОЛДИНГ_14.05.2005_14-31_Книга2" xfId="5139"/>
    <cellStyle name="_на 01.01.2005_доходный_ОАО НУТРИНВЕСТХОЛДИНГ_14.05.2005_14-31_модельИрина" xfId="5140"/>
    <cellStyle name="_на 01.01.2005_доходный_ОАО НУТРИНВЕСТХОЛДИНГ_14.05.2005_14-31_модельИрина_Книга2" xfId="5141"/>
    <cellStyle name="_на 01.01.2005_доходный_ОАО НУТРИНВЕСТХОЛДИНГ_14.05.2005_14-31_Оборудование" xfId="5142"/>
    <cellStyle name="_на 01.01.2005_доходный_ОАО НУТРИНВЕСТХОЛДИНГ_14.05.2005_14-31_Расчет" xfId="5143"/>
    <cellStyle name="_на 01.01.2005_доходный_ОАО НУТРИНВЕСТХОЛДИНГ_14.05.2005_14-31_Расчет_Gabler" xfId="5144"/>
    <cellStyle name="_на 01.01.2005_доходный_ОАО НУТРИНВЕСТХОЛДИНГ_14.05.2005_14-31_Расчет_Gabler1" xfId="5145"/>
    <cellStyle name="_на 01.01.2005_доходный_ОАО НУТРИНВЕСТХОЛДИНГ_14.05.2005_14-31_Сооружения" xfId="5146"/>
    <cellStyle name="_на 01.04.2005_3 подхода - ЗАО РМГ_ 08.07.2005 г._08-35" xfId="5147"/>
    <cellStyle name="_на 01.04.2005_3 подхода - ЗАО РМГ_ 08.07.2005 г._08-35 2" xfId="5148"/>
    <cellStyle name="_на 01.04.2005_3 подхода - ЗАО РМГ_ 08.07.2005 г._08-35 3" xfId="5149"/>
    <cellStyle name="_на 01.04.2005_3 подхода - ЗАО РМГ_ 08.07.2005 г._08-35 4" xfId="5150"/>
    <cellStyle name="_на 01.04.2005_3 подхода - ЗАО РМГ_ 08.07.2005 г._08-35 5" xfId="5151"/>
    <cellStyle name="_на 01.04.2005_3 подхода - ЗАО РМГ_ 08.07.2005 г._08-35_ИСХ_ПАРАМ_Галоген" xfId="5152"/>
    <cellStyle name="_на 01.04.2005_3 подхода - ЗАО РМГ_ 08.07.2005 г._08-35_Книга2" xfId="5153"/>
    <cellStyle name="_на 01.04.2005_3 подхода - ЗАО РМГ_ 08.07.2005 г._08-35_модельИрина" xfId="5154"/>
    <cellStyle name="_на 01.04.2005_3 подхода - ЗАО РМГ_ 08.07.2005 г._08-35_модельИрина_Книга2" xfId="5155"/>
    <cellStyle name="_на 01.04.2005_3 подхода - ЗАО РМГ_ 08.07.2005 г._08-35_Оборудование" xfId="5156"/>
    <cellStyle name="_на 01.04.2005_3 подхода - ЗАО РМГ_ 08.07.2005 г._08-35_Расчет" xfId="5157"/>
    <cellStyle name="_на 01.04.2005_3 подхода - ЗАО РМГ_ 08.07.2005 г._08-35_Расчет_Gabler" xfId="5158"/>
    <cellStyle name="_на 01.04.2005_3 подхода - ЗАО РМГ_ 08.07.2005 г._08-35_Расчет_Gabler1" xfId="5159"/>
    <cellStyle name="_на 01.04.2005_3 подхода - ЗАО РМГ_ 08.07.2005 г._08-35_Сооружения" xfId="5160"/>
    <cellStyle name="_на 01.04.2005_3 подхода - ЗАО РМГ_ 11.07.2005 г._08-07" xfId="5161"/>
    <cellStyle name="_на 01.04.2005_3 подхода - ЗАО РМГ_ 11.07.2005 г._08-07 2" xfId="5162"/>
    <cellStyle name="_на 01.04.2005_3 подхода - ЗАО РМГ_ 11.07.2005 г._08-07 3" xfId="5163"/>
    <cellStyle name="_на 01.04.2005_3 подхода - ЗАО РМГ_ 11.07.2005 г._08-07 4" xfId="5164"/>
    <cellStyle name="_на 01.04.2005_3 подхода - ЗАО РМГ_ 11.07.2005 г._08-07 5" xfId="5165"/>
    <cellStyle name="_на 01.04.2005_3 подхода - ЗАО РМГ_ 11.07.2005 г._08-07_ИСХ_ПАРАМ_Галоген" xfId="5166"/>
    <cellStyle name="_на 01.04.2005_3 подхода - ЗАО РМГ_ 11.07.2005 г._08-07_Книга2" xfId="5167"/>
    <cellStyle name="_на 01.04.2005_3 подхода - ЗАО РМГ_ 11.07.2005 г._08-07_модельИрина" xfId="5168"/>
    <cellStyle name="_на 01.04.2005_3 подхода - ЗАО РМГ_ 11.07.2005 г._08-07_модельИрина_Книга2" xfId="5169"/>
    <cellStyle name="_на 01.04.2005_3 подхода - ЗАО РМГ_ 11.07.2005 г._08-07_Оборудование" xfId="5170"/>
    <cellStyle name="_на 01.04.2005_3 подхода - ЗАО РМГ_ 11.07.2005 г._08-07_Расчет" xfId="5171"/>
    <cellStyle name="_на 01.04.2005_3 подхода - ЗАО РМГ_ 11.07.2005 г._08-07_Расчет_Gabler" xfId="5172"/>
    <cellStyle name="_на 01.04.2005_3 подхода - ЗАО РМГ_ 11.07.2005 г._08-07_Расчет_Gabler1" xfId="5173"/>
    <cellStyle name="_на 01.04.2005_3 подхода - ЗАО РМГ_ 11.07.2005 г._08-07_Сооружения" xfId="5174"/>
    <cellStyle name="_на 01.07.2004_доходный подход_Голубая горка_06.05.2005_00-17" xfId="5175"/>
    <cellStyle name="_на 01.07.2004_доходный подход_Голубая горка_06.05.2005_00-17 2" xfId="5176"/>
    <cellStyle name="_на 01.07.2004_доходный подход_Голубая горка_06.05.2005_00-17 3" xfId="5177"/>
    <cellStyle name="_на 01.07.2004_доходный подход_Голубая горка_06.05.2005_00-17 4" xfId="5178"/>
    <cellStyle name="_на 01.07.2004_доходный подход_Голубая горка_06.05.2005_00-17 5" xfId="5179"/>
    <cellStyle name="_на 01.07.2004_доходный подход_Голубая горка_06.05.2005_00-17_ИСХ_ПАРАМ_Галоген" xfId="5180"/>
    <cellStyle name="_на 01.07.2004_доходный подход_Голубая горка_06.05.2005_00-17_Книга2" xfId="5181"/>
    <cellStyle name="_на 01.07.2004_доходный подход_Голубая горка_06.05.2005_00-17_модельИрина" xfId="5182"/>
    <cellStyle name="_на 01.07.2004_доходный подход_Голубая горка_06.05.2005_00-17_модельИрина_Книга2" xfId="5183"/>
    <cellStyle name="_на 01.07.2004_доходный подход_Голубая горка_06.05.2005_00-17_Оборудование" xfId="5184"/>
    <cellStyle name="_на 01.07.2004_доходный подход_Голубая горка_06.05.2005_00-17_Расчет" xfId="5185"/>
    <cellStyle name="_на 01.07.2004_доходный подход_Голубая горка_06.05.2005_00-17_Расчет_Gabler" xfId="5186"/>
    <cellStyle name="_на 01.07.2004_доходный подход_Голубая горка_06.05.2005_00-17_Расчет_Gabler1" xfId="5187"/>
    <cellStyle name="_на 01.07.2004_доходный подход_Голубая горка_06.05.2005_00-17_Сооружения" xfId="5188"/>
    <cellStyle name="_на 14.05.2005 ОАО НУТРИНВЕСТХОЛДИНГ - СП" xfId="5189"/>
    <cellStyle name="_на 14.05.2005 ОАО НУТРИНВЕСТХОЛДИНГ - СП 2" xfId="5190"/>
    <cellStyle name="_на 14.05.2005 ОАО НУТРИНВЕСТХОЛДИНГ - СП 3" xfId="5191"/>
    <cellStyle name="_на 14.05.2005 ОАО НУТРИНВЕСТХОЛДИНГ - СП 4" xfId="5192"/>
    <cellStyle name="_на 14.05.2005 ОАО НУТРИНВЕСТХОЛДИНГ - СП 5" xfId="5193"/>
    <cellStyle name="_на 14.05.2005 ОАО НУТРИНВЕСТХОЛДИНГ - СП_ИСХ_ПАРАМ_Галоген" xfId="5194"/>
    <cellStyle name="_на 14.05.2005 ОАО НУТРИНВЕСТХОЛДИНГ - СП_Книга2" xfId="5195"/>
    <cellStyle name="_на 14.05.2005 ОАО НУТРИНВЕСТХОЛДИНГ - СП_модельИрина" xfId="5196"/>
    <cellStyle name="_на 14.05.2005 ОАО НУТРИНВЕСТХОЛДИНГ - СП_модельИрина_Книга2" xfId="5197"/>
    <cellStyle name="_на 14.05.2005 ОАО НУТРИНВЕСТХОЛДИНГ - СП_Оборудование" xfId="5198"/>
    <cellStyle name="_на 14.05.2005 ОАО НУТРИНВЕСТХОЛДИНГ - СП_Расчет" xfId="5199"/>
    <cellStyle name="_на 14.05.2005 ОАО НУТРИНВЕСТХОЛДИНГ - СП_Расчет_Gabler" xfId="5200"/>
    <cellStyle name="_на 14.05.2005 ОАО НУТРИНВЕСТХОЛДИНГ - СП_Расчет_Gabler1" xfId="5201"/>
    <cellStyle name="_на 14.05.2005 ОАО НУТРИНВЕСТХОЛДИНГ - СП_Сооружения" xfId="5202"/>
    <cellStyle name="_На отправку 2 Generation ОАО Сулакэнерго ОГК9 на 01.10.04" xfId="5203"/>
    <cellStyle name="_Налоги" xfId="5204"/>
    <cellStyle name="_НГД собст." xfId="5205"/>
    <cellStyle name="_НГД собст. 2" xfId="5206"/>
    <cellStyle name="_НЗП на 2003г." xfId="5207"/>
    <cellStyle name="_НЗП по заказам на 30 09 05 и на 30 10 vn v1-Вахур final" xfId="5208"/>
    <cellStyle name="_НПО Сатурн_ЕБО" xfId="5209"/>
    <cellStyle name="_НПО Сатурн_ЕБО 2" xfId="5210"/>
    <cellStyle name="_НПО Сатурн_ЕБО 3" xfId="5211"/>
    <cellStyle name="_НПО Сатурн_ЕБО 4" xfId="5212"/>
    <cellStyle name="_НПО Сатурн_ЕБО 5" xfId="5213"/>
    <cellStyle name="_НПО Сатурн_ЕБО_ИСХ_ПАРАМ_Галоген" xfId="5214"/>
    <cellStyle name="_НПО Сатурн_ЕБО_Книга2" xfId="5215"/>
    <cellStyle name="_НПО Сатурн_ЕБО_модельИрина" xfId="5216"/>
    <cellStyle name="_НПО Сатурн_ЕБО_модельИрина_Книга2" xfId="5217"/>
    <cellStyle name="_НПО Сатурн_ЕБО_Оборудование" xfId="5218"/>
    <cellStyle name="_НПО Сатурн_ЕБО_Расчет" xfId="5219"/>
    <cellStyle name="_НПО Сатурн_ЕБО_Расчет_Gabler" xfId="5220"/>
    <cellStyle name="_НПО Сатурн_ЕБО_Расчет_Gabler1" xfId="5221"/>
    <cellStyle name="_НПО Сатурн_ЕБО_Сооружения" xfId="5222"/>
    <cellStyle name="_Ну теперь уже скинула" xfId="5223"/>
    <cellStyle name="_Ну теперь уже скинула 2" xfId="5224"/>
    <cellStyle name="_Ну теперь уже скинула 3" xfId="5225"/>
    <cellStyle name="_Ну теперь уже скинула 4" xfId="5226"/>
    <cellStyle name="_Ну теперь уже скинула 5" xfId="5227"/>
    <cellStyle name="_Ну теперь уже скинула_ИСХ_ПАРАМ_Галоген" xfId="5228"/>
    <cellStyle name="_Ну теперь уже скинула_Книга2" xfId="5229"/>
    <cellStyle name="_Ну теперь уже скинула_модельИрина" xfId="5230"/>
    <cellStyle name="_Ну теперь уже скинула_модельИрина_Книга2" xfId="5231"/>
    <cellStyle name="_Ну теперь уже скинула_Оборудование" xfId="5232"/>
    <cellStyle name="_Ну теперь уже скинула_Расчет" xfId="5233"/>
    <cellStyle name="_Ну теперь уже скинула_Расчет_Gabler" xfId="5234"/>
    <cellStyle name="_Ну теперь уже скинула_Расчет_Gabler1" xfId="5235"/>
    <cellStyle name="_Ну теперь уже скинула_Сооружения" xfId="5236"/>
    <cellStyle name="_ОАО ЗСМК на 01.02.2005___22.02.2005_10-17" xfId="5237"/>
    <cellStyle name="_ОАО ЗСМК на 01.02.2005___22.02.2005_10-17 2" xfId="5238"/>
    <cellStyle name="_ОАО ЗСМК на 01.02.2005___22.02.2005_10-17 3" xfId="5239"/>
    <cellStyle name="_ОАО ЗСМК на 01.02.2005___22.02.2005_10-17 4" xfId="5240"/>
    <cellStyle name="_ОАО ЗСМК на 01.02.2005___22.02.2005_10-17 5" xfId="5241"/>
    <cellStyle name="_ОАО ЗСМК на 01.02.2005___22.02.2005_10-17_ИСХ_ПАРАМ_Галоген" xfId="5242"/>
    <cellStyle name="_ОАО ЗСМК на 01.02.2005___22.02.2005_10-17_Книга2" xfId="5243"/>
    <cellStyle name="_ОАО ЗСМК на 01.02.2005___22.02.2005_10-17_модельИрина" xfId="5244"/>
    <cellStyle name="_ОАО ЗСМК на 01.02.2005___22.02.2005_10-17_модельИрина_Книга2" xfId="5245"/>
    <cellStyle name="_ОАО ЗСМК на 01.02.2005___22.02.2005_10-17_Оборудование" xfId="5246"/>
    <cellStyle name="_ОАО ЗСМК на 01.02.2005___22.02.2005_10-17_Расчет" xfId="5247"/>
    <cellStyle name="_ОАО ЗСМК на 01.02.2005___22.02.2005_10-17_Расчет_Gabler" xfId="5248"/>
    <cellStyle name="_ОАО ЗСМК на 01.02.2005___22.02.2005_10-17_Расчет_Gabler1" xfId="5249"/>
    <cellStyle name="_ОАО ЗСМК на 01.02.2005___22.02.2005_10-17_Сооружения" xfId="5250"/>
    <cellStyle name="_ОАО НМТП" xfId="5251"/>
    <cellStyle name="_ОАО НМТП 2" xfId="5252"/>
    <cellStyle name="_ОАО НМТП 3" xfId="5253"/>
    <cellStyle name="_ОАО НМТП 4" xfId="5254"/>
    <cellStyle name="_ОАО НМТП 5" xfId="5255"/>
    <cellStyle name="_ОАО НМТП_ИСХ_ПАРАМ_Галоген" xfId="5256"/>
    <cellStyle name="_ОАО НМТП_Книга2" xfId="5257"/>
    <cellStyle name="_ОАО НМТП_модельИрина" xfId="5258"/>
    <cellStyle name="_ОАО НМТП_модельИрина_Книга2" xfId="5259"/>
    <cellStyle name="_ОАО НМТП_Оборудование" xfId="5260"/>
    <cellStyle name="_ОАО НМТП_Расчет" xfId="5261"/>
    <cellStyle name="_ОАО НМТП_Расчет_Gabler" xfId="5262"/>
    <cellStyle name="_ОАО НМТП_Расчет_Gabler1" xfId="5263"/>
    <cellStyle name="_ОАО НМТП_Сооружения" xfId="5264"/>
    <cellStyle name="_ОАО Новошип на 29.03.2005___04.04.2005_16-05_на проверку" xfId="5265"/>
    <cellStyle name="_ОАО Новошип на 29.03.2005___04.04.2005_16-05_на проверку 2" xfId="5266"/>
    <cellStyle name="_ОАО Новошип на 29.03.2005___04.04.2005_16-05_на проверку 3" xfId="5267"/>
    <cellStyle name="_ОАО Новошип на 29.03.2005___04.04.2005_16-05_на проверку 4" xfId="5268"/>
    <cellStyle name="_ОАО Новошип на 29.03.2005___04.04.2005_16-05_на проверку 5" xfId="5269"/>
    <cellStyle name="_ОАО Новошип на 29.03.2005___04.04.2005_16-05_на проверку_ИСХ_ПАРАМ_Галоген" xfId="5270"/>
    <cellStyle name="_ОАО Новошип на 29.03.2005___04.04.2005_16-05_на проверку_Книга2" xfId="5271"/>
    <cellStyle name="_ОАО Новошип на 29.03.2005___04.04.2005_16-05_на проверку_модельИрина" xfId="5272"/>
    <cellStyle name="_ОАО Новошип на 29.03.2005___04.04.2005_16-05_на проверку_модельИрина_Книга2" xfId="5273"/>
    <cellStyle name="_ОАО Новошип на 29.03.2005___04.04.2005_16-05_на проверку_Оборудование" xfId="5274"/>
    <cellStyle name="_ОАО Новошип на 29.03.2005___04.04.2005_16-05_на проверку_Расчет" xfId="5275"/>
    <cellStyle name="_ОАО Новошип на 29.03.2005___04.04.2005_16-05_на проверку_Расчет_Gabler" xfId="5276"/>
    <cellStyle name="_ОАО Новошип на 29.03.2005___04.04.2005_16-05_на проверку_Расчет_Gabler1" xfId="5277"/>
    <cellStyle name="_ОАО Новошип на 29.03.2005___04.04.2005_16-05_на проверку_Сооружения" xfId="5278"/>
    <cellStyle name="_ОАО Новошип на 29.03.2005___04.04.2005_16-37" xfId="5279"/>
    <cellStyle name="_ОАО Новошип на 29.03.2005___04.04.2005_16-37 2" xfId="5280"/>
    <cellStyle name="_ОАО Новошип на 29.03.2005___04.04.2005_16-37 3" xfId="5281"/>
    <cellStyle name="_ОАО Новошип на 29.03.2005___04.04.2005_16-37 4" xfId="5282"/>
    <cellStyle name="_ОАО Новошип на 29.03.2005___04.04.2005_16-37 5" xfId="5283"/>
    <cellStyle name="_ОАО Новошип на 29.03.2005___04.04.2005_16-37_ИСХ_ПАРАМ_Галоген" xfId="5284"/>
    <cellStyle name="_ОАО Новошип на 29.03.2005___04.04.2005_16-37_Книга2" xfId="5285"/>
    <cellStyle name="_ОАО Новошип на 29.03.2005___04.04.2005_16-37_модельИрина" xfId="5286"/>
    <cellStyle name="_ОАО Новошип на 29.03.2005___04.04.2005_16-37_модельИрина_Книга2" xfId="5287"/>
    <cellStyle name="_ОАО Новошип на 29.03.2005___04.04.2005_16-37_Оборудование" xfId="5288"/>
    <cellStyle name="_ОАО Новошип на 29.03.2005___04.04.2005_16-37_Расчет" xfId="5289"/>
    <cellStyle name="_ОАО Новошип на 29.03.2005___04.04.2005_16-37_Расчет_Gabler" xfId="5290"/>
    <cellStyle name="_ОАО Новошип на 29.03.2005___04.04.2005_16-37_Расчет_Gabler1" xfId="5291"/>
    <cellStyle name="_ОАО Новошип на 29.03.2005___04.04.2005_16-37_Сооружения" xfId="5292"/>
    <cellStyle name="_ОАО Сигнал" xfId="5293"/>
    <cellStyle name="_ОАО Сигнал 2" xfId="5294"/>
    <cellStyle name="_ОАО Сигнал 3" xfId="5295"/>
    <cellStyle name="_ОАО Сигнал 4" xfId="5296"/>
    <cellStyle name="_ОАО Сигнал 5" xfId="5297"/>
    <cellStyle name="_ОАО Сигнал_ИСХ_ПАРАМ_Галоген" xfId="5298"/>
    <cellStyle name="_ОАО Сигнал_Книга2" xfId="5299"/>
    <cellStyle name="_ОАО Сигнал_модельИрина" xfId="5300"/>
    <cellStyle name="_ОАО Сигнал_модельИрина_Книга2" xfId="5301"/>
    <cellStyle name="_ОАО Сигнал_Оборудование" xfId="5302"/>
    <cellStyle name="_ОАО Сигнал_Расчет" xfId="5303"/>
    <cellStyle name="_ОАО Сигнал_Расчет_Gabler" xfId="5304"/>
    <cellStyle name="_ОАО Сигнал_Расчет_Gabler1" xfId="5305"/>
    <cellStyle name="_ОАО Сигнал_Сооружения" xfId="5306"/>
    <cellStyle name="_ОАО СУАЛ на 17.09.2004___02.11.2004__пересчет беты" xfId="5307"/>
    <cellStyle name="_ОАО СУАЛ на 17.09.2004___02.11.2004__пересчет беты 2" xfId="5308"/>
    <cellStyle name="_ОАО СУАЛ на 17.09.2004___02.11.2004__пересчет беты 3" xfId="5309"/>
    <cellStyle name="_ОАО СУАЛ на 17.09.2004___02.11.2004__пересчет беты 4" xfId="5310"/>
    <cellStyle name="_ОАО СУАЛ на 17.09.2004___02.11.2004__пересчет беты 5" xfId="5311"/>
    <cellStyle name="_ОАО СУАЛ на 17.09.2004___02.11.2004__пересчет беты_ИСХ_ПАРАМ_Галоген" xfId="5312"/>
    <cellStyle name="_ОАО СУАЛ на 17.09.2004___02.11.2004__пересчет беты_Книга2" xfId="5313"/>
    <cellStyle name="_ОАО СУАЛ на 17.09.2004___02.11.2004__пересчет беты_модельИрина" xfId="5314"/>
    <cellStyle name="_ОАО СУАЛ на 17.09.2004___02.11.2004__пересчет беты_модельИрина_Книга2" xfId="5315"/>
    <cellStyle name="_ОАО СУАЛ на 17.09.2004___02.11.2004__пересчет беты_Оборудование" xfId="5316"/>
    <cellStyle name="_ОАО СУАЛ на 17.09.2004___02.11.2004__пересчет беты_Расчет" xfId="5317"/>
    <cellStyle name="_ОАО СУАЛ на 17.09.2004___02.11.2004__пересчет беты_Расчет_Gabler" xfId="5318"/>
    <cellStyle name="_ОАО СУАЛ на 17.09.2004___02.11.2004__пересчет беты_Расчет_Gabler1" xfId="5319"/>
    <cellStyle name="_ОАО СУАЛ на 17.09.2004___02.11.2004__пересчет беты_Сооружения" xfId="5320"/>
    <cellStyle name="_ОАО Уралэлектромедь" xfId="5321"/>
    <cellStyle name="_ОАО Уралэлектромедь 2" xfId="5322"/>
    <cellStyle name="_ОАО Уралэлектромедь 3" xfId="5323"/>
    <cellStyle name="_ОАО Уралэлектромедь 4" xfId="5324"/>
    <cellStyle name="_ОАО Уралэлектромедь 5" xfId="5325"/>
    <cellStyle name="_ОАО Уралэлектромедь_ИСХ_ПАРАМ_Галоген" xfId="5326"/>
    <cellStyle name="_ОАО Уралэлектромедь_Книга2" xfId="5327"/>
    <cellStyle name="_ОАО Уралэлектромедь_модельИрина" xfId="5328"/>
    <cellStyle name="_ОАО Уралэлектромедь_модельИрина_Книга2" xfId="5329"/>
    <cellStyle name="_ОАО Уралэлектромедь_Оборудование" xfId="5330"/>
    <cellStyle name="_ОАО Уралэлектромедь_Расчет" xfId="5331"/>
    <cellStyle name="_ОАО Уралэлектромедь_Расчет_Gabler" xfId="5332"/>
    <cellStyle name="_ОАО Уралэлектромедь_Расчет_Gabler1" xfId="5333"/>
    <cellStyle name="_ОАО Уралэлектромедь_Сооружения" xfId="5334"/>
    <cellStyle name="_оборудование1" xfId="5335"/>
    <cellStyle name="_Обслуживание гидроключей" xfId="5336"/>
    <cellStyle name="_Обслуживание гидроключей 2" xfId="5337"/>
    <cellStyle name="_Обслуживание гидроключей 3" xfId="5338"/>
    <cellStyle name="_Обслуживание гидроключей_АХС Бизнес план 2006 собств.техн." xfId="5339"/>
    <cellStyle name="_Обслуживание гидроключей_АХС Бизнес план 2006 собств.техн. 2" xfId="5340"/>
    <cellStyle name="_Обслуживание гидроключей_АХС Бизнес план 2006 собств.техн. 3" xfId="5341"/>
    <cellStyle name="_Обслуживание гидроключей_Бизнес-план 2006 Интегра КРС Нягань (Имущество)" xfId="5342"/>
    <cellStyle name="_Обслуживание гидроключей_Бизнес-план 2006 Интегра КРС Нягань (Имущество) 2" xfId="5343"/>
    <cellStyle name="_Обслуживание гидроключей_Бизнес-план 2006 Интегра КРС Нягань (Имущество) 3" xfId="5344"/>
    <cellStyle name="_Обслуживание гидроключей_Ванюгин общ.вопросы" xfId="5345"/>
    <cellStyle name="_Обслуживание гидроключей_Ванюгин общ.вопросы 2" xfId="5346"/>
    <cellStyle name="_Обслуживание гидроключей_Ванюгин общ.вопросы 3" xfId="5347"/>
    <cellStyle name="_Обслуживание гидроключей_ОТ и ПБ Бизнес план. 2006 г собств.техн." xfId="5348"/>
    <cellStyle name="_Обслуживание гидроключей_ОТ и ПБ Бизнес план. 2006 г собств.техн. 2" xfId="5349"/>
    <cellStyle name="_Обслуживание гидроключей_ОТ и ПБ Бизнес план. 2006 г собств.техн. 3" xfId="5350"/>
    <cellStyle name="_Обслуживание гидроключей_ПП прогноз" xfId="5351"/>
    <cellStyle name="_Обслуживание гидроключей_ПП прогноз 2" xfId="5352"/>
    <cellStyle name="_Обслуживание гидроключей_ПП прогноз 3" xfId="5353"/>
    <cellStyle name="_Обслуживание гидроключей_расшифровка ГСМ к БП 2006" xfId="5354"/>
    <cellStyle name="_Обслуживание гидроключей_расшифровка ГСМ к БП 2006 2" xfId="5355"/>
    <cellStyle name="_Обслуживание гидроключей_расшифровка ГСМ к БП 2006 3" xfId="5356"/>
    <cellStyle name="_Общий" xfId="5357"/>
    <cellStyle name="_Общий 2" xfId="5358"/>
    <cellStyle name="_Общий ОС1 (version 3)" xfId="5359"/>
    <cellStyle name="_Общий_ИСХ_ПАРАМ_КЧХК" xfId="5360"/>
    <cellStyle name="_Общий_ИСХ_ПАРАМ_КЧХК 2" xfId="5361"/>
    <cellStyle name="_Общий_модели" xfId="5362"/>
    <cellStyle name="_Общий_модели 2" xfId="5363"/>
    <cellStyle name="_Общий_модельИрина" xfId="5364"/>
    <cellStyle name="_Общий_модельИрина 2" xfId="5365"/>
    <cellStyle name="_Общий_модельИрина_Книга2" xfId="5366"/>
    <cellStyle name="_Общий_модельИрина_Книга2 2" xfId="5367"/>
    <cellStyle name="_Общий_Оборудование" xfId="5368"/>
    <cellStyle name="_Общий_Оборудование 2" xfId="5369"/>
    <cellStyle name="_Общий_Расчет грузопод. обор." xfId="5370"/>
    <cellStyle name="_Общий_Расчет грузопод. обор. 2" xfId="5371"/>
    <cellStyle name="_Общий_Расчет котлы паровые, водогр,теплообменники" xfId="5372"/>
    <cellStyle name="_Общий_Расчет котлы паровые, водогр,теплообменники 2" xfId="5373"/>
    <cellStyle name="_Общий_Расчет сварочное оборуд" xfId="5374"/>
    <cellStyle name="_Общий_Расчет сварочное оборуд 2" xfId="5375"/>
    <cellStyle name="_Общий_Расчет станки (version 1)" xfId="5376"/>
    <cellStyle name="_Общий_Расчет станки (version 1) 2" xfId="5377"/>
    <cellStyle name="_ОГЭ б_п -2006 13-11-05" xfId="5378"/>
    <cellStyle name="_ОГЭ б_п -2006 13-11-05 2" xfId="5379"/>
    <cellStyle name="_ОГЭ б_п -2006 13-11-05 3" xfId="5380"/>
    <cellStyle name="_ОГЭ б_п -2006 13-11-05_АХС Бизнес план 2006 собств.техн." xfId="5381"/>
    <cellStyle name="_ОГЭ б_п -2006 13-11-05_АХС Бизнес план 2006 собств.техн. 2" xfId="5382"/>
    <cellStyle name="_ОГЭ б_п -2006 13-11-05_АХС Бизнес план 2006 собств.техн. 3" xfId="5383"/>
    <cellStyle name="_ОГЭ б_п -2006 13-11-05_Бизнес-план 2006 Интегра КРС Нягань (Имущество)" xfId="5384"/>
    <cellStyle name="_ОГЭ б_п -2006 13-11-05_Бизнес-план 2006 Интегра КРС Нягань (Имущество) 2" xfId="5385"/>
    <cellStyle name="_ОГЭ б_п -2006 13-11-05_Бизнес-план 2006 Интегра КРС Нягань (Имущество) 3" xfId="5386"/>
    <cellStyle name="_ОГЭ б_п -2006 13-11-05_Ванюгин общ.вопросы" xfId="5387"/>
    <cellStyle name="_ОГЭ б_п -2006 13-11-05_Ванюгин общ.вопросы 2" xfId="5388"/>
    <cellStyle name="_ОГЭ б_п -2006 13-11-05_Ванюгин общ.вопросы 3" xfId="5389"/>
    <cellStyle name="_ОГЭ б_п -2006 13-11-05_ОТ и ПБ Бизнес план. 2006 г собств.техн." xfId="5390"/>
    <cellStyle name="_ОГЭ б_п -2006 13-11-05_ОТ и ПБ Бизнес план. 2006 г собств.техн. 2" xfId="5391"/>
    <cellStyle name="_ОГЭ б_п -2006 13-11-05_ОТ и ПБ Бизнес план. 2006 г собств.техн. 3" xfId="5392"/>
    <cellStyle name="_ОГЭ б_п -2006 13-11-05_ПП прогноз" xfId="5393"/>
    <cellStyle name="_ОГЭ б_п -2006 13-11-05_ПП прогноз 2" xfId="5394"/>
    <cellStyle name="_ОГЭ б_п -2006 13-11-05_ПП прогноз 3" xfId="5395"/>
    <cellStyle name="_ОГЭ б_п -2006 13-11-05_расшифровка ГСМ к БП 2006" xfId="5396"/>
    <cellStyle name="_ОГЭ б_п -2006 13-11-05_расшифровка ГСМ к БП 2006 2" xfId="5397"/>
    <cellStyle name="_ОГЭ б_п -2006 13-11-05_расшифровка ГСМ к БП 2006 3" xfId="5398"/>
    <cellStyle name="_ОС" xfId="5399"/>
    <cellStyle name="_ОС 2" xfId="5400"/>
    <cellStyle name="_ОС МСЗ_ВАРИАНТ 1" xfId="5401"/>
    <cellStyle name="_ОС МСЗ_ВАРИАНТ 1 2" xfId="5402"/>
    <cellStyle name="_ОС МСЗ_ВАРИАНТ 1 3" xfId="5403"/>
    <cellStyle name="_ОСК" xfId="5404"/>
    <cellStyle name="_ОСК 2" xfId="5405"/>
    <cellStyle name="_ОСК 3" xfId="5406"/>
    <cellStyle name="_ОСК_итог" xfId="5407"/>
    <cellStyle name="_ОСК_итог 2" xfId="5408"/>
    <cellStyle name="_ОСК_итог 3" xfId="5409"/>
    <cellStyle name="_Ответ_данные" xfId="5410"/>
    <cellStyle name="_Ответ_данные 2" xfId="5411"/>
    <cellStyle name="_Ответ_данные 3" xfId="5412"/>
    <cellStyle name="_Отрасль 2003" xfId="5413"/>
    <cellStyle name="_Отрасль 2003 2" xfId="5414"/>
    <cellStyle name="_Отрасль 2003 3" xfId="5415"/>
    <cellStyle name="_Отрасль 2003 4" xfId="5416"/>
    <cellStyle name="_Отрасль 2003 5" xfId="5417"/>
    <cellStyle name="_Отрасль 2003_ИСХ_ПАРАМ_Галоген" xfId="5418"/>
    <cellStyle name="_Отрасль 2003_Книга2" xfId="5419"/>
    <cellStyle name="_Отрасль 2003_модельИрина" xfId="5420"/>
    <cellStyle name="_Отрасль 2003_модельИрина_Книга2" xfId="5421"/>
    <cellStyle name="_Отрасль 2003_Оборудование" xfId="5422"/>
    <cellStyle name="_Отрасль 2003_Расчет" xfId="5423"/>
    <cellStyle name="_Отрасль 2003_Расчет_Gabler" xfId="5424"/>
    <cellStyle name="_Отрасль 2003_Расчет_Gabler1" xfId="5425"/>
    <cellStyle name="_Отрасль 2003_Сооружения" xfId="5426"/>
    <cellStyle name="_отс модель июля" xfId="5427"/>
    <cellStyle name="_отс модель июля 2" xfId="5428"/>
    <cellStyle name="_отс модель июля 3" xfId="5429"/>
    <cellStyle name="_Отчет по прогнозу до 2010 года_23.05.06." xfId="5430"/>
    <cellStyle name="_Отчет по прогнозу до 2010 года_23.05.06. 2" xfId="5431"/>
    <cellStyle name="_Отчет по прогнозу до 2010 года_23.05.06. 3" xfId="5432"/>
    <cellStyle name="_офис Аблукова" xfId="5433"/>
    <cellStyle name="_офис Аблукова_Остановочные Павильоны 2009" xfId="5434"/>
    <cellStyle name="_офис Аблукова_План доходов 2009 год Щиты 25.11.08" xfId="5435"/>
    <cellStyle name="_Офис Москва" xfId="5436"/>
    <cellStyle name="_Офис Москва_Остановочные Павильоны 2009" xfId="5437"/>
    <cellStyle name="_Офис Москва_План доходов 2009 год Щиты 25.11.08" xfId="5438"/>
    <cellStyle name="_Офис_расчет_Кутузова" xfId="5439"/>
    <cellStyle name="_оценка за баррель v1" xfId="5440"/>
    <cellStyle name="_ПГФ дебиторская задолженность" xfId="5441"/>
    <cellStyle name="_ПГФ дебиторская задолженность 2" xfId="5442"/>
    <cellStyle name="_ПГФ дебиторская задолженность 3" xfId="5443"/>
    <cellStyle name="_Переоценка_УАЗ" xfId="5444"/>
    <cellStyle name="_Переоценка_УАЗ 2" xfId="5445"/>
    <cellStyle name="_Переоценка_УАЗ 3" xfId="5446"/>
    <cellStyle name="_Пермь 2005_cкорр 10-02-05" xfId="5447"/>
    <cellStyle name="_По делойту" xfId="5448"/>
    <cellStyle name="_По делойту 2" xfId="5449"/>
    <cellStyle name="_По делойту 3" xfId="5450"/>
    <cellStyle name="_По делойту 4" xfId="5451"/>
    <cellStyle name="_По делойту 5" xfId="5452"/>
    <cellStyle name="_По делойту_ИСХ_ПАРАМ_Галоген" xfId="5453"/>
    <cellStyle name="_По делойту_Книга2" xfId="5454"/>
    <cellStyle name="_По делойту_модельИрина" xfId="5455"/>
    <cellStyle name="_По делойту_модельИрина_Книга2" xfId="5456"/>
    <cellStyle name="_По делойту_Оборудование" xfId="5457"/>
    <cellStyle name="_По делойту_Расчет" xfId="5458"/>
    <cellStyle name="_По делойту_Расчет_Gabler" xfId="5459"/>
    <cellStyle name="_По делойту_Расчет_Gabler1" xfId="5460"/>
    <cellStyle name="_По делойту_Сооружения" xfId="5461"/>
    <cellStyle name="_Правила заполнения" xfId="5462"/>
    <cellStyle name="_предварит расчет динамо" xfId="5463"/>
    <cellStyle name="_Приложение 1" xfId="5464"/>
    <cellStyle name="_прогноз дохода" xfId="5465"/>
    <cellStyle name="_прогноз дохода 2" xfId="5466"/>
    <cellStyle name="_Прогнозы МЭРТ до 2009 г." xfId="5467"/>
    <cellStyle name="_Прогнозы МЭРТ до 2009 г. 2" xfId="5468"/>
    <cellStyle name="_Прогнозы МЭРТ до 2009 г. 3" xfId="5469"/>
    <cellStyle name="_ПРОИЗВОДСТВЕННАЯ ПРОГРАММА ИНТЕГР, СРИПНА" xfId="5470"/>
    <cellStyle name="_ПРОИЗВОДСТВЕННАЯ ПРОГРАММА ИНТЕГР, СРИПНА 2" xfId="5471"/>
    <cellStyle name="_ПРОИЗВОДСТВЕННАЯ ПРОГРАММА ИНТЕГР, СРИПНА 3" xfId="5472"/>
    <cellStyle name="_ПРОИЗВОДСТВЕННАЯ ПРОГРАММА ИНТЕГР, СРИПНА_АХС Бизнес план 2006 собств.техн." xfId="5473"/>
    <cellStyle name="_ПРОИЗВОДСТВЕННАЯ ПРОГРАММА ИНТЕГР, СРИПНА_АХС Бизнес план 2006 собств.техн. 2" xfId="5474"/>
    <cellStyle name="_ПРОИЗВОДСТВЕННАЯ ПРОГРАММА ИНТЕГР, СРИПНА_АХС Бизнес план 2006 собств.техн. 3" xfId="5475"/>
    <cellStyle name="_ПРОИЗВОДСТВЕННАЯ ПРОГРАММА ИНТЕГР, СРИПНА_Бизнес-план 2006 Интегра КРС Нягань (Имущество)" xfId="5476"/>
    <cellStyle name="_ПРОИЗВОДСТВЕННАЯ ПРОГРАММА ИНТЕГР, СРИПНА_Бизнес-план 2006 Интегра КРС Нягань (Имущество) 2" xfId="5477"/>
    <cellStyle name="_ПРОИЗВОДСТВЕННАЯ ПРОГРАММА ИНТЕГР, СРИПНА_Бизнес-план 2006 Интегра КРС Нягань (Имущество) 3" xfId="5478"/>
    <cellStyle name="_ПРОИЗВОДСТВЕННАЯ ПРОГРАММА ИНТЕГР, СРИПНА_Ванюгин общ.вопросы" xfId="5479"/>
    <cellStyle name="_ПРОИЗВОДСТВЕННАЯ ПРОГРАММА ИНТЕГР, СРИПНА_Ванюгин общ.вопросы 2" xfId="5480"/>
    <cellStyle name="_ПРОИЗВОДСТВЕННАЯ ПРОГРАММА ИНТЕГР, СРИПНА_Ванюгин общ.вопросы 3" xfId="5481"/>
    <cellStyle name="_ПРОИЗВОДСТВЕННАЯ ПРОГРАММА ИНТЕГР, СРИПНА_ОТ и ПБ Бизнес план. 2006 г собств.техн." xfId="5482"/>
    <cellStyle name="_ПРОИЗВОДСТВЕННАЯ ПРОГРАММА ИНТЕГР, СРИПНА_ОТ и ПБ Бизнес план. 2006 г собств.техн. 2" xfId="5483"/>
    <cellStyle name="_ПРОИЗВОДСТВЕННАЯ ПРОГРАММА ИНТЕГР, СРИПНА_ОТ и ПБ Бизнес план. 2006 г собств.техн. 3" xfId="5484"/>
    <cellStyle name="_ПРОИЗВОДСТВЕННАЯ ПРОГРАММА ИНТЕГР, СРИПНА_ПП прогноз" xfId="5485"/>
    <cellStyle name="_ПРОИЗВОДСТВЕННАЯ ПРОГРАММА ИНТЕГР, СРИПНА_ПП прогноз 2" xfId="5486"/>
    <cellStyle name="_ПРОИЗВОДСТВЕННАЯ ПРОГРАММА ИНТЕГР, СРИПНА_ПП прогноз 3" xfId="5487"/>
    <cellStyle name="_ПРОИЗВОДСТВЕННАЯ ПРОГРАММА ИНТЕГР, СРИПНА_расшифровка ГСМ к БП 2006" xfId="5488"/>
    <cellStyle name="_ПРОИЗВОДСТВЕННАЯ ПРОГРАММА ИНТЕГР, СРИПНА_расшифровка ГСМ к БП 2006 2" xfId="5489"/>
    <cellStyle name="_ПРОИЗВОДСТВЕННАЯ ПРОГРАММА ИНТЕГР, СРИПНА_расшифровка ГСМ к БП 2006 3" xfId="5490"/>
    <cellStyle name="_Раменская_DCF" xfId="5491"/>
    <cellStyle name="_Расходы будущих периодов" xfId="5492"/>
    <cellStyle name="_Расходы будущих периодов 2" xfId="5493"/>
    <cellStyle name="_Расходы будущих периодов 3" xfId="5494"/>
    <cellStyle name="_Расчет" xfId="5495"/>
    <cellStyle name="_Расчет ЗМУ" xfId="5496"/>
    <cellStyle name="_Расчет ЗМУ 2" xfId="5497"/>
    <cellStyle name="_Расчет ЗМУ 3" xfId="5498"/>
    <cellStyle name="_Расчет Интегра - Сибнефть  (пример)" xfId="5499"/>
    <cellStyle name="_Расчет Интегра - Сибнефть  (пример) 2" xfId="5500"/>
    <cellStyle name="_Расчет Интегра - Сибнефть  (пример) 3" xfId="5501"/>
    <cellStyle name="_Расчет Интегра - Сибнефть  (пример)_АХС Бизнес план 2006 собств.техн." xfId="5502"/>
    <cellStyle name="_Расчет Интегра - Сибнефть  (пример)_АХС Бизнес план 2006 собств.техн. 2" xfId="5503"/>
    <cellStyle name="_Расчет Интегра - Сибнефть  (пример)_АХС Бизнес план 2006 собств.техн. 3" xfId="5504"/>
    <cellStyle name="_Расчет Интегра - Сибнефть  (пример)_Бизнес-план 2006 Интегра КРС Нягань (Имущество)" xfId="5505"/>
    <cellStyle name="_Расчет Интегра - Сибнефть  (пример)_Бизнес-план 2006 Интегра КРС Нягань (Имущество) 2" xfId="5506"/>
    <cellStyle name="_Расчет Интегра - Сибнефть  (пример)_Бизнес-план 2006 Интегра КРС Нягань (Имущество) 3" xfId="5507"/>
    <cellStyle name="_Расчет Интегра - Сибнефть  (пример)_Ванюгин общ.вопросы" xfId="5508"/>
    <cellStyle name="_Расчет Интегра - Сибнефть  (пример)_Ванюгин общ.вопросы 2" xfId="5509"/>
    <cellStyle name="_Расчет Интегра - Сибнефть  (пример)_Ванюгин общ.вопросы 3" xfId="5510"/>
    <cellStyle name="_Расчет Интегра - Сибнефть  (пример)_ОТ и ПБ Бизнес план. 2006 г собств.техн." xfId="5511"/>
    <cellStyle name="_Расчет Интегра - Сибнефть  (пример)_ОТ и ПБ Бизнес план. 2006 г собств.техн. 2" xfId="5512"/>
    <cellStyle name="_Расчет Интегра - Сибнефть  (пример)_ОТ и ПБ Бизнес план. 2006 г собств.техн. 3" xfId="5513"/>
    <cellStyle name="_Расчет Интегра - Сибнефть  (пример)_ПП прогноз" xfId="5514"/>
    <cellStyle name="_Расчет Интегра - Сибнефть  (пример)_ПП прогноз 2" xfId="5515"/>
    <cellStyle name="_Расчет Интегра - Сибнефть  (пример)_ПП прогноз 3" xfId="5516"/>
    <cellStyle name="_Расчет Интегра - Сибнефть  (пример)_расшифровка ГСМ к БП 2006" xfId="5517"/>
    <cellStyle name="_Расчет Интегра - Сибнефть  (пример)_расшифровка ГСМ к БП 2006 2" xfId="5518"/>
    <cellStyle name="_Расчет Интегра - Сибнефть  (пример)_расшифровка ГСМ к БП 2006 3" xfId="5519"/>
    <cellStyle name="_Расчет ТС" xfId="5520"/>
    <cellStyle name="_Расчет ТС 2" xfId="5521"/>
    <cellStyle name="_Расчет ТС 3" xfId="5522"/>
    <cellStyle name="_Расчет_ Бакунинская Обновлен." xfId="5523"/>
    <cellStyle name="_Расчет_ Бакунинская Обновлен. 2" xfId="5524"/>
    <cellStyle name="_Расчет_ Бакунинская Обновлен. 3" xfId="5525"/>
    <cellStyle name="_Расчет_Model Corrected 14.07.2006_Final" xfId="5526"/>
    <cellStyle name="_Расчет_Model Corrected 14.07.2006_Final 2" xfId="5527"/>
    <cellStyle name="_Расчет_Model Corrected 14.07.2006_Final 3" xfId="5528"/>
    <cellStyle name="_Расчет_NPV_Magnit" xfId="5529"/>
    <cellStyle name="_Расчет_доходный_бизнес" xfId="5530"/>
    <cellStyle name="_Расчет_ликв" xfId="5531"/>
    <cellStyle name="_Расчет_ликв_вагоны" xfId="5532"/>
    <cellStyle name="_Расчет_оконч" xfId="5533"/>
    <cellStyle name="_Расчет_Расчет_Ходынка (исправл)" xfId="5534"/>
    <cellStyle name="_расчет_расчеты здания" xfId="5535"/>
    <cellStyle name="_Расчет_Шаболовка" xfId="5536"/>
    <cellStyle name="_Расчет_Элекскон" xfId="5537"/>
    <cellStyle name="_Расчет_Элекскон 2" xfId="5538"/>
    <cellStyle name="_Расчет_Элекскон 3" xfId="5539"/>
    <cellStyle name="_Расчетный файл_ver3" xfId="5540"/>
    <cellStyle name="_Расчетный файл_ver3 2" xfId="5541"/>
    <cellStyle name="_Расчетный файл_ver3 3" xfId="5542"/>
    <cellStyle name="_расчеты" xfId="5543"/>
    <cellStyle name="_Расчеты 2" xfId="5544"/>
    <cellStyle name="_Расчеты 2 2" xfId="5545"/>
    <cellStyle name="_Расчеты 2 3" xfId="5546"/>
    <cellStyle name="_расчеты 3" xfId="5547"/>
    <cellStyle name="_расчеты 4" xfId="5548"/>
    <cellStyle name="_расчеты 5" xfId="5549"/>
    <cellStyle name="_расчеты 6" xfId="5550"/>
    <cellStyle name="_расчеты 7" xfId="5551"/>
    <cellStyle name="_расчеты здания" xfId="5552"/>
    <cellStyle name="_расчеты здания 2" xfId="5553"/>
    <cellStyle name="_расчеты здания 3" xfId="5554"/>
    <cellStyle name="_Расчеты ОС 010407" xfId="5555"/>
    <cellStyle name="_расчеты Саратов" xfId="5556"/>
    <cellStyle name="_расчеты Саратов 2" xfId="5557"/>
    <cellStyle name="_расчеты Саратов 3" xfId="5558"/>
    <cellStyle name="_Расчеты_1" xfId="5559"/>
    <cellStyle name="_Расчеты_1 2" xfId="5560"/>
    <cellStyle name="_расчеты_доходник" xfId="5561"/>
    <cellStyle name="_расчеты_доходник 2" xfId="5562"/>
    <cellStyle name="_расчеты_доходник 3" xfId="5563"/>
    <cellStyle name="_Расчеты_Затратный подход" xfId="5564"/>
    <cellStyle name="_Расчеты_Затратный подход 2" xfId="5565"/>
    <cellStyle name="_расчеты_Курскрезинотехника_недвижимость20071025" xfId="5566"/>
    <cellStyle name="_расчеты_Курскрезинотехника_недвижимость20071025 2" xfId="5567"/>
    <cellStyle name="_расчеты_Курскрезинотехника_недвижимость20071025 3" xfId="5568"/>
    <cellStyle name="_Расчеты_Расчет" xfId="5569"/>
    <cellStyle name="_Расчеты_Расчет 2" xfId="5570"/>
    <cellStyle name="_Расчеты_Расчеты" xfId="5571"/>
    <cellStyle name="_Расчеты_Расчеты 2" xfId="5572"/>
    <cellStyle name="_расчеты_РЕЕСТР_Уваров - Терминал" xfId="5573"/>
    <cellStyle name="_расчеты_РЕЕСТР_Уваров - Терминал 2" xfId="5574"/>
    <cellStyle name="_расчеты_РЕЕСТР_Уваров - Терминал 3" xfId="5575"/>
    <cellStyle name="_Расчеты_Свод" xfId="5576"/>
    <cellStyle name="_Расчеты-СМиБ-ЮЛ-070323" xfId="5577"/>
    <cellStyle name="_Расчеты-СМиБ-ЮЛ-070323 2" xfId="5578"/>
    <cellStyle name="_Расчеты-СМиБ-ЮЛ-070323 3" xfId="5579"/>
    <cellStyle name="_Расшифровка оснащения 51 бригады с арендой - 2005 г" xfId="5580"/>
    <cellStyle name="_Расшифровка оснащения 51 бригады с арендой - 2005 г 2" xfId="5581"/>
    <cellStyle name="_Расшифровка оснащения 51 бригады с арендой - 2005 г 3" xfId="5582"/>
    <cellStyle name="_Расшифровка оснащения 51 бригады с арендой - 2005 г_АХС Бизнес план 2006 собств.техн." xfId="5583"/>
    <cellStyle name="_Расшифровка оснащения 51 бригады с арендой - 2005 г_АХС Бизнес план 2006 собств.техн. 2" xfId="5584"/>
    <cellStyle name="_Расшифровка оснащения 51 бригады с арендой - 2005 г_АХС Бизнес план 2006 собств.техн. 3" xfId="5585"/>
    <cellStyle name="_Расшифровка оснащения 51 бригады с арендой - 2005 г_Бизнес-план 2006 Интегра КРС Нягань (Имущество)" xfId="5586"/>
    <cellStyle name="_Расшифровка оснащения 51 бригады с арендой - 2005 г_Бизнес-план 2006 Интегра КРС Нягань (Имущество) 2" xfId="5587"/>
    <cellStyle name="_Расшифровка оснащения 51 бригады с арендой - 2005 г_Бизнес-план 2006 Интегра КРС Нягань (Имущество) 3" xfId="5588"/>
    <cellStyle name="_Расшифровка оснащения 51 бригады с арендой - 2005 г_Ванюгин общ.вопросы" xfId="5589"/>
    <cellStyle name="_Расшифровка оснащения 51 бригады с арендой - 2005 г_Ванюгин общ.вопросы 2" xfId="5590"/>
    <cellStyle name="_Расшифровка оснащения 51 бригады с арендой - 2005 г_Ванюгин общ.вопросы 3" xfId="5591"/>
    <cellStyle name="_Расшифровка оснащения 51 бригады с арендой - 2005 г_ОТ и ПБ Бизнес план. 2006 г собств.техн." xfId="5592"/>
    <cellStyle name="_Расшифровка оснащения 51 бригады с арендой - 2005 г_ОТ и ПБ Бизнес план. 2006 г собств.техн. 2" xfId="5593"/>
    <cellStyle name="_Расшифровка оснащения 51 бригады с арендой - 2005 г_ОТ и ПБ Бизнес план. 2006 г собств.техн. 3" xfId="5594"/>
    <cellStyle name="_Расшифровка оснащения 51 бригады с арендой - 2005 г_ПП прогноз" xfId="5595"/>
    <cellStyle name="_Расшифровка оснащения 51 бригады с арендой - 2005 г_ПП прогноз 2" xfId="5596"/>
    <cellStyle name="_Расшифровка оснащения 51 бригады с арендой - 2005 г_ПП прогноз 3" xfId="5597"/>
    <cellStyle name="_Расшифровка оснащения 51 бригады с арендой - 2005 г_расшифровка ГСМ к БП 2006" xfId="5598"/>
    <cellStyle name="_Расшифровка оснащения 51 бригады с арендой - 2005 г_расшифровка ГСМ к БП 2006 2" xfId="5599"/>
    <cellStyle name="_Расшифровка оснащения 51 бригады с арендой - 2005 г_расшифровка ГСМ к БП 2006 3" xfId="5600"/>
    <cellStyle name="_Расшифровки_1кв_2002" xfId="5601"/>
    <cellStyle name="_Расшифровки_1кв_2002 2" xfId="5602"/>
    <cellStyle name="_Расшифровки_1кв_2002 3" xfId="5603"/>
    <cellStyle name="_РБП" xfId="5604"/>
    <cellStyle name="_РБП_Остановочные Павильоны 2009" xfId="5605"/>
    <cellStyle name="_РБП_План доходов 2009 год Щиты 25.11.08" xfId="5606"/>
    <cellStyle name="_Регистрация на 2006 год" xfId="5607"/>
    <cellStyle name="_Регистрация на 2006 год 2" xfId="5608"/>
    <cellStyle name="_Регистрация на 2006 год 3" xfId="5609"/>
    <cellStyle name="_Регистрация на 2006 год_АХС Бизнес план 2006 собств.техн." xfId="5610"/>
    <cellStyle name="_Регистрация на 2006 год_АХС Бизнес план 2006 собств.техн. 2" xfId="5611"/>
    <cellStyle name="_Регистрация на 2006 год_АХС Бизнес план 2006 собств.техн. 3" xfId="5612"/>
    <cellStyle name="_Регистрация на 2006 год_Бизнес-план 2006 Интегра КРС Нягань (Имущество)" xfId="5613"/>
    <cellStyle name="_Регистрация на 2006 год_Бизнес-план 2006 Интегра КРС Нягань (Имущество) 2" xfId="5614"/>
    <cellStyle name="_Регистрация на 2006 год_Бизнес-план 2006 Интегра КРС Нягань (Имущество) 3" xfId="5615"/>
    <cellStyle name="_Регистрация на 2006 год_Ванюгин общ.вопросы" xfId="5616"/>
    <cellStyle name="_Регистрация на 2006 год_Ванюгин общ.вопросы 2" xfId="5617"/>
    <cellStyle name="_Регистрация на 2006 год_Ванюгин общ.вопросы 3" xfId="5618"/>
    <cellStyle name="_Регистрация на 2006 год_ОТ и ПБ Бизнес план. 2006 г собств.техн." xfId="5619"/>
    <cellStyle name="_Регистрация на 2006 год_ОТ и ПБ Бизнес план. 2006 г собств.техн. 2" xfId="5620"/>
    <cellStyle name="_Регистрация на 2006 год_ОТ и ПБ Бизнес план. 2006 г собств.техн. 3" xfId="5621"/>
    <cellStyle name="_Регистрация на 2006 год_ПП прогноз" xfId="5622"/>
    <cellStyle name="_Регистрация на 2006 год_ПП прогноз 2" xfId="5623"/>
    <cellStyle name="_Регистрация на 2006 год_ПП прогноз 3" xfId="5624"/>
    <cellStyle name="_Регистрация на 2006 год_расшифровка ГСМ к БП 2006" xfId="5625"/>
    <cellStyle name="_Регистрация на 2006 год_расшифровка ГСМ к БП 2006 2" xfId="5626"/>
    <cellStyle name="_Регистрация на 2006 год_расшифровка ГСМ к БП 2006 3" xfId="5627"/>
    <cellStyle name="_Сб-macro 2020" xfId="5628"/>
    <cellStyle name="_Сб-macro 2020 2" xfId="5629"/>
    <cellStyle name="_Сб-macro 2020_v2008-2012-23.09.09вар2а-11" xfId="5630"/>
    <cellStyle name="_Сведения о расходах на 2004г" xfId="5631"/>
    <cellStyle name="_Сведения о расходах на 2004г 2" xfId="5632"/>
    <cellStyle name="_Сведения о расходах на 2004г 3" xfId="5633"/>
    <cellStyle name="_свод" xfId="5634"/>
    <cellStyle name="_Свод_здания_пример" xfId="5635"/>
    <cellStyle name="_Свод_здания_пример 2" xfId="5636"/>
    <cellStyle name="_Свод_здания_пример 3" xfId="5637"/>
    <cellStyle name="_СГМ материалы 2006 г." xfId="5638"/>
    <cellStyle name="_СГМ материалы 2006 г. 2" xfId="5639"/>
    <cellStyle name="_СГМ материалы 2006 г. 3" xfId="5640"/>
    <cellStyle name="_СГМ материалы 2006 г._АХС Бизнес план 2006 собств.техн." xfId="5641"/>
    <cellStyle name="_СГМ материалы 2006 г._АХС Бизнес план 2006 собств.техн. 2" xfId="5642"/>
    <cellStyle name="_СГМ материалы 2006 г._АХС Бизнес план 2006 собств.техн. 3" xfId="5643"/>
    <cellStyle name="_СГМ материалы 2006 г._Бизнес-план 2006 Интегра КРС Нягань (Имущество)" xfId="5644"/>
    <cellStyle name="_СГМ материалы 2006 г._Бизнес-план 2006 Интегра КРС Нягань (Имущество) 2" xfId="5645"/>
    <cellStyle name="_СГМ материалы 2006 г._Бизнес-план 2006 Интегра КРС Нягань (Имущество) 3" xfId="5646"/>
    <cellStyle name="_СГМ материалы 2006 г._Ванюгин общ.вопросы" xfId="5647"/>
    <cellStyle name="_СГМ материалы 2006 г._Ванюгин общ.вопросы 2" xfId="5648"/>
    <cellStyle name="_СГМ материалы 2006 г._Ванюгин общ.вопросы 3" xfId="5649"/>
    <cellStyle name="_СГМ материалы 2006 г._ОТ и ПБ Бизнес план. 2006 г собств.техн." xfId="5650"/>
    <cellStyle name="_СГМ материалы 2006 г._ОТ и ПБ Бизнес план. 2006 г собств.техн. 2" xfId="5651"/>
    <cellStyle name="_СГМ материалы 2006 г._ОТ и ПБ Бизнес план. 2006 г собств.техн. 3" xfId="5652"/>
    <cellStyle name="_СГМ материалы 2006 г._ПП прогноз" xfId="5653"/>
    <cellStyle name="_СГМ материалы 2006 г._ПП прогноз 2" xfId="5654"/>
    <cellStyle name="_СГМ материалы 2006 г._ПП прогноз 3" xfId="5655"/>
    <cellStyle name="_СГМ материалы 2006 г._расшифровка ГСМ к БП 2006" xfId="5656"/>
    <cellStyle name="_СГМ материалы 2006 г._расшифровка ГСМ к БП 2006 2" xfId="5657"/>
    <cellStyle name="_СГМ материалы 2006 г._расшифровка ГСМ к БП 2006 3" xfId="5658"/>
    <cellStyle name="_Сигнал-20.01.2005-3способ" xfId="5659"/>
    <cellStyle name="_Сигнал-22.01.2005-финал" xfId="5660"/>
    <cellStyle name="_СМР" xfId="5661"/>
    <cellStyle name="_СМР 2" xfId="5662"/>
    <cellStyle name="_СП-_строит" xfId="5663"/>
    <cellStyle name="_СП-_строит 2" xfId="5664"/>
    <cellStyle name="_СП-_строит 3" xfId="5665"/>
    <cellStyle name="_справочники" xfId="5666"/>
    <cellStyle name="_справочники 2" xfId="5667"/>
    <cellStyle name="_справочники 3" xfId="5668"/>
    <cellStyle name="_Сравнительный подход - медиа_Чебоксары" xfId="5669"/>
    <cellStyle name="_Сравнительный подход - медиа_Чебоксары 2" xfId="5670"/>
    <cellStyle name="_Сравнительный подход - медиа_Чебоксары 3" xfId="5671"/>
    <cellStyle name="_СРИПНО дебиторская задолженность на 1.11.05" xfId="5672"/>
    <cellStyle name="_СРИПНО дебиторская задолженность на 1.11.05 2" xfId="5673"/>
    <cellStyle name="_СРИПНО дебиторская задолженность на 1.11.05 3" xfId="5674"/>
    <cellStyle name="_Ставка дисконтированая CAPM с коэффициентом бета" xfId="5675"/>
    <cellStyle name="_Ставка дисконтированая CAPM с коэффициентом бета 2" xfId="5676"/>
    <cellStyle name="_Ставка дисконтированая CAPM с коэффициентом бета 3" xfId="5677"/>
    <cellStyle name="_Ставка дисконтированая CAPM с коэффициентом бета 4" xfId="5678"/>
    <cellStyle name="_Ставка дисконтированая CAPM с коэффициентом бета 5" xfId="5679"/>
    <cellStyle name="_Ставка дисконтированая CAPM с коэффициентом бета_ИСХ_ПАРАМ_Галоген" xfId="5680"/>
    <cellStyle name="_Ставка дисконтированая CAPM с коэффициентом бета_Книга2" xfId="5681"/>
    <cellStyle name="_Ставка дисконтированая CAPM с коэффициентом бета_модельИрина" xfId="5682"/>
    <cellStyle name="_Ставка дисконтированая CAPM с коэффициентом бета_модельИрина_Книга2" xfId="5683"/>
    <cellStyle name="_Ставка дисконтированая CAPM с коэффициентом бета_Оборудование" xfId="5684"/>
    <cellStyle name="_Ставка дисконтированая CAPM с коэффициентом бета_Расчет" xfId="5685"/>
    <cellStyle name="_Ставка дисконтированая CAPM с коэффициентом бета_Расчет_Gabler" xfId="5686"/>
    <cellStyle name="_Ставка дисконтированая CAPM с коэффициентом бета_Расчет_Gabler1" xfId="5687"/>
    <cellStyle name="_Ставка дисконтированая CAPM с коэффициентом бета_Сооружения" xfId="5688"/>
    <cellStyle name="_Ставка дисконтирования" xfId="5689"/>
    <cellStyle name="_Ставка дисконтирования 2" xfId="5690"/>
    <cellStyle name="_Ставка дисконтирования 3" xfId="5691"/>
    <cellStyle name="_Ставка дисконтирования 4" xfId="5692"/>
    <cellStyle name="_Ставка дисконтирования 5" xfId="5693"/>
    <cellStyle name="_Ставка дисконтирования_ИСХ_ПАРАМ_Галоген" xfId="5694"/>
    <cellStyle name="_Ставка дисконтирования_Книга2" xfId="5695"/>
    <cellStyle name="_Ставка дисконтирования_модельИрина" xfId="5696"/>
    <cellStyle name="_Ставка дисконтирования_модельИрина_Книга2" xfId="5697"/>
    <cellStyle name="_Ставка дисконтирования_Оборудование" xfId="5698"/>
    <cellStyle name="_Ставка дисконтирования_Расчет" xfId="5699"/>
    <cellStyle name="_Ставка дисконтирования_Расчет_Gabler" xfId="5700"/>
    <cellStyle name="_Ставка дисконтирования_Расчет_Gabler1" xfId="5701"/>
    <cellStyle name="_Ставка дисконтирования_Сооружения" xfId="5702"/>
    <cellStyle name="_Страхование на 2006 год" xfId="5703"/>
    <cellStyle name="_Страхование на 2006 год 2" xfId="5704"/>
    <cellStyle name="_Страхование на 2006 год 3" xfId="5705"/>
    <cellStyle name="_Страхование на 2006 год_АХС Бизнес план 2006 собств.техн." xfId="5706"/>
    <cellStyle name="_Страхование на 2006 год_АХС Бизнес план 2006 собств.техн. 2" xfId="5707"/>
    <cellStyle name="_Страхование на 2006 год_АХС Бизнес план 2006 собств.техн. 3" xfId="5708"/>
    <cellStyle name="_Страхование на 2006 год_Бизнес-план 2006 Интегра КРС Нягань (Имущество)" xfId="5709"/>
    <cellStyle name="_Страхование на 2006 год_Бизнес-план 2006 Интегра КРС Нягань (Имущество) 2" xfId="5710"/>
    <cellStyle name="_Страхование на 2006 год_Бизнес-план 2006 Интегра КРС Нягань (Имущество) 3" xfId="5711"/>
    <cellStyle name="_Страхование на 2006 год_Ванюгин общ.вопросы" xfId="5712"/>
    <cellStyle name="_Страхование на 2006 год_Ванюгин общ.вопросы 2" xfId="5713"/>
    <cellStyle name="_Страхование на 2006 год_Ванюгин общ.вопросы 3" xfId="5714"/>
    <cellStyle name="_Страхование на 2006 год_ОТ и ПБ Бизнес план. 2006 г собств.техн." xfId="5715"/>
    <cellStyle name="_Страхование на 2006 год_ОТ и ПБ Бизнес план. 2006 г собств.техн. 2" xfId="5716"/>
    <cellStyle name="_Страхование на 2006 год_ОТ и ПБ Бизнес план. 2006 г собств.техн. 3" xfId="5717"/>
    <cellStyle name="_Страхование на 2006 год_ПП прогноз" xfId="5718"/>
    <cellStyle name="_Страхование на 2006 год_ПП прогноз 2" xfId="5719"/>
    <cellStyle name="_Страхование на 2006 год_ПП прогноз 3" xfId="5720"/>
    <cellStyle name="_Страхование на 2006 год_расшифровка ГСМ к БП 2006" xfId="5721"/>
    <cellStyle name="_Страхование на 2006 год_расшифровка ГСМ к БП 2006 2" xfId="5722"/>
    <cellStyle name="_Страхование на 2006 год_расшифровка ГСМ к БП 2006 3" xfId="5723"/>
    <cellStyle name="_Строммашина 1" xfId="5724"/>
    <cellStyle name="_Строммашина 1 2" xfId="5725"/>
    <cellStyle name="_Строммашина 1 3" xfId="5726"/>
    <cellStyle name="_Сценарии" xfId="5727"/>
    <cellStyle name="_Сценарии 2" xfId="5728"/>
    <cellStyle name="_Сценарий бурения 2006г  Ткаченко 11.11.05" xfId="5729"/>
    <cellStyle name="_Сценарий бурения 2006г  Ткаченко 11.11.05 2" xfId="5730"/>
    <cellStyle name="_Сценарий бурения 2006г  Ткаченко 11.11.05 3" xfId="5731"/>
    <cellStyle name="_Сценарные условия 04-06 гг6" xfId="5732"/>
    <cellStyle name="_Сценарные условия 04-06 гг6 2" xfId="5733"/>
    <cellStyle name="_Сценарные условия 04-06 гг6 3" xfId="5734"/>
    <cellStyle name="_Сценарные условия 04-06 гг6 4" xfId="5735"/>
    <cellStyle name="_Сценарные условия 04-06 гг6 5" xfId="5736"/>
    <cellStyle name="_Сценарные условия 04-06 гг6_ИСХ_ПАРАМ_Галоген" xfId="5737"/>
    <cellStyle name="_Сценарные условия 04-06 гг6_Книга2" xfId="5738"/>
    <cellStyle name="_Сценарные условия 04-06 гг6_модельИрина" xfId="5739"/>
    <cellStyle name="_Сценарные условия 04-06 гг6_модельИрина_Книга2" xfId="5740"/>
    <cellStyle name="_Сценарные условия 04-06 гг6_Оборудование" xfId="5741"/>
    <cellStyle name="_Сценарные условия 04-06 гг6_Расчет" xfId="5742"/>
    <cellStyle name="_Сценарные условия 04-06 гг6_Расчет_Gabler" xfId="5743"/>
    <cellStyle name="_Сценарные условия 04-06 гг6_Расчет_Gabler1" xfId="5744"/>
    <cellStyle name="_Сценарные условия 04-06 гг6_Сооружения" xfId="5745"/>
    <cellStyle name="_Табл.№1,23-39" xfId="5746"/>
    <cellStyle name="_Таблица_рус" xfId="5747"/>
    <cellStyle name="_Тенисные корты" xfId="5748"/>
    <cellStyle name="_Тенисные корты 2" xfId="5749"/>
    <cellStyle name="_Тенисные корты 3" xfId="5750"/>
    <cellStyle name="_ТК Самолет" xfId="5751"/>
    <cellStyle name="_ТК САМОЛЕТ 01-12" xfId="5752"/>
    <cellStyle name="_ТК Самолет_Остановочные Павильоны 2009" xfId="5753"/>
    <cellStyle name="_ТК Самолет_План доходов 2009 год Щиты 25.11.08" xfId="5754"/>
    <cellStyle name="_Тула_кроме транспорта_и_прочих_итог" xfId="5755"/>
    <cellStyle name="_Тула_кроме транспорта_и_прочих_итог 2" xfId="5756"/>
    <cellStyle name="_Тула_кроме транспорта_и_прочих_итог 3" xfId="5757"/>
    <cellStyle name="_ФИН МОДЕЛЬ_01.07.06" xfId="5758"/>
    <cellStyle name="_Финанализ_Трансбункер-Южный" xfId="5759"/>
    <cellStyle name="_Финансовая служба" xfId="5760"/>
    <cellStyle name="_Финансовая служба_Остановочные Павильоны 2009" xfId="5761"/>
    <cellStyle name="_Финансовая служба_План доходов 2009 год Щиты 25.11.08" xfId="5762"/>
    <cellStyle name="_Финмодель Фокус Вуд_Итог_Re" xfId="5763"/>
    <cellStyle name="_Финмодель Фокус Вуд_Итог_Re 2" xfId="5764"/>
    <cellStyle name="_Финмодель Фокус Вуд_Итог_Re 3" xfId="5765"/>
    <cellStyle name="_Форма - Пост-перем для 2005 г_для_SFO" xfId="5766"/>
    <cellStyle name="_Форма - Пост-перем для 2005 г_для_SFO 2" xfId="5767"/>
    <cellStyle name="_Форма - Пост-перем для 2005 г_для_SFO 3" xfId="5768"/>
    <cellStyle name="_Форма - Пост-перем для 2005 г_для_SFO_АХС Бизнес план 2006 собств.техн." xfId="5769"/>
    <cellStyle name="_Форма - Пост-перем для 2005 г_для_SFO_АХС Бизнес план 2006 собств.техн. 2" xfId="5770"/>
    <cellStyle name="_Форма - Пост-перем для 2005 г_для_SFO_АХС Бизнес план 2006 собств.техн. 3" xfId="5771"/>
    <cellStyle name="_Форма - Пост-перем для 2005 г_для_SFO_Бизнес-план 2006 Интегра КРС Нягань (Имущество)" xfId="5772"/>
    <cellStyle name="_Форма - Пост-перем для 2005 г_для_SFO_Бизнес-план 2006 Интегра КРС Нягань (Имущество) 2" xfId="5773"/>
    <cellStyle name="_Форма - Пост-перем для 2005 г_для_SFO_Бизнес-план 2006 Интегра КРС Нягань (Имущество) 3" xfId="5774"/>
    <cellStyle name="_Форма - Пост-перем для 2005 г_для_SFO_Ванюгин общ.вопросы" xfId="5775"/>
    <cellStyle name="_Форма - Пост-перем для 2005 г_для_SFO_Ванюгин общ.вопросы 2" xfId="5776"/>
    <cellStyle name="_Форма - Пост-перем для 2005 г_для_SFO_Ванюгин общ.вопросы 3" xfId="5777"/>
    <cellStyle name="_Форма - Пост-перем для 2005 г_для_SFO_ОТ и ПБ Бизнес план. 2006 г собств.техн." xfId="5778"/>
    <cellStyle name="_Форма - Пост-перем для 2005 г_для_SFO_ОТ и ПБ Бизнес план. 2006 г собств.техн. 2" xfId="5779"/>
    <cellStyle name="_Форма - Пост-перем для 2005 г_для_SFO_ОТ и ПБ Бизнес план. 2006 г собств.техн. 3" xfId="5780"/>
    <cellStyle name="_Форма - Пост-перем для 2005 г_для_SFO_ПП прогноз" xfId="5781"/>
    <cellStyle name="_Форма - Пост-перем для 2005 г_для_SFO_ПП прогноз 2" xfId="5782"/>
    <cellStyle name="_Форма - Пост-перем для 2005 г_для_SFO_ПП прогноз 3" xfId="5783"/>
    <cellStyle name="_Форма - Пост-перем для 2005 г_для_SFO_расшифровка ГСМ к БП 2006" xfId="5784"/>
    <cellStyle name="_Форма - Пост-перем для 2005 г_для_SFO_расшифровка ГСМ к БП 2006 2" xfId="5785"/>
    <cellStyle name="_Форма - Пост-перем для 2005 г_для_SFO_расшифровка ГСМ к БП 2006 3" xfId="5786"/>
    <cellStyle name="_Формат бизнес-плана на 2006 год 42 бр" xfId="5787"/>
    <cellStyle name="_Формат бизнес-плана на 2006 год 42 бр 2" xfId="5788"/>
    <cellStyle name="_Формат бизнес-плана на 2006 год 42 бр 3" xfId="5789"/>
    <cellStyle name="_Формат бизнес-плана на 2006 год 42 бр2" xfId="5790"/>
    <cellStyle name="_Формат бизнес-плана на 2006 год 42 бр2 2" xfId="5791"/>
    <cellStyle name="_Формат бизнес-плана на 2006 год 42 бр2 3" xfId="5792"/>
    <cellStyle name="_Формат бизнес-плана на 2006 год 42 бр2с переменными" xfId="5793"/>
    <cellStyle name="_Формат бизнес-плана на 2006 год 42 бр2с переменными 2" xfId="5794"/>
    <cellStyle name="_Формат бизнес-плана на 2006 год 42 бр2с переменными 3" xfId="5795"/>
    <cellStyle name="_Целевая программа 2005 год экология НПРС3" xfId="5796"/>
    <cellStyle name="_Целевая программа 2005 год экология НПРС3 2" xfId="5797"/>
    <cellStyle name="_Целевая программа 2005 год экология НПРС3 3" xfId="5798"/>
    <cellStyle name="_ЦФ  реализация акций 2008-2010" xfId="5799"/>
    <cellStyle name="_ЦФ  реализация акций 2008-2010_акции по годам 2009-2012" xfId="5800"/>
    <cellStyle name="_ЦФ  реализация акций 2008-2010_Копия Прогноз ПТРдо 2030г  (3)" xfId="5801"/>
    <cellStyle name="_ЦФ  реализация акций 2008-2010_Прогноз ПТРдо 2030г." xfId="5802"/>
    <cellStyle name="_шапки" xfId="5803"/>
    <cellStyle name="_Щиты" xfId="5804"/>
    <cellStyle name="_Щиты_Остановочные Павильоны 2009" xfId="5805"/>
    <cellStyle name="_Щиты_План доходов 2009 год Щиты 25.11.08" xfId="5806"/>
    <cellStyle name="_Электроник" xfId="5807"/>
    <cellStyle name="_Электроник_Остановочные Павильоны 2009" xfId="5808"/>
    <cellStyle name="_Электроник_План доходов 2009 год Щиты 25.11.08" xfId="5809"/>
    <cellStyle name="”ˆŠ‘ˆŽ‚€›‰" xfId="5810"/>
    <cellStyle name="”ˆŠ‘ˆŽ‚€›‰ 2" xfId="5811"/>
    <cellStyle name="”ˆŠ‘ˆŽ‚€›‰ 3" xfId="5812"/>
    <cellStyle name="”ˆŠ‘ˆŽ‚€›‰ 4" xfId="5813"/>
    <cellStyle name="”ˆŠ‘ˆŽ‚€›‰ 5" xfId="5814"/>
    <cellStyle name="”ˆ€‘Ž‚›‰" xfId="5815"/>
    <cellStyle name="”ˆ€‘Ž‚›‰ 2" xfId="5816"/>
    <cellStyle name="”ˆ€‘Ž‚›‰ 3" xfId="5817"/>
    <cellStyle name="”ˆ€‘Ž‚›‰ 4" xfId="5818"/>
    <cellStyle name="”ˆ€‘Ž‚›‰ 5" xfId="5819"/>
    <cellStyle name="”€???‘?‚›‰" xfId="5820"/>
    <cellStyle name="”€???‘?‚›‰ 2" xfId="5821"/>
    <cellStyle name="”€???‘?‚›‰ 3" xfId="5822"/>
    <cellStyle name="”€???‘?‚›‰ 4" xfId="5823"/>
    <cellStyle name="”€???‘?‚›‰ 5" xfId="5824"/>
    <cellStyle name="”€?‘€??‚???›‰" xfId="5825"/>
    <cellStyle name="”€?‘€??‚???›‰ 2" xfId="5826"/>
    <cellStyle name="”€?‘€??‚???›‰ 3" xfId="5827"/>
    <cellStyle name="”€?‘€??‚???›‰ 4" xfId="5828"/>
    <cellStyle name="”€?‘€??‚???›‰ 5" xfId="5829"/>
    <cellStyle name="”€ЌЂЌ‘Ћ‚›‰" xfId="5830"/>
    <cellStyle name="”€ЌЂЌ‘Ћ‚›‰ 2" xfId="5831"/>
    <cellStyle name="”€ЌЂЌ‘Ћ‚›‰ 3" xfId="5832"/>
    <cellStyle name="”€ЌЂЌ‘Ћ‚›‰ 4" xfId="5833"/>
    <cellStyle name="”€ЌЂЌ‘Ћ‚›‰ 5" xfId="5834"/>
    <cellStyle name="”€Љ‘€ђЋ‚ЂЌЌ›‰" xfId="5835"/>
    <cellStyle name="”€Љ‘€ђЋ‚ЂЌЌ›‰ 2" xfId="5836"/>
    <cellStyle name="”€Љ‘€ђЋ‚ЂЌЌ›‰ 3" xfId="5837"/>
    <cellStyle name="”€Љ‘€ђЋ‚ЂЌЌ›‰ 4" xfId="5838"/>
    <cellStyle name="”€Љ‘€ђЋ‚ЂЌЌ›‰ 5" xfId="5839"/>
    <cellStyle name="„€’€" xfId="5840"/>
    <cellStyle name="„€’€ 2" xfId="5841"/>
    <cellStyle name="„€’€ 3" xfId="5842"/>
    <cellStyle name="„€’€ 4" xfId="5843"/>
    <cellStyle name="„€’€ 5" xfId="5844"/>
    <cellStyle name="„…?…†?›‰" xfId="5845"/>
    <cellStyle name="„…?…†?›‰ 2" xfId="5846"/>
    <cellStyle name="„…?…†?›‰ 3" xfId="5847"/>
    <cellStyle name="„…?…†?›‰ 4" xfId="5848"/>
    <cellStyle name="„…?…†?›‰ 5" xfId="5849"/>
    <cellStyle name="„…Ќ…†Ќ›‰" xfId="5850"/>
    <cellStyle name="„…Ќ…†Ќ›‰ 2" xfId="5851"/>
    <cellStyle name="„…Ќ…†Ќ›‰ 3" xfId="5852"/>
    <cellStyle name="„…Ќ…†Ќ›‰ 4" xfId="5853"/>
    <cellStyle name="„…Ќ…†Ќ›‰ 5" xfId="5854"/>
    <cellStyle name="„……†›‰" xfId="5855"/>
    <cellStyle name="„……†›‰ 2" xfId="5856"/>
    <cellStyle name="„……†›‰ 3" xfId="5857"/>
    <cellStyle name="„……†›‰ 4" xfId="5858"/>
    <cellStyle name="„……†›‰ 5" xfId="5859"/>
    <cellStyle name="„Ђ’Ђ" xfId="5860"/>
    <cellStyle name="„Ђ’Ђ 2" xfId="5861"/>
    <cellStyle name="„Ђ’Ђ 3" xfId="5862"/>
    <cellStyle name="„Ђ’Ђ 4" xfId="5863"/>
    <cellStyle name="„Ђ’Ђ 5" xfId="5864"/>
    <cellStyle name="€’???‚›‰" xfId="5865"/>
    <cellStyle name="€’???‚›‰ 10" xfId="5866"/>
    <cellStyle name="€’???‚›‰ 10 10" xfId="5867"/>
    <cellStyle name="€’???‚›‰ 10 11" xfId="5868"/>
    <cellStyle name="€’???‚›‰ 10 12" xfId="5869"/>
    <cellStyle name="€’???‚›‰ 10 13" xfId="5870"/>
    <cellStyle name="€’???‚›‰ 10 14" xfId="5871"/>
    <cellStyle name="€’???‚›‰ 10 15" xfId="5872"/>
    <cellStyle name="€’???‚›‰ 10 16" xfId="5873"/>
    <cellStyle name="€’???‚›‰ 10 17" xfId="5874"/>
    <cellStyle name="€’???‚›‰ 10 18" xfId="5875"/>
    <cellStyle name="€’???‚›‰ 10 19" xfId="5876"/>
    <cellStyle name="€’???‚›‰ 10 2" xfId="5877"/>
    <cellStyle name="€’???‚›‰ 10 2 10" xfId="5878"/>
    <cellStyle name="€’???‚›‰ 10 2 11" xfId="5879"/>
    <cellStyle name="€’???‚›‰ 10 2 12" xfId="5880"/>
    <cellStyle name="€’???‚›‰ 10 2 13" xfId="5881"/>
    <cellStyle name="€’???‚›‰ 10 2 14" xfId="5882"/>
    <cellStyle name="€’???‚›‰ 10 2 15" xfId="5883"/>
    <cellStyle name="€’???‚›‰ 10 2 16" xfId="5884"/>
    <cellStyle name="€’???‚›‰ 10 2 17" xfId="5885"/>
    <cellStyle name="€’???‚›‰ 10 2 18" xfId="5886"/>
    <cellStyle name="€’???‚›‰ 10 2 2" xfId="5887"/>
    <cellStyle name="€’???‚›‰ 10 2 2 2" xfId="5888"/>
    <cellStyle name="€’???‚›‰ 10 2 2 2 2" xfId="5889"/>
    <cellStyle name="€’???‚›‰ 10 2 2 3" xfId="5890"/>
    <cellStyle name="€’???‚›‰ 10 2 2 4" xfId="5891"/>
    <cellStyle name="€’???‚›‰ 10 2 3" xfId="5892"/>
    <cellStyle name="€’???‚›‰ 10 2 3 2" xfId="5893"/>
    <cellStyle name="€’???‚›‰ 10 2 3 3" xfId="5894"/>
    <cellStyle name="€’???‚›‰ 10 2 4" xfId="5895"/>
    <cellStyle name="€’???‚›‰ 10 2 4 2" xfId="5896"/>
    <cellStyle name="€’???‚›‰ 10 2 5" xfId="5897"/>
    <cellStyle name="€’???‚›‰ 10 2 6" xfId="5898"/>
    <cellStyle name="€’???‚›‰ 10 2 7" xfId="5899"/>
    <cellStyle name="€’???‚›‰ 10 2 8" xfId="5900"/>
    <cellStyle name="€’???‚›‰ 10 2 9" xfId="5901"/>
    <cellStyle name="€’???‚›‰ 10 20" xfId="5902"/>
    <cellStyle name="€’???‚›‰ 10 3" xfId="5903"/>
    <cellStyle name="€’???‚›‰ 10 3 10" xfId="5904"/>
    <cellStyle name="€’???‚›‰ 10 3 11" xfId="5905"/>
    <cellStyle name="€’???‚›‰ 10 3 12" xfId="5906"/>
    <cellStyle name="€’???‚›‰ 10 3 13" xfId="5907"/>
    <cellStyle name="€’???‚›‰ 10 3 14" xfId="5908"/>
    <cellStyle name="€’???‚›‰ 10 3 15" xfId="5909"/>
    <cellStyle name="€’???‚›‰ 10 3 16" xfId="5910"/>
    <cellStyle name="€’???‚›‰ 10 3 17" xfId="5911"/>
    <cellStyle name="€’???‚›‰ 10 3 18" xfId="5912"/>
    <cellStyle name="€’???‚›‰ 10 3 2" xfId="5913"/>
    <cellStyle name="€’???‚›‰ 10 3 2 2" xfId="5914"/>
    <cellStyle name="€’???‚›‰ 10 3 2 2 2" xfId="5915"/>
    <cellStyle name="€’???‚›‰ 10 3 2 3" xfId="5916"/>
    <cellStyle name="€’???‚›‰ 10 3 2 4" xfId="5917"/>
    <cellStyle name="€’???‚›‰ 10 3 3" xfId="5918"/>
    <cellStyle name="€’???‚›‰ 10 3 3 2" xfId="5919"/>
    <cellStyle name="€’???‚›‰ 10 3 3 3" xfId="5920"/>
    <cellStyle name="€’???‚›‰ 10 3 4" xfId="5921"/>
    <cellStyle name="€’???‚›‰ 10 3 4 2" xfId="5922"/>
    <cellStyle name="€’???‚›‰ 10 3 5" xfId="5923"/>
    <cellStyle name="€’???‚›‰ 10 3 6" xfId="5924"/>
    <cellStyle name="€’???‚›‰ 10 3 7" xfId="5925"/>
    <cellStyle name="€’???‚›‰ 10 3 8" xfId="5926"/>
    <cellStyle name="€’???‚›‰ 10 3 9" xfId="5927"/>
    <cellStyle name="€’???‚›‰ 10 4" xfId="5928"/>
    <cellStyle name="€’???‚›‰ 10 4 2" xfId="5929"/>
    <cellStyle name="€’???‚›‰ 10 4 2 2" xfId="5930"/>
    <cellStyle name="€’???‚›‰ 10 4 2 3" xfId="5931"/>
    <cellStyle name="€’???‚›‰ 10 4 3" xfId="5932"/>
    <cellStyle name="€’???‚›‰ 10 4 3 2" xfId="5933"/>
    <cellStyle name="€’???‚›‰ 10 4 4" xfId="5934"/>
    <cellStyle name="€’???‚›‰ 10 4 5" xfId="5935"/>
    <cellStyle name="€’???‚›‰ 10 5" xfId="5936"/>
    <cellStyle name="€’???‚›‰ 10 5 2" xfId="5937"/>
    <cellStyle name="€’???‚›‰ 10 5 2 2" xfId="5938"/>
    <cellStyle name="€’???‚›‰ 10 5 3" xfId="5939"/>
    <cellStyle name="€’???‚›‰ 10 5 4" xfId="5940"/>
    <cellStyle name="€’???‚›‰ 10 6" xfId="5941"/>
    <cellStyle name="€’???‚›‰ 10 6 2" xfId="5942"/>
    <cellStyle name="€’???‚›‰ 10 7" xfId="5943"/>
    <cellStyle name="€’???‚›‰ 10 8" xfId="5944"/>
    <cellStyle name="€’???‚›‰ 10 9" xfId="5945"/>
    <cellStyle name="€’???‚›‰ 11" xfId="5946"/>
    <cellStyle name="€’???‚›‰ 11 10" xfId="5947"/>
    <cellStyle name="€’???‚›‰ 11 11" xfId="5948"/>
    <cellStyle name="€’???‚›‰ 11 12" xfId="5949"/>
    <cellStyle name="€’???‚›‰ 11 13" xfId="5950"/>
    <cellStyle name="€’???‚›‰ 11 14" xfId="5951"/>
    <cellStyle name="€’???‚›‰ 11 15" xfId="5952"/>
    <cellStyle name="€’???‚›‰ 11 16" xfId="5953"/>
    <cellStyle name="€’???‚›‰ 11 17" xfId="5954"/>
    <cellStyle name="€’???‚›‰ 11 18" xfId="5955"/>
    <cellStyle name="€’???‚›‰ 11 2" xfId="5956"/>
    <cellStyle name="€’???‚›‰ 11 2 2" xfId="5957"/>
    <cellStyle name="€’???‚›‰ 11 2 2 2" xfId="5958"/>
    <cellStyle name="€’???‚›‰ 11 2 3" xfId="5959"/>
    <cellStyle name="€’???‚›‰ 11 2 4" xfId="5960"/>
    <cellStyle name="€’???‚›‰ 11 3" xfId="5961"/>
    <cellStyle name="€’???‚›‰ 11 3 2" xfId="5962"/>
    <cellStyle name="€’???‚›‰ 11 3 3" xfId="5963"/>
    <cellStyle name="€’???‚›‰ 11 4" xfId="5964"/>
    <cellStyle name="€’???‚›‰ 11 4 2" xfId="5965"/>
    <cellStyle name="€’???‚›‰ 11 5" xfId="5966"/>
    <cellStyle name="€’???‚›‰ 11 6" xfId="5967"/>
    <cellStyle name="€’???‚›‰ 11 7" xfId="5968"/>
    <cellStyle name="€’???‚›‰ 11 8" xfId="5969"/>
    <cellStyle name="€’???‚›‰ 11 9" xfId="5970"/>
    <cellStyle name="€’???‚›‰ 12" xfId="5971"/>
    <cellStyle name="€’???‚›‰ 12 10" xfId="5972"/>
    <cellStyle name="€’???‚›‰ 12 11" xfId="5973"/>
    <cellStyle name="€’???‚›‰ 12 12" xfId="5974"/>
    <cellStyle name="€’???‚›‰ 12 13" xfId="5975"/>
    <cellStyle name="€’???‚›‰ 12 14" xfId="5976"/>
    <cellStyle name="€’???‚›‰ 12 15" xfId="5977"/>
    <cellStyle name="€’???‚›‰ 12 16" xfId="5978"/>
    <cellStyle name="€’???‚›‰ 12 17" xfId="5979"/>
    <cellStyle name="€’???‚›‰ 12 18" xfId="5980"/>
    <cellStyle name="€’???‚›‰ 12 2" xfId="5981"/>
    <cellStyle name="€’???‚›‰ 12 2 2" xfId="5982"/>
    <cellStyle name="€’???‚›‰ 12 3" xfId="5983"/>
    <cellStyle name="€’???‚›‰ 12 4" xfId="5984"/>
    <cellStyle name="€’???‚›‰ 12 5" xfId="5985"/>
    <cellStyle name="€’???‚›‰ 12 6" xfId="5986"/>
    <cellStyle name="€’???‚›‰ 12 7" xfId="5987"/>
    <cellStyle name="€’???‚›‰ 12 8" xfId="5988"/>
    <cellStyle name="€’???‚›‰ 12 9" xfId="5989"/>
    <cellStyle name="€’???‚›‰ 13" xfId="5990"/>
    <cellStyle name="€’???‚›‰ 14" xfId="5991"/>
    <cellStyle name="€’???‚›‰ 15" xfId="5992"/>
    <cellStyle name="€’???‚›‰ 16" xfId="5993"/>
    <cellStyle name="€’???‚›‰ 17" xfId="5994"/>
    <cellStyle name="€’???‚›‰ 18" xfId="5995"/>
    <cellStyle name="€’???‚›‰ 19" xfId="5996"/>
    <cellStyle name="€’???‚›‰ 2" xfId="5997"/>
    <cellStyle name="€’???‚›‰ 2 10" xfId="5998"/>
    <cellStyle name="€’???‚›‰ 2 11" xfId="5999"/>
    <cellStyle name="€’???‚›‰ 2 12" xfId="6000"/>
    <cellStyle name="€’???‚›‰ 2 13" xfId="6001"/>
    <cellStyle name="€’???‚›‰ 2 14" xfId="6002"/>
    <cellStyle name="€’???‚›‰ 2 15" xfId="6003"/>
    <cellStyle name="€’???‚›‰ 2 16" xfId="6004"/>
    <cellStyle name="€’???‚›‰ 2 17" xfId="6005"/>
    <cellStyle name="€’???‚›‰ 2 18" xfId="6006"/>
    <cellStyle name="€’???‚›‰ 2 19" xfId="6007"/>
    <cellStyle name="€’???‚›‰ 2 2" xfId="6008"/>
    <cellStyle name="€’???‚›‰ 2 2 10" xfId="6009"/>
    <cellStyle name="€’???‚›‰ 2 2 11" xfId="6010"/>
    <cellStyle name="€’???‚›‰ 2 2 12" xfId="6011"/>
    <cellStyle name="€’???‚›‰ 2 2 13" xfId="6012"/>
    <cellStyle name="€’???‚›‰ 2 2 14" xfId="6013"/>
    <cellStyle name="€’???‚›‰ 2 2 15" xfId="6014"/>
    <cellStyle name="€’???‚›‰ 2 2 16" xfId="6015"/>
    <cellStyle name="€’???‚›‰ 2 2 17" xfId="6016"/>
    <cellStyle name="€’???‚›‰ 2 2 18" xfId="6017"/>
    <cellStyle name="€’???‚›‰ 2 2 19" xfId="6018"/>
    <cellStyle name="€’???‚›‰ 2 2 2" xfId="6019"/>
    <cellStyle name="€’???‚›‰ 2 2 2 10" xfId="6020"/>
    <cellStyle name="€’???‚›‰ 2 2 2 11" xfId="6021"/>
    <cellStyle name="€’???‚›‰ 2 2 2 12" xfId="6022"/>
    <cellStyle name="€’???‚›‰ 2 2 2 13" xfId="6023"/>
    <cellStyle name="€’???‚›‰ 2 2 2 14" xfId="6024"/>
    <cellStyle name="€’???‚›‰ 2 2 2 15" xfId="6025"/>
    <cellStyle name="€’???‚›‰ 2 2 2 16" xfId="6026"/>
    <cellStyle name="€’???‚›‰ 2 2 2 17" xfId="6027"/>
    <cellStyle name="€’???‚›‰ 2 2 2 18" xfId="6028"/>
    <cellStyle name="€’???‚›‰ 2 2 2 2" xfId="6029"/>
    <cellStyle name="€’???‚›‰ 2 2 2 2 2" xfId="6030"/>
    <cellStyle name="€’???‚›‰ 2 2 2 2 2 2" xfId="6031"/>
    <cellStyle name="€’???‚›‰ 2 2 2 2 3" xfId="6032"/>
    <cellStyle name="€’???‚›‰ 2 2 2 2 4" xfId="6033"/>
    <cellStyle name="€’???‚›‰ 2 2 2 3" xfId="6034"/>
    <cellStyle name="€’???‚›‰ 2 2 2 3 2" xfId="6035"/>
    <cellStyle name="€’???‚›‰ 2 2 2 3 3" xfId="6036"/>
    <cellStyle name="€’???‚›‰ 2 2 2 4" xfId="6037"/>
    <cellStyle name="€’???‚›‰ 2 2 2 4 2" xfId="6038"/>
    <cellStyle name="€’???‚›‰ 2 2 2 5" xfId="6039"/>
    <cellStyle name="€’???‚›‰ 2 2 2 6" xfId="6040"/>
    <cellStyle name="€’???‚›‰ 2 2 2 7" xfId="6041"/>
    <cellStyle name="€’???‚›‰ 2 2 2 8" xfId="6042"/>
    <cellStyle name="€’???‚›‰ 2 2 2 9" xfId="6043"/>
    <cellStyle name="€’???‚›‰ 2 2 20" xfId="6044"/>
    <cellStyle name="€’???‚›‰ 2 2 21" xfId="6045"/>
    <cellStyle name="€’???‚›‰ 2 2 3" xfId="6046"/>
    <cellStyle name="€’???‚›‰ 2 2 3 10" xfId="6047"/>
    <cellStyle name="€’???‚›‰ 2 2 3 11" xfId="6048"/>
    <cellStyle name="€’???‚›‰ 2 2 3 12" xfId="6049"/>
    <cellStyle name="€’???‚›‰ 2 2 3 13" xfId="6050"/>
    <cellStyle name="€’???‚›‰ 2 2 3 14" xfId="6051"/>
    <cellStyle name="€’???‚›‰ 2 2 3 15" xfId="6052"/>
    <cellStyle name="€’???‚›‰ 2 2 3 16" xfId="6053"/>
    <cellStyle name="€’???‚›‰ 2 2 3 17" xfId="6054"/>
    <cellStyle name="€’???‚›‰ 2 2 3 18" xfId="6055"/>
    <cellStyle name="€’???‚›‰ 2 2 3 2" xfId="6056"/>
    <cellStyle name="€’???‚›‰ 2 2 3 2 2" xfId="6057"/>
    <cellStyle name="€’???‚›‰ 2 2 3 2 2 2" xfId="6058"/>
    <cellStyle name="€’???‚›‰ 2 2 3 2 3" xfId="6059"/>
    <cellStyle name="€’???‚›‰ 2 2 3 2 4" xfId="6060"/>
    <cellStyle name="€’???‚›‰ 2 2 3 3" xfId="6061"/>
    <cellStyle name="€’???‚›‰ 2 2 3 3 2" xfId="6062"/>
    <cellStyle name="€’???‚›‰ 2 2 3 3 3" xfId="6063"/>
    <cellStyle name="€’???‚›‰ 2 2 3 4" xfId="6064"/>
    <cellStyle name="€’???‚›‰ 2 2 3 4 2" xfId="6065"/>
    <cellStyle name="€’???‚›‰ 2 2 3 5" xfId="6066"/>
    <cellStyle name="€’???‚›‰ 2 2 3 6" xfId="6067"/>
    <cellStyle name="€’???‚›‰ 2 2 3 7" xfId="6068"/>
    <cellStyle name="€’???‚›‰ 2 2 3 8" xfId="6069"/>
    <cellStyle name="€’???‚›‰ 2 2 3 9" xfId="6070"/>
    <cellStyle name="€’???‚›‰ 2 2 4" xfId="6071"/>
    <cellStyle name="€’???‚›‰ 2 2 4 2" xfId="6072"/>
    <cellStyle name="€’???‚›‰ 2 2 4 2 2" xfId="6073"/>
    <cellStyle name="€’???‚›‰ 2 2 4 2 3" xfId="6074"/>
    <cellStyle name="€’???‚›‰ 2 2 4 3" xfId="6075"/>
    <cellStyle name="€’???‚›‰ 2 2 4 3 2" xfId="6076"/>
    <cellStyle name="€’???‚›‰ 2 2 4 4" xfId="6077"/>
    <cellStyle name="€’???‚›‰ 2 2 4 5" xfId="6078"/>
    <cellStyle name="€’???‚›‰ 2 2 5" xfId="6079"/>
    <cellStyle name="€’???‚›‰ 2 2 5 2" xfId="6080"/>
    <cellStyle name="€’???‚›‰ 2 2 5 2 2" xfId="6081"/>
    <cellStyle name="€’???‚›‰ 2 2 5 3" xfId="6082"/>
    <cellStyle name="€’???‚›‰ 2 2 5 4" xfId="6083"/>
    <cellStyle name="€’???‚›‰ 2 2 6" xfId="6084"/>
    <cellStyle name="€’???‚›‰ 2 2 6 2" xfId="6085"/>
    <cellStyle name="€’???‚›‰ 2 2 6 3" xfId="6086"/>
    <cellStyle name="€’???‚›‰ 2 2 7" xfId="6087"/>
    <cellStyle name="€’???‚›‰ 2 2 7 2" xfId="6088"/>
    <cellStyle name="€’???‚›‰ 2 2 8" xfId="6089"/>
    <cellStyle name="€’???‚›‰ 2 2 9" xfId="6090"/>
    <cellStyle name="€’???‚›‰ 2 20" xfId="6091"/>
    <cellStyle name="€’???‚›‰ 2 21" xfId="6092"/>
    <cellStyle name="€’???‚›‰ 2 22" xfId="6093"/>
    <cellStyle name="€’???‚›‰ 2 23" xfId="6094"/>
    <cellStyle name="€’???‚›‰ 2 24" xfId="6095"/>
    <cellStyle name="€’???‚›‰ 2 25" xfId="6096"/>
    <cellStyle name="€’???‚›‰ 2 26" xfId="6097"/>
    <cellStyle name="€’???‚›‰ 2 3" xfId="6098"/>
    <cellStyle name="€’???‚›‰ 2 3 10" xfId="6099"/>
    <cellStyle name="€’???‚›‰ 2 3 11" xfId="6100"/>
    <cellStyle name="€’???‚›‰ 2 3 12" xfId="6101"/>
    <cellStyle name="€’???‚›‰ 2 3 13" xfId="6102"/>
    <cellStyle name="€’???‚›‰ 2 3 14" xfId="6103"/>
    <cellStyle name="€’???‚›‰ 2 3 15" xfId="6104"/>
    <cellStyle name="€’???‚›‰ 2 3 16" xfId="6105"/>
    <cellStyle name="€’???‚›‰ 2 3 17" xfId="6106"/>
    <cellStyle name="€’???‚›‰ 2 3 18" xfId="6107"/>
    <cellStyle name="€’???‚›‰ 2 3 19" xfId="6108"/>
    <cellStyle name="€’???‚›‰ 2 3 2" xfId="6109"/>
    <cellStyle name="€’???‚›‰ 2 3 2 10" xfId="6110"/>
    <cellStyle name="€’???‚›‰ 2 3 2 11" xfId="6111"/>
    <cellStyle name="€’???‚›‰ 2 3 2 12" xfId="6112"/>
    <cellStyle name="€’???‚›‰ 2 3 2 13" xfId="6113"/>
    <cellStyle name="€’???‚›‰ 2 3 2 14" xfId="6114"/>
    <cellStyle name="€’???‚›‰ 2 3 2 15" xfId="6115"/>
    <cellStyle name="€’???‚›‰ 2 3 2 16" xfId="6116"/>
    <cellStyle name="€’???‚›‰ 2 3 2 17" xfId="6117"/>
    <cellStyle name="€’???‚›‰ 2 3 2 18" xfId="6118"/>
    <cellStyle name="€’???‚›‰ 2 3 2 2" xfId="6119"/>
    <cellStyle name="€’???‚›‰ 2 3 2 2 2" xfId="6120"/>
    <cellStyle name="€’???‚›‰ 2 3 2 2 2 2" xfId="6121"/>
    <cellStyle name="€’???‚›‰ 2 3 2 2 3" xfId="6122"/>
    <cellStyle name="€’???‚›‰ 2 3 2 2 4" xfId="6123"/>
    <cellStyle name="€’???‚›‰ 2 3 2 3" xfId="6124"/>
    <cellStyle name="€’???‚›‰ 2 3 2 3 2" xfId="6125"/>
    <cellStyle name="€’???‚›‰ 2 3 2 3 3" xfId="6126"/>
    <cellStyle name="€’???‚›‰ 2 3 2 4" xfId="6127"/>
    <cellStyle name="€’???‚›‰ 2 3 2 4 2" xfId="6128"/>
    <cellStyle name="€’???‚›‰ 2 3 2 5" xfId="6129"/>
    <cellStyle name="€’???‚›‰ 2 3 2 6" xfId="6130"/>
    <cellStyle name="€’???‚›‰ 2 3 2 7" xfId="6131"/>
    <cellStyle name="€’???‚›‰ 2 3 2 8" xfId="6132"/>
    <cellStyle name="€’???‚›‰ 2 3 2 9" xfId="6133"/>
    <cellStyle name="€’???‚›‰ 2 3 20" xfId="6134"/>
    <cellStyle name="€’???‚›‰ 2 3 3" xfId="6135"/>
    <cellStyle name="€’???‚›‰ 2 3 3 10" xfId="6136"/>
    <cellStyle name="€’???‚›‰ 2 3 3 11" xfId="6137"/>
    <cellStyle name="€’???‚›‰ 2 3 3 12" xfId="6138"/>
    <cellStyle name="€’???‚›‰ 2 3 3 13" xfId="6139"/>
    <cellStyle name="€’???‚›‰ 2 3 3 14" xfId="6140"/>
    <cellStyle name="€’???‚›‰ 2 3 3 15" xfId="6141"/>
    <cellStyle name="€’???‚›‰ 2 3 3 16" xfId="6142"/>
    <cellStyle name="€’???‚›‰ 2 3 3 17" xfId="6143"/>
    <cellStyle name="€’???‚›‰ 2 3 3 18" xfId="6144"/>
    <cellStyle name="€’???‚›‰ 2 3 3 2" xfId="6145"/>
    <cellStyle name="€’???‚›‰ 2 3 3 2 2" xfId="6146"/>
    <cellStyle name="€’???‚›‰ 2 3 3 2 2 2" xfId="6147"/>
    <cellStyle name="€’???‚›‰ 2 3 3 2 3" xfId="6148"/>
    <cellStyle name="€’???‚›‰ 2 3 3 2 4" xfId="6149"/>
    <cellStyle name="€’???‚›‰ 2 3 3 3" xfId="6150"/>
    <cellStyle name="€’???‚›‰ 2 3 3 3 2" xfId="6151"/>
    <cellStyle name="€’???‚›‰ 2 3 3 3 3" xfId="6152"/>
    <cellStyle name="€’???‚›‰ 2 3 3 4" xfId="6153"/>
    <cellStyle name="€’???‚›‰ 2 3 3 4 2" xfId="6154"/>
    <cellStyle name="€’???‚›‰ 2 3 3 5" xfId="6155"/>
    <cellStyle name="€’???‚›‰ 2 3 3 6" xfId="6156"/>
    <cellStyle name="€’???‚›‰ 2 3 3 7" xfId="6157"/>
    <cellStyle name="€’???‚›‰ 2 3 3 8" xfId="6158"/>
    <cellStyle name="€’???‚›‰ 2 3 3 9" xfId="6159"/>
    <cellStyle name="€’???‚›‰ 2 3 4" xfId="6160"/>
    <cellStyle name="€’???‚›‰ 2 3 4 2" xfId="6161"/>
    <cellStyle name="€’???‚›‰ 2 3 4 2 2" xfId="6162"/>
    <cellStyle name="€’???‚›‰ 2 3 4 2 3" xfId="6163"/>
    <cellStyle name="€’???‚›‰ 2 3 4 3" xfId="6164"/>
    <cellStyle name="€’???‚›‰ 2 3 4 3 2" xfId="6165"/>
    <cellStyle name="€’???‚›‰ 2 3 4 4" xfId="6166"/>
    <cellStyle name="€’???‚›‰ 2 3 4 5" xfId="6167"/>
    <cellStyle name="€’???‚›‰ 2 3 5" xfId="6168"/>
    <cellStyle name="€’???‚›‰ 2 3 5 2" xfId="6169"/>
    <cellStyle name="€’???‚›‰ 2 3 5 2 2" xfId="6170"/>
    <cellStyle name="€’???‚›‰ 2 3 5 3" xfId="6171"/>
    <cellStyle name="€’???‚›‰ 2 3 5 4" xfId="6172"/>
    <cellStyle name="€’???‚›‰ 2 3 6" xfId="6173"/>
    <cellStyle name="€’???‚›‰ 2 3 6 2" xfId="6174"/>
    <cellStyle name="€’???‚›‰ 2 3 6 3" xfId="6175"/>
    <cellStyle name="€’???‚›‰ 2 3 7" xfId="6176"/>
    <cellStyle name="€’???‚›‰ 2 3 7 2" xfId="6177"/>
    <cellStyle name="€’???‚›‰ 2 3 8" xfId="6178"/>
    <cellStyle name="€’???‚›‰ 2 3 9" xfId="6179"/>
    <cellStyle name="€’???‚›‰ 2 4" xfId="6180"/>
    <cellStyle name="€’???‚›‰ 2 4 10" xfId="6181"/>
    <cellStyle name="€’???‚›‰ 2 4 11" xfId="6182"/>
    <cellStyle name="€’???‚›‰ 2 4 12" xfId="6183"/>
    <cellStyle name="€’???‚›‰ 2 4 13" xfId="6184"/>
    <cellStyle name="€’???‚›‰ 2 4 14" xfId="6185"/>
    <cellStyle name="€’???‚›‰ 2 4 15" xfId="6186"/>
    <cellStyle name="€’???‚›‰ 2 4 16" xfId="6187"/>
    <cellStyle name="€’???‚›‰ 2 4 17" xfId="6188"/>
    <cellStyle name="€’???‚›‰ 2 4 18" xfId="6189"/>
    <cellStyle name="€’???‚›‰ 2 4 19" xfId="6190"/>
    <cellStyle name="€’???‚›‰ 2 4 2" xfId="6191"/>
    <cellStyle name="€’???‚›‰ 2 4 2 10" xfId="6192"/>
    <cellStyle name="€’???‚›‰ 2 4 2 11" xfId="6193"/>
    <cellStyle name="€’???‚›‰ 2 4 2 12" xfId="6194"/>
    <cellStyle name="€’???‚›‰ 2 4 2 13" xfId="6195"/>
    <cellStyle name="€’???‚›‰ 2 4 2 14" xfId="6196"/>
    <cellStyle name="€’???‚›‰ 2 4 2 15" xfId="6197"/>
    <cellStyle name="€’???‚›‰ 2 4 2 16" xfId="6198"/>
    <cellStyle name="€’???‚›‰ 2 4 2 17" xfId="6199"/>
    <cellStyle name="€’???‚›‰ 2 4 2 18" xfId="6200"/>
    <cellStyle name="€’???‚›‰ 2 4 2 2" xfId="6201"/>
    <cellStyle name="€’???‚›‰ 2 4 2 2 2" xfId="6202"/>
    <cellStyle name="€’???‚›‰ 2 4 2 2 2 2" xfId="6203"/>
    <cellStyle name="€’???‚›‰ 2 4 2 2 3" xfId="6204"/>
    <cellStyle name="€’???‚›‰ 2 4 2 2 4" xfId="6205"/>
    <cellStyle name="€’???‚›‰ 2 4 2 3" xfId="6206"/>
    <cellStyle name="€’???‚›‰ 2 4 2 3 2" xfId="6207"/>
    <cellStyle name="€’???‚›‰ 2 4 2 3 3" xfId="6208"/>
    <cellStyle name="€’???‚›‰ 2 4 2 4" xfId="6209"/>
    <cellStyle name="€’???‚›‰ 2 4 2 4 2" xfId="6210"/>
    <cellStyle name="€’???‚›‰ 2 4 2 5" xfId="6211"/>
    <cellStyle name="€’???‚›‰ 2 4 2 6" xfId="6212"/>
    <cellStyle name="€’???‚›‰ 2 4 2 7" xfId="6213"/>
    <cellStyle name="€’???‚›‰ 2 4 2 8" xfId="6214"/>
    <cellStyle name="€’???‚›‰ 2 4 2 9" xfId="6215"/>
    <cellStyle name="€’???‚›‰ 2 4 20" xfId="6216"/>
    <cellStyle name="€’???‚›‰ 2 4 21" xfId="6217"/>
    <cellStyle name="€’???‚›‰ 2 4 3" xfId="6218"/>
    <cellStyle name="€’???‚›‰ 2 4 3 10" xfId="6219"/>
    <cellStyle name="€’???‚›‰ 2 4 3 11" xfId="6220"/>
    <cellStyle name="€’???‚›‰ 2 4 3 12" xfId="6221"/>
    <cellStyle name="€’???‚›‰ 2 4 3 13" xfId="6222"/>
    <cellStyle name="€’???‚›‰ 2 4 3 14" xfId="6223"/>
    <cellStyle name="€’???‚›‰ 2 4 3 15" xfId="6224"/>
    <cellStyle name="€’???‚›‰ 2 4 3 16" xfId="6225"/>
    <cellStyle name="€’???‚›‰ 2 4 3 17" xfId="6226"/>
    <cellStyle name="€’???‚›‰ 2 4 3 18" xfId="6227"/>
    <cellStyle name="€’???‚›‰ 2 4 3 2" xfId="6228"/>
    <cellStyle name="€’???‚›‰ 2 4 3 2 2" xfId="6229"/>
    <cellStyle name="€’???‚›‰ 2 4 3 2 2 2" xfId="6230"/>
    <cellStyle name="€’???‚›‰ 2 4 3 2 3" xfId="6231"/>
    <cellStyle name="€’???‚›‰ 2 4 3 2 4" xfId="6232"/>
    <cellStyle name="€’???‚›‰ 2 4 3 3" xfId="6233"/>
    <cellStyle name="€’???‚›‰ 2 4 3 3 2" xfId="6234"/>
    <cellStyle name="€’???‚›‰ 2 4 3 3 3" xfId="6235"/>
    <cellStyle name="€’???‚›‰ 2 4 3 4" xfId="6236"/>
    <cellStyle name="€’???‚›‰ 2 4 3 4 2" xfId="6237"/>
    <cellStyle name="€’???‚›‰ 2 4 3 5" xfId="6238"/>
    <cellStyle name="€’???‚›‰ 2 4 3 6" xfId="6239"/>
    <cellStyle name="€’???‚›‰ 2 4 3 7" xfId="6240"/>
    <cellStyle name="€’???‚›‰ 2 4 3 8" xfId="6241"/>
    <cellStyle name="€’???‚›‰ 2 4 3 9" xfId="6242"/>
    <cellStyle name="€’???‚›‰ 2 4 4" xfId="6243"/>
    <cellStyle name="€’???‚›‰ 2 4 4 2" xfId="6244"/>
    <cellStyle name="€’???‚›‰ 2 4 4 2 2" xfId="6245"/>
    <cellStyle name="€’???‚›‰ 2 4 4 2 3" xfId="6246"/>
    <cellStyle name="€’???‚›‰ 2 4 4 3" xfId="6247"/>
    <cellStyle name="€’???‚›‰ 2 4 4 3 2" xfId="6248"/>
    <cellStyle name="€’???‚›‰ 2 4 4 4" xfId="6249"/>
    <cellStyle name="€’???‚›‰ 2 4 4 5" xfId="6250"/>
    <cellStyle name="€’???‚›‰ 2 4 5" xfId="6251"/>
    <cellStyle name="€’???‚›‰ 2 4 5 2" xfId="6252"/>
    <cellStyle name="€’???‚›‰ 2 4 5 2 2" xfId="6253"/>
    <cellStyle name="€’???‚›‰ 2 4 5 3" xfId="6254"/>
    <cellStyle name="€’???‚›‰ 2 4 5 4" xfId="6255"/>
    <cellStyle name="€’???‚›‰ 2 4 6" xfId="6256"/>
    <cellStyle name="€’???‚›‰ 2 4 6 2" xfId="6257"/>
    <cellStyle name="€’???‚›‰ 2 4 6 3" xfId="6258"/>
    <cellStyle name="€’???‚›‰ 2 4 7" xfId="6259"/>
    <cellStyle name="€’???‚›‰ 2 4 7 2" xfId="6260"/>
    <cellStyle name="€’???‚›‰ 2 4 8" xfId="6261"/>
    <cellStyle name="€’???‚›‰ 2 4 9" xfId="6262"/>
    <cellStyle name="€’???‚›‰ 2 5" xfId="6263"/>
    <cellStyle name="€’???‚›‰ 2 5 10" xfId="6264"/>
    <cellStyle name="€’???‚›‰ 2 5 11" xfId="6265"/>
    <cellStyle name="€’???‚›‰ 2 5 12" xfId="6266"/>
    <cellStyle name="€’???‚›‰ 2 5 13" xfId="6267"/>
    <cellStyle name="€’???‚›‰ 2 5 14" xfId="6268"/>
    <cellStyle name="€’???‚›‰ 2 5 15" xfId="6269"/>
    <cellStyle name="€’???‚›‰ 2 5 16" xfId="6270"/>
    <cellStyle name="€’???‚›‰ 2 5 17" xfId="6271"/>
    <cellStyle name="€’???‚›‰ 2 5 18" xfId="6272"/>
    <cellStyle name="€’???‚›‰ 2 5 19" xfId="6273"/>
    <cellStyle name="€’???‚›‰ 2 5 2" xfId="6274"/>
    <cellStyle name="€’???‚›‰ 2 5 2 10" xfId="6275"/>
    <cellStyle name="€’???‚›‰ 2 5 2 11" xfId="6276"/>
    <cellStyle name="€’???‚›‰ 2 5 2 12" xfId="6277"/>
    <cellStyle name="€’???‚›‰ 2 5 2 13" xfId="6278"/>
    <cellStyle name="€’???‚›‰ 2 5 2 14" xfId="6279"/>
    <cellStyle name="€’???‚›‰ 2 5 2 15" xfId="6280"/>
    <cellStyle name="€’???‚›‰ 2 5 2 16" xfId="6281"/>
    <cellStyle name="€’???‚›‰ 2 5 2 17" xfId="6282"/>
    <cellStyle name="€’???‚›‰ 2 5 2 18" xfId="6283"/>
    <cellStyle name="€’???‚›‰ 2 5 2 2" xfId="6284"/>
    <cellStyle name="€’???‚›‰ 2 5 2 2 2" xfId="6285"/>
    <cellStyle name="€’???‚›‰ 2 5 2 2 2 2" xfId="6286"/>
    <cellStyle name="€’???‚›‰ 2 5 2 2 3" xfId="6287"/>
    <cellStyle name="€’???‚›‰ 2 5 2 2 4" xfId="6288"/>
    <cellStyle name="€’???‚›‰ 2 5 2 3" xfId="6289"/>
    <cellStyle name="€’???‚›‰ 2 5 2 3 2" xfId="6290"/>
    <cellStyle name="€’???‚›‰ 2 5 2 3 3" xfId="6291"/>
    <cellStyle name="€’???‚›‰ 2 5 2 4" xfId="6292"/>
    <cellStyle name="€’???‚›‰ 2 5 2 4 2" xfId="6293"/>
    <cellStyle name="€’???‚›‰ 2 5 2 5" xfId="6294"/>
    <cellStyle name="€’???‚›‰ 2 5 2 6" xfId="6295"/>
    <cellStyle name="€’???‚›‰ 2 5 2 7" xfId="6296"/>
    <cellStyle name="€’???‚›‰ 2 5 2 8" xfId="6297"/>
    <cellStyle name="€’???‚›‰ 2 5 2 9" xfId="6298"/>
    <cellStyle name="€’???‚›‰ 2 5 20" xfId="6299"/>
    <cellStyle name="€’???‚›‰ 2 5 3" xfId="6300"/>
    <cellStyle name="€’???‚›‰ 2 5 3 10" xfId="6301"/>
    <cellStyle name="€’???‚›‰ 2 5 3 11" xfId="6302"/>
    <cellStyle name="€’???‚›‰ 2 5 3 12" xfId="6303"/>
    <cellStyle name="€’???‚›‰ 2 5 3 13" xfId="6304"/>
    <cellStyle name="€’???‚›‰ 2 5 3 14" xfId="6305"/>
    <cellStyle name="€’???‚›‰ 2 5 3 15" xfId="6306"/>
    <cellStyle name="€’???‚›‰ 2 5 3 16" xfId="6307"/>
    <cellStyle name="€’???‚›‰ 2 5 3 17" xfId="6308"/>
    <cellStyle name="€’???‚›‰ 2 5 3 18" xfId="6309"/>
    <cellStyle name="€’???‚›‰ 2 5 3 2" xfId="6310"/>
    <cellStyle name="€’???‚›‰ 2 5 3 2 2" xfId="6311"/>
    <cellStyle name="€’???‚›‰ 2 5 3 2 2 2" xfId="6312"/>
    <cellStyle name="€’???‚›‰ 2 5 3 2 3" xfId="6313"/>
    <cellStyle name="€’???‚›‰ 2 5 3 2 4" xfId="6314"/>
    <cellStyle name="€’???‚›‰ 2 5 3 3" xfId="6315"/>
    <cellStyle name="€’???‚›‰ 2 5 3 3 2" xfId="6316"/>
    <cellStyle name="€’???‚›‰ 2 5 3 3 3" xfId="6317"/>
    <cellStyle name="€’???‚›‰ 2 5 3 4" xfId="6318"/>
    <cellStyle name="€’???‚›‰ 2 5 3 4 2" xfId="6319"/>
    <cellStyle name="€’???‚›‰ 2 5 3 5" xfId="6320"/>
    <cellStyle name="€’???‚›‰ 2 5 3 6" xfId="6321"/>
    <cellStyle name="€’???‚›‰ 2 5 3 7" xfId="6322"/>
    <cellStyle name="€’???‚›‰ 2 5 3 8" xfId="6323"/>
    <cellStyle name="€’???‚›‰ 2 5 3 9" xfId="6324"/>
    <cellStyle name="€’???‚›‰ 2 5 4" xfId="6325"/>
    <cellStyle name="€’???‚›‰ 2 5 4 2" xfId="6326"/>
    <cellStyle name="€’???‚›‰ 2 5 4 2 2" xfId="6327"/>
    <cellStyle name="€’???‚›‰ 2 5 4 3" xfId="6328"/>
    <cellStyle name="€’???‚›‰ 2 5 4 4" xfId="6329"/>
    <cellStyle name="€’???‚›‰ 2 5 5" xfId="6330"/>
    <cellStyle name="€’???‚›‰ 2 5 5 2" xfId="6331"/>
    <cellStyle name="€’???‚›‰ 2 5 5 3" xfId="6332"/>
    <cellStyle name="€’???‚›‰ 2 5 6" xfId="6333"/>
    <cellStyle name="€’???‚›‰ 2 5 6 2" xfId="6334"/>
    <cellStyle name="€’???‚›‰ 2 5 7" xfId="6335"/>
    <cellStyle name="€’???‚›‰ 2 5 8" xfId="6336"/>
    <cellStyle name="€’???‚›‰ 2 5 9" xfId="6337"/>
    <cellStyle name="€’???‚›‰ 2 6" xfId="6338"/>
    <cellStyle name="€’???‚›‰ 2 6 10" xfId="6339"/>
    <cellStyle name="€’???‚›‰ 2 6 11" xfId="6340"/>
    <cellStyle name="€’???‚›‰ 2 6 12" xfId="6341"/>
    <cellStyle name="€’???‚›‰ 2 6 13" xfId="6342"/>
    <cellStyle name="€’???‚›‰ 2 6 14" xfId="6343"/>
    <cellStyle name="€’???‚›‰ 2 6 15" xfId="6344"/>
    <cellStyle name="€’???‚›‰ 2 6 16" xfId="6345"/>
    <cellStyle name="€’???‚›‰ 2 6 17" xfId="6346"/>
    <cellStyle name="€’???‚›‰ 2 6 18" xfId="6347"/>
    <cellStyle name="€’???‚›‰ 2 6 19" xfId="6348"/>
    <cellStyle name="€’???‚›‰ 2 6 2" xfId="6349"/>
    <cellStyle name="€’???‚›‰ 2 6 2 10" xfId="6350"/>
    <cellStyle name="€’???‚›‰ 2 6 2 11" xfId="6351"/>
    <cellStyle name="€’???‚›‰ 2 6 2 12" xfId="6352"/>
    <cellStyle name="€’???‚›‰ 2 6 2 13" xfId="6353"/>
    <cellStyle name="€’???‚›‰ 2 6 2 14" xfId="6354"/>
    <cellStyle name="€’???‚›‰ 2 6 2 15" xfId="6355"/>
    <cellStyle name="€’???‚›‰ 2 6 2 16" xfId="6356"/>
    <cellStyle name="€’???‚›‰ 2 6 2 17" xfId="6357"/>
    <cellStyle name="€’???‚›‰ 2 6 2 18" xfId="6358"/>
    <cellStyle name="€’???‚›‰ 2 6 2 2" xfId="6359"/>
    <cellStyle name="€’???‚›‰ 2 6 2 2 2" xfId="6360"/>
    <cellStyle name="€’???‚›‰ 2 6 2 2 2 2" xfId="6361"/>
    <cellStyle name="€’???‚›‰ 2 6 2 2 3" xfId="6362"/>
    <cellStyle name="€’???‚›‰ 2 6 2 2 4" xfId="6363"/>
    <cellStyle name="€’???‚›‰ 2 6 2 3" xfId="6364"/>
    <cellStyle name="€’???‚›‰ 2 6 2 3 2" xfId="6365"/>
    <cellStyle name="€’???‚›‰ 2 6 2 3 3" xfId="6366"/>
    <cellStyle name="€’???‚›‰ 2 6 2 4" xfId="6367"/>
    <cellStyle name="€’???‚›‰ 2 6 2 4 2" xfId="6368"/>
    <cellStyle name="€’???‚›‰ 2 6 2 5" xfId="6369"/>
    <cellStyle name="€’???‚›‰ 2 6 2 6" xfId="6370"/>
    <cellStyle name="€’???‚›‰ 2 6 2 7" xfId="6371"/>
    <cellStyle name="€’???‚›‰ 2 6 2 8" xfId="6372"/>
    <cellStyle name="€’???‚›‰ 2 6 2 9" xfId="6373"/>
    <cellStyle name="€’???‚›‰ 2 6 20" xfId="6374"/>
    <cellStyle name="€’???‚›‰ 2 6 3" xfId="6375"/>
    <cellStyle name="€’???‚›‰ 2 6 3 10" xfId="6376"/>
    <cellStyle name="€’???‚›‰ 2 6 3 11" xfId="6377"/>
    <cellStyle name="€’???‚›‰ 2 6 3 12" xfId="6378"/>
    <cellStyle name="€’???‚›‰ 2 6 3 13" xfId="6379"/>
    <cellStyle name="€’???‚›‰ 2 6 3 14" xfId="6380"/>
    <cellStyle name="€’???‚›‰ 2 6 3 15" xfId="6381"/>
    <cellStyle name="€’???‚›‰ 2 6 3 16" xfId="6382"/>
    <cellStyle name="€’???‚›‰ 2 6 3 17" xfId="6383"/>
    <cellStyle name="€’???‚›‰ 2 6 3 18" xfId="6384"/>
    <cellStyle name="€’???‚›‰ 2 6 3 2" xfId="6385"/>
    <cellStyle name="€’???‚›‰ 2 6 3 2 2" xfId="6386"/>
    <cellStyle name="€’???‚›‰ 2 6 3 2 2 2" xfId="6387"/>
    <cellStyle name="€’???‚›‰ 2 6 3 2 3" xfId="6388"/>
    <cellStyle name="€’???‚›‰ 2 6 3 2 4" xfId="6389"/>
    <cellStyle name="€’???‚›‰ 2 6 3 3" xfId="6390"/>
    <cellStyle name="€’???‚›‰ 2 6 3 3 2" xfId="6391"/>
    <cellStyle name="€’???‚›‰ 2 6 3 3 3" xfId="6392"/>
    <cellStyle name="€’???‚›‰ 2 6 3 4" xfId="6393"/>
    <cellStyle name="€’???‚›‰ 2 6 3 4 2" xfId="6394"/>
    <cellStyle name="€’???‚›‰ 2 6 3 5" xfId="6395"/>
    <cellStyle name="€’???‚›‰ 2 6 3 6" xfId="6396"/>
    <cellStyle name="€’???‚›‰ 2 6 3 7" xfId="6397"/>
    <cellStyle name="€’???‚›‰ 2 6 3 8" xfId="6398"/>
    <cellStyle name="€’???‚›‰ 2 6 3 9" xfId="6399"/>
    <cellStyle name="€’???‚›‰ 2 6 4" xfId="6400"/>
    <cellStyle name="€’???‚›‰ 2 6 4 2" xfId="6401"/>
    <cellStyle name="€’???‚›‰ 2 6 4 2 2" xfId="6402"/>
    <cellStyle name="€’???‚›‰ 2 6 4 2 3" xfId="6403"/>
    <cellStyle name="€’???‚›‰ 2 6 4 3" xfId="6404"/>
    <cellStyle name="€’???‚›‰ 2 6 4 3 2" xfId="6405"/>
    <cellStyle name="€’???‚›‰ 2 6 4 4" xfId="6406"/>
    <cellStyle name="€’???‚›‰ 2 6 4 5" xfId="6407"/>
    <cellStyle name="€’???‚›‰ 2 6 5" xfId="6408"/>
    <cellStyle name="€’???‚›‰ 2 6 5 2" xfId="6409"/>
    <cellStyle name="€’???‚›‰ 2 6 5 2 2" xfId="6410"/>
    <cellStyle name="€’???‚›‰ 2 6 5 3" xfId="6411"/>
    <cellStyle name="€’???‚›‰ 2 6 5 4" xfId="6412"/>
    <cellStyle name="€’???‚›‰ 2 6 6" xfId="6413"/>
    <cellStyle name="€’???‚›‰ 2 6 6 2" xfId="6414"/>
    <cellStyle name="€’???‚›‰ 2 6 7" xfId="6415"/>
    <cellStyle name="€’???‚›‰ 2 6 8" xfId="6416"/>
    <cellStyle name="€’???‚›‰ 2 6 9" xfId="6417"/>
    <cellStyle name="€’???‚›‰ 2 7" xfId="6418"/>
    <cellStyle name="€’???‚›‰ 2 7 10" xfId="6419"/>
    <cellStyle name="€’???‚›‰ 2 7 11" xfId="6420"/>
    <cellStyle name="€’???‚›‰ 2 7 12" xfId="6421"/>
    <cellStyle name="€’???‚›‰ 2 7 13" xfId="6422"/>
    <cellStyle name="€’???‚›‰ 2 7 14" xfId="6423"/>
    <cellStyle name="€’???‚›‰ 2 7 15" xfId="6424"/>
    <cellStyle name="€’???‚›‰ 2 7 16" xfId="6425"/>
    <cellStyle name="€’???‚›‰ 2 7 17" xfId="6426"/>
    <cellStyle name="€’???‚›‰ 2 7 18" xfId="6427"/>
    <cellStyle name="€’???‚›‰ 2 7 2" xfId="6428"/>
    <cellStyle name="€’???‚›‰ 2 7 2 2" xfId="6429"/>
    <cellStyle name="€’???‚›‰ 2 7 2 2 2" xfId="6430"/>
    <cellStyle name="€’???‚›‰ 2 7 2 3" xfId="6431"/>
    <cellStyle name="€’???‚›‰ 2 7 2 4" xfId="6432"/>
    <cellStyle name="€’???‚›‰ 2 7 3" xfId="6433"/>
    <cellStyle name="€’???‚›‰ 2 7 3 2" xfId="6434"/>
    <cellStyle name="€’???‚›‰ 2 7 3 3" xfId="6435"/>
    <cellStyle name="€’???‚›‰ 2 7 4" xfId="6436"/>
    <cellStyle name="€’???‚›‰ 2 7 4 2" xfId="6437"/>
    <cellStyle name="€’???‚›‰ 2 7 5" xfId="6438"/>
    <cellStyle name="€’???‚›‰ 2 7 6" xfId="6439"/>
    <cellStyle name="€’???‚›‰ 2 7 7" xfId="6440"/>
    <cellStyle name="€’???‚›‰ 2 7 8" xfId="6441"/>
    <cellStyle name="€’???‚›‰ 2 7 9" xfId="6442"/>
    <cellStyle name="€’???‚›‰ 2 8" xfId="6443"/>
    <cellStyle name="€’???‚›‰ 2 8 10" xfId="6444"/>
    <cellStyle name="€’???‚›‰ 2 8 11" xfId="6445"/>
    <cellStyle name="€’???‚›‰ 2 8 12" xfId="6446"/>
    <cellStyle name="€’???‚›‰ 2 8 13" xfId="6447"/>
    <cellStyle name="€’???‚›‰ 2 8 14" xfId="6448"/>
    <cellStyle name="€’???‚›‰ 2 8 15" xfId="6449"/>
    <cellStyle name="€’???‚›‰ 2 8 16" xfId="6450"/>
    <cellStyle name="€’???‚›‰ 2 8 17" xfId="6451"/>
    <cellStyle name="€’???‚›‰ 2 8 18" xfId="6452"/>
    <cellStyle name="€’???‚›‰ 2 8 2" xfId="6453"/>
    <cellStyle name="€’???‚›‰ 2 8 2 2" xfId="6454"/>
    <cellStyle name="€’???‚›‰ 2 8 3" xfId="6455"/>
    <cellStyle name="€’???‚›‰ 2 8 4" xfId="6456"/>
    <cellStyle name="€’???‚›‰ 2 8 5" xfId="6457"/>
    <cellStyle name="€’???‚›‰ 2 8 6" xfId="6458"/>
    <cellStyle name="€’???‚›‰ 2 8 7" xfId="6459"/>
    <cellStyle name="€’???‚›‰ 2 8 8" xfId="6460"/>
    <cellStyle name="€’???‚›‰ 2 8 9" xfId="6461"/>
    <cellStyle name="€’???‚›‰ 2 9" xfId="6462"/>
    <cellStyle name="€’???‚›‰ 20" xfId="6463"/>
    <cellStyle name="€’???‚›‰ 21" xfId="6464"/>
    <cellStyle name="€’???‚›‰ 22" xfId="6465"/>
    <cellStyle name="€’???‚›‰ 23" xfId="6466"/>
    <cellStyle name="€’???‚›‰ 24" xfId="6467"/>
    <cellStyle name="€’???‚›‰ 25" xfId="6468"/>
    <cellStyle name="€’???‚›‰ 26" xfId="6469"/>
    <cellStyle name="€’???‚›‰ 27" xfId="6470"/>
    <cellStyle name="€’???‚›‰ 28" xfId="6471"/>
    <cellStyle name="€’???‚›‰ 29" xfId="6472"/>
    <cellStyle name="€’???‚›‰ 3" xfId="6473"/>
    <cellStyle name="€’???‚›‰ 3 10" xfId="6474"/>
    <cellStyle name="€’???‚›‰ 3 11" xfId="6475"/>
    <cellStyle name="€’???‚›‰ 3 12" xfId="6476"/>
    <cellStyle name="€’???‚›‰ 3 13" xfId="6477"/>
    <cellStyle name="€’???‚›‰ 3 14" xfId="6478"/>
    <cellStyle name="€’???‚›‰ 3 15" xfId="6479"/>
    <cellStyle name="€’???‚›‰ 3 16" xfId="6480"/>
    <cellStyle name="€’???‚›‰ 3 17" xfId="6481"/>
    <cellStyle name="€’???‚›‰ 3 18" xfId="6482"/>
    <cellStyle name="€’???‚›‰ 3 19" xfId="6483"/>
    <cellStyle name="€’???‚›‰ 3 2" xfId="6484"/>
    <cellStyle name="€’???‚›‰ 3 2 10" xfId="6485"/>
    <cellStyle name="€’???‚›‰ 3 2 11" xfId="6486"/>
    <cellStyle name="€’???‚›‰ 3 2 12" xfId="6487"/>
    <cellStyle name="€’???‚›‰ 3 2 13" xfId="6488"/>
    <cellStyle name="€’???‚›‰ 3 2 14" xfId="6489"/>
    <cellStyle name="€’???‚›‰ 3 2 15" xfId="6490"/>
    <cellStyle name="€’???‚›‰ 3 2 16" xfId="6491"/>
    <cellStyle name="€’???‚›‰ 3 2 17" xfId="6492"/>
    <cellStyle name="€’???‚›‰ 3 2 18" xfId="6493"/>
    <cellStyle name="€’???‚›‰ 3 2 19" xfId="6494"/>
    <cellStyle name="€’???‚›‰ 3 2 2" xfId="6495"/>
    <cellStyle name="€’???‚›‰ 3 2 2 10" xfId="6496"/>
    <cellStyle name="€’???‚›‰ 3 2 2 11" xfId="6497"/>
    <cellStyle name="€’???‚›‰ 3 2 2 12" xfId="6498"/>
    <cellStyle name="€’???‚›‰ 3 2 2 13" xfId="6499"/>
    <cellStyle name="€’???‚›‰ 3 2 2 14" xfId="6500"/>
    <cellStyle name="€’???‚›‰ 3 2 2 15" xfId="6501"/>
    <cellStyle name="€’???‚›‰ 3 2 2 16" xfId="6502"/>
    <cellStyle name="€’???‚›‰ 3 2 2 17" xfId="6503"/>
    <cellStyle name="€’???‚›‰ 3 2 2 18" xfId="6504"/>
    <cellStyle name="€’???‚›‰ 3 2 2 2" xfId="6505"/>
    <cellStyle name="€’???‚›‰ 3 2 2 2 2" xfId="6506"/>
    <cellStyle name="€’???‚›‰ 3 2 2 2 2 2" xfId="6507"/>
    <cellStyle name="€’???‚›‰ 3 2 2 2 3" xfId="6508"/>
    <cellStyle name="€’???‚›‰ 3 2 2 2 4" xfId="6509"/>
    <cellStyle name="€’???‚›‰ 3 2 2 3" xfId="6510"/>
    <cellStyle name="€’???‚›‰ 3 2 2 3 2" xfId="6511"/>
    <cellStyle name="€’???‚›‰ 3 2 2 3 3" xfId="6512"/>
    <cellStyle name="€’???‚›‰ 3 2 2 4" xfId="6513"/>
    <cellStyle name="€’???‚›‰ 3 2 2 4 2" xfId="6514"/>
    <cellStyle name="€’???‚›‰ 3 2 2 5" xfId="6515"/>
    <cellStyle name="€’???‚›‰ 3 2 2 6" xfId="6516"/>
    <cellStyle name="€’???‚›‰ 3 2 2 7" xfId="6517"/>
    <cellStyle name="€’???‚›‰ 3 2 2 8" xfId="6518"/>
    <cellStyle name="€’???‚›‰ 3 2 2 9" xfId="6519"/>
    <cellStyle name="€’???‚›‰ 3 2 20" xfId="6520"/>
    <cellStyle name="€’???‚›‰ 3 2 21" xfId="6521"/>
    <cellStyle name="€’???‚›‰ 3 2 3" xfId="6522"/>
    <cellStyle name="€’???‚›‰ 3 2 3 10" xfId="6523"/>
    <cellStyle name="€’???‚›‰ 3 2 3 11" xfId="6524"/>
    <cellStyle name="€’???‚›‰ 3 2 3 12" xfId="6525"/>
    <cellStyle name="€’???‚›‰ 3 2 3 13" xfId="6526"/>
    <cellStyle name="€’???‚›‰ 3 2 3 14" xfId="6527"/>
    <cellStyle name="€’???‚›‰ 3 2 3 15" xfId="6528"/>
    <cellStyle name="€’???‚›‰ 3 2 3 16" xfId="6529"/>
    <cellStyle name="€’???‚›‰ 3 2 3 17" xfId="6530"/>
    <cellStyle name="€’???‚›‰ 3 2 3 18" xfId="6531"/>
    <cellStyle name="€’???‚›‰ 3 2 3 2" xfId="6532"/>
    <cellStyle name="€’???‚›‰ 3 2 3 2 2" xfId="6533"/>
    <cellStyle name="€’???‚›‰ 3 2 3 2 2 2" xfId="6534"/>
    <cellStyle name="€’???‚›‰ 3 2 3 2 3" xfId="6535"/>
    <cellStyle name="€’???‚›‰ 3 2 3 2 4" xfId="6536"/>
    <cellStyle name="€’???‚›‰ 3 2 3 3" xfId="6537"/>
    <cellStyle name="€’???‚›‰ 3 2 3 3 2" xfId="6538"/>
    <cellStyle name="€’???‚›‰ 3 2 3 3 3" xfId="6539"/>
    <cellStyle name="€’???‚›‰ 3 2 3 4" xfId="6540"/>
    <cellStyle name="€’???‚›‰ 3 2 3 4 2" xfId="6541"/>
    <cellStyle name="€’???‚›‰ 3 2 3 5" xfId="6542"/>
    <cellStyle name="€’???‚›‰ 3 2 3 6" xfId="6543"/>
    <cellStyle name="€’???‚›‰ 3 2 3 7" xfId="6544"/>
    <cellStyle name="€’???‚›‰ 3 2 3 8" xfId="6545"/>
    <cellStyle name="€’???‚›‰ 3 2 3 9" xfId="6546"/>
    <cellStyle name="€’???‚›‰ 3 2 4" xfId="6547"/>
    <cellStyle name="€’???‚›‰ 3 2 4 2" xfId="6548"/>
    <cellStyle name="€’???‚›‰ 3 2 4 2 2" xfId="6549"/>
    <cellStyle name="€’???‚›‰ 3 2 4 2 3" xfId="6550"/>
    <cellStyle name="€’???‚›‰ 3 2 4 3" xfId="6551"/>
    <cellStyle name="€’???‚›‰ 3 2 4 3 2" xfId="6552"/>
    <cellStyle name="€’???‚›‰ 3 2 4 4" xfId="6553"/>
    <cellStyle name="€’???‚›‰ 3 2 4 5" xfId="6554"/>
    <cellStyle name="€’???‚›‰ 3 2 5" xfId="6555"/>
    <cellStyle name="€’???‚›‰ 3 2 5 2" xfId="6556"/>
    <cellStyle name="€’???‚›‰ 3 2 5 2 2" xfId="6557"/>
    <cellStyle name="€’???‚›‰ 3 2 5 3" xfId="6558"/>
    <cellStyle name="€’???‚›‰ 3 2 5 4" xfId="6559"/>
    <cellStyle name="€’???‚›‰ 3 2 6" xfId="6560"/>
    <cellStyle name="€’???‚›‰ 3 2 6 2" xfId="6561"/>
    <cellStyle name="€’???‚›‰ 3 2 6 3" xfId="6562"/>
    <cellStyle name="€’???‚›‰ 3 2 7" xfId="6563"/>
    <cellStyle name="€’???‚›‰ 3 2 7 2" xfId="6564"/>
    <cellStyle name="€’???‚›‰ 3 2 8" xfId="6565"/>
    <cellStyle name="€’???‚›‰ 3 2 9" xfId="6566"/>
    <cellStyle name="€’???‚›‰ 3 20" xfId="6567"/>
    <cellStyle name="€’???‚›‰ 3 21" xfId="6568"/>
    <cellStyle name="€’???‚›‰ 3 22" xfId="6569"/>
    <cellStyle name="€’???‚›‰ 3 23" xfId="6570"/>
    <cellStyle name="€’???‚›‰ 3 24" xfId="6571"/>
    <cellStyle name="€’???‚›‰ 3 25" xfId="6572"/>
    <cellStyle name="€’???‚›‰ 3 26" xfId="6573"/>
    <cellStyle name="€’???‚›‰ 3 3" xfId="6574"/>
    <cellStyle name="€’???‚›‰ 3 3 10" xfId="6575"/>
    <cellStyle name="€’???‚›‰ 3 3 11" xfId="6576"/>
    <cellStyle name="€’???‚›‰ 3 3 12" xfId="6577"/>
    <cellStyle name="€’???‚›‰ 3 3 13" xfId="6578"/>
    <cellStyle name="€’???‚›‰ 3 3 14" xfId="6579"/>
    <cellStyle name="€’???‚›‰ 3 3 15" xfId="6580"/>
    <cellStyle name="€’???‚›‰ 3 3 16" xfId="6581"/>
    <cellStyle name="€’???‚›‰ 3 3 17" xfId="6582"/>
    <cellStyle name="€’???‚›‰ 3 3 18" xfId="6583"/>
    <cellStyle name="€’???‚›‰ 3 3 19" xfId="6584"/>
    <cellStyle name="€’???‚›‰ 3 3 2" xfId="6585"/>
    <cellStyle name="€’???‚›‰ 3 3 2 10" xfId="6586"/>
    <cellStyle name="€’???‚›‰ 3 3 2 11" xfId="6587"/>
    <cellStyle name="€’???‚›‰ 3 3 2 12" xfId="6588"/>
    <cellStyle name="€’???‚›‰ 3 3 2 13" xfId="6589"/>
    <cellStyle name="€’???‚›‰ 3 3 2 14" xfId="6590"/>
    <cellStyle name="€’???‚›‰ 3 3 2 15" xfId="6591"/>
    <cellStyle name="€’???‚›‰ 3 3 2 16" xfId="6592"/>
    <cellStyle name="€’???‚›‰ 3 3 2 17" xfId="6593"/>
    <cellStyle name="€’???‚›‰ 3 3 2 18" xfId="6594"/>
    <cellStyle name="€’???‚›‰ 3 3 2 2" xfId="6595"/>
    <cellStyle name="€’???‚›‰ 3 3 2 2 2" xfId="6596"/>
    <cellStyle name="€’???‚›‰ 3 3 2 2 2 2" xfId="6597"/>
    <cellStyle name="€’???‚›‰ 3 3 2 2 3" xfId="6598"/>
    <cellStyle name="€’???‚›‰ 3 3 2 2 4" xfId="6599"/>
    <cellStyle name="€’???‚›‰ 3 3 2 3" xfId="6600"/>
    <cellStyle name="€’???‚›‰ 3 3 2 3 2" xfId="6601"/>
    <cellStyle name="€’???‚›‰ 3 3 2 3 3" xfId="6602"/>
    <cellStyle name="€’???‚›‰ 3 3 2 4" xfId="6603"/>
    <cellStyle name="€’???‚›‰ 3 3 2 4 2" xfId="6604"/>
    <cellStyle name="€’???‚›‰ 3 3 2 5" xfId="6605"/>
    <cellStyle name="€’???‚›‰ 3 3 2 6" xfId="6606"/>
    <cellStyle name="€’???‚›‰ 3 3 2 7" xfId="6607"/>
    <cellStyle name="€’???‚›‰ 3 3 2 8" xfId="6608"/>
    <cellStyle name="€’???‚›‰ 3 3 2 9" xfId="6609"/>
    <cellStyle name="€’???‚›‰ 3 3 20" xfId="6610"/>
    <cellStyle name="€’???‚›‰ 3 3 3" xfId="6611"/>
    <cellStyle name="€’???‚›‰ 3 3 3 10" xfId="6612"/>
    <cellStyle name="€’???‚›‰ 3 3 3 11" xfId="6613"/>
    <cellStyle name="€’???‚›‰ 3 3 3 12" xfId="6614"/>
    <cellStyle name="€’???‚›‰ 3 3 3 13" xfId="6615"/>
    <cellStyle name="€’???‚›‰ 3 3 3 14" xfId="6616"/>
    <cellStyle name="€’???‚›‰ 3 3 3 15" xfId="6617"/>
    <cellStyle name="€’???‚›‰ 3 3 3 16" xfId="6618"/>
    <cellStyle name="€’???‚›‰ 3 3 3 17" xfId="6619"/>
    <cellStyle name="€’???‚›‰ 3 3 3 18" xfId="6620"/>
    <cellStyle name="€’???‚›‰ 3 3 3 2" xfId="6621"/>
    <cellStyle name="€’???‚›‰ 3 3 3 2 2" xfId="6622"/>
    <cellStyle name="€’???‚›‰ 3 3 3 2 2 2" xfId="6623"/>
    <cellStyle name="€’???‚›‰ 3 3 3 2 3" xfId="6624"/>
    <cellStyle name="€’???‚›‰ 3 3 3 2 4" xfId="6625"/>
    <cellStyle name="€’???‚›‰ 3 3 3 3" xfId="6626"/>
    <cellStyle name="€’???‚›‰ 3 3 3 3 2" xfId="6627"/>
    <cellStyle name="€’???‚›‰ 3 3 3 3 3" xfId="6628"/>
    <cellStyle name="€’???‚›‰ 3 3 3 4" xfId="6629"/>
    <cellStyle name="€’???‚›‰ 3 3 3 4 2" xfId="6630"/>
    <cellStyle name="€’???‚›‰ 3 3 3 5" xfId="6631"/>
    <cellStyle name="€’???‚›‰ 3 3 3 6" xfId="6632"/>
    <cellStyle name="€’???‚›‰ 3 3 3 7" xfId="6633"/>
    <cellStyle name="€’???‚›‰ 3 3 3 8" xfId="6634"/>
    <cellStyle name="€’???‚›‰ 3 3 3 9" xfId="6635"/>
    <cellStyle name="€’???‚›‰ 3 3 4" xfId="6636"/>
    <cellStyle name="€’???‚›‰ 3 3 4 2" xfId="6637"/>
    <cellStyle name="€’???‚›‰ 3 3 4 2 2" xfId="6638"/>
    <cellStyle name="€’???‚›‰ 3 3 4 2 3" xfId="6639"/>
    <cellStyle name="€’???‚›‰ 3 3 4 3" xfId="6640"/>
    <cellStyle name="€’???‚›‰ 3 3 4 3 2" xfId="6641"/>
    <cellStyle name="€’???‚›‰ 3 3 4 4" xfId="6642"/>
    <cellStyle name="€’???‚›‰ 3 3 4 5" xfId="6643"/>
    <cellStyle name="€’???‚›‰ 3 3 5" xfId="6644"/>
    <cellStyle name="€’???‚›‰ 3 3 5 2" xfId="6645"/>
    <cellStyle name="€’???‚›‰ 3 3 5 2 2" xfId="6646"/>
    <cellStyle name="€’???‚›‰ 3 3 5 3" xfId="6647"/>
    <cellStyle name="€’???‚›‰ 3 3 5 4" xfId="6648"/>
    <cellStyle name="€’???‚›‰ 3 3 6" xfId="6649"/>
    <cellStyle name="€’???‚›‰ 3 3 6 2" xfId="6650"/>
    <cellStyle name="€’???‚›‰ 3 3 6 3" xfId="6651"/>
    <cellStyle name="€’???‚›‰ 3 3 7" xfId="6652"/>
    <cellStyle name="€’???‚›‰ 3 3 7 2" xfId="6653"/>
    <cellStyle name="€’???‚›‰ 3 3 8" xfId="6654"/>
    <cellStyle name="€’???‚›‰ 3 3 9" xfId="6655"/>
    <cellStyle name="€’???‚›‰ 3 4" xfId="6656"/>
    <cellStyle name="€’???‚›‰ 3 4 10" xfId="6657"/>
    <cellStyle name="€’???‚›‰ 3 4 11" xfId="6658"/>
    <cellStyle name="€’???‚›‰ 3 4 12" xfId="6659"/>
    <cellStyle name="€’???‚›‰ 3 4 13" xfId="6660"/>
    <cellStyle name="€’???‚›‰ 3 4 14" xfId="6661"/>
    <cellStyle name="€’???‚›‰ 3 4 15" xfId="6662"/>
    <cellStyle name="€’???‚›‰ 3 4 16" xfId="6663"/>
    <cellStyle name="€’???‚›‰ 3 4 17" xfId="6664"/>
    <cellStyle name="€’???‚›‰ 3 4 18" xfId="6665"/>
    <cellStyle name="€’???‚›‰ 3 4 19" xfId="6666"/>
    <cellStyle name="€’???‚›‰ 3 4 2" xfId="6667"/>
    <cellStyle name="€’???‚›‰ 3 4 2 10" xfId="6668"/>
    <cellStyle name="€’???‚›‰ 3 4 2 11" xfId="6669"/>
    <cellStyle name="€’???‚›‰ 3 4 2 12" xfId="6670"/>
    <cellStyle name="€’???‚›‰ 3 4 2 13" xfId="6671"/>
    <cellStyle name="€’???‚›‰ 3 4 2 14" xfId="6672"/>
    <cellStyle name="€’???‚›‰ 3 4 2 15" xfId="6673"/>
    <cellStyle name="€’???‚›‰ 3 4 2 16" xfId="6674"/>
    <cellStyle name="€’???‚›‰ 3 4 2 17" xfId="6675"/>
    <cellStyle name="€’???‚›‰ 3 4 2 18" xfId="6676"/>
    <cellStyle name="€’???‚›‰ 3 4 2 2" xfId="6677"/>
    <cellStyle name="€’???‚›‰ 3 4 2 2 2" xfId="6678"/>
    <cellStyle name="€’???‚›‰ 3 4 2 2 2 2" xfId="6679"/>
    <cellStyle name="€’???‚›‰ 3 4 2 2 3" xfId="6680"/>
    <cellStyle name="€’???‚›‰ 3 4 2 2 4" xfId="6681"/>
    <cellStyle name="€’???‚›‰ 3 4 2 3" xfId="6682"/>
    <cellStyle name="€’???‚›‰ 3 4 2 3 2" xfId="6683"/>
    <cellStyle name="€’???‚›‰ 3 4 2 3 3" xfId="6684"/>
    <cellStyle name="€’???‚›‰ 3 4 2 4" xfId="6685"/>
    <cellStyle name="€’???‚›‰ 3 4 2 4 2" xfId="6686"/>
    <cellStyle name="€’???‚›‰ 3 4 2 5" xfId="6687"/>
    <cellStyle name="€’???‚›‰ 3 4 2 6" xfId="6688"/>
    <cellStyle name="€’???‚›‰ 3 4 2 7" xfId="6689"/>
    <cellStyle name="€’???‚›‰ 3 4 2 8" xfId="6690"/>
    <cellStyle name="€’???‚›‰ 3 4 2 9" xfId="6691"/>
    <cellStyle name="€’???‚›‰ 3 4 20" xfId="6692"/>
    <cellStyle name="€’???‚›‰ 3 4 21" xfId="6693"/>
    <cellStyle name="€’???‚›‰ 3 4 3" xfId="6694"/>
    <cellStyle name="€’???‚›‰ 3 4 3 10" xfId="6695"/>
    <cellStyle name="€’???‚›‰ 3 4 3 11" xfId="6696"/>
    <cellStyle name="€’???‚›‰ 3 4 3 12" xfId="6697"/>
    <cellStyle name="€’???‚›‰ 3 4 3 13" xfId="6698"/>
    <cellStyle name="€’???‚›‰ 3 4 3 14" xfId="6699"/>
    <cellStyle name="€’???‚›‰ 3 4 3 15" xfId="6700"/>
    <cellStyle name="€’???‚›‰ 3 4 3 16" xfId="6701"/>
    <cellStyle name="€’???‚›‰ 3 4 3 17" xfId="6702"/>
    <cellStyle name="€’???‚›‰ 3 4 3 18" xfId="6703"/>
    <cellStyle name="€’???‚›‰ 3 4 3 2" xfId="6704"/>
    <cellStyle name="€’???‚›‰ 3 4 3 2 2" xfId="6705"/>
    <cellStyle name="€’???‚›‰ 3 4 3 2 2 2" xfId="6706"/>
    <cellStyle name="€’???‚›‰ 3 4 3 2 3" xfId="6707"/>
    <cellStyle name="€’???‚›‰ 3 4 3 2 4" xfId="6708"/>
    <cellStyle name="€’???‚›‰ 3 4 3 3" xfId="6709"/>
    <cellStyle name="€’???‚›‰ 3 4 3 3 2" xfId="6710"/>
    <cellStyle name="€’???‚›‰ 3 4 3 3 3" xfId="6711"/>
    <cellStyle name="€’???‚›‰ 3 4 3 4" xfId="6712"/>
    <cellStyle name="€’???‚›‰ 3 4 3 4 2" xfId="6713"/>
    <cellStyle name="€’???‚›‰ 3 4 3 5" xfId="6714"/>
    <cellStyle name="€’???‚›‰ 3 4 3 6" xfId="6715"/>
    <cellStyle name="€’???‚›‰ 3 4 3 7" xfId="6716"/>
    <cellStyle name="€’???‚›‰ 3 4 3 8" xfId="6717"/>
    <cellStyle name="€’???‚›‰ 3 4 3 9" xfId="6718"/>
    <cellStyle name="€’???‚›‰ 3 4 4" xfId="6719"/>
    <cellStyle name="€’???‚›‰ 3 4 4 2" xfId="6720"/>
    <cellStyle name="€’???‚›‰ 3 4 4 2 2" xfId="6721"/>
    <cellStyle name="€’???‚›‰ 3 4 4 2 3" xfId="6722"/>
    <cellStyle name="€’???‚›‰ 3 4 4 3" xfId="6723"/>
    <cellStyle name="€’???‚›‰ 3 4 4 3 2" xfId="6724"/>
    <cellStyle name="€’???‚›‰ 3 4 4 4" xfId="6725"/>
    <cellStyle name="€’???‚›‰ 3 4 4 5" xfId="6726"/>
    <cellStyle name="€’???‚›‰ 3 4 5" xfId="6727"/>
    <cellStyle name="€’???‚›‰ 3 4 5 2" xfId="6728"/>
    <cellStyle name="€’???‚›‰ 3 4 5 2 2" xfId="6729"/>
    <cellStyle name="€’???‚›‰ 3 4 5 3" xfId="6730"/>
    <cellStyle name="€’???‚›‰ 3 4 5 4" xfId="6731"/>
    <cellStyle name="€’???‚›‰ 3 4 6" xfId="6732"/>
    <cellStyle name="€’???‚›‰ 3 4 6 2" xfId="6733"/>
    <cellStyle name="€’???‚›‰ 3 4 6 3" xfId="6734"/>
    <cellStyle name="€’???‚›‰ 3 4 7" xfId="6735"/>
    <cellStyle name="€’???‚›‰ 3 4 7 2" xfId="6736"/>
    <cellStyle name="€’???‚›‰ 3 4 8" xfId="6737"/>
    <cellStyle name="€’???‚›‰ 3 4 9" xfId="6738"/>
    <cellStyle name="€’???‚›‰ 3 5" xfId="6739"/>
    <cellStyle name="€’???‚›‰ 3 5 10" xfId="6740"/>
    <cellStyle name="€’???‚›‰ 3 5 11" xfId="6741"/>
    <cellStyle name="€’???‚›‰ 3 5 12" xfId="6742"/>
    <cellStyle name="€’???‚›‰ 3 5 13" xfId="6743"/>
    <cellStyle name="€’???‚›‰ 3 5 14" xfId="6744"/>
    <cellStyle name="€’???‚›‰ 3 5 15" xfId="6745"/>
    <cellStyle name="€’???‚›‰ 3 5 16" xfId="6746"/>
    <cellStyle name="€’???‚›‰ 3 5 17" xfId="6747"/>
    <cellStyle name="€’???‚›‰ 3 5 18" xfId="6748"/>
    <cellStyle name="€’???‚›‰ 3 5 19" xfId="6749"/>
    <cellStyle name="€’???‚›‰ 3 5 2" xfId="6750"/>
    <cellStyle name="€’???‚›‰ 3 5 2 10" xfId="6751"/>
    <cellStyle name="€’???‚›‰ 3 5 2 11" xfId="6752"/>
    <cellStyle name="€’???‚›‰ 3 5 2 12" xfId="6753"/>
    <cellStyle name="€’???‚›‰ 3 5 2 13" xfId="6754"/>
    <cellStyle name="€’???‚›‰ 3 5 2 14" xfId="6755"/>
    <cellStyle name="€’???‚›‰ 3 5 2 15" xfId="6756"/>
    <cellStyle name="€’???‚›‰ 3 5 2 16" xfId="6757"/>
    <cellStyle name="€’???‚›‰ 3 5 2 17" xfId="6758"/>
    <cellStyle name="€’???‚›‰ 3 5 2 18" xfId="6759"/>
    <cellStyle name="€’???‚›‰ 3 5 2 2" xfId="6760"/>
    <cellStyle name="€’???‚›‰ 3 5 2 2 2" xfId="6761"/>
    <cellStyle name="€’???‚›‰ 3 5 2 2 2 2" xfId="6762"/>
    <cellStyle name="€’???‚›‰ 3 5 2 2 3" xfId="6763"/>
    <cellStyle name="€’???‚›‰ 3 5 2 2 4" xfId="6764"/>
    <cellStyle name="€’???‚›‰ 3 5 2 3" xfId="6765"/>
    <cellStyle name="€’???‚›‰ 3 5 2 3 2" xfId="6766"/>
    <cellStyle name="€’???‚›‰ 3 5 2 3 3" xfId="6767"/>
    <cellStyle name="€’???‚›‰ 3 5 2 4" xfId="6768"/>
    <cellStyle name="€’???‚›‰ 3 5 2 4 2" xfId="6769"/>
    <cellStyle name="€’???‚›‰ 3 5 2 5" xfId="6770"/>
    <cellStyle name="€’???‚›‰ 3 5 2 6" xfId="6771"/>
    <cellStyle name="€’???‚›‰ 3 5 2 7" xfId="6772"/>
    <cellStyle name="€’???‚›‰ 3 5 2 8" xfId="6773"/>
    <cellStyle name="€’???‚›‰ 3 5 2 9" xfId="6774"/>
    <cellStyle name="€’???‚›‰ 3 5 20" xfId="6775"/>
    <cellStyle name="€’???‚›‰ 3 5 3" xfId="6776"/>
    <cellStyle name="€’???‚›‰ 3 5 3 10" xfId="6777"/>
    <cellStyle name="€’???‚›‰ 3 5 3 11" xfId="6778"/>
    <cellStyle name="€’???‚›‰ 3 5 3 12" xfId="6779"/>
    <cellStyle name="€’???‚›‰ 3 5 3 13" xfId="6780"/>
    <cellStyle name="€’???‚›‰ 3 5 3 14" xfId="6781"/>
    <cellStyle name="€’???‚›‰ 3 5 3 15" xfId="6782"/>
    <cellStyle name="€’???‚›‰ 3 5 3 16" xfId="6783"/>
    <cellStyle name="€’???‚›‰ 3 5 3 17" xfId="6784"/>
    <cellStyle name="€’???‚›‰ 3 5 3 18" xfId="6785"/>
    <cellStyle name="€’???‚›‰ 3 5 3 2" xfId="6786"/>
    <cellStyle name="€’???‚›‰ 3 5 3 2 2" xfId="6787"/>
    <cellStyle name="€’???‚›‰ 3 5 3 2 2 2" xfId="6788"/>
    <cellStyle name="€’???‚›‰ 3 5 3 2 3" xfId="6789"/>
    <cellStyle name="€’???‚›‰ 3 5 3 2 4" xfId="6790"/>
    <cellStyle name="€’???‚›‰ 3 5 3 3" xfId="6791"/>
    <cellStyle name="€’???‚›‰ 3 5 3 3 2" xfId="6792"/>
    <cellStyle name="€’???‚›‰ 3 5 3 3 3" xfId="6793"/>
    <cellStyle name="€’???‚›‰ 3 5 3 4" xfId="6794"/>
    <cellStyle name="€’???‚›‰ 3 5 3 4 2" xfId="6795"/>
    <cellStyle name="€’???‚›‰ 3 5 3 5" xfId="6796"/>
    <cellStyle name="€’???‚›‰ 3 5 3 6" xfId="6797"/>
    <cellStyle name="€’???‚›‰ 3 5 3 7" xfId="6798"/>
    <cellStyle name="€’???‚›‰ 3 5 3 8" xfId="6799"/>
    <cellStyle name="€’???‚›‰ 3 5 3 9" xfId="6800"/>
    <cellStyle name="€’???‚›‰ 3 5 4" xfId="6801"/>
    <cellStyle name="€’???‚›‰ 3 5 4 2" xfId="6802"/>
    <cellStyle name="€’???‚›‰ 3 5 4 2 2" xfId="6803"/>
    <cellStyle name="€’???‚›‰ 3 5 4 3" xfId="6804"/>
    <cellStyle name="€’???‚›‰ 3 5 4 4" xfId="6805"/>
    <cellStyle name="€’???‚›‰ 3 5 5" xfId="6806"/>
    <cellStyle name="€’???‚›‰ 3 5 5 2" xfId="6807"/>
    <cellStyle name="€’???‚›‰ 3 5 5 3" xfId="6808"/>
    <cellStyle name="€’???‚›‰ 3 5 6" xfId="6809"/>
    <cellStyle name="€’???‚›‰ 3 5 6 2" xfId="6810"/>
    <cellStyle name="€’???‚›‰ 3 5 7" xfId="6811"/>
    <cellStyle name="€’???‚›‰ 3 5 8" xfId="6812"/>
    <cellStyle name="€’???‚›‰ 3 5 9" xfId="6813"/>
    <cellStyle name="€’???‚›‰ 3 6" xfId="6814"/>
    <cellStyle name="€’???‚›‰ 3 6 10" xfId="6815"/>
    <cellStyle name="€’???‚›‰ 3 6 11" xfId="6816"/>
    <cellStyle name="€’???‚›‰ 3 6 12" xfId="6817"/>
    <cellStyle name="€’???‚›‰ 3 6 13" xfId="6818"/>
    <cellStyle name="€’???‚›‰ 3 6 14" xfId="6819"/>
    <cellStyle name="€’???‚›‰ 3 6 15" xfId="6820"/>
    <cellStyle name="€’???‚›‰ 3 6 16" xfId="6821"/>
    <cellStyle name="€’???‚›‰ 3 6 17" xfId="6822"/>
    <cellStyle name="€’???‚›‰ 3 6 18" xfId="6823"/>
    <cellStyle name="€’???‚›‰ 3 6 19" xfId="6824"/>
    <cellStyle name="€’???‚›‰ 3 6 2" xfId="6825"/>
    <cellStyle name="€’???‚›‰ 3 6 2 10" xfId="6826"/>
    <cellStyle name="€’???‚›‰ 3 6 2 11" xfId="6827"/>
    <cellStyle name="€’???‚›‰ 3 6 2 12" xfId="6828"/>
    <cellStyle name="€’???‚›‰ 3 6 2 13" xfId="6829"/>
    <cellStyle name="€’???‚›‰ 3 6 2 14" xfId="6830"/>
    <cellStyle name="€’???‚›‰ 3 6 2 15" xfId="6831"/>
    <cellStyle name="€’???‚›‰ 3 6 2 16" xfId="6832"/>
    <cellStyle name="€’???‚›‰ 3 6 2 17" xfId="6833"/>
    <cellStyle name="€’???‚›‰ 3 6 2 18" xfId="6834"/>
    <cellStyle name="€’???‚›‰ 3 6 2 2" xfId="6835"/>
    <cellStyle name="€’???‚›‰ 3 6 2 2 2" xfId="6836"/>
    <cellStyle name="€’???‚›‰ 3 6 2 2 2 2" xfId="6837"/>
    <cellStyle name="€’???‚›‰ 3 6 2 2 3" xfId="6838"/>
    <cellStyle name="€’???‚›‰ 3 6 2 2 4" xfId="6839"/>
    <cellStyle name="€’???‚›‰ 3 6 2 3" xfId="6840"/>
    <cellStyle name="€’???‚›‰ 3 6 2 3 2" xfId="6841"/>
    <cellStyle name="€’???‚›‰ 3 6 2 3 3" xfId="6842"/>
    <cellStyle name="€’???‚›‰ 3 6 2 4" xfId="6843"/>
    <cellStyle name="€’???‚›‰ 3 6 2 4 2" xfId="6844"/>
    <cellStyle name="€’???‚›‰ 3 6 2 5" xfId="6845"/>
    <cellStyle name="€’???‚›‰ 3 6 2 6" xfId="6846"/>
    <cellStyle name="€’???‚›‰ 3 6 2 7" xfId="6847"/>
    <cellStyle name="€’???‚›‰ 3 6 2 8" xfId="6848"/>
    <cellStyle name="€’???‚›‰ 3 6 2 9" xfId="6849"/>
    <cellStyle name="€’???‚›‰ 3 6 20" xfId="6850"/>
    <cellStyle name="€’???‚›‰ 3 6 3" xfId="6851"/>
    <cellStyle name="€’???‚›‰ 3 6 3 10" xfId="6852"/>
    <cellStyle name="€’???‚›‰ 3 6 3 11" xfId="6853"/>
    <cellStyle name="€’???‚›‰ 3 6 3 12" xfId="6854"/>
    <cellStyle name="€’???‚›‰ 3 6 3 13" xfId="6855"/>
    <cellStyle name="€’???‚›‰ 3 6 3 14" xfId="6856"/>
    <cellStyle name="€’???‚›‰ 3 6 3 15" xfId="6857"/>
    <cellStyle name="€’???‚›‰ 3 6 3 16" xfId="6858"/>
    <cellStyle name="€’???‚›‰ 3 6 3 17" xfId="6859"/>
    <cellStyle name="€’???‚›‰ 3 6 3 18" xfId="6860"/>
    <cellStyle name="€’???‚›‰ 3 6 3 2" xfId="6861"/>
    <cellStyle name="€’???‚›‰ 3 6 3 2 2" xfId="6862"/>
    <cellStyle name="€’???‚›‰ 3 6 3 2 2 2" xfId="6863"/>
    <cellStyle name="€’???‚›‰ 3 6 3 2 3" xfId="6864"/>
    <cellStyle name="€’???‚›‰ 3 6 3 2 4" xfId="6865"/>
    <cellStyle name="€’???‚›‰ 3 6 3 3" xfId="6866"/>
    <cellStyle name="€’???‚›‰ 3 6 3 3 2" xfId="6867"/>
    <cellStyle name="€’???‚›‰ 3 6 3 3 3" xfId="6868"/>
    <cellStyle name="€’???‚›‰ 3 6 3 4" xfId="6869"/>
    <cellStyle name="€’???‚›‰ 3 6 3 4 2" xfId="6870"/>
    <cellStyle name="€’???‚›‰ 3 6 3 5" xfId="6871"/>
    <cellStyle name="€’???‚›‰ 3 6 3 6" xfId="6872"/>
    <cellStyle name="€’???‚›‰ 3 6 3 7" xfId="6873"/>
    <cellStyle name="€’???‚›‰ 3 6 3 8" xfId="6874"/>
    <cellStyle name="€’???‚›‰ 3 6 3 9" xfId="6875"/>
    <cellStyle name="€’???‚›‰ 3 6 4" xfId="6876"/>
    <cellStyle name="€’???‚›‰ 3 6 4 2" xfId="6877"/>
    <cellStyle name="€’???‚›‰ 3 6 4 2 2" xfId="6878"/>
    <cellStyle name="€’???‚›‰ 3 6 4 2 3" xfId="6879"/>
    <cellStyle name="€’???‚›‰ 3 6 4 3" xfId="6880"/>
    <cellStyle name="€’???‚›‰ 3 6 4 3 2" xfId="6881"/>
    <cellStyle name="€’???‚›‰ 3 6 4 4" xfId="6882"/>
    <cellStyle name="€’???‚›‰ 3 6 4 5" xfId="6883"/>
    <cellStyle name="€’???‚›‰ 3 6 5" xfId="6884"/>
    <cellStyle name="€’???‚›‰ 3 6 5 2" xfId="6885"/>
    <cellStyle name="€’???‚›‰ 3 6 5 2 2" xfId="6886"/>
    <cellStyle name="€’???‚›‰ 3 6 5 3" xfId="6887"/>
    <cellStyle name="€’???‚›‰ 3 6 5 4" xfId="6888"/>
    <cellStyle name="€’???‚›‰ 3 6 6" xfId="6889"/>
    <cellStyle name="€’???‚›‰ 3 6 6 2" xfId="6890"/>
    <cellStyle name="€’???‚›‰ 3 6 7" xfId="6891"/>
    <cellStyle name="€’???‚›‰ 3 6 8" xfId="6892"/>
    <cellStyle name="€’???‚›‰ 3 6 9" xfId="6893"/>
    <cellStyle name="€’???‚›‰ 3 7" xfId="6894"/>
    <cellStyle name="€’???‚›‰ 3 7 10" xfId="6895"/>
    <cellStyle name="€’???‚›‰ 3 7 11" xfId="6896"/>
    <cellStyle name="€’???‚›‰ 3 7 12" xfId="6897"/>
    <cellStyle name="€’???‚›‰ 3 7 13" xfId="6898"/>
    <cellStyle name="€’???‚›‰ 3 7 14" xfId="6899"/>
    <cellStyle name="€’???‚›‰ 3 7 15" xfId="6900"/>
    <cellStyle name="€’???‚›‰ 3 7 16" xfId="6901"/>
    <cellStyle name="€’???‚›‰ 3 7 17" xfId="6902"/>
    <cellStyle name="€’???‚›‰ 3 7 18" xfId="6903"/>
    <cellStyle name="€’???‚›‰ 3 7 2" xfId="6904"/>
    <cellStyle name="€’???‚›‰ 3 7 2 2" xfId="6905"/>
    <cellStyle name="€’???‚›‰ 3 7 2 2 2" xfId="6906"/>
    <cellStyle name="€’???‚›‰ 3 7 2 3" xfId="6907"/>
    <cellStyle name="€’???‚›‰ 3 7 2 4" xfId="6908"/>
    <cellStyle name="€’???‚›‰ 3 7 3" xfId="6909"/>
    <cellStyle name="€’???‚›‰ 3 7 3 2" xfId="6910"/>
    <cellStyle name="€’???‚›‰ 3 7 3 3" xfId="6911"/>
    <cellStyle name="€’???‚›‰ 3 7 4" xfId="6912"/>
    <cellStyle name="€’???‚›‰ 3 7 4 2" xfId="6913"/>
    <cellStyle name="€’???‚›‰ 3 7 5" xfId="6914"/>
    <cellStyle name="€’???‚›‰ 3 7 6" xfId="6915"/>
    <cellStyle name="€’???‚›‰ 3 7 7" xfId="6916"/>
    <cellStyle name="€’???‚›‰ 3 7 8" xfId="6917"/>
    <cellStyle name="€’???‚›‰ 3 7 9" xfId="6918"/>
    <cellStyle name="€’???‚›‰ 3 8" xfId="6919"/>
    <cellStyle name="€’???‚›‰ 3 8 10" xfId="6920"/>
    <cellStyle name="€’???‚›‰ 3 8 11" xfId="6921"/>
    <cellStyle name="€’???‚›‰ 3 8 12" xfId="6922"/>
    <cellStyle name="€’???‚›‰ 3 8 13" xfId="6923"/>
    <cellStyle name="€’???‚›‰ 3 8 14" xfId="6924"/>
    <cellStyle name="€’???‚›‰ 3 8 15" xfId="6925"/>
    <cellStyle name="€’???‚›‰ 3 8 16" xfId="6926"/>
    <cellStyle name="€’???‚›‰ 3 8 17" xfId="6927"/>
    <cellStyle name="€’???‚›‰ 3 8 18" xfId="6928"/>
    <cellStyle name="€’???‚›‰ 3 8 2" xfId="6929"/>
    <cellStyle name="€’???‚›‰ 3 8 2 2" xfId="6930"/>
    <cellStyle name="€’???‚›‰ 3 8 3" xfId="6931"/>
    <cellStyle name="€’???‚›‰ 3 8 4" xfId="6932"/>
    <cellStyle name="€’???‚›‰ 3 8 5" xfId="6933"/>
    <cellStyle name="€’???‚›‰ 3 8 6" xfId="6934"/>
    <cellStyle name="€’???‚›‰ 3 8 7" xfId="6935"/>
    <cellStyle name="€’???‚›‰ 3 8 8" xfId="6936"/>
    <cellStyle name="€’???‚›‰ 3 8 9" xfId="6937"/>
    <cellStyle name="€’???‚›‰ 3 9" xfId="6938"/>
    <cellStyle name="€’???‚›‰ 30" xfId="6939"/>
    <cellStyle name="€’???‚›‰ 4" xfId="6940"/>
    <cellStyle name="€’???‚›‰ 4 10" xfId="6941"/>
    <cellStyle name="€’???‚›‰ 4 11" xfId="6942"/>
    <cellStyle name="€’???‚›‰ 4 12" xfId="6943"/>
    <cellStyle name="€’???‚›‰ 4 13" xfId="6944"/>
    <cellStyle name="€’???‚›‰ 4 14" xfId="6945"/>
    <cellStyle name="€’???‚›‰ 4 15" xfId="6946"/>
    <cellStyle name="€’???‚›‰ 4 16" xfId="6947"/>
    <cellStyle name="€’???‚›‰ 4 17" xfId="6948"/>
    <cellStyle name="€’???‚›‰ 4 18" xfId="6949"/>
    <cellStyle name="€’???‚›‰ 4 19" xfId="6950"/>
    <cellStyle name="€’???‚›‰ 4 2" xfId="6951"/>
    <cellStyle name="€’???‚›‰ 4 2 10" xfId="6952"/>
    <cellStyle name="€’???‚›‰ 4 2 11" xfId="6953"/>
    <cellStyle name="€’???‚›‰ 4 2 12" xfId="6954"/>
    <cellStyle name="€’???‚›‰ 4 2 13" xfId="6955"/>
    <cellStyle name="€’???‚›‰ 4 2 14" xfId="6956"/>
    <cellStyle name="€’???‚›‰ 4 2 15" xfId="6957"/>
    <cellStyle name="€’???‚›‰ 4 2 16" xfId="6958"/>
    <cellStyle name="€’???‚›‰ 4 2 17" xfId="6959"/>
    <cellStyle name="€’???‚›‰ 4 2 18" xfId="6960"/>
    <cellStyle name="€’???‚›‰ 4 2 19" xfId="6961"/>
    <cellStyle name="€’???‚›‰ 4 2 2" xfId="6962"/>
    <cellStyle name="€’???‚›‰ 4 2 2 10" xfId="6963"/>
    <cellStyle name="€’???‚›‰ 4 2 2 11" xfId="6964"/>
    <cellStyle name="€’???‚›‰ 4 2 2 12" xfId="6965"/>
    <cellStyle name="€’???‚›‰ 4 2 2 13" xfId="6966"/>
    <cellStyle name="€’???‚›‰ 4 2 2 14" xfId="6967"/>
    <cellStyle name="€’???‚›‰ 4 2 2 15" xfId="6968"/>
    <cellStyle name="€’???‚›‰ 4 2 2 16" xfId="6969"/>
    <cellStyle name="€’???‚›‰ 4 2 2 17" xfId="6970"/>
    <cellStyle name="€’???‚›‰ 4 2 2 18" xfId="6971"/>
    <cellStyle name="€’???‚›‰ 4 2 2 2" xfId="6972"/>
    <cellStyle name="€’???‚›‰ 4 2 2 2 2" xfId="6973"/>
    <cellStyle name="€’???‚›‰ 4 2 2 2 2 2" xfId="6974"/>
    <cellStyle name="€’???‚›‰ 4 2 2 2 3" xfId="6975"/>
    <cellStyle name="€’???‚›‰ 4 2 2 2 4" xfId="6976"/>
    <cellStyle name="€’???‚›‰ 4 2 2 3" xfId="6977"/>
    <cellStyle name="€’???‚›‰ 4 2 2 3 2" xfId="6978"/>
    <cellStyle name="€’???‚›‰ 4 2 2 3 3" xfId="6979"/>
    <cellStyle name="€’???‚›‰ 4 2 2 4" xfId="6980"/>
    <cellStyle name="€’???‚›‰ 4 2 2 4 2" xfId="6981"/>
    <cellStyle name="€’???‚›‰ 4 2 2 5" xfId="6982"/>
    <cellStyle name="€’???‚›‰ 4 2 2 6" xfId="6983"/>
    <cellStyle name="€’???‚›‰ 4 2 2 7" xfId="6984"/>
    <cellStyle name="€’???‚›‰ 4 2 2 8" xfId="6985"/>
    <cellStyle name="€’???‚›‰ 4 2 2 9" xfId="6986"/>
    <cellStyle name="€’???‚›‰ 4 2 20" xfId="6987"/>
    <cellStyle name="€’???‚›‰ 4 2 21" xfId="6988"/>
    <cellStyle name="€’???‚›‰ 4 2 3" xfId="6989"/>
    <cellStyle name="€’???‚›‰ 4 2 3 10" xfId="6990"/>
    <cellStyle name="€’???‚›‰ 4 2 3 11" xfId="6991"/>
    <cellStyle name="€’???‚›‰ 4 2 3 12" xfId="6992"/>
    <cellStyle name="€’???‚›‰ 4 2 3 13" xfId="6993"/>
    <cellStyle name="€’???‚›‰ 4 2 3 14" xfId="6994"/>
    <cellStyle name="€’???‚›‰ 4 2 3 15" xfId="6995"/>
    <cellStyle name="€’???‚›‰ 4 2 3 16" xfId="6996"/>
    <cellStyle name="€’???‚›‰ 4 2 3 17" xfId="6997"/>
    <cellStyle name="€’???‚›‰ 4 2 3 18" xfId="6998"/>
    <cellStyle name="€’???‚›‰ 4 2 3 2" xfId="6999"/>
    <cellStyle name="€’???‚›‰ 4 2 3 2 2" xfId="7000"/>
    <cellStyle name="€’???‚›‰ 4 2 3 2 2 2" xfId="7001"/>
    <cellStyle name="€’???‚›‰ 4 2 3 2 3" xfId="7002"/>
    <cellStyle name="€’???‚›‰ 4 2 3 2 4" xfId="7003"/>
    <cellStyle name="€’???‚›‰ 4 2 3 3" xfId="7004"/>
    <cellStyle name="€’???‚›‰ 4 2 3 3 2" xfId="7005"/>
    <cellStyle name="€’???‚›‰ 4 2 3 3 3" xfId="7006"/>
    <cellStyle name="€’???‚›‰ 4 2 3 4" xfId="7007"/>
    <cellStyle name="€’???‚›‰ 4 2 3 4 2" xfId="7008"/>
    <cellStyle name="€’???‚›‰ 4 2 3 5" xfId="7009"/>
    <cellStyle name="€’???‚›‰ 4 2 3 6" xfId="7010"/>
    <cellStyle name="€’???‚›‰ 4 2 3 7" xfId="7011"/>
    <cellStyle name="€’???‚›‰ 4 2 3 8" xfId="7012"/>
    <cellStyle name="€’???‚›‰ 4 2 3 9" xfId="7013"/>
    <cellStyle name="€’???‚›‰ 4 2 4" xfId="7014"/>
    <cellStyle name="€’???‚›‰ 4 2 4 2" xfId="7015"/>
    <cellStyle name="€’???‚›‰ 4 2 4 2 2" xfId="7016"/>
    <cellStyle name="€’???‚›‰ 4 2 4 2 3" xfId="7017"/>
    <cellStyle name="€’???‚›‰ 4 2 4 3" xfId="7018"/>
    <cellStyle name="€’???‚›‰ 4 2 4 3 2" xfId="7019"/>
    <cellStyle name="€’???‚›‰ 4 2 4 4" xfId="7020"/>
    <cellStyle name="€’???‚›‰ 4 2 4 5" xfId="7021"/>
    <cellStyle name="€’???‚›‰ 4 2 5" xfId="7022"/>
    <cellStyle name="€’???‚›‰ 4 2 5 2" xfId="7023"/>
    <cellStyle name="€’???‚›‰ 4 2 5 2 2" xfId="7024"/>
    <cellStyle name="€’???‚›‰ 4 2 5 3" xfId="7025"/>
    <cellStyle name="€’???‚›‰ 4 2 5 4" xfId="7026"/>
    <cellStyle name="€’???‚›‰ 4 2 6" xfId="7027"/>
    <cellStyle name="€’???‚›‰ 4 2 6 2" xfId="7028"/>
    <cellStyle name="€’???‚›‰ 4 2 6 3" xfId="7029"/>
    <cellStyle name="€’???‚›‰ 4 2 7" xfId="7030"/>
    <cellStyle name="€’???‚›‰ 4 2 7 2" xfId="7031"/>
    <cellStyle name="€’???‚›‰ 4 2 8" xfId="7032"/>
    <cellStyle name="€’???‚›‰ 4 2 9" xfId="7033"/>
    <cellStyle name="€’???‚›‰ 4 20" xfId="7034"/>
    <cellStyle name="€’???‚›‰ 4 21" xfId="7035"/>
    <cellStyle name="€’???‚›‰ 4 22" xfId="7036"/>
    <cellStyle name="€’???‚›‰ 4 23" xfId="7037"/>
    <cellStyle name="€’???‚›‰ 4 24" xfId="7038"/>
    <cellStyle name="€’???‚›‰ 4 25" xfId="7039"/>
    <cellStyle name="€’???‚›‰ 4 26" xfId="7040"/>
    <cellStyle name="€’???‚›‰ 4 3" xfId="7041"/>
    <cellStyle name="€’???‚›‰ 4 3 10" xfId="7042"/>
    <cellStyle name="€’???‚›‰ 4 3 11" xfId="7043"/>
    <cellStyle name="€’???‚›‰ 4 3 12" xfId="7044"/>
    <cellStyle name="€’???‚›‰ 4 3 13" xfId="7045"/>
    <cellStyle name="€’???‚›‰ 4 3 14" xfId="7046"/>
    <cellStyle name="€’???‚›‰ 4 3 15" xfId="7047"/>
    <cellStyle name="€’???‚›‰ 4 3 16" xfId="7048"/>
    <cellStyle name="€’???‚›‰ 4 3 17" xfId="7049"/>
    <cellStyle name="€’???‚›‰ 4 3 18" xfId="7050"/>
    <cellStyle name="€’???‚›‰ 4 3 19" xfId="7051"/>
    <cellStyle name="€’???‚›‰ 4 3 2" xfId="7052"/>
    <cellStyle name="€’???‚›‰ 4 3 2 10" xfId="7053"/>
    <cellStyle name="€’???‚›‰ 4 3 2 11" xfId="7054"/>
    <cellStyle name="€’???‚›‰ 4 3 2 12" xfId="7055"/>
    <cellStyle name="€’???‚›‰ 4 3 2 13" xfId="7056"/>
    <cellStyle name="€’???‚›‰ 4 3 2 14" xfId="7057"/>
    <cellStyle name="€’???‚›‰ 4 3 2 15" xfId="7058"/>
    <cellStyle name="€’???‚›‰ 4 3 2 16" xfId="7059"/>
    <cellStyle name="€’???‚›‰ 4 3 2 17" xfId="7060"/>
    <cellStyle name="€’???‚›‰ 4 3 2 18" xfId="7061"/>
    <cellStyle name="€’???‚›‰ 4 3 2 2" xfId="7062"/>
    <cellStyle name="€’???‚›‰ 4 3 2 2 2" xfId="7063"/>
    <cellStyle name="€’???‚›‰ 4 3 2 2 2 2" xfId="7064"/>
    <cellStyle name="€’???‚›‰ 4 3 2 2 3" xfId="7065"/>
    <cellStyle name="€’???‚›‰ 4 3 2 2 4" xfId="7066"/>
    <cellStyle name="€’???‚›‰ 4 3 2 3" xfId="7067"/>
    <cellStyle name="€’???‚›‰ 4 3 2 3 2" xfId="7068"/>
    <cellStyle name="€’???‚›‰ 4 3 2 3 3" xfId="7069"/>
    <cellStyle name="€’???‚›‰ 4 3 2 4" xfId="7070"/>
    <cellStyle name="€’???‚›‰ 4 3 2 4 2" xfId="7071"/>
    <cellStyle name="€’???‚›‰ 4 3 2 5" xfId="7072"/>
    <cellStyle name="€’???‚›‰ 4 3 2 6" xfId="7073"/>
    <cellStyle name="€’???‚›‰ 4 3 2 7" xfId="7074"/>
    <cellStyle name="€’???‚›‰ 4 3 2 8" xfId="7075"/>
    <cellStyle name="€’???‚›‰ 4 3 2 9" xfId="7076"/>
    <cellStyle name="€’???‚›‰ 4 3 20" xfId="7077"/>
    <cellStyle name="€’???‚›‰ 4 3 3" xfId="7078"/>
    <cellStyle name="€’???‚›‰ 4 3 3 10" xfId="7079"/>
    <cellStyle name="€’???‚›‰ 4 3 3 11" xfId="7080"/>
    <cellStyle name="€’???‚›‰ 4 3 3 12" xfId="7081"/>
    <cellStyle name="€’???‚›‰ 4 3 3 13" xfId="7082"/>
    <cellStyle name="€’???‚›‰ 4 3 3 14" xfId="7083"/>
    <cellStyle name="€’???‚›‰ 4 3 3 15" xfId="7084"/>
    <cellStyle name="€’???‚›‰ 4 3 3 16" xfId="7085"/>
    <cellStyle name="€’???‚›‰ 4 3 3 17" xfId="7086"/>
    <cellStyle name="€’???‚›‰ 4 3 3 18" xfId="7087"/>
    <cellStyle name="€’???‚›‰ 4 3 3 2" xfId="7088"/>
    <cellStyle name="€’???‚›‰ 4 3 3 2 2" xfId="7089"/>
    <cellStyle name="€’???‚›‰ 4 3 3 2 2 2" xfId="7090"/>
    <cellStyle name="€’???‚›‰ 4 3 3 2 3" xfId="7091"/>
    <cellStyle name="€’???‚›‰ 4 3 3 2 4" xfId="7092"/>
    <cellStyle name="€’???‚›‰ 4 3 3 3" xfId="7093"/>
    <cellStyle name="€’???‚›‰ 4 3 3 3 2" xfId="7094"/>
    <cellStyle name="€’???‚›‰ 4 3 3 3 3" xfId="7095"/>
    <cellStyle name="€’???‚›‰ 4 3 3 4" xfId="7096"/>
    <cellStyle name="€’???‚›‰ 4 3 3 4 2" xfId="7097"/>
    <cellStyle name="€’???‚›‰ 4 3 3 5" xfId="7098"/>
    <cellStyle name="€’???‚›‰ 4 3 3 6" xfId="7099"/>
    <cellStyle name="€’???‚›‰ 4 3 3 7" xfId="7100"/>
    <cellStyle name="€’???‚›‰ 4 3 3 8" xfId="7101"/>
    <cellStyle name="€’???‚›‰ 4 3 3 9" xfId="7102"/>
    <cellStyle name="€’???‚›‰ 4 3 4" xfId="7103"/>
    <cellStyle name="€’???‚›‰ 4 3 4 2" xfId="7104"/>
    <cellStyle name="€’???‚›‰ 4 3 4 2 2" xfId="7105"/>
    <cellStyle name="€’???‚›‰ 4 3 4 2 3" xfId="7106"/>
    <cellStyle name="€’???‚›‰ 4 3 4 3" xfId="7107"/>
    <cellStyle name="€’???‚›‰ 4 3 4 3 2" xfId="7108"/>
    <cellStyle name="€’???‚›‰ 4 3 4 4" xfId="7109"/>
    <cellStyle name="€’???‚›‰ 4 3 4 5" xfId="7110"/>
    <cellStyle name="€’???‚›‰ 4 3 5" xfId="7111"/>
    <cellStyle name="€’???‚›‰ 4 3 5 2" xfId="7112"/>
    <cellStyle name="€’???‚›‰ 4 3 5 2 2" xfId="7113"/>
    <cellStyle name="€’???‚›‰ 4 3 5 3" xfId="7114"/>
    <cellStyle name="€’???‚›‰ 4 3 5 4" xfId="7115"/>
    <cellStyle name="€’???‚›‰ 4 3 6" xfId="7116"/>
    <cellStyle name="€’???‚›‰ 4 3 6 2" xfId="7117"/>
    <cellStyle name="€’???‚›‰ 4 3 6 3" xfId="7118"/>
    <cellStyle name="€’???‚›‰ 4 3 7" xfId="7119"/>
    <cellStyle name="€’???‚›‰ 4 3 7 2" xfId="7120"/>
    <cellStyle name="€’???‚›‰ 4 3 8" xfId="7121"/>
    <cellStyle name="€’???‚›‰ 4 3 9" xfId="7122"/>
    <cellStyle name="€’???‚›‰ 4 4" xfId="7123"/>
    <cellStyle name="€’???‚›‰ 4 4 10" xfId="7124"/>
    <cellStyle name="€’???‚›‰ 4 4 11" xfId="7125"/>
    <cellStyle name="€’???‚›‰ 4 4 12" xfId="7126"/>
    <cellStyle name="€’???‚›‰ 4 4 13" xfId="7127"/>
    <cellStyle name="€’???‚›‰ 4 4 14" xfId="7128"/>
    <cellStyle name="€’???‚›‰ 4 4 15" xfId="7129"/>
    <cellStyle name="€’???‚›‰ 4 4 16" xfId="7130"/>
    <cellStyle name="€’???‚›‰ 4 4 17" xfId="7131"/>
    <cellStyle name="€’???‚›‰ 4 4 18" xfId="7132"/>
    <cellStyle name="€’???‚›‰ 4 4 19" xfId="7133"/>
    <cellStyle name="€’???‚›‰ 4 4 2" xfId="7134"/>
    <cellStyle name="€’???‚›‰ 4 4 2 10" xfId="7135"/>
    <cellStyle name="€’???‚›‰ 4 4 2 11" xfId="7136"/>
    <cellStyle name="€’???‚›‰ 4 4 2 12" xfId="7137"/>
    <cellStyle name="€’???‚›‰ 4 4 2 13" xfId="7138"/>
    <cellStyle name="€’???‚›‰ 4 4 2 14" xfId="7139"/>
    <cellStyle name="€’???‚›‰ 4 4 2 15" xfId="7140"/>
    <cellStyle name="€’???‚›‰ 4 4 2 16" xfId="7141"/>
    <cellStyle name="€’???‚›‰ 4 4 2 17" xfId="7142"/>
    <cellStyle name="€’???‚›‰ 4 4 2 18" xfId="7143"/>
    <cellStyle name="€’???‚›‰ 4 4 2 2" xfId="7144"/>
    <cellStyle name="€’???‚›‰ 4 4 2 2 2" xfId="7145"/>
    <cellStyle name="€’???‚›‰ 4 4 2 2 2 2" xfId="7146"/>
    <cellStyle name="€’???‚›‰ 4 4 2 2 3" xfId="7147"/>
    <cellStyle name="€’???‚›‰ 4 4 2 2 4" xfId="7148"/>
    <cellStyle name="€’???‚›‰ 4 4 2 3" xfId="7149"/>
    <cellStyle name="€’???‚›‰ 4 4 2 3 2" xfId="7150"/>
    <cellStyle name="€’???‚›‰ 4 4 2 3 3" xfId="7151"/>
    <cellStyle name="€’???‚›‰ 4 4 2 4" xfId="7152"/>
    <cellStyle name="€’???‚›‰ 4 4 2 4 2" xfId="7153"/>
    <cellStyle name="€’???‚›‰ 4 4 2 5" xfId="7154"/>
    <cellStyle name="€’???‚›‰ 4 4 2 6" xfId="7155"/>
    <cellStyle name="€’???‚›‰ 4 4 2 7" xfId="7156"/>
    <cellStyle name="€’???‚›‰ 4 4 2 8" xfId="7157"/>
    <cellStyle name="€’???‚›‰ 4 4 2 9" xfId="7158"/>
    <cellStyle name="€’???‚›‰ 4 4 20" xfId="7159"/>
    <cellStyle name="€’???‚›‰ 4 4 21" xfId="7160"/>
    <cellStyle name="€’???‚›‰ 4 4 3" xfId="7161"/>
    <cellStyle name="€’???‚›‰ 4 4 3 10" xfId="7162"/>
    <cellStyle name="€’???‚›‰ 4 4 3 11" xfId="7163"/>
    <cellStyle name="€’???‚›‰ 4 4 3 12" xfId="7164"/>
    <cellStyle name="€’???‚›‰ 4 4 3 13" xfId="7165"/>
    <cellStyle name="€’???‚›‰ 4 4 3 14" xfId="7166"/>
    <cellStyle name="€’???‚›‰ 4 4 3 15" xfId="7167"/>
    <cellStyle name="€’???‚›‰ 4 4 3 16" xfId="7168"/>
    <cellStyle name="€’???‚›‰ 4 4 3 17" xfId="7169"/>
    <cellStyle name="€’???‚›‰ 4 4 3 18" xfId="7170"/>
    <cellStyle name="€’???‚›‰ 4 4 3 2" xfId="7171"/>
    <cellStyle name="€’???‚›‰ 4 4 3 2 2" xfId="7172"/>
    <cellStyle name="€’???‚›‰ 4 4 3 2 2 2" xfId="7173"/>
    <cellStyle name="€’???‚›‰ 4 4 3 2 3" xfId="7174"/>
    <cellStyle name="€’???‚›‰ 4 4 3 2 4" xfId="7175"/>
    <cellStyle name="€’???‚›‰ 4 4 3 3" xfId="7176"/>
    <cellStyle name="€’???‚›‰ 4 4 3 3 2" xfId="7177"/>
    <cellStyle name="€’???‚›‰ 4 4 3 3 3" xfId="7178"/>
    <cellStyle name="€’???‚›‰ 4 4 3 4" xfId="7179"/>
    <cellStyle name="€’???‚›‰ 4 4 3 4 2" xfId="7180"/>
    <cellStyle name="€’???‚›‰ 4 4 3 5" xfId="7181"/>
    <cellStyle name="€’???‚›‰ 4 4 3 6" xfId="7182"/>
    <cellStyle name="€’???‚›‰ 4 4 3 7" xfId="7183"/>
    <cellStyle name="€’???‚›‰ 4 4 3 8" xfId="7184"/>
    <cellStyle name="€’???‚›‰ 4 4 3 9" xfId="7185"/>
    <cellStyle name="€’???‚›‰ 4 4 4" xfId="7186"/>
    <cellStyle name="€’???‚›‰ 4 4 4 2" xfId="7187"/>
    <cellStyle name="€’???‚›‰ 4 4 4 2 2" xfId="7188"/>
    <cellStyle name="€’???‚›‰ 4 4 4 2 3" xfId="7189"/>
    <cellStyle name="€’???‚›‰ 4 4 4 3" xfId="7190"/>
    <cellStyle name="€’???‚›‰ 4 4 4 3 2" xfId="7191"/>
    <cellStyle name="€’???‚›‰ 4 4 4 4" xfId="7192"/>
    <cellStyle name="€’???‚›‰ 4 4 4 5" xfId="7193"/>
    <cellStyle name="€’???‚›‰ 4 4 5" xfId="7194"/>
    <cellStyle name="€’???‚›‰ 4 4 5 2" xfId="7195"/>
    <cellStyle name="€’???‚›‰ 4 4 5 2 2" xfId="7196"/>
    <cellStyle name="€’???‚›‰ 4 4 5 3" xfId="7197"/>
    <cellStyle name="€’???‚›‰ 4 4 5 4" xfId="7198"/>
    <cellStyle name="€’???‚›‰ 4 4 6" xfId="7199"/>
    <cellStyle name="€’???‚›‰ 4 4 6 2" xfId="7200"/>
    <cellStyle name="€’???‚›‰ 4 4 6 3" xfId="7201"/>
    <cellStyle name="€’???‚›‰ 4 4 7" xfId="7202"/>
    <cellStyle name="€’???‚›‰ 4 4 7 2" xfId="7203"/>
    <cellStyle name="€’???‚›‰ 4 4 8" xfId="7204"/>
    <cellStyle name="€’???‚›‰ 4 4 9" xfId="7205"/>
    <cellStyle name="€’???‚›‰ 4 5" xfId="7206"/>
    <cellStyle name="€’???‚›‰ 4 5 10" xfId="7207"/>
    <cellStyle name="€’???‚›‰ 4 5 11" xfId="7208"/>
    <cellStyle name="€’???‚›‰ 4 5 12" xfId="7209"/>
    <cellStyle name="€’???‚›‰ 4 5 13" xfId="7210"/>
    <cellStyle name="€’???‚›‰ 4 5 14" xfId="7211"/>
    <cellStyle name="€’???‚›‰ 4 5 15" xfId="7212"/>
    <cellStyle name="€’???‚›‰ 4 5 16" xfId="7213"/>
    <cellStyle name="€’???‚›‰ 4 5 17" xfId="7214"/>
    <cellStyle name="€’???‚›‰ 4 5 18" xfId="7215"/>
    <cellStyle name="€’???‚›‰ 4 5 19" xfId="7216"/>
    <cellStyle name="€’???‚›‰ 4 5 2" xfId="7217"/>
    <cellStyle name="€’???‚›‰ 4 5 2 10" xfId="7218"/>
    <cellStyle name="€’???‚›‰ 4 5 2 11" xfId="7219"/>
    <cellStyle name="€’???‚›‰ 4 5 2 12" xfId="7220"/>
    <cellStyle name="€’???‚›‰ 4 5 2 13" xfId="7221"/>
    <cellStyle name="€’???‚›‰ 4 5 2 14" xfId="7222"/>
    <cellStyle name="€’???‚›‰ 4 5 2 15" xfId="7223"/>
    <cellStyle name="€’???‚›‰ 4 5 2 16" xfId="7224"/>
    <cellStyle name="€’???‚›‰ 4 5 2 17" xfId="7225"/>
    <cellStyle name="€’???‚›‰ 4 5 2 18" xfId="7226"/>
    <cellStyle name="€’???‚›‰ 4 5 2 2" xfId="7227"/>
    <cellStyle name="€’???‚›‰ 4 5 2 2 2" xfId="7228"/>
    <cellStyle name="€’???‚›‰ 4 5 2 2 2 2" xfId="7229"/>
    <cellStyle name="€’???‚›‰ 4 5 2 2 3" xfId="7230"/>
    <cellStyle name="€’???‚›‰ 4 5 2 2 4" xfId="7231"/>
    <cellStyle name="€’???‚›‰ 4 5 2 3" xfId="7232"/>
    <cellStyle name="€’???‚›‰ 4 5 2 3 2" xfId="7233"/>
    <cellStyle name="€’???‚›‰ 4 5 2 3 3" xfId="7234"/>
    <cellStyle name="€’???‚›‰ 4 5 2 4" xfId="7235"/>
    <cellStyle name="€’???‚›‰ 4 5 2 4 2" xfId="7236"/>
    <cellStyle name="€’???‚›‰ 4 5 2 5" xfId="7237"/>
    <cellStyle name="€’???‚›‰ 4 5 2 6" xfId="7238"/>
    <cellStyle name="€’???‚›‰ 4 5 2 7" xfId="7239"/>
    <cellStyle name="€’???‚›‰ 4 5 2 8" xfId="7240"/>
    <cellStyle name="€’???‚›‰ 4 5 2 9" xfId="7241"/>
    <cellStyle name="€’???‚›‰ 4 5 20" xfId="7242"/>
    <cellStyle name="€’???‚›‰ 4 5 3" xfId="7243"/>
    <cellStyle name="€’???‚›‰ 4 5 3 10" xfId="7244"/>
    <cellStyle name="€’???‚›‰ 4 5 3 11" xfId="7245"/>
    <cellStyle name="€’???‚›‰ 4 5 3 12" xfId="7246"/>
    <cellStyle name="€’???‚›‰ 4 5 3 13" xfId="7247"/>
    <cellStyle name="€’???‚›‰ 4 5 3 14" xfId="7248"/>
    <cellStyle name="€’???‚›‰ 4 5 3 15" xfId="7249"/>
    <cellStyle name="€’???‚›‰ 4 5 3 16" xfId="7250"/>
    <cellStyle name="€’???‚›‰ 4 5 3 17" xfId="7251"/>
    <cellStyle name="€’???‚›‰ 4 5 3 18" xfId="7252"/>
    <cellStyle name="€’???‚›‰ 4 5 3 2" xfId="7253"/>
    <cellStyle name="€’???‚›‰ 4 5 3 2 2" xfId="7254"/>
    <cellStyle name="€’???‚›‰ 4 5 3 2 2 2" xfId="7255"/>
    <cellStyle name="€’???‚›‰ 4 5 3 2 3" xfId="7256"/>
    <cellStyle name="€’???‚›‰ 4 5 3 2 4" xfId="7257"/>
    <cellStyle name="€’???‚›‰ 4 5 3 3" xfId="7258"/>
    <cellStyle name="€’???‚›‰ 4 5 3 3 2" xfId="7259"/>
    <cellStyle name="€’???‚›‰ 4 5 3 3 3" xfId="7260"/>
    <cellStyle name="€’???‚›‰ 4 5 3 4" xfId="7261"/>
    <cellStyle name="€’???‚›‰ 4 5 3 4 2" xfId="7262"/>
    <cellStyle name="€’???‚›‰ 4 5 3 5" xfId="7263"/>
    <cellStyle name="€’???‚›‰ 4 5 3 6" xfId="7264"/>
    <cellStyle name="€’???‚›‰ 4 5 3 7" xfId="7265"/>
    <cellStyle name="€’???‚›‰ 4 5 3 8" xfId="7266"/>
    <cellStyle name="€’???‚›‰ 4 5 3 9" xfId="7267"/>
    <cellStyle name="€’???‚›‰ 4 5 4" xfId="7268"/>
    <cellStyle name="€’???‚›‰ 4 5 4 2" xfId="7269"/>
    <cellStyle name="€’???‚›‰ 4 5 4 2 2" xfId="7270"/>
    <cellStyle name="€’???‚›‰ 4 5 4 3" xfId="7271"/>
    <cellStyle name="€’???‚›‰ 4 5 4 4" xfId="7272"/>
    <cellStyle name="€’???‚›‰ 4 5 5" xfId="7273"/>
    <cellStyle name="€’???‚›‰ 4 5 5 2" xfId="7274"/>
    <cellStyle name="€’???‚›‰ 4 5 5 3" xfId="7275"/>
    <cellStyle name="€’???‚›‰ 4 5 6" xfId="7276"/>
    <cellStyle name="€’???‚›‰ 4 5 6 2" xfId="7277"/>
    <cellStyle name="€’???‚›‰ 4 5 7" xfId="7278"/>
    <cellStyle name="€’???‚›‰ 4 5 8" xfId="7279"/>
    <cellStyle name="€’???‚›‰ 4 5 9" xfId="7280"/>
    <cellStyle name="€’???‚›‰ 4 6" xfId="7281"/>
    <cellStyle name="€’???‚›‰ 4 6 10" xfId="7282"/>
    <cellStyle name="€’???‚›‰ 4 6 11" xfId="7283"/>
    <cellStyle name="€’???‚›‰ 4 6 12" xfId="7284"/>
    <cellStyle name="€’???‚›‰ 4 6 13" xfId="7285"/>
    <cellStyle name="€’???‚›‰ 4 6 14" xfId="7286"/>
    <cellStyle name="€’???‚›‰ 4 6 15" xfId="7287"/>
    <cellStyle name="€’???‚›‰ 4 6 16" xfId="7288"/>
    <cellStyle name="€’???‚›‰ 4 6 17" xfId="7289"/>
    <cellStyle name="€’???‚›‰ 4 6 18" xfId="7290"/>
    <cellStyle name="€’???‚›‰ 4 6 19" xfId="7291"/>
    <cellStyle name="€’???‚›‰ 4 6 2" xfId="7292"/>
    <cellStyle name="€’???‚›‰ 4 6 2 10" xfId="7293"/>
    <cellStyle name="€’???‚›‰ 4 6 2 11" xfId="7294"/>
    <cellStyle name="€’???‚›‰ 4 6 2 12" xfId="7295"/>
    <cellStyle name="€’???‚›‰ 4 6 2 13" xfId="7296"/>
    <cellStyle name="€’???‚›‰ 4 6 2 14" xfId="7297"/>
    <cellStyle name="€’???‚›‰ 4 6 2 15" xfId="7298"/>
    <cellStyle name="€’???‚›‰ 4 6 2 16" xfId="7299"/>
    <cellStyle name="€’???‚›‰ 4 6 2 17" xfId="7300"/>
    <cellStyle name="€’???‚›‰ 4 6 2 18" xfId="7301"/>
    <cellStyle name="€’???‚›‰ 4 6 2 2" xfId="7302"/>
    <cellStyle name="€’???‚›‰ 4 6 2 2 2" xfId="7303"/>
    <cellStyle name="€’???‚›‰ 4 6 2 2 2 2" xfId="7304"/>
    <cellStyle name="€’???‚›‰ 4 6 2 2 3" xfId="7305"/>
    <cellStyle name="€’???‚›‰ 4 6 2 2 4" xfId="7306"/>
    <cellStyle name="€’???‚›‰ 4 6 2 3" xfId="7307"/>
    <cellStyle name="€’???‚›‰ 4 6 2 3 2" xfId="7308"/>
    <cellStyle name="€’???‚›‰ 4 6 2 3 3" xfId="7309"/>
    <cellStyle name="€’???‚›‰ 4 6 2 4" xfId="7310"/>
    <cellStyle name="€’???‚›‰ 4 6 2 4 2" xfId="7311"/>
    <cellStyle name="€’???‚›‰ 4 6 2 5" xfId="7312"/>
    <cellStyle name="€’???‚›‰ 4 6 2 6" xfId="7313"/>
    <cellStyle name="€’???‚›‰ 4 6 2 7" xfId="7314"/>
    <cellStyle name="€’???‚›‰ 4 6 2 8" xfId="7315"/>
    <cellStyle name="€’???‚›‰ 4 6 2 9" xfId="7316"/>
    <cellStyle name="€’???‚›‰ 4 6 20" xfId="7317"/>
    <cellStyle name="€’???‚›‰ 4 6 3" xfId="7318"/>
    <cellStyle name="€’???‚›‰ 4 6 3 10" xfId="7319"/>
    <cellStyle name="€’???‚›‰ 4 6 3 11" xfId="7320"/>
    <cellStyle name="€’???‚›‰ 4 6 3 12" xfId="7321"/>
    <cellStyle name="€’???‚›‰ 4 6 3 13" xfId="7322"/>
    <cellStyle name="€’???‚›‰ 4 6 3 14" xfId="7323"/>
    <cellStyle name="€’???‚›‰ 4 6 3 15" xfId="7324"/>
    <cellStyle name="€’???‚›‰ 4 6 3 16" xfId="7325"/>
    <cellStyle name="€’???‚›‰ 4 6 3 17" xfId="7326"/>
    <cellStyle name="€’???‚›‰ 4 6 3 18" xfId="7327"/>
    <cellStyle name="€’???‚›‰ 4 6 3 2" xfId="7328"/>
    <cellStyle name="€’???‚›‰ 4 6 3 2 2" xfId="7329"/>
    <cellStyle name="€’???‚›‰ 4 6 3 2 2 2" xfId="7330"/>
    <cellStyle name="€’???‚›‰ 4 6 3 2 3" xfId="7331"/>
    <cellStyle name="€’???‚›‰ 4 6 3 2 4" xfId="7332"/>
    <cellStyle name="€’???‚›‰ 4 6 3 3" xfId="7333"/>
    <cellStyle name="€’???‚›‰ 4 6 3 3 2" xfId="7334"/>
    <cellStyle name="€’???‚›‰ 4 6 3 3 3" xfId="7335"/>
    <cellStyle name="€’???‚›‰ 4 6 3 4" xfId="7336"/>
    <cellStyle name="€’???‚›‰ 4 6 3 4 2" xfId="7337"/>
    <cellStyle name="€’???‚›‰ 4 6 3 5" xfId="7338"/>
    <cellStyle name="€’???‚›‰ 4 6 3 6" xfId="7339"/>
    <cellStyle name="€’???‚›‰ 4 6 3 7" xfId="7340"/>
    <cellStyle name="€’???‚›‰ 4 6 3 8" xfId="7341"/>
    <cellStyle name="€’???‚›‰ 4 6 3 9" xfId="7342"/>
    <cellStyle name="€’???‚›‰ 4 6 4" xfId="7343"/>
    <cellStyle name="€’???‚›‰ 4 6 4 2" xfId="7344"/>
    <cellStyle name="€’???‚›‰ 4 6 4 2 2" xfId="7345"/>
    <cellStyle name="€’???‚›‰ 4 6 4 2 3" xfId="7346"/>
    <cellStyle name="€’???‚›‰ 4 6 4 3" xfId="7347"/>
    <cellStyle name="€’???‚›‰ 4 6 4 3 2" xfId="7348"/>
    <cellStyle name="€’???‚›‰ 4 6 4 4" xfId="7349"/>
    <cellStyle name="€’???‚›‰ 4 6 4 5" xfId="7350"/>
    <cellStyle name="€’???‚›‰ 4 6 5" xfId="7351"/>
    <cellStyle name="€’???‚›‰ 4 6 5 2" xfId="7352"/>
    <cellStyle name="€’???‚›‰ 4 6 5 2 2" xfId="7353"/>
    <cellStyle name="€’???‚›‰ 4 6 5 3" xfId="7354"/>
    <cellStyle name="€’???‚›‰ 4 6 5 4" xfId="7355"/>
    <cellStyle name="€’???‚›‰ 4 6 6" xfId="7356"/>
    <cellStyle name="€’???‚›‰ 4 6 6 2" xfId="7357"/>
    <cellStyle name="€’???‚›‰ 4 6 7" xfId="7358"/>
    <cellStyle name="€’???‚›‰ 4 6 8" xfId="7359"/>
    <cellStyle name="€’???‚›‰ 4 6 9" xfId="7360"/>
    <cellStyle name="€’???‚›‰ 4 7" xfId="7361"/>
    <cellStyle name="€’???‚›‰ 4 7 10" xfId="7362"/>
    <cellStyle name="€’???‚›‰ 4 7 11" xfId="7363"/>
    <cellStyle name="€’???‚›‰ 4 7 12" xfId="7364"/>
    <cellStyle name="€’???‚›‰ 4 7 13" xfId="7365"/>
    <cellStyle name="€’???‚›‰ 4 7 14" xfId="7366"/>
    <cellStyle name="€’???‚›‰ 4 7 15" xfId="7367"/>
    <cellStyle name="€’???‚›‰ 4 7 16" xfId="7368"/>
    <cellStyle name="€’???‚›‰ 4 7 17" xfId="7369"/>
    <cellStyle name="€’???‚›‰ 4 7 18" xfId="7370"/>
    <cellStyle name="€’???‚›‰ 4 7 2" xfId="7371"/>
    <cellStyle name="€’???‚›‰ 4 7 2 2" xfId="7372"/>
    <cellStyle name="€’???‚›‰ 4 7 2 2 2" xfId="7373"/>
    <cellStyle name="€’???‚›‰ 4 7 2 3" xfId="7374"/>
    <cellStyle name="€’???‚›‰ 4 7 2 4" xfId="7375"/>
    <cellStyle name="€’???‚›‰ 4 7 3" xfId="7376"/>
    <cellStyle name="€’???‚›‰ 4 7 3 2" xfId="7377"/>
    <cellStyle name="€’???‚›‰ 4 7 3 3" xfId="7378"/>
    <cellStyle name="€’???‚›‰ 4 7 4" xfId="7379"/>
    <cellStyle name="€’???‚›‰ 4 7 4 2" xfId="7380"/>
    <cellStyle name="€’???‚›‰ 4 7 5" xfId="7381"/>
    <cellStyle name="€’???‚›‰ 4 7 6" xfId="7382"/>
    <cellStyle name="€’???‚›‰ 4 7 7" xfId="7383"/>
    <cellStyle name="€’???‚›‰ 4 7 8" xfId="7384"/>
    <cellStyle name="€’???‚›‰ 4 7 9" xfId="7385"/>
    <cellStyle name="€’???‚›‰ 4 8" xfId="7386"/>
    <cellStyle name="€’???‚›‰ 4 8 10" xfId="7387"/>
    <cellStyle name="€’???‚›‰ 4 8 11" xfId="7388"/>
    <cellStyle name="€’???‚›‰ 4 8 12" xfId="7389"/>
    <cellStyle name="€’???‚›‰ 4 8 13" xfId="7390"/>
    <cellStyle name="€’???‚›‰ 4 8 14" xfId="7391"/>
    <cellStyle name="€’???‚›‰ 4 8 15" xfId="7392"/>
    <cellStyle name="€’???‚›‰ 4 8 16" xfId="7393"/>
    <cellStyle name="€’???‚›‰ 4 8 17" xfId="7394"/>
    <cellStyle name="€’???‚›‰ 4 8 18" xfId="7395"/>
    <cellStyle name="€’???‚›‰ 4 8 2" xfId="7396"/>
    <cellStyle name="€’???‚›‰ 4 8 2 2" xfId="7397"/>
    <cellStyle name="€’???‚›‰ 4 8 3" xfId="7398"/>
    <cellStyle name="€’???‚›‰ 4 8 4" xfId="7399"/>
    <cellStyle name="€’???‚›‰ 4 8 5" xfId="7400"/>
    <cellStyle name="€’???‚›‰ 4 8 6" xfId="7401"/>
    <cellStyle name="€’???‚›‰ 4 8 7" xfId="7402"/>
    <cellStyle name="€’???‚›‰ 4 8 8" xfId="7403"/>
    <cellStyle name="€’???‚›‰ 4 8 9" xfId="7404"/>
    <cellStyle name="€’???‚›‰ 4 9" xfId="7405"/>
    <cellStyle name="€’???‚›‰ 5" xfId="7406"/>
    <cellStyle name="€’???‚›‰ 5 10" xfId="7407"/>
    <cellStyle name="€’???‚›‰ 5 11" xfId="7408"/>
    <cellStyle name="€’???‚›‰ 5 12" xfId="7409"/>
    <cellStyle name="€’???‚›‰ 5 13" xfId="7410"/>
    <cellStyle name="€’???‚›‰ 5 14" xfId="7411"/>
    <cellStyle name="€’???‚›‰ 5 15" xfId="7412"/>
    <cellStyle name="€’???‚›‰ 5 16" xfId="7413"/>
    <cellStyle name="€’???‚›‰ 5 17" xfId="7414"/>
    <cellStyle name="€’???‚›‰ 5 18" xfId="7415"/>
    <cellStyle name="€’???‚›‰ 5 19" xfId="7416"/>
    <cellStyle name="€’???‚›‰ 5 2" xfId="7417"/>
    <cellStyle name="€’???‚›‰ 5 2 10" xfId="7418"/>
    <cellStyle name="€’???‚›‰ 5 2 11" xfId="7419"/>
    <cellStyle name="€’???‚›‰ 5 2 12" xfId="7420"/>
    <cellStyle name="€’???‚›‰ 5 2 13" xfId="7421"/>
    <cellStyle name="€’???‚›‰ 5 2 14" xfId="7422"/>
    <cellStyle name="€’???‚›‰ 5 2 15" xfId="7423"/>
    <cellStyle name="€’???‚›‰ 5 2 16" xfId="7424"/>
    <cellStyle name="€’???‚›‰ 5 2 17" xfId="7425"/>
    <cellStyle name="€’???‚›‰ 5 2 18" xfId="7426"/>
    <cellStyle name="€’???‚›‰ 5 2 19" xfId="7427"/>
    <cellStyle name="€’???‚›‰ 5 2 2" xfId="7428"/>
    <cellStyle name="€’???‚›‰ 5 2 2 10" xfId="7429"/>
    <cellStyle name="€’???‚›‰ 5 2 2 11" xfId="7430"/>
    <cellStyle name="€’???‚›‰ 5 2 2 12" xfId="7431"/>
    <cellStyle name="€’???‚›‰ 5 2 2 13" xfId="7432"/>
    <cellStyle name="€’???‚›‰ 5 2 2 14" xfId="7433"/>
    <cellStyle name="€’???‚›‰ 5 2 2 15" xfId="7434"/>
    <cellStyle name="€’???‚›‰ 5 2 2 16" xfId="7435"/>
    <cellStyle name="€’???‚›‰ 5 2 2 17" xfId="7436"/>
    <cellStyle name="€’???‚›‰ 5 2 2 18" xfId="7437"/>
    <cellStyle name="€’???‚›‰ 5 2 2 2" xfId="7438"/>
    <cellStyle name="€’???‚›‰ 5 2 2 2 2" xfId="7439"/>
    <cellStyle name="€’???‚›‰ 5 2 2 2 2 2" xfId="7440"/>
    <cellStyle name="€’???‚›‰ 5 2 2 2 3" xfId="7441"/>
    <cellStyle name="€’???‚›‰ 5 2 2 2 4" xfId="7442"/>
    <cellStyle name="€’???‚›‰ 5 2 2 3" xfId="7443"/>
    <cellStyle name="€’???‚›‰ 5 2 2 3 2" xfId="7444"/>
    <cellStyle name="€’???‚›‰ 5 2 2 3 3" xfId="7445"/>
    <cellStyle name="€’???‚›‰ 5 2 2 4" xfId="7446"/>
    <cellStyle name="€’???‚›‰ 5 2 2 4 2" xfId="7447"/>
    <cellStyle name="€’???‚›‰ 5 2 2 5" xfId="7448"/>
    <cellStyle name="€’???‚›‰ 5 2 2 6" xfId="7449"/>
    <cellStyle name="€’???‚›‰ 5 2 2 7" xfId="7450"/>
    <cellStyle name="€’???‚›‰ 5 2 2 8" xfId="7451"/>
    <cellStyle name="€’???‚›‰ 5 2 2 9" xfId="7452"/>
    <cellStyle name="€’???‚›‰ 5 2 20" xfId="7453"/>
    <cellStyle name="€’???‚›‰ 5 2 21" xfId="7454"/>
    <cellStyle name="€’???‚›‰ 5 2 3" xfId="7455"/>
    <cellStyle name="€’???‚›‰ 5 2 3 10" xfId="7456"/>
    <cellStyle name="€’???‚›‰ 5 2 3 11" xfId="7457"/>
    <cellStyle name="€’???‚›‰ 5 2 3 12" xfId="7458"/>
    <cellStyle name="€’???‚›‰ 5 2 3 13" xfId="7459"/>
    <cellStyle name="€’???‚›‰ 5 2 3 14" xfId="7460"/>
    <cellStyle name="€’???‚›‰ 5 2 3 15" xfId="7461"/>
    <cellStyle name="€’???‚›‰ 5 2 3 16" xfId="7462"/>
    <cellStyle name="€’???‚›‰ 5 2 3 17" xfId="7463"/>
    <cellStyle name="€’???‚›‰ 5 2 3 18" xfId="7464"/>
    <cellStyle name="€’???‚›‰ 5 2 3 2" xfId="7465"/>
    <cellStyle name="€’???‚›‰ 5 2 3 2 2" xfId="7466"/>
    <cellStyle name="€’???‚›‰ 5 2 3 2 2 2" xfId="7467"/>
    <cellStyle name="€’???‚›‰ 5 2 3 2 3" xfId="7468"/>
    <cellStyle name="€’???‚›‰ 5 2 3 2 4" xfId="7469"/>
    <cellStyle name="€’???‚›‰ 5 2 3 3" xfId="7470"/>
    <cellStyle name="€’???‚›‰ 5 2 3 3 2" xfId="7471"/>
    <cellStyle name="€’???‚›‰ 5 2 3 3 3" xfId="7472"/>
    <cellStyle name="€’???‚›‰ 5 2 3 4" xfId="7473"/>
    <cellStyle name="€’???‚›‰ 5 2 3 4 2" xfId="7474"/>
    <cellStyle name="€’???‚›‰ 5 2 3 5" xfId="7475"/>
    <cellStyle name="€’???‚›‰ 5 2 3 6" xfId="7476"/>
    <cellStyle name="€’???‚›‰ 5 2 3 7" xfId="7477"/>
    <cellStyle name="€’???‚›‰ 5 2 3 8" xfId="7478"/>
    <cellStyle name="€’???‚›‰ 5 2 3 9" xfId="7479"/>
    <cellStyle name="€’???‚›‰ 5 2 4" xfId="7480"/>
    <cellStyle name="€’???‚›‰ 5 2 4 2" xfId="7481"/>
    <cellStyle name="€’???‚›‰ 5 2 4 2 2" xfId="7482"/>
    <cellStyle name="€’???‚›‰ 5 2 4 2 3" xfId="7483"/>
    <cellStyle name="€’???‚›‰ 5 2 4 3" xfId="7484"/>
    <cellStyle name="€’???‚›‰ 5 2 4 3 2" xfId="7485"/>
    <cellStyle name="€’???‚›‰ 5 2 4 4" xfId="7486"/>
    <cellStyle name="€’???‚›‰ 5 2 4 5" xfId="7487"/>
    <cellStyle name="€’???‚›‰ 5 2 5" xfId="7488"/>
    <cellStyle name="€’???‚›‰ 5 2 5 2" xfId="7489"/>
    <cellStyle name="€’???‚›‰ 5 2 5 2 2" xfId="7490"/>
    <cellStyle name="€’???‚›‰ 5 2 5 3" xfId="7491"/>
    <cellStyle name="€’???‚›‰ 5 2 5 4" xfId="7492"/>
    <cellStyle name="€’???‚›‰ 5 2 6" xfId="7493"/>
    <cellStyle name="€’???‚›‰ 5 2 6 2" xfId="7494"/>
    <cellStyle name="€’???‚›‰ 5 2 6 3" xfId="7495"/>
    <cellStyle name="€’???‚›‰ 5 2 7" xfId="7496"/>
    <cellStyle name="€’???‚›‰ 5 2 7 2" xfId="7497"/>
    <cellStyle name="€’???‚›‰ 5 2 8" xfId="7498"/>
    <cellStyle name="€’???‚›‰ 5 2 9" xfId="7499"/>
    <cellStyle name="€’???‚›‰ 5 20" xfId="7500"/>
    <cellStyle name="€’???‚›‰ 5 21" xfId="7501"/>
    <cellStyle name="€’???‚›‰ 5 22" xfId="7502"/>
    <cellStyle name="€’???‚›‰ 5 23" xfId="7503"/>
    <cellStyle name="€’???‚›‰ 5 24" xfId="7504"/>
    <cellStyle name="€’???‚›‰ 5 25" xfId="7505"/>
    <cellStyle name="€’???‚›‰ 5 26" xfId="7506"/>
    <cellStyle name="€’???‚›‰ 5 3" xfId="7507"/>
    <cellStyle name="€’???‚›‰ 5 3 10" xfId="7508"/>
    <cellStyle name="€’???‚›‰ 5 3 11" xfId="7509"/>
    <cellStyle name="€’???‚›‰ 5 3 12" xfId="7510"/>
    <cellStyle name="€’???‚›‰ 5 3 13" xfId="7511"/>
    <cellStyle name="€’???‚›‰ 5 3 14" xfId="7512"/>
    <cellStyle name="€’???‚›‰ 5 3 15" xfId="7513"/>
    <cellStyle name="€’???‚›‰ 5 3 16" xfId="7514"/>
    <cellStyle name="€’???‚›‰ 5 3 17" xfId="7515"/>
    <cellStyle name="€’???‚›‰ 5 3 18" xfId="7516"/>
    <cellStyle name="€’???‚›‰ 5 3 19" xfId="7517"/>
    <cellStyle name="€’???‚›‰ 5 3 2" xfId="7518"/>
    <cellStyle name="€’???‚›‰ 5 3 2 10" xfId="7519"/>
    <cellStyle name="€’???‚›‰ 5 3 2 11" xfId="7520"/>
    <cellStyle name="€’???‚›‰ 5 3 2 12" xfId="7521"/>
    <cellStyle name="€’???‚›‰ 5 3 2 13" xfId="7522"/>
    <cellStyle name="€’???‚›‰ 5 3 2 14" xfId="7523"/>
    <cellStyle name="€’???‚›‰ 5 3 2 15" xfId="7524"/>
    <cellStyle name="€’???‚›‰ 5 3 2 16" xfId="7525"/>
    <cellStyle name="€’???‚›‰ 5 3 2 17" xfId="7526"/>
    <cellStyle name="€’???‚›‰ 5 3 2 18" xfId="7527"/>
    <cellStyle name="€’???‚›‰ 5 3 2 2" xfId="7528"/>
    <cellStyle name="€’???‚›‰ 5 3 2 2 2" xfId="7529"/>
    <cellStyle name="€’???‚›‰ 5 3 2 2 2 2" xfId="7530"/>
    <cellStyle name="€’???‚›‰ 5 3 2 2 3" xfId="7531"/>
    <cellStyle name="€’???‚›‰ 5 3 2 2 4" xfId="7532"/>
    <cellStyle name="€’???‚›‰ 5 3 2 3" xfId="7533"/>
    <cellStyle name="€’???‚›‰ 5 3 2 3 2" xfId="7534"/>
    <cellStyle name="€’???‚›‰ 5 3 2 3 3" xfId="7535"/>
    <cellStyle name="€’???‚›‰ 5 3 2 4" xfId="7536"/>
    <cellStyle name="€’???‚›‰ 5 3 2 4 2" xfId="7537"/>
    <cellStyle name="€’???‚›‰ 5 3 2 5" xfId="7538"/>
    <cellStyle name="€’???‚›‰ 5 3 2 6" xfId="7539"/>
    <cellStyle name="€’???‚›‰ 5 3 2 7" xfId="7540"/>
    <cellStyle name="€’???‚›‰ 5 3 2 8" xfId="7541"/>
    <cellStyle name="€’???‚›‰ 5 3 2 9" xfId="7542"/>
    <cellStyle name="€’???‚›‰ 5 3 20" xfId="7543"/>
    <cellStyle name="€’???‚›‰ 5 3 3" xfId="7544"/>
    <cellStyle name="€’???‚›‰ 5 3 3 10" xfId="7545"/>
    <cellStyle name="€’???‚›‰ 5 3 3 11" xfId="7546"/>
    <cellStyle name="€’???‚›‰ 5 3 3 12" xfId="7547"/>
    <cellStyle name="€’???‚›‰ 5 3 3 13" xfId="7548"/>
    <cellStyle name="€’???‚›‰ 5 3 3 14" xfId="7549"/>
    <cellStyle name="€’???‚›‰ 5 3 3 15" xfId="7550"/>
    <cellStyle name="€’???‚›‰ 5 3 3 16" xfId="7551"/>
    <cellStyle name="€’???‚›‰ 5 3 3 17" xfId="7552"/>
    <cellStyle name="€’???‚›‰ 5 3 3 18" xfId="7553"/>
    <cellStyle name="€’???‚›‰ 5 3 3 2" xfId="7554"/>
    <cellStyle name="€’???‚›‰ 5 3 3 2 2" xfId="7555"/>
    <cellStyle name="€’???‚›‰ 5 3 3 2 2 2" xfId="7556"/>
    <cellStyle name="€’???‚›‰ 5 3 3 2 3" xfId="7557"/>
    <cellStyle name="€’???‚›‰ 5 3 3 2 4" xfId="7558"/>
    <cellStyle name="€’???‚›‰ 5 3 3 3" xfId="7559"/>
    <cellStyle name="€’???‚›‰ 5 3 3 3 2" xfId="7560"/>
    <cellStyle name="€’???‚›‰ 5 3 3 3 3" xfId="7561"/>
    <cellStyle name="€’???‚›‰ 5 3 3 4" xfId="7562"/>
    <cellStyle name="€’???‚›‰ 5 3 3 4 2" xfId="7563"/>
    <cellStyle name="€’???‚›‰ 5 3 3 5" xfId="7564"/>
    <cellStyle name="€’???‚›‰ 5 3 3 6" xfId="7565"/>
    <cellStyle name="€’???‚›‰ 5 3 3 7" xfId="7566"/>
    <cellStyle name="€’???‚›‰ 5 3 3 8" xfId="7567"/>
    <cellStyle name="€’???‚›‰ 5 3 3 9" xfId="7568"/>
    <cellStyle name="€’???‚›‰ 5 3 4" xfId="7569"/>
    <cellStyle name="€’???‚›‰ 5 3 4 2" xfId="7570"/>
    <cellStyle name="€’???‚›‰ 5 3 4 2 2" xfId="7571"/>
    <cellStyle name="€’???‚›‰ 5 3 4 2 3" xfId="7572"/>
    <cellStyle name="€’???‚›‰ 5 3 4 3" xfId="7573"/>
    <cellStyle name="€’???‚›‰ 5 3 4 3 2" xfId="7574"/>
    <cellStyle name="€’???‚›‰ 5 3 4 4" xfId="7575"/>
    <cellStyle name="€’???‚›‰ 5 3 4 5" xfId="7576"/>
    <cellStyle name="€’???‚›‰ 5 3 5" xfId="7577"/>
    <cellStyle name="€’???‚›‰ 5 3 5 2" xfId="7578"/>
    <cellStyle name="€’???‚›‰ 5 3 5 2 2" xfId="7579"/>
    <cellStyle name="€’???‚›‰ 5 3 5 3" xfId="7580"/>
    <cellStyle name="€’???‚›‰ 5 3 5 4" xfId="7581"/>
    <cellStyle name="€’???‚›‰ 5 3 6" xfId="7582"/>
    <cellStyle name="€’???‚›‰ 5 3 6 2" xfId="7583"/>
    <cellStyle name="€’???‚›‰ 5 3 6 3" xfId="7584"/>
    <cellStyle name="€’???‚›‰ 5 3 7" xfId="7585"/>
    <cellStyle name="€’???‚›‰ 5 3 7 2" xfId="7586"/>
    <cellStyle name="€’???‚›‰ 5 3 8" xfId="7587"/>
    <cellStyle name="€’???‚›‰ 5 3 9" xfId="7588"/>
    <cellStyle name="€’???‚›‰ 5 4" xfId="7589"/>
    <cellStyle name="€’???‚›‰ 5 4 10" xfId="7590"/>
    <cellStyle name="€’???‚›‰ 5 4 11" xfId="7591"/>
    <cellStyle name="€’???‚›‰ 5 4 12" xfId="7592"/>
    <cellStyle name="€’???‚›‰ 5 4 13" xfId="7593"/>
    <cellStyle name="€’???‚›‰ 5 4 14" xfId="7594"/>
    <cellStyle name="€’???‚›‰ 5 4 15" xfId="7595"/>
    <cellStyle name="€’???‚›‰ 5 4 16" xfId="7596"/>
    <cellStyle name="€’???‚›‰ 5 4 17" xfId="7597"/>
    <cellStyle name="€’???‚›‰ 5 4 18" xfId="7598"/>
    <cellStyle name="€’???‚›‰ 5 4 19" xfId="7599"/>
    <cellStyle name="€’???‚›‰ 5 4 2" xfId="7600"/>
    <cellStyle name="€’???‚›‰ 5 4 2 10" xfId="7601"/>
    <cellStyle name="€’???‚›‰ 5 4 2 11" xfId="7602"/>
    <cellStyle name="€’???‚›‰ 5 4 2 12" xfId="7603"/>
    <cellStyle name="€’???‚›‰ 5 4 2 13" xfId="7604"/>
    <cellStyle name="€’???‚›‰ 5 4 2 14" xfId="7605"/>
    <cellStyle name="€’???‚›‰ 5 4 2 15" xfId="7606"/>
    <cellStyle name="€’???‚›‰ 5 4 2 16" xfId="7607"/>
    <cellStyle name="€’???‚›‰ 5 4 2 17" xfId="7608"/>
    <cellStyle name="€’???‚›‰ 5 4 2 18" xfId="7609"/>
    <cellStyle name="€’???‚›‰ 5 4 2 2" xfId="7610"/>
    <cellStyle name="€’???‚›‰ 5 4 2 2 2" xfId="7611"/>
    <cellStyle name="€’???‚›‰ 5 4 2 2 2 2" xfId="7612"/>
    <cellStyle name="€’???‚›‰ 5 4 2 2 3" xfId="7613"/>
    <cellStyle name="€’???‚›‰ 5 4 2 2 4" xfId="7614"/>
    <cellStyle name="€’???‚›‰ 5 4 2 3" xfId="7615"/>
    <cellStyle name="€’???‚›‰ 5 4 2 3 2" xfId="7616"/>
    <cellStyle name="€’???‚›‰ 5 4 2 3 3" xfId="7617"/>
    <cellStyle name="€’???‚›‰ 5 4 2 4" xfId="7618"/>
    <cellStyle name="€’???‚›‰ 5 4 2 4 2" xfId="7619"/>
    <cellStyle name="€’???‚›‰ 5 4 2 5" xfId="7620"/>
    <cellStyle name="€’???‚›‰ 5 4 2 6" xfId="7621"/>
    <cellStyle name="€’???‚›‰ 5 4 2 7" xfId="7622"/>
    <cellStyle name="€’???‚›‰ 5 4 2 8" xfId="7623"/>
    <cellStyle name="€’???‚›‰ 5 4 2 9" xfId="7624"/>
    <cellStyle name="€’???‚›‰ 5 4 20" xfId="7625"/>
    <cellStyle name="€’???‚›‰ 5 4 21" xfId="7626"/>
    <cellStyle name="€’???‚›‰ 5 4 3" xfId="7627"/>
    <cellStyle name="€’???‚›‰ 5 4 3 10" xfId="7628"/>
    <cellStyle name="€’???‚›‰ 5 4 3 11" xfId="7629"/>
    <cellStyle name="€’???‚›‰ 5 4 3 12" xfId="7630"/>
    <cellStyle name="€’???‚›‰ 5 4 3 13" xfId="7631"/>
    <cellStyle name="€’???‚›‰ 5 4 3 14" xfId="7632"/>
    <cellStyle name="€’???‚›‰ 5 4 3 15" xfId="7633"/>
    <cellStyle name="€’???‚›‰ 5 4 3 16" xfId="7634"/>
    <cellStyle name="€’???‚›‰ 5 4 3 17" xfId="7635"/>
    <cellStyle name="€’???‚›‰ 5 4 3 18" xfId="7636"/>
    <cellStyle name="€’???‚›‰ 5 4 3 2" xfId="7637"/>
    <cellStyle name="€’???‚›‰ 5 4 3 2 2" xfId="7638"/>
    <cellStyle name="€’???‚›‰ 5 4 3 2 2 2" xfId="7639"/>
    <cellStyle name="€’???‚›‰ 5 4 3 2 3" xfId="7640"/>
    <cellStyle name="€’???‚›‰ 5 4 3 2 4" xfId="7641"/>
    <cellStyle name="€’???‚›‰ 5 4 3 3" xfId="7642"/>
    <cellStyle name="€’???‚›‰ 5 4 3 3 2" xfId="7643"/>
    <cellStyle name="€’???‚›‰ 5 4 3 3 3" xfId="7644"/>
    <cellStyle name="€’???‚›‰ 5 4 3 4" xfId="7645"/>
    <cellStyle name="€’???‚›‰ 5 4 3 4 2" xfId="7646"/>
    <cellStyle name="€’???‚›‰ 5 4 3 5" xfId="7647"/>
    <cellStyle name="€’???‚›‰ 5 4 3 6" xfId="7648"/>
    <cellStyle name="€’???‚›‰ 5 4 3 7" xfId="7649"/>
    <cellStyle name="€’???‚›‰ 5 4 3 8" xfId="7650"/>
    <cellStyle name="€’???‚›‰ 5 4 3 9" xfId="7651"/>
    <cellStyle name="€’???‚›‰ 5 4 4" xfId="7652"/>
    <cellStyle name="€’???‚›‰ 5 4 4 2" xfId="7653"/>
    <cellStyle name="€’???‚›‰ 5 4 4 2 2" xfId="7654"/>
    <cellStyle name="€’???‚›‰ 5 4 4 2 3" xfId="7655"/>
    <cellStyle name="€’???‚›‰ 5 4 4 3" xfId="7656"/>
    <cellStyle name="€’???‚›‰ 5 4 4 3 2" xfId="7657"/>
    <cellStyle name="€’???‚›‰ 5 4 4 4" xfId="7658"/>
    <cellStyle name="€’???‚›‰ 5 4 4 5" xfId="7659"/>
    <cellStyle name="€’???‚›‰ 5 4 5" xfId="7660"/>
    <cellStyle name="€’???‚›‰ 5 4 5 2" xfId="7661"/>
    <cellStyle name="€’???‚›‰ 5 4 5 2 2" xfId="7662"/>
    <cellStyle name="€’???‚›‰ 5 4 5 3" xfId="7663"/>
    <cellStyle name="€’???‚›‰ 5 4 5 4" xfId="7664"/>
    <cellStyle name="€’???‚›‰ 5 4 6" xfId="7665"/>
    <cellStyle name="€’???‚›‰ 5 4 6 2" xfId="7666"/>
    <cellStyle name="€’???‚›‰ 5 4 6 3" xfId="7667"/>
    <cellStyle name="€’???‚›‰ 5 4 7" xfId="7668"/>
    <cellStyle name="€’???‚›‰ 5 4 7 2" xfId="7669"/>
    <cellStyle name="€’???‚›‰ 5 4 8" xfId="7670"/>
    <cellStyle name="€’???‚›‰ 5 4 9" xfId="7671"/>
    <cellStyle name="€’???‚›‰ 5 5" xfId="7672"/>
    <cellStyle name="€’???‚›‰ 5 5 10" xfId="7673"/>
    <cellStyle name="€’???‚›‰ 5 5 11" xfId="7674"/>
    <cellStyle name="€’???‚›‰ 5 5 12" xfId="7675"/>
    <cellStyle name="€’???‚›‰ 5 5 13" xfId="7676"/>
    <cellStyle name="€’???‚›‰ 5 5 14" xfId="7677"/>
    <cellStyle name="€’???‚›‰ 5 5 15" xfId="7678"/>
    <cellStyle name="€’???‚›‰ 5 5 16" xfId="7679"/>
    <cellStyle name="€’???‚›‰ 5 5 17" xfId="7680"/>
    <cellStyle name="€’???‚›‰ 5 5 18" xfId="7681"/>
    <cellStyle name="€’???‚›‰ 5 5 19" xfId="7682"/>
    <cellStyle name="€’???‚›‰ 5 5 2" xfId="7683"/>
    <cellStyle name="€’???‚›‰ 5 5 2 10" xfId="7684"/>
    <cellStyle name="€’???‚›‰ 5 5 2 11" xfId="7685"/>
    <cellStyle name="€’???‚›‰ 5 5 2 12" xfId="7686"/>
    <cellStyle name="€’???‚›‰ 5 5 2 13" xfId="7687"/>
    <cellStyle name="€’???‚›‰ 5 5 2 14" xfId="7688"/>
    <cellStyle name="€’???‚›‰ 5 5 2 15" xfId="7689"/>
    <cellStyle name="€’???‚›‰ 5 5 2 16" xfId="7690"/>
    <cellStyle name="€’???‚›‰ 5 5 2 17" xfId="7691"/>
    <cellStyle name="€’???‚›‰ 5 5 2 18" xfId="7692"/>
    <cellStyle name="€’???‚›‰ 5 5 2 2" xfId="7693"/>
    <cellStyle name="€’???‚›‰ 5 5 2 2 2" xfId="7694"/>
    <cellStyle name="€’???‚›‰ 5 5 2 2 2 2" xfId="7695"/>
    <cellStyle name="€’???‚›‰ 5 5 2 2 3" xfId="7696"/>
    <cellStyle name="€’???‚›‰ 5 5 2 2 4" xfId="7697"/>
    <cellStyle name="€’???‚›‰ 5 5 2 3" xfId="7698"/>
    <cellStyle name="€’???‚›‰ 5 5 2 3 2" xfId="7699"/>
    <cellStyle name="€’???‚›‰ 5 5 2 3 3" xfId="7700"/>
    <cellStyle name="€’???‚›‰ 5 5 2 4" xfId="7701"/>
    <cellStyle name="€’???‚›‰ 5 5 2 4 2" xfId="7702"/>
    <cellStyle name="€’???‚›‰ 5 5 2 5" xfId="7703"/>
    <cellStyle name="€’???‚›‰ 5 5 2 6" xfId="7704"/>
    <cellStyle name="€’???‚›‰ 5 5 2 7" xfId="7705"/>
    <cellStyle name="€’???‚›‰ 5 5 2 8" xfId="7706"/>
    <cellStyle name="€’???‚›‰ 5 5 2 9" xfId="7707"/>
    <cellStyle name="€’???‚›‰ 5 5 20" xfId="7708"/>
    <cellStyle name="€’???‚›‰ 5 5 3" xfId="7709"/>
    <cellStyle name="€’???‚›‰ 5 5 3 10" xfId="7710"/>
    <cellStyle name="€’???‚›‰ 5 5 3 11" xfId="7711"/>
    <cellStyle name="€’???‚›‰ 5 5 3 12" xfId="7712"/>
    <cellStyle name="€’???‚›‰ 5 5 3 13" xfId="7713"/>
    <cellStyle name="€’???‚›‰ 5 5 3 14" xfId="7714"/>
    <cellStyle name="€’???‚›‰ 5 5 3 15" xfId="7715"/>
    <cellStyle name="€’???‚›‰ 5 5 3 16" xfId="7716"/>
    <cellStyle name="€’???‚›‰ 5 5 3 17" xfId="7717"/>
    <cellStyle name="€’???‚›‰ 5 5 3 18" xfId="7718"/>
    <cellStyle name="€’???‚›‰ 5 5 3 2" xfId="7719"/>
    <cellStyle name="€’???‚›‰ 5 5 3 2 2" xfId="7720"/>
    <cellStyle name="€’???‚›‰ 5 5 3 2 2 2" xfId="7721"/>
    <cellStyle name="€’???‚›‰ 5 5 3 2 3" xfId="7722"/>
    <cellStyle name="€’???‚›‰ 5 5 3 2 4" xfId="7723"/>
    <cellStyle name="€’???‚›‰ 5 5 3 3" xfId="7724"/>
    <cellStyle name="€’???‚›‰ 5 5 3 3 2" xfId="7725"/>
    <cellStyle name="€’???‚›‰ 5 5 3 3 3" xfId="7726"/>
    <cellStyle name="€’???‚›‰ 5 5 3 4" xfId="7727"/>
    <cellStyle name="€’???‚›‰ 5 5 3 4 2" xfId="7728"/>
    <cellStyle name="€’???‚›‰ 5 5 3 5" xfId="7729"/>
    <cellStyle name="€’???‚›‰ 5 5 3 6" xfId="7730"/>
    <cellStyle name="€’???‚›‰ 5 5 3 7" xfId="7731"/>
    <cellStyle name="€’???‚›‰ 5 5 3 8" xfId="7732"/>
    <cellStyle name="€’???‚›‰ 5 5 3 9" xfId="7733"/>
    <cellStyle name="€’???‚›‰ 5 5 4" xfId="7734"/>
    <cellStyle name="€’???‚›‰ 5 5 4 2" xfId="7735"/>
    <cellStyle name="€’???‚›‰ 5 5 4 2 2" xfId="7736"/>
    <cellStyle name="€’???‚›‰ 5 5 4 3" xfId="7737"/>
    <cellStyle name="€’???‚›‰ 5 5 4 4" xfId="7738"/>
    <cellStyle name="€’???‚›‰ 5 5 5" xfId="7739"/>
    <cellStyle name="€’???‚›‰ 5 5 5 2" xfId="7740"/>
    <cellStyle name="€’???‚›‰ 5 5 5 3" xfId="7741"/>
    <cellStyle name="€’???‚›‰ 5 5 6" xfId="7742"/>
    <cellStyle name="€’???‚›‰ 5 5 6 2" xfId="7743"/>
    <cellStyle name="€’???‚›‰ 5 5 7" xfId="7744"/>
    <cellStyle name="€’???‚›‰ 5 5 8" xfId="7745"/>
    <cellStyle name="€’???‚›‰ 5 5 9" xfId="7746"/>
    <cellStyle name="€’???‚›‰ 5 6" xfId="7747"/>
    <cellStyle name="€’???‚›‰ 5 6 10" xfId="7748"/>
    <cellStyle name="€’???‚›‰ 5 6 11" xfId="7749"/>
    <cellStyle name="€’???‚›‰ 5 6 12" xfId="7750"/>
    <cellStyle name="€’???‚›‰ 5 6 13" xfId="7751"/>
    <cellStyle name="€’???‚›‰ 5 6 14" xfId="7752"/>
    <cellStyle name="€’???‚›‰ 5 6 15" xfId="7753"/>
    <cellStyle name="€’???‚›‰ 5 6 16" xfId="7754"/>
    <cellStyle name="€’???‚›‰ 5 6 17" xfId="7755"/>
    <cellStyle name="€’???‚›‰ 5 6 18" xfId="7756"/>
    <cellStyle name="€’???‚›‰ 5 6 19" xfId="7757"/>
    <cellStyle name="€’???‚›‰ 5 6 2" xfId="7758"/>
    <cellStyle name="€’???‚›‰ 5 6 2 10" xfId="7759"/>
    <cellStyle name="€’???‚›‰ 5 6 2 11" xfId="7760"/>
    <cellStyle name="€’???‚›‰ 5 6 2 12" xfId="7761"/>
    <cellStyle name="€’???‚›‰ 5 6 2 13" xfId="7762"/>
    <cellStyle name="€’???‚›‰ 5 6 2 14" xfId="7763"/>
    <cellStyle name="€’???‚›‰ 5 6 2 15" xfId="7764"/>
    <cellStyle name="€’???‚›‰ 5 6 2 16" xfId="7765"/>
    <cellStyle name="€’???‚›‰ 5 6 2 17" xfId="7766"/>
    <cellStyle name="€’???‚›‰ 5 6 2 18" xfId="7767"/>
    <cellStyle name="€’???‚›‰ 5 6 2 2" xfId="7768"/>
    <cellStyle name="€’???‚›‰ 5 6 2 2 2" xfId="7769"/>
    <cellStyle name="€’???‚›‰ 5 6 2 2 2 2" xfId="7770"/>
    <cellStyle name="€’???‚›‰ 5 6 2 2 3" xfId="7771"/>
    <cellStyle name="€’???‚›‰ 5 6 2 2 4" xfId="7772"/>
    <cellStyle name="€’???‚›‰ 5 6 2 3" xfId="7773"/>
    <cellStyle name="€’???‚›‰ 5 6 2 3 2" xfId="7774"/>
    <cellStyle name="€’???‚›‰ 5 6 2 3 3" xfId="7775"/>
    <cellStyle name="€’???‚›‰ 5 6 2 4" xfId="7776"/>
    <cellStyle name="€’???‚›‰ 5 6 2 4 2" xfId="7777"/>
    <cellStyle name="€’???‚›‰ 5 6 2 5" xfId="7778"/>
    <cellStyle name="€’???‚›‰ 5 6 2 6" xfId="7779"/>
    <cellStyle name="€’???‚›‰ 5 6 2 7" xfId="7780"/>
    <cellStyle name="€’???‚›‰ 5 6 2 8" xfId="7781"/>
    <cellStyle name="€’???‚›‰ 5 6 2 9" xfId="7782"/>
    <cellStyle name="€’???‚›‰ 5 6 20" xfId="7783"/>
    <cellStyle name="€’???‚›‰ 5 6 3" xfId="7784"/>
    <cellStyle name="€’???‚›‰ 5 6 3 10" xfId="7785"/>
    <cellStyle name="€’???‚›‰ 5 6 3 11" xfId="7786"/>
    <cellStyle name="€’???‚›‰ 5 6 3 12" xfId="7787"/>
    <cellStyle name="€’???‚›‰ 5 6 3 13" xfId="7788"/>
    <cellStyle name="€’???‚›‰ 5 6 3 14" xfId="7789"/>
    <cellStyle name="€’???‚›‰ 5 6 3 15" xfId="7790"/>
    <cellStyle name="€’???‚›‰ 5 6 3 16" xfId="7791"/>
    <cellStyle name="€’???‚›‰ 5 6 3 17" xfId="7792"/>
    <cellStyle name="€’???‚›‰ 5 6 3 18" xfId="7793"/>
    <cellStyle name="€’???‚›‰ 5 6 3 2" xfId="7794"/>
    <cellStyle name="€’???‚›‰ 5 6 3 2 2" xfId="7795"/>
    <cellStyle name="€’???‚›‰ 5 6 3 2 2 2" xfId="7796"/>
    <cellStyle name="€’???‚›‰ 5 6 3 2 3" xfId="7797"/>
    <cellStyle name="€’???‚›‰ 5 6 3 2 4" xfId="7798"/>
    <cellStyle name="€’???‚›‰ 5 6 3 3" xfId="7799"/>
    <cellStyle name="€’???‚›‰ 5 6 3 3 2" xfId="7800"/>
    <cellStyle name="€’???‚›‰ 5 6 3 3 3" xfId="7801"/>
    <cellStyle name="€’???‚›‰ 5 6 3 4" xfId="7802"/>
    <cellStyle name="€’???‚›‰ 5 6 3 4 2" xfId="7803"/>
    <cellStyle name="€’???‚›‰ 5 6 3 5" xfId="7804"/>
    <cellStyle name="€’???‚›‰ 5 6 3 6" xfId="7805"/>
    <cellStyle name="€’???‚›‰ 5 6 3 7" xfId="7806"/>
    <cellStyle name="€’???‚›‰ 5 6 3 8" xfId="7807"/>
    <cellStyle name="€’???‚›‰ 5 6 3 9" xfId="7808"/>
    <cellStyle name="€’???‚›‰ 5 6 4" xfId="7809"/>
    <cellStyle name="€’???‚›‰ 5 6 4 2" xfId="7810"/>
    <cellStyle name="€’???‚›‰ 5 6 4 2 2" xfId="7811"/>
    <cellStyle name="€’???‚›‰ 5 6 4 2 3" xfId="7812"/>
    <cellStyle name="€’???‚›‰ 5 6 4 3" xfId="7813"/>
    <cellStyle name="€’???‚›‰ 5 6 4 3 2" xfId="7814"/>
    <cellStyle name="€’???‚›‰ 5 6 4 4" xfId="7815"/>
    <cellStyle name="€’???‚›‰ 5 6 4 5" xfId="7816"/>
    <cellStyle name="€’???‚›‰ 5 6 5" xfId="7817"/>
    <cellStyle name="€’???‚›‰ 5 6 5 2" xfId="7818"/>
    <cellStyle name="€’???‚›‰ 5 6 5 2 2" xfId="7819"/>
    <cellStyle name="€’???‚›‰ 5 6 5 3" xfId="7820"/>
    <cellStyle name="€’???‚›‰ 5 6 5 4" xfId="7821"/>
    <cellStyle name="€’???‚›‰ 5 6 6" xfId="7822"/>
    <cellStyle name="€’???‚›‰ 5 6 6 2" xfId="7823"/>
    <cellStyle name="€’???‚›‰ 5 6 7" xfId="7824"/>
    <cellStyle name="€’???‚›‰ 5 6 8" xfId="7825"/>
    <cellStyle name="€’???‚›‰ 5 6 9" xfId="7826"/>
    <cellStyle name="€’???‚›‰ 5 7" xfId="7827"/>
    <cellStyle name="€’???‚›‰ 5 7 10" xfId="7828"/>
    <cellStyle name="€’???‚›‰ 5 7 11" xfId="7829"/>
    <cellStyle name="€’???‚›‰ 5 7 12" xfId="7830"/>
    <cellStyle name="€’???‚›‰ 5 7 13" xfId="7831"/>
    <cellStyle name="€’???‚›‰ 5 7 14" xfId="7832"/>
    <cellStyle name="€’???‚›‰ 5 7 15" xfId="7833"/>
    <cellStyle name="€’???‚›‰ 5 7 16" xfId="7834"/>
    <cellStyle name="€’???‚›‰ 5 7 17" xfId="7835"/>
    <cellStyle name="€’???‚›‰ 5 7 18" xfId="7836"/>
    <cellStyle name="€’???‚›‰ 5 7 2" xfId="7837"/>
    <cellStyle name="€’???‚›‰ 5 7 2 2" xfId="7838"/>
    <cellStyle name="€’???‚›‰ 5 7 2 2 2" xfId="7839"/>
    <cellStyle name="€’???‚›‰ 5 7 2 3" xfId="7840"/>
    <cellStyle name="€’???‚›‰ 5 7 2 4" xfId="7841"/>
    <cellStyle name="€’???‚›‰ 5 7 3" xfId="7842"/>
    <cellStyle name="€’???‚›‰ 5 7 3 2" xfId="7843"/>
    <cellStyle name="€’???‚›‰ 5 7 3 3" xfId="7844"/>
    <cellStyle name="€’???‚›‰ 5 7 4" xfId="7845"/>
    <cellStyle name="€’???‚›‰ 5 7 4 2" xfId="7846"/>
    <cellStyle name="€’???‚›‰ 5 7 5" xfId="7847"/>
    <cellStyle name="€’???‚›‰ 5 7 6" xfId="7848"/>
    <cellStyle name="€’???‚›‰ 5 7 7" xfId="7849"/>
    <cellStyle name="€’???‚›‰ 5 7 8" xfId="7850"/>
    <cellStyle name="€’???‚›‰ 5 7 9" xfId="7851"/>
    <cellStyle name="€’???‚›‰ 5 8" xfId="7852"/>
    <cellStyle name="€’???‚›‰ 5 8 10" xfId="7853"/>
    <cellStyle name="€’???‚›‰ 5 8 11" xfId="7854"/>
    <cellStyle name="€’???‚›‰ 5 8 12" xfId="7855"/>
    <cellStyle name="€’???‚›‰ 5 8 13" xfId="7856"/>
    <cellStyle name="€’???‚›‰ 5 8 14" xfId="7857"/>
    <cellStyle name="€’???‚›‰ 5 8 15" xfId="7858"/>
    <cellStyle name="€’???‚›‰ 5 8 16" xfId="7859"/>
    <cellStyle name="€’???‚›‰ 5 8 17" xfId="7860"/>
    <cellStyle name="€’???‚›‰ 5 8 18" xfId="7861"/>
    <cellStyle name="€’???‚›‰ 5 8 2" xfId="7862"/>
    <cellStyle name="€’???‚›‰ 5 8 2 2" xfId="7863"/>
    <cellStyle name="€’???‚›‰ 5 8 3" xfId="7864"/>
    <cellStyle name="€’???‚›‰ 5 8 4" xfId="7865"/>
    <cellStyle name="€’???‚›‰ 5 8 5" xfId="7866"/>
    <cellStyle name="€’???‚›‰ 5 8 6" xfId="7867"/>
    <cellStyle name="€’???‚›‰ 5 8 7" xfId="7868"/>
    <cellStyle name="€’???‚›‰ 5 8 8" xfId="7869"/>
    <cellStyle name="€’???‚›‰ 5 8 9" xfId="7870"/>
    <cellStyle name="€’???‚›‰ 5 9" xfId="7871"/>
    <cellStyle name="€’???‚›‰ 6" xfId="7872"/>
    <cellStyle name="€’???‚›‰ 6 10" xfId="7873"/>
    <cellStyle name="€’???‚›‰ 6 11" xfId="7874"/>
    <cellStyle name="€’???‚›‰ 6 12" xfId="7875"/>
    <cellStyle name="€’???‚›‰ 6 13" xfId="7876"/>
    <cellStyle name="€’???‚›‰ 6 14" xfId="7877"/>
    <cellStyle name="€’???‚›‰ 6 15" xfId="7878"/>
    <cellStyle name="€’???‚›‰ 6 16" xfId="7879"/>
    <cellStyle name="€’???‚›‰ 6 17" xfId="7880"/>
    <cellStyle name="€’???‚›‰ 6 18" xfId="7881"/>
    <cellStyle name="€’???‚›‰ 6 19" xfId="7882"/>
    <cellStyle name="€’???‚›‰ 6 2" xfId="7883"/>
    <cellStyle name="€’???‚›‰ 6 2 10" xfId="7884"/>
    <cellStyle name="€’???‚›‰ 6 2 11" xfId="7885"/>
    <cellStyle name="€’???‚›‰ 6 2 12" xfId="7886"/>
    <cellStyle name="€’???‚›‰ 6 2 13" xfId="7887"/>
    <cellStyle name="€’???‚›‰ 6 2 14" xfId="7888"/>
    <cellStyle name="€’???‚›‰ 6 2 15" xfId="7889"/>
    <cellStyle name="€’???‚›‰ 6 2 16" xfId="7890"/>
    <cellStyle name="€’???‚›‰ 6 2 17" xfId="7891"/>
    <cellStyle name="€’???‚›‰ 6 2 18" xfId="7892"/>
    <cellStyle name="€’???‚›‰ 6 2 2" xfId="7893"/>
    <cellStyle name="€’???‚›‰ 6 2 2 2" xfId="7894"/>
    <cellStyle name="€’???‚›‰ 6 2 2 2 2" xfId="7895"/>
    <cellStyle name="€’???‚›‰ 6 2 2 3" xfId="7896"/>
    <cellStyle name="€’???‚›‰ 6 2 2 4" xfId="7897"/>
    <cellStyle name="€’???‚›‰ 6 2 3" xfId="7898"/>
    <cellStyle name="€’???‚›‰ 6 2 3 2" xfId="7899"/>
    <cellStyle name="€’???‚›‰ 6 2 3 3" xfId="7900"/>
    <cellStyle name="€’???‚›‰ 6 2 4" xfId="7901"/>
    <cellStyle name="€’???‚›‰ 6 2 4 2" xfId="7902"/>
    <cellStyle name="€’???‚›‰ 6 2 5" xfId="7903"/>
    <cellStyle name="€’???‚›‰ 6 2 6" xfId="7904"/>
    <cellStyle name="€’???‚›‰ 6 2 7" xfId="7905"/>
    <cellStyle name="€’???‚›‰ 6 2 8" xfId="7906"/>
    <cellStyle name="€’???‚›‰ 6 2 9" xfId="7907"/>
    <cellStyle name="€’???‚›‰ 6 20" xfId="7908"/>
    <cellStyle name="€’???‚›‰ 6 21" xfId="7909"/>
    <cellStyle name="€’???‚›‰ 6 3" xfId="7910"/>
    <cellStyle name="€’???‚›‰ 6 3 10" xfId="7911"/>
    <cellStyle name="€’???‚›‰ 6 3 11" xfId="7912"/>
    <cellStyle name="€’???‚›‰ 6 3 12" xfId="7913"/>
    <cellStyle name="€’???‚›‰ 6 3 13" xfId="7914"/>
    <cellStyle name="€’???‚›‰ 6 3 14" xfId="7915"/>
    <cellStyle name="€’???‚›‰ 6 3 15" xfId="7916"/>
    <cellStyle name="€’???‚›‰ 6 3 16" xfId="7917"/>
    <cellStyle name="€’???‚›‰ 6 3 17" xfId="7918"/>
    <cellStyle name="€’???‚›‰ 6 3 18" xfId="7919"/>
    <cellStyle name="€’???‚›‰ 6 3 2" xfId="7920"/>
    <cellStyle name="€’???‚›‰ 6 3 2 2" xfId="7921"/>
    <cellStyle name="€’???‚›‰ 6 3 2 2 2" xfId="7922"/>
    <cellStyle name="€’???‚›‰ 6 3 2 3" xfId="7923"/>
    <cellStyle name="€’???‚›‰ 6 3 2 4" xfId="7924"/>
    <cellStyle name="€’???‚›‰ 6 3 3" xfId="7925"/>
    <cellStyle name="€’???‚›‰ 6 3 3 2" xfId="7926"/>
    <cellStyle name="€’???‚›‰ 6 3 3 3" xfId="7927"/>
    <cellStyle name="€’???‚›‰ 6 3 4" xfId="7928"/>
    <cellStyle name="€’???‚›‰ 6 3 4 2" xfId="7929"/>
    <cellStyle name="€’???‚›‰ 6 3 5" xfId="7930"/>
    <cellStyle name="€’???‚›‰ 6 3 6" xfId="7931"/>
    <cellStyle name="€’???‚›‰ 6 3 7" xfId="7932"/>
    <cellStyle name="€’???‚›‰ 6 3 8" xfId="7933"/>
    <cellStyle name="€’???‚›‰ 6 3 9" xfId="7934"/>
    <cellStyle name="€’???‚›‰ 6 4" xfId="7935"/>
    <cellStyle name="€’???‚›‰ 6 4 2" xfId="7936"/>
    <cellStyle name="€’???‚›‰ 6 4 2 2" xfId="7937"/>
    <cellStyle name="€’???‚›‰ 6 4 2 3" xfId="7938"/>
    <cellStyle name="€’???‚›‰ 6 4 3" xfId="7939"/>
    <cellStyle name="€’???‚›‰ 6 4 3 2" xfId="7940"/>
    <cellStyle name="€’???‚›‰ 6 4 4" xfId="7941"/>
    <cellStyle name="€’???‚›‰ 6 4 5" xfId="7942"/>
    <cellStyle name="€’???‚›‰ 6 5" xfId="7943"/>
    <cellStyle name="€’???‚›‰ 6 5 2" xfId="7944"/>
    <cellStyle name="€’???‚›‰ 6 5 2 2" xfId="7945"/>
    <cellStyle name="€’???‚›‰ 6 5 3" xfId="7946"/>
    <cellStyle name="€’???‚›‰ 6 5 4" xfId="7947"/>
    <cellStyle name="€’???‚›‰ 6 6" xfId="7948"/>
    <cellStyle name="€’???‚›‰ 6 6 2" xfId="7949"/>
    <cellStyle name="€’???‚›‰ 6 6 3" xfId="7950"/>
    <cellStyle name="€’???‚›‰ 6 7" xfId="7951"/>
    <cellStyle name="€’???‚›‰ 6 7 2" xfId="7952"/>
    <cellStyle name="€’???‚›‰ 6 8" xfId="7953"/>
    <cellStyle name="€’???‚›‰ 6 9" xfId="7954"/>
    <cellStyle name="€’???‚›‰ 7" xfId="7955"/>
    <cellStyle name="€’???‚›‰ 7 10" xfId="7956"/>
    <cellStyle name="€’???‚›‰ 7 11" xfId="7957"/>
    <cellStyle name="€’???‚›‰ 7 12" xfId="7958"/>
    <cellStyle name="€’???‚›‰ 7 13" xfId="7959"/>
    <cellStyle name="€’???‚›‰ 7 14" xfId="7960"/>
    <cellStyle name="€’???‚›‰ 7 15" xfId="7961"/>
    <cellStyle name="€’???‚›‰ 7 16" xfId="7962"/>
    <cellStyle name="€’???‚›‰ 7 17" xfId="7963"/>
    <cellStyle name="€’???‚›‰ 7 18" xfId="7964"/>
    <cellStyle name="€’???‚›‰ 7 19" xfId="7965"/>
    <cellStyle name="€’???‚›‰ 7 2" xfId="7966"/>
    <cellStyle name="€’???‚›‰ 7 2 10" xfId="7967"/>
    <cellStyle name="€’???‚›‰ 7 2 11" xfId="7968"/>
    <cellStyle name="€’???‚›‰ 7 2 12" xfId="7969"/>
    <cellStyle name="€’???‚›‰ 7 2 13" xfId="7970"/>
    <cellStyle name="€’???‚›‰ 7 2 14" xfId="7971"/>
    <cellStyle name="€’???‚›‰ 7 2 15" xfId="7972"/>
    <cellStyle name="€’???‚›‰ 7 2 16" xfId="7973"/>
    <cellStyle name="€’???‚›‰ 7 2 17" xfId="7974"/>
    <cellStyle name="€’???‚›‰ 7 2 18" xfId="7975"/>
    <cellStyle name="€’???‚›‰ 7 2 2" xfId="7976"/>
    <cellStyle name="€’???‚›‰ 7 2 2 2" xfId="7977"/>
    <cellStyle name="€’???‚›‰ 7 2 2 2 2" xfId="7978"/>
    <cellStyle name="€’???‚›‰ 7 2 2 3" xfId="7979"/>
    <cellStyle name="€’???‚›‰ 7 2 2 4" xfId="7980"/>
    <cellStyle name="€’???‚›‰ 7 2 3" xfId="7981"/>
    <cellStyle name="€’???‚›‰ 7 2 3 2" xfId="7982"/>
    <cellStyle name="€’???‚›‰ 7 2 3 3" xfId="7983"/>
    <cellStyle name="€’???‚›‰ 7 2 4" xfId="7984"/>
    <cellStyle name="€’???‚›‰ 7 2 4 2" xfId="7985"/>
    <cellStyle name="€’???‚›‰ 7 2 5" xfId="7986"/>
    <cellStyle name="€’???‚›‰ 7 2 6" xfId="7987"/>
    <cellStyle name="€’???‚›‰ 7 2 7" xfId="7988"/>
    <cellStyle name="€’???‚›‰ 7 2 8" xfId="7989"/>
    <cellStyle name="€’???‚›‰ 7 2 9" xfId="7990"/>
    <cellStyle name="€’???‚›‰ 7 20" xfId="7991"/>
    <cellStyle name="€’???‚›‰ 7 3" xfId="7992"/>
    <cellStyle name="€’???‚›‰ 7 3 10" xfId="7993"/>
    <cellStyle name="€’???‚›‰ 7 3 11" xfId="7994"/>
    <cellStyle name="€’???‚›‰ 7 3 12" xfId="7995"/>
    <cellStyle name="€’???‚›‰ 7 3 13" xfId="7996"/>
    <cellStyle name="€’???‚›‰ 7 3 14" xfId="7997"/>
    <cellStyle name="€’???‚›‰ 7 3 15" xfId="7998"/>
    <cellStyle name="€’???‚›‰ 7 3 16" xfId="7999"/>
    <cellStyle name="€’???‚›‰ 7 3 17" xfId="8000"/>
    <cellStyle name="€’???‚›‰ 7 3 18" xfId="8001"/>
    <cellStyle name="€’???‚›‰ 7 3 2" xfId="8002"/>
    <cellStyle name="€’???‚›‰ 7 3 2 2" xfId="8003"/>
    <cellStyle name="€’???‚›‰ 7 3 2 2 2" xfId="8004"/>
    <cellStyle name="€’???‚›‰ 7 3 2 3" xfId="8005"/>
    <cellStyle name="€’???‚›‰ 7 3 2 4" xfId="8006"/>
    <cellStyle name="€’???‚›‰ 7 3 3" xfId="8007"/>
    <cellStyle name="€’???‚›‰ 7 3 3 2" xfId="8008"/>
    <cellStyle name="€’???‚›‰ 7 3 3 3" xfId="8009"/>
    <cellStyle name="€’???‚›‰ 7 3 4" xfId="8010"/>
    <cellStyle name="€’???‚›‰ 7 3 4 2" xfId="8011"/>
    <cellStyle name="€’???‚›‰ 7 3 5" xfId="8012"/>
    <cellStyle name="€’???‚›‰ 7 3 6" xfId="8013"/>
    <cellStyle name="€’???‚›‰ 7 3 7" xfId="8014"/>
    <cellStyle name="€’???‚›‰ 7 3 8" xfId="8015"/>
    <cellStyle name="€’???‚›‰ 7 3 9" xfId="8016"/>
    <cellStyle name="€’???‚›‰ 7 4" xfId="8017"/>
    <cellStyle name="€’???‚›‰ 7 4 2" xfId="8018"/>
    <cellStyle name="€’???‚›‰ 7 4 2 2" xfId="8019"/>
    <cellStyle name="€’???‚›‰ 7 4 2 3" xfId="8020"/>
    <cellStyle name="€’???‚›‰ 7 4 3" xfId="8021"/>
    <cellStyle name="€’???‚›‰ 7 4 3 2" xfId="8022"/>
    <cellStyle name="€’???‚›‰ 7 4 4" xfId="8023"/>
    <cellStyle name="€’???‚›‰ 7 4 5" xfId="8024"/>
    <cellStyle name="€’???‚›‰ 7 5" xfId="8025"/>
    <cellStyle name="€’???‚›‰ 7 5 2" xfId="8026"/>
    <cellStyle name="€’???‚›‰ 7 5 2 2" xfId="8027"/>
    <cellStyle name="€’???‚›‰ 7 5 3" xfId="8028"/>
    <cellStyle name="€’???‚›‰ 7 5 4" xfId="8029"/>
    <cellStyle name="€’???‚›‰ 7 6" xfId="8030"/>
    <cellStyle name="€’???‚›‰ 7 6 2" xfId="8031"/>
    <cellStyle name="€’???‚›‰ 7 6 3" xfId="8032"/>
    <cellStyle name="€’???‚›‰ 7 7" xfId="8033"/>
    <cellStyle name="€’???‚›‰ 7 7 2" xfId="8034"/>
    <cellStyle name="€’???‚›‰ 7 8" xfId="8035"/>
    <cellStyle name="€’???‚›‰ 7 9" xfId="8036"/>
    <cellStyle name="€’???‚›‰ 8" xfId="8037"/>
    <cellStyle name="€’???‚›‰ 8 10" xfId="8038"/>
    <cellStyle name="€’???‚›‰ 8 11" xfId="8039"/>
    <cellStyle name="€’???‚›‰ 8 12" xfId="8040"/>
    <cellStyle name="€’???‚›‰ 8 13" xfId="8041"/>
    <cellStyle name="€’???‚›‰ 8 14" xfId="8042"/>
    <cellStyle name="€’???‚›‰ 8 15" xfId="8043"/>
    <cellStyle name="€’???‚›‰ 8 16" xfId="8044"/>
    <cellStyle name="€’???‚›‰ 8 17" xfId="8045"/>
    <cellStyle name="€’???‚›‰ 8 18" xfId="8046"/>
    <cellStyle name="€’???‚›‰ 8 19" xfId="8047"/>
    <cellStyle name="€’???‚›‰ 8 2" xfId="8048"/>
    <cellStyle name="€’???‚›‰ 8 2 10" xfId="8049"/>
    <cellStyle name="€’???‚›‰ 8 2 11" xfId="8050"/>
    <cellStyle name="€’???‚›‰ 8 2 12" xfId="8051"/>
    <cellStyle name="€’???‚›‰ 8 2 13" xfId="8052"/>
    <cellStyle name="€’???‚›‰ 8 2 14" xfId="8053"/>
    <cellStyle name="€’???‚›‰ 8 2 15" xfId="8054"/>
    <cellStyle name="€’???‚›‰ 8 2 16" xfId="8055"/>
    <cellStyle name="€’???‚›‰ 8 2 17" xfId="8056"/>
    <cellStyle name="€’???‚›‰ 8 2 18" xfId="8057"/>
    <cellStyle name="€’???‚›‰ 8 2 2" xfId="8058"/>
    <cellStyle name="€’???‚›‰ 8 2 2 2" xfId="8059"/>
    <cellStyle name="€’???‚›‰ 8 2 2 2 2" xfId="8060"/>
    <cellStyle name="€’???‚›‰ 8 2 2 3" xfId="8061"/>
    <cellStyle name="€’???‚›‰ 8 2 2 4" xfId="8062"/>
    <cellStyle name="€’???‚›‰ 8 2 3" xfId="8063"/>
    <cellStyle name="€’???‚›‰ 8 2 3 2" xfId="8064"/>
    <cellStyle name="€’???‚›‰ 8 2 3 3" xfId="8065"/>
    <cellStyle name="€’???‚›‰ 8 2 4" xfId="8066"/>
    <cellStyle name="€’???‚›‰ 8 2 4 2" xfId="8067"/>
    <cellStyle name="€’???‚›‰ 8 2 5" xfId="8068"/>
    <cellStyle name="€’???‚›‰ 8 2 6" xfId="8069"/>
    <cellStyle name="€’???‚›‰ 8 2 7" xfId="8070"/>
    <cellStyle name="€’???‚›‰ 8 2 8" xfId="8071"/>
    <cellStyle name="€’???‚›‰ 8 2 9" xfId="8072"/>
    <cellStyle name="€’???‚›‰ 8 20" xfId="8073"/>
    <cellStyle name="€’???‚›‰ 8 21" xfId="8074"/>
    <cellStyle name="€’???‚›‰ 8 3" xfId="8075"/>
    <cellStyle name="€’???‚›‰ 8 3 10" xfId="8076"/>
    <cellStyle name="€’???‚›‰ 8 3 11" xfId="8077"/>
    <cellStyle name="€’???‚›‰ 8 3 12" xfId="8078"/>
    <cellStyle name="€’???‚›‰ 8 3 13" xfId="8079"/>
    <cellStyle name="€’???‚›‰ 8 3 14" xfId="8080"/>
    <cellStyle name="€’???‚›‰ 8 3 15" xfId="8081"/>
    <cellStyle name="€’???‚›‰ 8 3 16" xfId="8082"/>
    <cellStyle name="€’???‚›‰ 8 3 17" xfId="8083"/>
    <cellStyle name="€’???‚›‰ 8 3 18" xfId="8084"/>
    <cellStyle name="€’???‚›‰ 8 3 2" xfId="8085"/>
    <cellStyle name="€’???‚›‰ 8 3 2 2" xfId="8086"/>
    <cellStyle name="€’???‚›‰ 8 3 2 2 2" xfId="8087"/>
    <cellStyle name="€’???‚›‰ 8 3 2 3" xfId="8088"/>
    <cellStyle name="€’???‚›‰ 8 3 2 4" xfId="8089"/>
    <cellStyle name="€’???‚›‰ 8 3 3" xfId="8090"/>
    <cellStyle name="€’???‚›‰ 8 3 3 2" xfId="8091"/>
    <cellStyle name="€’???‚›‰ 8 3 3 3" xfId="8092"/>
    <cellStyle name="€’???‚›‰ 8 3 4" xfId="8093"/>
    <cellStyle name="€’???‚›‰ 8 3 4 2" xfId="8094"/>
    <cellStyle name="€’???‚›‰ 8 3 5" xfId="8095"/>
    <cellStyle name="€’???‚›‰ 8 3 6" xfId="8096"/>
    <cellStyle name="€’???‚›‰ 8 3 7" xfId="8097"/>
    <cellStyle name="€’???‚›‰ 8 3 8" xfId="8098"/>
    <cellStyle name="€’???‚›‰ 8 3 9" xfId="8099"/>
    <cellStyle name="€’???‚›‰ 8 4" xfId="8100"/>
    <cellStyle name="€’???‚›‰ 8 4 2" xfId="8101"/>
    <cellStyle name="€’???‚›‰ 8 4 2 2" xfId="8102"/>
    <cellStyle name="€’???‚›‰ 8 4 2 3" xfId="8103"/>
    <cellStyle name="€’???‚›‰ 8 4 3" xfId="8104"/>
    <cellStyle name="€’???‚›‰ 8 4 3 2" xfId="8105"/>
    <cellStyle name="€’???‚›‰ 8 4 4" xfId="8106"/>
    <cellStyle name="€’???‚›‰ 8 4 5" xfId="8107"/>
    <cellStyle name="€’???‚›‰ 8 5" xfId="8108"/>
    <cellStyle name="€’???‚›‰ 8 5 2" xfId="8109"/>
    <cellStyle name="€’???‚›‰ 8 5 2 2" xfId="8110"/>
    <cellStyle name="€’???‚›‰ 8 5 3" xfId="8111"/>
    <cellStyle name="€’???‚›‰ 8 5 4" xfId="8112"/>
    <cellStyle name="€’???‚›‰ 8 6" xfId="8113"/>
    <cellStyle name="€’???‚›‰ 8 6 2" xfId="8114"/>
    <cellStyle name="€’???‚›‰ 8 6 3" xfId="8115"/>
    <cellStyle name="€’???‚›‰ 8 7" xfId="8116"/>
    <cellStyle name="€’???‚›‰ 8 7 2" xfId="8117"/>
    <cellStyle name="€’???‚›‰ 8 8" xfId="8118"/>
    <cellStyle name="€’???‚›‰ 8 9" xfId="8119"/>
    <cellStyle name="€’???‚›‰ 9" xfId="8120"/>
    <cellStyle name="€’???‚›‰ 9 10" xfId="8121"/>
    <cellStyle name="€’???‚›‰ 9 11" xfId="8122"/>
    <cellStyle name="€’???‚›‰ 9 12" xfId="8123"/>
    <cellStyle name="€’???‚›‰ 9 13" xfId="8124"/>
    <cellStyle name="€’???‚›‰ 9 14" xfId="8125"/>
    <cellStyle name="€’???‚›‰ 9 15" xfId="8126"/>
    <cellStyle name="€’???‚›‰ 9 16" xfId="8127"/>
    <cellStyle name="€’???‚›‰ 9 17" xfId="8128"/>
    <cellStyle name="€’???‚›‰ 9 18" xfId="8129"/>
    <cellStyle name="€’???‚›‰ 9 19" xfId="8130"/>
    <cellStyle name="€’???‚›‰ 9 2" xfId="8131"/>
    <cellStyle name="€’???‚›‰ 9 2 10" xfId="8132"/>
    <cellStyle name="€’???‚›‰ 9 2 11" xfId="8133"/>
    <cellStyle name="€’???‚›‰ 9 2 12" xfId="8134"/>
    <cellStyle name="€’???‚›‰ 9 2 13" xfId="8135"/>
    <cellStyle name="€’???‚›‰ 9 2 14" xfId="8136"/>
    <cellStyle name="€’???‚›‰ 9 2 15" xfId="8137"/>
    <cellStyle name="€’???‚›‰ 9 2 16" xfId="8138"/>
    <cellStyle name="€’???‚›‰ 9 2 17" xfId="8139"/>
    <cellStyle name="€’???‚›‰ 9 2 18" xfId="8140"/>
    <cellStyle name="€’???‚›‰ 9 2 2" xfId="8141"/>
    <cellStyle name="€’???‚›‰ 9 2 2 2" xfId="8142"/>
    <cellStyle name="€’???‚›‰ 9 2 2 2 2" xfId="8143"/>
    <cellStyle name="€’???‚›‰ 9 2 2 3" xfId="8144"/>
    <cellStyle name="€’???‚›‰ 9 2 2 4" xfId="8145"/>
    <cellStyle name="€’???‚›‰ 9 2 3" xfId="8146"/>
    <cellStyle name="€’???‚›‰ 9 2 3 2" xfId="8147"/>
    <cellStyle name="€’???‚›‰ 9 2 3 3" xfId="8148"/>
    <cellStyle name="€’???‚›‰ 9 2 4" xfId="8149"/>
    <cellStyle name="€’???‚›‰ 9 2 4 2" xfId="8150"/>
    <cellStyle name="€’???‚›‰ 9 2 5" xfId="8151"/>
    <cellStyle name="€’???‚›‰ 9 2 6" xfId="8152"/>
    <cellStyle name="€’???‚›‰ 9 2 7" xfId="8153"/>
    <cellStyle name="€’???‚›‰ 9 2 8" xfId="8154"/>
    <cellStyle name="€’???‚›‰ 9 2 9" xfId="8155"/>
    <cellStyle name="€’???‚›‰ 9 20" xfId="8156"/>
    <cellStyle name="€’???‚›‰ 9 3" xfId="8157"/>
    <cellStyle name="€’???‚›‰ 9 3 10" xfId="8158"/>
    <cellStyle name="€’???‚›‰ 9 3 11" xfId="8159"/>
    <cellStyle name="€’???‚›‰ 9 3 12" xfId="8160"/>
    <cellStyle name="€’???‚›‰ 9 3 13" xfId="8161"/>
    <cellStyle name="€’???‚›‰ 9 3 14" xfId="8162"/>
    <cellStyle name="€’???‚›‰ 9 3 15" xfId="8163"/>
    <cellStyle name="€’???‚›‰ 9 3 16" xfId="8164"/>
    <cellStyle name="€’???‚›‰ 9 3 17" xfId="8165"/>
    <cellStyle name="€’???‚›‰ 9 3 18" xfId="8166"/>
    <cellStyle name="€’???‚›‰ 9 3 2" xfId="8167"/>
    <cellStyle name="€’???‚›‰ 9 3 2 2" xfId="8168"/>
    <cellStyle name="€’???‚›‰ 9 3 2 2 2" xfId="8169"/>
    <cellStyle name="€’???‚›‰ 9 3 2 3" xfId="8170"/>
    <cellStyle name="€’???‚›‰ 9 3 2 4" xfId="8171"/>
    <cellStyle name="€’???‚›‰ 9 3 3" xfId="8172"/>
    <cellStyle name="€’???‚›‰ 9 3 3 2" xfId="8173"/>
    <cellStyle name="€’???‚›‰ 9 3 3 3" xfId="8174"/>
    <cellStyle name="€’???‚›‰ 9 3 4" xfId="8175"/>
    <cellStyle name="€’???‚›‰ 9 3 4 2" xfId="8176"/>
    <cellStyle name="€’???‚›‰ 9 3 5" xfId="8177"/>
    <cellStyle name="€’???‚›‰ 9 3 6" xfId="8178"/>
    <cellStyle name="€’???‚›‰ 9 3 7" xfId="8179"/>
    <cellStyle name="€’???‚›‰ 9 3 8" xfId="8180"/>
    <cellStyle name="€’???‚›‰ 9 3 9" xfId="8181"/>
    <cellStyle name="€’???‚›‰ 9 4" xfId="8182"/>
    <cellStyle name="€’???‚›‰ 9 4 2" xfId="8183"/>
    <cellStyle name="€’???‚›‰ 9 4 2 2" xfId="8184"/>
    <cellStyle name="€’???‚›‰ 9 4 3" xfId="8185"/>
    <cellStyle name="€’???‚›‰ 9 4 4" xfId="8186"/>
    <cellStyle name="€’???‚›‰ 9 5" xfId="8187"/>
    <cellStyle name="€’???‚›‰ 9 5 2" xfId="8188"/>
    <cellStyle name="€’???‚›‰ 9 5 3" xfId="8189"/>
    <cellStyle name="€’???‚›‰ 9 6" xfId="8190"/>
    <cellStyle name="€’???‚›‰ 9 6 2" xfId="8191"/>
    <cellStyle name="€’???‚›‰ 9 7" xfId="8192"/>
    <cellStyle name="€’???‚›‰ 9 8" xfId="8193"/>
    <cellStyle name="€’???‚›‰ 9 9" xfId="8194"/>
    <cellStyle name="€’ЋѓЋ‚›‰" xfId="8195"/>
    <cellStyle name="€’ЋѓЋ‚›‰ 10" xfId="8196"/>
    <cellStyle name="€’ЋѓЋ‚›‰ 10 10" xfId="8197"/>
    <cellStyle name="€’ЋѓЋ‚›‰ 10 11" xfId="8198"/>
    <cellStyle name="€’ЋѓЋ‚›‰ 10 12" xfId="8199"/>
    <cellStyle name="€’ЋѓЋ‚›‰ 10 13" xfId="8200"/>
    <cellStyle name="€’ЋѓЋ‚›‰ 10 14" xfId="8201"/>
    <cellStyle name="€’ЋѓЋ‚›‰ 10 15" xfId="8202"/>
    <cellStyle name="€’ЋѓЋ‚›‰ 10 16" xfId="8203"/>
    <cellStyle name="€’ЋѓЋ‚›‰ 10 17" xfId="8204"/>
    <cellStyle name="€’ЋѓЋ‚›‰ 10 18" xfId="8205"/>
    <cellStyle name="€’ЋѓЋ‚›‰ 10 19" xfId="8206"/>
    <cellStyle name="€’ЋѓЋ‚›‰ 10 2" xfId="8207"/>
    <cellStyle name="€’ЋѓЋ‚›‰ 10 2 10" xfId="8208"/>
    <cellStyle name="€’ЋѓЋ‚›‰ 10 2 11" xfId="8209"/>
    <cellStyle name="€’ЋѓЋ‚›‰ 10 2 12" xfId="8210"/>
    <cellStyle name="€’ЋѓЋ‚›‰ 10 2 13" xfId="8211"/>
    <cellStyle name="€’ЋѓЋ‚›‰ 10 2 14" xfId="8212"/>
    <cellStyle name="€’ЋѓЋ‚›‰ 10 2 15" xfId="8213"/>
    <cellStyle name="€’ЋѓЋ‚›‰ 10 2 16" xfId="8214"/>
    <cellStyle name="€’ЋѓЋ‚›‰ 10 2 17" xfId="8215"/>
    <cellStyle name="€’ЋѓЋ‚›‰ 10 2 18" xfId="8216"/>
    <cellStyle name="€’ЋѓЋ‚›‰ 10 2 2" xfId="8217"/>
    <cellStyle name="€’ЋѓЋ‚›‰ 10 2 2 2" xfId="8218"/>
    <cellStyle name="€’ЋѓЋ‚›‰ 10 2 2 2 2" xfId="8219"/>
    <cellStyle name="€’ЋѓЋ‚›‰ 10 2 2 3" xfId="8220"/>
    <cellStyle name="€’ЋѓЋ‚›‰ 10 2 2 4" xfId="8221"/>
    <cellStyle name="€’ЋѓЋ‚›‰ 10 2 3" xfId="8222"/>
    <cellStyle name="€’ЋѓЋ‚›‰ 10 2 3 2" xfId="8223"/>
    <cellStyle name="€’ЋѓЋ‚›‰ 10 2 3 3" xfId="8224"/>
    <cellStyle name="€’ЋѓЋ‚›‰ 10 2 4" xfId="8225"/>
    <cellStyle name="€’ЋѓЋ‚›‰ 10 2 4 2" xfId="8226"/>
    <cellStyle name="€’ЋѓЋ‚›‰ 10 2 5" xfId="8227"/>
    <cellStyle name="€’ЋѓЋ‚›‰ 10 2 6" xfId="8228"/>
    <cellStyle name="€’ЋѓЋ‚›‰ 10 2 7" xfId="8229"/>
    <cellStyle name="€’ЋѓЋ‚›‰ 10 2 8" xfId="8230"/>
    <cellStyle name="€’ЋѓЋ‚›‰ 10 2 9" xfId="8231"/>
    <cellStyle name="€’ЋѓЋ‚›‰ 10 20" xfId="8232"/>
    <cellStyle name="€’ЋѓЋ‚›‰ 10 3" xfId="8233"/>
    <cellStyle name="€’ЋѓЋ‚›‰ 10 3 10" xfId="8234"/>
    <cellStyle name="€’ЋѓЋ‚›‰ 10 3 11" xfId="8235"/>
    <cellStyle name="€’ЋѓЋ‚›‰ 10 3 12" xfId="8236"/>
    <cellStyle name="€’ЋѓЋ‚›‰ 10 3 13" xfId="8237"/>
    <cellStyle name="€’ЋѓЋ‚›‰ 10 3 14" xfId="8238"/>
    <cellStyle name="€’ЋѓЋ‚›‰ 10 3 15" xfId="8239"/>
    <cellStyle name="€’ЋѓЋ‚›‰ 10 3 16" xfId="8240"/>
    <cellStyle name="€’ЋѓЋ‚›‰ 10 3 17" xfId="8241"/>
    <cellStyle name="€’ЋѓЋ‚›‰ 10 3 18" xfId="8242"/>
    <cellStyle name="€’ЋѓЋ‚›‰ 10 3 2" xfId="8243"/>
    <cellStyle name="€’ЋѓЋ‚›‰ 10 3 2 2" xfId="8244"/>
    <cellStyle name="€’ЋѓЋ‚›‰ 10 3 2 2 2" xfId="8245"/>
    <cellStyle name="€’ЋѓЋ‚›‰ 10 3 2 3" xfId="8246"/>
    <cellStyle name="€’ЋѓЋ‚›‰ 10 3 2 4" xfId="8247"/>
    <cellStyle name="€’ЋѓЋ‚›‰ 10 3 3" xfId="8248"/>
    <cellStyle name="€’ЋѓЋ‚›‰ 10 3 3 2" xfId="8249"/>
    <cellStyle name="€’ЋѓЋ‚›‰ 10 3 3 3" xfId="8250"/>
    <cellStyle name="€’ЋѓЋ‚›‰ 10 3 4" xfId="8251"/>
    <cellStyle name="€’ЋѓЋ‚›‰ 10 3 4 2" xfId="8252"/>
    <cellStyle name="€’ЋѓЋ‚›‰ 10 3 5" xfId="8253"/>
    <cellStyle name="€’ЋѓЋ‚›‰ 10 3 6" xfId="8254"/>
    <cellStyle name="€’ЋѓЋ‚›‰ 10 3 7" xfId="8255"/>
    <cellStyle name="€’ЋѓЋ‚›‰ 10 3 8" xfId="8256"/>
    <cellStyle name="€’ЋѓЋ‚›‰ 10 3 9" xfId="8257"/>
    <cellStyle name="€’ЋѓЋ‚›‰ 10 4" xfId="8258"/>
    <cellStyle name="€’ЋѓЋ‚›‰ 10 4 2" xfId="8259"/>
    <cellStyle name="€’ЋѓЋ‚›‰ 10 4 2 2" xfId="8260"/>
    <cellStyle name="€’ЋѓЋ‚›‰ 10 4 3" xfId="8261"/>
    <cellStyle name="€’ЋѓЋ‚›‰ 10 4 4" xfId="8262"/>
    <cellStyle name="€’ЋѓЋ‚›‰ 10 5" xfId="8263"/>
    <cellStyle name="€’ЋѓЋ‚›‰ 10 5 2" xfId="8264"/>
    <cellStyle name="€’ЋѓЋ‚›‰ 10 6" xfId="8265"/>
    <cellStyle name="€’ЋѓЋ‚›‰ 10 7" xfId="8266"/>
    <cellStyle name="€’ЋѓЋ‚›‰ 10 8" xfId="8267"/>
    <cellStyle name="€’ЋѓЋ‚›‰ 10 9" xfId="8268"/>
    <cellStyle name="€’ЋѓЋ‚›‰ 11" xfId="8269"/>
    <cellStyle name="€’ЋѓЋ‚›‰ 11 10" xfId="8270"/>
    <cellStyle name="€’ЋѓЋ‚›‰ 11 11" xfId="8271"/>
    <cellStyle name="€’ЋѓЋ‚›‰ 11 12" xfId="8272"/>
    <cellStyle name="€’ЋѓЋ‚›‰ 11 13" xfId="8273"/>
    <cellStyle name="€’ЋѓЋ‚›‰ 11 14" xfId="8274"/>
    <cellStyle name="€’ЋѓЋ‚›‰ 11 15" xfId="8275"/>
    <cellStyle name="€’ЋѓЋ‚›‰ 11 16" xfId="8276"/>
    <cellStyle name="€’ЋѓЋ‚›‰ 11 17" xfId="8277"/>
    <cellStyle name="€’ЋѓЋ‚›‰ 11 18" xfId="8278"/>
    <cellStyle name="€’ЋѓЋ‚›‰ 11 2" xfId="8279"/>
    <cellStyle name="€’ЋѓЋ‚›‰ 11 2 2" xfId="8280"/>
    <cellStyle name="€’ЋѓЋ‚›‰ 11 2 2 2" xfId="8281"/>
    <cellStyle name="€’ЋѓЋ‚›‰ 11 2 3" xfId="8282"/>
    <cellStyle name="€’ЋѓЋ‚›‰ 11 2 4" xfId="8283"/>
    <cellStyle name="€’ЋѓЋ‚›‰ 11 3" xfId="8284"/>
    <cellStyle name="€’ЋѓЋ‚›‰ 11 3 2" xfId="8285"/>
    <cellStyle name="€’ЋѓЋ‚›‰ 11 3 3" xfId="8286"/>
    <cellStyle name="€’ЋѓЋ‚›‰ 11 4" xfId="8287"/>
    <cellStyle name="€’ЋѓЋ‚›‰ 11 4 2" xfId="8288"/>
    <cellStyle name="€’ЋѓЋ‚›‰ 11 5" xfId="8289"/>
    <cellStyle name="€’ЋѓЋ‚›‰ 11 6" xfId="8290"/>
    <cellStyle name="€’ЋѓЋ‚›‰ 11 7" xfId="8291"/>
    <cellStyle name="€’ЋѓЋ‚›‰ 11 8" xfId="8292"/>
    <cellStyle name="€’ЋѓЋ‚›‰ 11 9" xfId="8293"/>
    <cellStyle name="€’ЋѓЋ‚›‰ 12" xfId="8294"/>
    <cellStyle name="€’ЋѓЋ‚›‰ 12 10" xfId="8295"/>
    <cellStyle name="€’ЋѓЋ‚›‰ 12 11" xfId="8296"/>
    <cellStyle name="€’ЋѓЋ‚›‰ 12 12" xfId="8297"/>
    <cellStyle name="€’ЋѓЋ‚›‰ 12 13" xfId="8298"/>
    <cellStyle name="€’ЋѓЋ‚›‰ 12 14" xfId="8299"/>
    <cellStyle name="€’ЋѓЋ‚›‰ 12 15" xfId="8300"/>
    <cellStyle name="€’ЋѓЋ‚›‰ 12 16" xfId="8301"/>
    <cellStyle name="€’ЋѓЋ‚›‰ 12 17" xfId="8302"/>
    <cellStyle name="€’ЋѓЋ‚›‰ 12 18" xfId="8303"/>
    <cellStyle name="€’ЋѓЋ‚›‰ 12 2" xfId="8304"/>
    <cellStyle name="€’ЋѓЋ‚›‰ 12 2 2" xfId="8305"/>
    <cellStyle name="€’ЋѓЋ‚›‰ 12 3" xfId="8306"/>
    <cellStyle name="€’ЋѓЋ‚›‰ 12 4" xfId="8307"/>
    <cellStyle name="€’ЋѓЋ‚›‰ 12 5" xfId="8308"/>
    <cellStyle name="€’ЋѓЋ‚›‰ 12 6" xfId="8309"/>
    <cellStyle name="€’ЋѓЋ‚›‰ 12 7" xfId="8310"/>
    <cellStyle name="€’ЋѓЋ‚›‰ 12 8" xfId="8311"/>
    <cellStyle name="€’ЋѓЋ‚›‰ 12 9" xfId="8312"/>
    <cellStyle name="€’ЋѓЋ‚›‰ 13" xfId="8313"/>
    <cellStyle name="€’ЋѓЋ‚›‰ 14" xfId="8314"/>
    <cellStyle name="€’ЋѓЋ‚›‰ 15" xfId="8315"/>
    <cellStyle name="€’ЋѓЋ‚›‰ 16" xfId="8316"/>
    <cellStyle name="€’ЋѓЋ‚›‰ 17" xfId="8317"/>
    <cellStyle name="€’ЋѓЋ‚›‰ 18" xfId="8318"/>
    <cellStyle name="€’ЋѓЋ‚›‰ 19" xfId="8319"/>
    <cellStyle name="€’ЋѓЋ‚›‰ 2" xfId="8320"/>
    <cellStyle name="€’ЋѓЋ‚›‰ 2 10" xfId="8321"/>
    <cellStyle name="€’ЋѓЋ‚›‰ 2 11" xfId="8322"/>
    <cellStyle name="€’ЋѓЋ‚›‰ 2 12" xfId="8323"/>
    <cellStyle name="€’ЋѓЋ‚›‰ 2 13" xfId="8324"/>
    <cellStyle name="€’ЋѓЋ‚›‰ 2 14" xfId="8325"/>
    <cellStyle name="€’ЋѓЋ‚›‰ 2 15" xfId="8326"/>
    <cellStyle name="€’ЋѓЋ‚›‰ 2 16" xfId="8327"/>
    <cellStyle name="€’ЋѓЋ‚›‰ 2 17" xfId="8328"/>
    <cellStyle name="€’ЋѓЋ‚›‰ 2 18" xfId="8329"/>
    <cellStyle name="€’ЋѓЋ‚›‰ 2 19" xfId="8330"/>
    <cellStyle name="€’ЋѓЋ‚›‰ 2 2" xfId="8331"/>
    <cellStyle name="€’ЋѓЋ‚›‰ 2 2 10" xfId="8332"/>
    <cellStyle name="€’ЋѓЋ‚›‰ 2 2 11" xfId="8333"/>
    <cellStyle name="€’ЋѓЋ‚›‰ 2 2 12" xfId="8334"/>
    <cellStyle name="€’ЋѓЋ‚›‰ 2 2 13" xfId="8335"/>
    <cellStyle name="€’ЋѓЋ‚›‰ 2 2 14" xfId="8336"/>
    <cellStyle name="€’ЋѓЋ‚›‰ 2 2 15" xfId="8337"/>
    <cellStyle name="€’ЋѓЋ‚›‰ 2 2 16" xfId="8338"/>
    <cellStyle name="€’ЋѓЋ‚›‰ 2 2 17" xfId="8339"/>
    <cellStyle name="€’ЋѓЋ‚›‰ 2 2 18" xfId="8340"/>
    <cellStyle name="€’ЋѓЋ‚›‰ 2 2 19" xfId="8341"/>
    <cellStyle name="€’ЋѓЋ‚›‰ 2 2 2" xfId="8342"/>
    <cellStyle name="€’ЋѓЋ‚›‰ 2 2 2 10" xfId="8343"/>
    <cellStyle name="€’ЋѓЋ‚›‰ 2 2 2 11" xfId="8344"/>
    <cellStyle name="€’ЋѓЋ‚›‰ 2 2 2 12" xfId="8345"/>
    <cellStyle name="€’ЋѓЋ‚›‰ 2 2 2 13" xfId="8346"/>
    <cellStyle name="€’ЋѓЋ‚›‰ 2 2 2 14" xfId="8347"/>
    <cellStyle name="€’ЋѓЋ‚›‰ 2 2 2 15" xfId="8348"/>
    <cellStyle name="€’ЋѓЋ‚›‰ 2 2 2 16" xfId="8349"/>
    <cellStyle name="€’ЋѓЋ‚›‰ 2 2 2 17" xfId="8350"/>
    <cellStyle name="€’ЋѓЋ‚›‰ 2 2 2 18" xfId="8351"/>
    <cellStyle name="€’ЋѓЋ‚›‰ 2 2 2 2" xfId="8352"/>
    <cellStyle name="€’ЋѓЋ‚›‰ 2 2 2 2 2" xfId="8353"/>
    <cellStyle name="€’ЋѓЋ‚›‰ 2 2 2 2 2 2" xfId="8354"/>
    <cellStyle name="€’ЋѓЋ‚›‰ 2 2 2 2 3" xfId="8355"/>
    <cellStyle name="€’ЋѓЋ‚›‰ 2 2 2 2 4" xfId="8356"/>
    <cellStyle name="€’ЋѓЋ‚›‰ 2 2 2 3" xfId="8357"/>
    <cellStyle name="€’ЋѓЋ‚›‰ 2 2 2 3 2" xfId="8358"/>
    <cellStyle name="€’ЋѓЋ‚›‰ 2 2 2 3 3" xfId="8359"/>
    <cellStyle name="€’ЋѓЋ‚›‰ 2 2 2 4" xfId="8360"/>
    <cellStyle name="€’ЋѓЋ‚›‰ 2 2 2 4 2" xfId="8361"/>
    <cellStyle name="€’ЋѓЋ‚›‰ 2 2 2 5" xfId="8362"/>
    <cellStyle name="€’ЋѓЋ‚›‰ 2 2 2 6" xfId="8363"/>
    <cellStyle name="€’ЋѓЋ‚›‰ 2 2 2 7" xfId="8364"/>
    <cellStyle name="€’ЋѓЋ‚›‰ 2 2 2 8" xfId="8365"/>
    <cellStyle name="€’ЋѓЋ‚›‰ 2 2 2 9" xfId="8366"/>
    <cellStyle name="€’ЋѓЋ‚›‰ 2 2 20" xfId="8367"/>
    <cellStyle name="€’ЋѓЋ‚›‰ 2 2 21" xfId="8368"/>
    <cellStyle name="€’ЋѓЋ‚›‰ 2 2 22" xfId="8369"/>
    <cellStyle name="€’ЋѓЋ‚›‰ 2 2 23" xfId="8370"/>
    <cellStyle name="€’ЋѓЋ‚›‰ 2 2 3" xfId="8371"/>
    <cellStyle name="€’ЋѓЋ‚›‰ 2 2 3 10" xfId="8372"/>
    <cellStyle name="€’ЋѓЋ‚›‰ 2 2 3 11" xfId="8373"/>
    <cellStyle name="€’ЋѓЋ‚›‰ 2 2 3 12" xfId="8374"/>
    <cellStyle name="€’ЋѓЋ‚›‰ 2 2 3 13" xfId="8375"/>
    <cellStyle name="€’ЋѓЋ‚›‰ 2 2 3 14" xfId="8376"/>
    <cellStyle name="€’ЋѓЋ‚›‰ 2 2 3 15" xfId="8377"/>
    <cellStyle name="€’ЋѓЋ‚›‰ 2 2 3 16" xfId="8378"/>
    <cellStyle name="€’ЋѓЋ‚›‰ 2 2 3 17" xfId="8379"/>
    <cellStyle name="€’ЋѓЋ‚›‰ 2 2 3 18" xfId="8380"/>
    <cellStyle name="€’ЋѓЋ‚›‰ 2 2 3 2" xfId="8381"/>
    <cellStyle name="€’ЋѓЋ‚›‰ 2 2 3 2 2" xfId="8382"/>
    <cellStyle name="€’ЋѓЋ‚›‰ 2 2 3 2 2 2" xfId="8383"/>
    <cellStyle name="€’ЋѓЋ‚›‰ 2 2 3 2 3" xfId="8384"/>
    <cellStyle name="€’ЋѓЋ‚›‰ 2 2 3 2 4" xfId="8385"/>
    <cellStyle name="€’ЋѓЋ‚›‰ 2 2 3 3" xfId="8386"/>
    <cellStyle name="€’ЋѓЋ‚›‰ 2 2 3 3 2" xfId="8387"/>
    <cellStyle name="€’ЋѓЋ‚›‰ 2 2 3 3 3" xfId="8388"/>
    <cellStyle name="€’ЋѓЋ‚›‰ 2 2 3 4" xfId="8389"/>
    <cellStyle name="€’ЋѓЋ‚›‰ 2 2 3 4 2" xfId="8390"/>
    <cellStyle name="€’ЋѓЋ‚›‰ 2 2 3 5" xfId="8391"/>
    <cellStyle name="€’ЋѓЋ‚›‰ 2 2 3 6" xfId="8392"/>
    <cellStyle name="€’ЋѓЋ‚›‰ 2 2 3 7" xfId="8393"/>
    <cellStyle name="€’ЋѓЋ‚›‰ 2 2 3 8" xfId="8394"/>
    <cellStyle name="€’ЋѓЋ‚›‰ 2 2 3 9" xfId="8395"/>
    <cellStyle name="€’ЋѓЋ‚›‰ 2 2 4" xfId="8396"/>
    <cellStyle name="€’ЋѓЋ‚›‰ 2 2 4 2" xfId="8397"/>
    <cellStyle name="€’ЋѓЋ‚›‰ 2 2 4 2 2" xfId="8398"/>
    <cellStyle name="€’ЋѓЋ‚›‰ 2 2 4 2 3" xfId="8399"/>
    <cellStyle name="€’ЋѓЋ‚›‰ 2 2 4 3" xfId="8400"/>
    <cellStyle name="€’ЋѓЋ‚›‰ 2 2 4 3 2" xfId="8401"/>
    <cellStyle name="€’ЋѓЋ‚›‰ 2 2 4 4" xfId="8402"/>
    <cellStyle name="€’ЋѓЋ‚›‰ 2 2 4 5" xfId="8403"/>
    <cellStyle name="€’ЋѓЋ‚›‰ 2 2 5" xfId="8404"/>
    <cellStyle name="€’ЋѓЋ‚›‰ 2 2 5 2" xfId="8405"/>
    <cellStyle name="€’ЋѓЋ‚›‰ 2 2 5 2 2" xfId="8406"/>
    <cellStyle name="€’ЋѓЋ‚›‰ 2 2 5 3" xfId="8407"/>
    <cellStyle name="€’ЋѓЋ‚›‰ 2 2 5 4" xfId="8408"/>
    <cellStyle name="€’ЋѓЋ‚›‰ 2 2 6" xfId="8409"/>
    <cellStyle name="€’ЋѓЋ‚›‰ 2 2 6 2" xfId="8410"/>
    <cellStyle name="€’ЋѓЋ‚›‰ 2 2 6 3" xfId="8411"/>
    <cellStyle name="€’ЋѓЋ‚›‰ 2 2 7" xfId="8412"/>
    <cellStyle name="€’ЋѓЋ‚›‰ 2 2 7 2" xfId="8413"/>
    <cellStyle name="€’ЋѓЋ‚›‰ 2 2 8" xfId="8414"/>
    <cellStyle name="€’ЋѓЋ‚›‰ 2 2 9" xfId="8415"/>
    <cellStyle name="€’ЋѓЋ‚›‰ 2 20" xfId="8416"/>
    <cellStyle name="€’ЋѓЋ‚›‰ 2 21" xfId="8417"/>
    <cellStyle name="€’ЋѓЋ‚›‰ 2 22" xfId="8418"/>
    <cellStyle name="€’ЋѓЋ‚›‰ 2 23" xfId="8419"/>
    <cellStyle name="€’ЋѓЋ‚›‰ 2 24" xfId="8420"/>
    <cellStyle name="€’ЋѓЋ‚›‰ 2 25" xfId="8421"/>
    <cellStyle name="€’ЋѓЋ‚›‰ 2 26" xfId="8422"/>
    <cellStyle name="€’ЋѓЋ‚›‰ 2 27" xfId="8423"/>
    <cellStyle name="€’ЋѓЋ‚›‰ 2 28" xfId="8424"/>
    <cellStyle name="€’ЋѓЋ‚›‰ 2 3" xfId="8425"/>
    <cellStyle name="€’ЋѓЋ‚›‰ 2 3 10" xfId="8426"/>
    <cellStyle name="€’ЋѓЋ‚›‰ 2 3 11" xfId="8427"/>
    <cellStyle name="€’ЋѓЋ‚›‰ 2 3 12" xfId="8428"/>
    <cellStyle name="€’ЋѓЋ‚›‰ 2 3 13" xfId="8429"/>
    <cellStyle name="€’ЋѓЋ‚›‰ 2 3 14" xfId="8430"/>
    <cellStyle name="€’ЋѓЋ‚›‰ 2 3 15" xfId="8431"/>
    <cellStyle name="€’ЋѓЋ‚›‰ 2 3 16" xfId="8432"/>
    <cellStyle name="€’ЋѓЋ‚›‰ 2 3 17" xfId="8433"/>
    <cellStyle name="€’ЋѓЋ‚›‰ 2 3 18" xfId="8434"/>
    <cellStyle name="€’ЋѓЋ‚›‰ 2 3 19" xfId="8435"/>
    <cellStyle name="€’ЋѓЋ‚›‰ 2 3 2" xfId="8436"/>
    <cellStyle name="€’ЋѓЋ‚›‰ 2 3 2 10" xfId="8437"/>
    <cellStyle name="€’ЋѓЋ‚›‰ 2 3 2 11" xfId="8438"/>
    <cellStyle name="€’ЋѓЋ‚›‰ 2 3 2 12" xfId="8439"/>
    <cellStyle name="€’ЋѓЋ‚›‰ 2 3 2 13" xfId="8440"/>
    <cellStyle name="€’ЋѓЋ‚›‰ 2 3 2 14" xfId="8441"/>
    <cellStyle name="€’ЋѓЋ‚›‰ 2 3 2 15" xfId="8442"/>
    <cellStyle name="€’ЋѓЋ‚›‰ 2 3 2 16" xfId="8443"/>
    <cellStyle name="€’ЋѓЋ‚›‰ 2 3 2 17" xfId="8444"/>
    <cellStyle name="€’ЋѓЋ‚›‰ 2 3 2 18" xfId="8445"/>
    <cellStyle name="€’ЋѓЋ‚›‰ 2 3 2 2" xfId="8446"/>
    <cellStyle name="€’ЋѓЋ‚›‰ 2 3 2 2 2" xfId="8447"/>
    <cellStyle name="€’ЋѓЋ‚›‰ 2 3 2 2 2 2" xfId="8448"/>
    <cellStyle name="€’ЋѓЋ‚›‰ 2 3 2 2 3" xfId="8449"/>
    <cellStyle name="€’ЋѓЋ‚›‰ 2 3 2 2 4" xfId="8450"/>
    <cellStyle name="€’ЋѓЋ‚›‰ 2 3 2 3" xfId="8451"/>
    <cellStyle name="€’ЋѓЋ‚›‰ 2 3 2 3 2" xfId="8452"/>
    <cellStyle name="€’ЋѓЋ‚›‰ 2 3 2 3 3" xfId="8453"/>
    <cellStyle name="€’ЋѓЋ‚›‰ 2 3 2 4" xfId="8454"/>
    <cellStyle name="€’ЋѓЋ‚›‰ 2 3 2 4 2" xfId="8455"/>
    <cellStyle name="€’ЋѓЋ‚›‰ 2 3 2 5" xfId="8456"/>
    <cellStyle name="€’ЋѓЋ‚›‰ 2 3 2 6" xfId="8457"/>
    <cellStyle name="€’ЋѓЋ‚›‰ 2 3 2 7" xfId="8458"/>
    <cellStyle name="€’ЋѓЋ‚›‰ 2 3 2 8" xfId="8459"/>
    <cellStyle name="€’ЋѓЋ‚›‰ 2 3 2 9" xfId="8460"/>
    <cellStyle name="€’ЋѓЋ‚›‰ 2 3 20" xfId="8461"/>
    <cellStyle name="€’ЋѓЋ‚›‰ 2 3 3" xfId="8462"/>
    <cellStyle name="€’ЋѓЋ‚›‰ 2 3 3 10" xfId="8463"/>
    <cellStyle name="€’ЋѓЋ‚›‰ 2 3 3 11" xfId="8464"/>
    <cellStyle name="€’ЋѓЋ‚›‰ 2 3 3 12" xfId="8465"/>
    <cellStyle name="€’ЋѓЋ‚›‰ 2 3 3 13" xfId="8466"/>
    <cellStyle name="€’ЋѓЋ‚›‰ 2 3 3 14" xfId="8467"/>
    <cellStyle name="€’ЋѓЋ‚›‰ 2 3 3 15" xfId="8468"/>
    <cellStyle name="€’ЋѓЋ‚›‰ 2 3 3 16" xfId="8469"/>
    <cellStyle name="€’ЋѓЋ‚›‰ 2 3 3 17" xfId="8470"/>
    <cellStyle name="€’ЋѓЋ‚›‰ 2 3 3 18" xfId="8471"/>
    <cellStyle name="€’ЋѓЋ‚›‰ 2 3 3 2" xfId="8472"/>
    <cellStyle name="€’ЋѓЋ‚›‰ 2 3 3 2 2" xfId="8473"/>
    <cellStyle name="€’ЋѓЋ‚›‰ 2 3 3 2 2 2" xfId="8474"/>
    <cellStyle name="€’ЋѓЋ‚›‰ 2 3 3 2 3" xfId="8475"/>
    <cellStyle name="€’ЋѓЋ‚›‰ 2 3 3 2 4" xfId="8476"/>
    <cellStyle name="€’ЋѓЋ‚›‰ 2 3 3 3" xfId="8477"/>
    <cellStyle name="€’ЋѓЋ‚›‰ 2 3 3 3 2" xfId="8478"/>
    <cellStyle name="€’ЋѓЋ‚›‰ 2 3 3 3 3" xfId="8479"/>
    <cellStyle name="€’ЋѓЋ‚›‰ 2 3 3 4" xfId="8480"/>
    <cellStyle name="€’ЋѓЋ‚›‰ 2 3 3 4 2" xfId="8481"/>
    <cellStyle name="€’ЋѓЋ‚›‰ 2 3 3 5" xfId="8482"/>
    <cellStyle name="€’ЋѓЋ‚›‰ 2 3 3 6" xfId="8483"/>
    <cellStyle name="€’ЋѓЋ‚›‰ 2 3 3 7" xfId="8484"/>
    <cellStyle name="€’ЋѓЋ‚›‰ 2 3 3 8" xfId="8485"/>
    <cellStyle name="€’ЋѓЋ‚›‰ 2 3 3 9" xfId="8486"/>
    <cellStyle name="€’ЋѓЋ‚›‰ 2 3 4" xfId="8487"/>
    <cellStyle name="€’ЋѓЋ‚›‰ 2 3 4 2" xfId="8488"/>
    <cellStyle name="€’ЋѓЋ‚›‰ 2 3 4 2 2" xfId="8489"/>
    <cellStyle name="€’ЋѓЋ‚›‰ 2 3 4 2 3" xfId="8490"/>
    <cellStyle name="€’ЋѓЋ‚›‰ 2 3 4 3" xfId="8491"/>
    <cellStyle name="€’ЋѓЋ‚›‰ 2 3 4 3 2" xfId="8492"/>
    <cellStyle name="€’ЋѓЋ‚›‰ 2 3 4 4" xfId="8493"/>
    <cellStyle name="€’ЋѓЋ‚›‰ 2 3 4 5" xfId="8494"/>
    <cellStyle name="€’ЋѓЋ‚›‰ 2 3 5" xfId="8495"/>
    <cellStyle name="€’ЋѓЋ‚›‰ 2 3 5 2" xfId="8496"/>
    <cellStyle name="€’ЋѓЋ‚›‰ 2 3 5 2 2" xfId="8497"/>
    <cellStyle name="€’ЋѓЋ‚›‰ 2 3 5 3" xfId="8498"/>
    <cellStyle name="€’ЋѓЋ‚›‰ 2 3 5 4" xfId="8499"/>
    <cellStyle name="€’ЋѓЋ‚›‰ 2 3 6" xfId="8500"/>
    <cellStyle name="€’ЋѓЋ‚›‰ 2 3 6 2" xfId="8501"/>
    <cellStyle name="€’ЋѓЋ‚›‰ 2 3 6 3" xfId="8502"/>
    <cellStyle name="€’ЋѓЋ‚›‰ 2 3 7" xfId="8503"/>
    <cellStyle name="€’ЋѓЋ‚›‰ 2 3 7 2" xfId="8504"/>
    <cellStyle name="€’ЋѓЋ‚›‰ 2 3 8" xfId="8505"/>
    <cellStyle name="€’ЋѓЋ‚›‰ 2 3 9" xfId="8506"/>
    <cellStyle name="€’ЋѓЋ‚›‰ 2 4" xfId="8507"/>
    <cellStyle name="€’ЋѓЋ‚›‰ 2 4 10" xfId="8508"/>
    <cellStyle name="€’ЋѓЋ‚›‰ 2 4 11" xfId="8509"/>
    <cellStyle name="€’ЋѓЋ‚›‰ 2 4 12" xfId="8510"/>
    <cellStyle name="€’ЋѓЋ‚›‰ 2 4 13" xfId="8511"/>
    <cellStyle name="€’ЋѓЋ‚›‰ 2 4 14" xfId="8512"/>
    <cellStyle name="€’ЋѓЋ‚›‰ 2 4 15" xfId="8513"/>
    <cellStyle name="€’ЋѓЋ‚›‰ 2 4 16" xfId="8514"/>
    <cellStyle name="€’ЋѓЋ‚›‰ 2 4 17" xfId="8515"/>
    <cellStyle name="€’ЋѓЋ‚›‰ 2 4 18" xfId="8516"/>
    <cellStyle name="€’ЋѓЋ‚›‰ 2 4 19" xfId="8517"/>
    <cellStyle name="€’ЋѓЋ‚›‰ 2 4 2" xfId="8518"/>
    <cellStyle name="€’ЋѓЋ‚›‰ 2 4 2 10" xfId="8519"/>
    <cellStyle name="€’ЋѓЋ‚›‰ 2 4 2 11" xfId="8520"/>
    <cellStyle name="€’ЋѓЋ‚›‰ 2 4 2 12" xfId="8521"/>
    <cellStyle name="€’ЋѓЋ‚›‰ 2 4 2 13" xfId="8522"/>
    <cellStyle name="€’ЋѓЋ‚›‰ 2 4 2 14" xfId="8523"/>
    <cellStyle name="€’ЋѓЋ‚›‰ 2 4 2 15" xfId="8524"/>
    <cellStyle name="€’ЋѓЋ‚›‰ 2 4 2 16" xfId="8525"/>
    <cellStyle name="€’ЋѓЋ‚›‰ 2 4 2 17" xfId="8526"/>
    <cellStyle name="€’ЋѓЋ‚›‰ 2 4 2 18" xfId="8527"/>
    <cellStyle name="€’ЋѓЋ‚›‰ 2 4 2 2" xfId="8528"/>
    <cellStyle name="€’ЋѓЋ‚›‰ 2 4 2 2 2" xfId="8529"/>
    <cellStyle name="€’ЋѓЋ‚›‰ 2 4 2 2 2 2" xfId="8530"/>
    <cellStyle name="€’ЋѓЋ‚›‰ 2 4 2 2 3" xfId="8531"/>
    <cellStyle name="€’ЋѓЋ‚›‰ 2 4 2 2 4" xfId="8532"/>
    <cellStyle name="€’ЋѓЋ‚›‰ 2 4 2 3" xfId="8533"/>
    <cellStyle name="€’ЋѓЋ‚›‰ 2 4 2 3 2" xfId="8534"/>
    <cellStyle name="€’ЋѓЋ‚›‰ 2 4 2 3 3" xfId="8535"/>
    <cellStyle name="€’ЋѓЋ‚›‰ 2 4 2 4" xfId="8536"/>
    <cellStyle name="€’ЋѓЋ‚›‰ 2 4 2 4 2" xfId="8537"/>
    <cellStyle name="€’ЋѓЋ‚›‰ 2 4 2 5" xfId="8538"/>
    <cellStyle name="€’ЋѓЋ‚›‰ 2 4 2 6" xfId="8539"/>
    <cellStyle name="€’ЋѓЋ‚›‰ 2 4 2 7" xfId="8540"/>
    <cellStyle name="€’ЋѓЋ‚›‰ 2 4 2 8" xfId="8541"/>
    <cellStyle name="€’ЋѓЋ‚›‰ 2 4 2 9" xfId="8542"/>
    <cellStyle name="€’ЋѓЋ‚›‰ 2 4 20" xfId="8543"/>
    <cellStyle name="€’ЋѓЋ‚›‰ 2 4 21" xfId="8544"/>
    <cellStyle name="€’ЋѓЋ‚›‰ 2 4 3" xfId="8545"/>
    <cellStyle name="€’ЋѓЋ‚›‰ 2 4 3 10" xfId="8546"/>
    <cellStyle name="€’ЋѓЋ‚›‰ 2 4 3 11" xfId="8547"/>
    <cellStyle name="€’ЋѓЋ‚›‰ 2 4 3 12" xfId="8548"/>
    <cellStyle name="€’ЋѓЋ‚›‰ 2 4 3 13" xfId="8549"/>
    <cellStyle name="€’ЋѓЋ‚›‰ 2 4 3 14" xfId="8550"/>
    <cellStyle name="€’ЋѓЋ‚›‰ 2 4 3 15" xfId="8551"/>
    <cellStyle name="€’ЋѓЋ‚›‰ 2 4 3 16" xfId="8552"/>
    <cellStyle name="€’ЋѓЋ‚›‰ 2 4 3 17" xfId="8553"/>
    <cellStyle name="€’ЋѓЋ‚›‰ 2 4 3 18" xfId="8554"/>
    <cellStyle name="€’ЋѓЋ‚›‰ 2 4 3 2" xfId="8555"/>
    <cellStyle name="€’ЋѓЋ‚›‰ 2 4 3 2 2" xfId="8556"/>
    <cellStyle name="€’ЋѓЋ‚›‰ 2 4 3 2 2 2" xfId="8557"/>
    <cellStyle name="€’ЋѓЋ‚›‰ 2 4 3 2 3" xfId="8558"/>
    <cellStyle name="€’ЋѓЋ‚›‰ 2 4 3 2 4" xfId="8559"/>
    <cellStyle name="€’ЋѓЋ‚›‰ 2 4 3 3" xfId="8560"/>
    <cellStyle name="€’ЋѓЋ‚›‰ 2 4 3 3 2" xfId="8561"/>
    <cellStyle name="€’ЋѓЋ‚›‰ 2 4 3 3 3" xfId="8562"/>
    <cellStyle name="€’ЋѓЋ‚›‰ 2 4 3 4" xfId="8563"/>
    <cellStyle name="€’ЋѓЋ‚›‰ 2 4 3 4 2" xfId="8564"/>
    <cellStyle name="€’ЋѓЋ‚›‰ 2 4 3 5" xfId="8565"/>
    <cellStyle name="€’ЋѓЋ‚›‰ 2 4 3 6" xfId="8566"/>
    <cellStyle name="€’ЋѓЋ‚›‰ 2 4 3 7" xfId="8567"/>
    <cellStyle name="€’ЋѓЋ‚›‰ 2 4 3 8" xfId="8568"/>
    <cellStyle name="€’ЋѓЋ‚›‰ 2 4 3 9" xfId="8569"/>
    <cellStyle name="€’ЋѓЋ‚›‰ 2 4 4" xfId="8570"/>
    <cellStyle name="€’ЋѓЋ‚›‰ 2 4 4 2" xfId="8571"/>
    <cellStyle name="€’ЋѓЋ‚›‰ 2 4 4 2 2" xfId="8572"/>
    <cellStyle name="€’ЋѓЋ‚›‰ 2 4 4 2 3" xfId="8573"/>
    <cellStyle name="€’ЋѓЋ‚›‰ 2 4 4 3" xfId="8574"/>
    <cellStyle name="€’ЋѓЋ‚›‰ 2 4 4 3 2" xfId="8575"/>
    <cellStyle name="€’ЋѓЋ‚›‰ 2 4 4 4" xfId="8576"/>
    <cellStyle name="€’ЋѓЋ‚›‰ 2 4 4 5" xfId="8577"/>
    <cellStyle name="€’ЋѓЋ‚›‰ 2 4 5" xfId="8578"/>
    <cellStyle name="€’ЋѓЋ‚›‰ 2 4 5 2" xfId="8579"/>
    <cellStyle name="€’ЋѓЋ‚›‰ 2 4 5 2 2" xfId="8580"/>
    <cellStyle name="€’ЋѓЋ‚›‰ 2 4 5 3" xfId="8581"/>
    <cellStyle name="€’ЋѓЋ‚›‰ 2 4 5 4" xfId="8582"/>
    <cellStyle name="€’ЋѓЋ‚›‰ 2 4 6" xfId="8583"/>
    <cellStyle name="€’ЋѓЋ‚›‰ 2 4 6 2" xfId="8584"/>
    <cellStyle name="€’ЋѓЋ‚›‰ 2 4 6 3" xfId="8585"/>
    <cellStyle name="€’ЋѓЋ‚›‰ 2 4 7" xfId="8586"/>
    <cellStyle name="€’ЋѓЋ‚›‰ 2 4 7 2" xfId="8587"/>
    <cellStyle name="€’ЋѓЋ‚›‰ 2 4 8" xfId="8588"/>
    <cellStyle name="€’ЋѓЋ‚›‰ 2 4 9" xfId="8589"/>
    <cellStyle name="€’ЋѓЋ‚›‰ 2 5" xfId="8590"/>
    <cellStyle name="€’ЋѓЋ‚›‰ 2 5 10" xfId="8591"/>
    <cellStyle name="€’ЋѓЋ‚›‰ 2 5 11" xfId="8592"/>
    <cellStyle name="€’ЋѓЋ‚›‰ 2 5 12" xfId="8593"/>
    <cellStyle name="€’ЋѓЋ‚›‰ 2 5 13" xfId="8594"/>
    <cellStyle name="€’ЋѓЋ‚›‰ 2 5 14" xfId="8595"/>
    <cellStyle name="€’ЋѓЋ‚›‰ 2 5 15" xfId="8596"/>
    <cellStyle name="€’ЋѓЋ‚›‰ 2 5 16" xfId="8597"/>
    <cellStyle name="€’ЋѓЋ‚›‰ 2 5 17" xfId="8598"/>
    <cellStyle name="€’ЋѓЋ‚›‰ 2 5 18" xfId="8599"/>
    <cellStyle name="€’ЋѓЋ‚›‰ 2 5 19" xfId="8600"/>
    <cellStyle name="€’ЋѓЋ‚›‰ 2 5 2" xfId="8601"/>
    <cellStyle name="€’ЋѓЋ‚›‰ 2 5 2 10" xfId="8602"/>
    <cellStyle name="€’ЋѓЋ‚›‰ 2 5 2 11" xfId="8603"/>
    <cellStyle name="€’ЋѓЋ‚›‰ 2 5 2 12" xfId="8604"/>
    <cellStyle name="€’ЋѓЋ‚›‰ 2 5 2 13" xfId="8605"/>
    <cellStyle name="€’ЋѓЋ‚›‰ 2 5 2 14" xfId="8606"/>
    <cellStyle name="€’ЋѓЋ‚›‰ 2 5 2 15" xfId="8607"/>
    <cellStyle name="€’ЋѓЋ‚›‰ 2 5 2 16" xfId="8608"/>
    <cellStyle name="€’ЋѓЋ‚›‰ 2 5 2 17" xfId="8609"/>
    <cellStyle name="€’ЋѓЋ‚›‰ 2 5 2 18" xfId="8610"/>
    <cellStyle name="€’ЋѓЋ‚›‰ 2 5 2 2" xfId="8611"/>
    <cellStyle name="€’ЋѓЋ‚›‰ 2 5 2 2 2" xfId="8612"/>
    <cellStyle name="€’ЋѓЋ‚›‰ 2 5 2 2 2 2" xfId="8613"/>
    <cellStyle name="€’ЋѓЋ‚›‰ 2 5 2 2 3" xfId="8614"/>
    <cellStyle name="€’ЋѓЋ‚›‰ 2 5 2 2 4" xfId="8615"/>
    <cellStyle name="€’ЋѓЋ‚›‰ 2 5 2 3" xfId="8616"/>
    <cellStyle name="€’ЋѓЋ‚›‰ 2 5 2 3 2" xfId="8617"/>
    <cellStyle name="€’ЋѓЋ‚›‰ 2 5 2 3 3" xfId="8618"/>
    <cellStyle name="€’ЋѓЋ‚›‰ 2 5 2 4" xfId="8619"/>
    <cellStyle name="€’ЋѓЋ‚›‰ 2 5 2 4 2" xfId="8620"/>
    <cellStyle name="€’ЋѓЋ‚›‰ 2 5 2 5" xfId="8621"/>
    <cellStyle name="€’ЋѓЋ‚›‰ 2 5 2 6" xfId="8622"/>
    <cellStyle name="€’ЋѓЋ‚›‰ 2 5 2 7" xfId="8623"/>
    <cellStyle name="€’ЋѓЋ‚›‰ 2 5 2 8" xfId="8624"/>
    <cellStyle name="€’ЋѓЋ‚›‰ 2 5 2 9" xfId="8625"/>
    <cellStyle name="€’ЋѓЋ‚›‰ 2 5 20" xfId="8626"/>
    <cellStyle name="€’ЋѓЋ‚›‰ 2 5 21" xfId="8627"/>
    <cellStyle name="€’ЋѓЋ‚›‰ 2 5 3" xfId="8628"/>
    <cellStyle name="€’ЋѓЋ‚›‰ 2 5 3 10" xfId="8629"/>
    <cellStyle name="€’ЋѓЋ‚›‰ 2 5 3 11" xfId="8630"/>
    <cellStyle name="€’ЋѓЋ‚›‰ 2 5 3 12" xfId="8631"/>
    <cellStyle name="€’ЋѓЋ‚›‰ 2 5 3 13" xfId="8632"/>
    <cellStyle name="€’ЋѓЋ‚›‰ 2 5 3 14" xfId="8633"/>
    <cellStyle name="€’ЋѓЋ‚›‰ 2 5 3 15" xfId="8634"/>
    <cellStyle name="€’ЋѓЋ‚›‰ 2 5 3 16" xfId="8635"/>
    <cellStyle name="€’ЋѓЋ‚›‰ 2 5 3 17" xfId="8636"/>
    <cellStyle name="€’ЋѓЋ‚›‰ 2 5 3 18" xfId="8637"/>
    <cellStyle name="€’ЋѓЋ‚›‰ 2 5 3 2" xfId="8638"/>
    <cellStyle name="€’ЋѓЋ‚›‰ 2 5 3 2 2" xfId="8639"/>
    <cellStyle name="€’ЋѓЋ‚›‰ 2 5 3 2 2 2" xfId="8640"/>
    <cellStyle name="€’ЋѓЋ‚›‰ 2 5 3 2 3" xfId="8641"/>
    <cellStyle name="€’ЋѓЋ‚›‰ 2 5 3 2 4" xfId="8642"/>
    <cellStyle name="€’ЋѓЋ‚›‰ 2 5 3 3" xfId="8643"/>
    <cellStyle name="€’ЋѓЋ‚›‰ 2 5 3 3 2" xfId="8644"/>
    <cellStyle name="€’ЋѓЋ‚›‰ 2 5 3 3 3" xfId="8645"/>
    <cellStyle name="€’ЋѓЋ‚›‰ 2 5 3 4" xfId="8646"/>
    <cellStyle name="€’ЋѓЋ‚›‰ 2 5 3 4 2" xfId="8647"/>
    <cellStyle name="€’ЋѓЋ‚›‰ 2 5 3 5" xfId="8648"/>
    <cellStyle name="€’ЋѓЋ‚›‰ 2 5 3 6" xfId="8649"/>
    <cellStyle name="€’ЋѓЋ‚›‰ 2 5 3 7" xfId="8650"/>
    <cellStyle name="€’ЋѓЋ‚›‰ 2 5 3 8" xfId="8651"/>
    <cellStyle name="€’ЋѓЋ‚›‰ 2 5 3 9" xfId="8652"/>
    <cellStyle name="€’ЋѓЋ‚›‰ 2 5 4" xfId="8653"/>
    <cellStyle name="€’ЋѓЋ‚›‰ 2 5 4 2" xfId="8654"/>
    <cellStyle name="€’ЋѓЋ‚›‰ 2 5 4 2 2" xfId="8655"/>
    <cellStyle name="€’ЋѓЋ‚›‰ 2 5 4 2 3" xfId="8656"/>
    <cellStyle name="€’ЋѓЋ‚›‰ 2 5 4 3" xfId="8657"/>
    <cellStyle name="€’ЋѓЋ‚›‰ 2 5 4 3 2" xfId="8658"/>
    <cellStyle name="€’ЋѓЋ‚›‰ 2 5 4 4" xfId="8659"/>
    <cellStyle name="€’ЋѓЋ‚›‰ 2 5 4 5" xfId="8660"/>
    <cellStyle name="€’ЋѓЋ‚›‰ 2 5 5" xfId="8661"/>
    <cellStyle name="€’ЋѓЋ‚›‰ 2 5 5 2" xfId="8662"/>
    <cellStyle name="€’ЋѓЋ‚›‰ 2 5 5 2 2" xfId="8663"/>
    <cellStyle name="€’ЋѓЋ‚›‰ 2 5 5 3" xfId="8664"/>
    <cellStyle name="€’ЋѓЋ‚›‰ 2 5 5 4" xfId="8665"/>
    <cellStyle name="€’ЋѓЋ‚›‰ 2 5 6" xfId="8666"/>
    <cellStyle name="€’ЋѓЋ‚›‰ 2 5 6 2" xfId="8667"/>
    <cellStyle name="€’ЋѓЋ‚›‰ 2 5 6 3" xfId="8668"/>
    <cellStyle name="€’ЋѓЋ‚›‰ 2 5 7" xfId="8669"/>
    <cellStyle name="€’ЋѓЋ‚›‰ 2 5 7 2" xfId="8670"/>
    <cellStyle name="€’ЋѓЋ‚›‰ 2 5 8" xfId="8671"/>
    <cellStyle name="€’ЋѓЋ‚›‰ 2 5 9" xfId="8672"/>
    <cellStyle name="€’ЋѓЋ‚›‰ 2 6" xfId="8673"/>
    <cellStyle name="€’ЋѓЋ‚›‰ 2 6 10" xfId="8674"/>
    <cellStyle name="€’ЋѓЋ‚›‰ 2 6 11" xfId="8675"/>
    <cellStyle name="€’ЋѓЋ‚›‰ 2 6 12" xfId="8676"/>
    <cellStyle name="€’ЋѓЋ‚›‰ 2 6 13" xfId="8677"/>
    <cellStyle name="€’ЋѓЋ‚›‰ 2 6 14" xfId="8678"/>
    <cellStyle name="€’ЋѓЋ‚›‰ 2 6 15" xfId="8679"/>
    <cellStyle name="€’ЋѓЋ‚›‰ 2 6 16" xfId="8680"/>
    <cellStyle name="€’ЋѓЋ‚›‰ 2 6 17" xfId="8681"/>
    <cellStyle name="€’ЋѓЋ‚›‰ 2 6 18" xfId="8682"/>
    <cellStyle name="€’ЋѓЋ‚›‰ 2 6 19" xfId="8683"/>
    <cellStyle name="€’ЋѓЋ‚›‰ 2 6 2" xfId="8684"/>
    <cellStyle name="€’ЋѓЋ‚›‰ 2 6 2 10" xfId="8685"/>
    <cellStyle name="€’ЋѓЋ‚›‰ 2 6 2 11" xfId="8686"/>
    <cellStyle name="€’ЋѓЋ‚›‰ 2 6 2 12" xfId="8687"/>
    <cellStyle name="€’ЋѓЋ‚›‰ 2 6 2 13" xfId="8688"/>
    <cellStyle name="€’ЋѓЋ‚›‰ 2 6 2 14" xfId="8689"/>
    <cellStyle name="€’ЋѓЋ‚›‰ 2 6 2 15" xfId="8690"/>
    <cellStyle name="€’ЋѓЋ‚›‰ 2 6 2 16" xfId="8691"/>
    <cellStyle name="€’ЋѓЋ‚›‰ 2 6 2 17" xfId="8692"/>
    <cellStyle name="€’ЋѓЋ‚›‰ 2 6 2 18" xfId="8693"/>
    <cellStyle name="€’ЋѓЋ‚›‰ 2 6 2 2" xfId="8694"/>
    <cellStyle name="€’ЋѓЋ‚›‰ 2 6 2 2 2" xfId="8695"/>
    <cellStyle name="€’ЋѓЋ‚›‰ 2 6 2 2 2 2" xfId="8696"/>
    <cellStyle name="€’ЋѓЋ‚›‰ 2 6 2 2 3" xfId="8697"/>
    <cellStyle name="€’ЋѓЋ‚›‰ 2 6 2 2 4" xfId="8698"/>
    <cellStyle name="€’ЋѓЋ‚›‰ 2 6 2 3" xfId="8699"/>
    <cellStyle name="€’ЋѓЋ‚›‰ 2 6 2 3 2" xfId="8700"/>
    <cellStyle name="€’ЋѓЋ‚›‰ 2 6 2 3 3" xfId="8701"/>
    <cellStyle name="€’ЋѓЋ‚›‰ 2 6 2 4" xfId="8702"/>
    <cellStyle name="€’ЋѓЋ‚›‰ 2 6 2 4 2" xfId="8703"/>
    <cellStyle name="€’ЋѓЋ‚›‰ 2 6 2 5" xfId="8704"/>
    <cellStyle name="€’ЋѓЋ‚›‰ 2 6 2 6" xfId="8705"/>
    <cellStyle name="€’ЋѓЋ‚›‰ 2 6 2 7" xfId="8706"/>
    <cellStyle name="€’ЋѓЋ‚›‰ 2 6 2 8" xfId="8707"/>
    <cellStyle name="€’ЋѓЋ‚›‰ 2 6 2 9" xfId="8708"/>
    <cellStyle name="€’ЋѓЋ‚›‰ 2 6 20" xfId="8709"/>
    <cellStyle name="€’ЋѓЋ‚›‰ 2 6 3" xfId="8710"/>
    <cellStyle name="€’ЋѓЋ‚›‰ 2 6 3 10" xfId="8711"/>
    <cellStyle name="€’ЋѓЋ‚›‰ 2 6 3 11" xfId="8712"/>
    <cellStyle name="€’ЋѓЋ‚›‰ 2 6 3 12" xfId="8713"/>
    <cellStyle name="€’ЋѓЋ‚›‰ 2 6 3 13" xfId="8714"/>
    <cellStyle name="€’ЋѓЋ‚›‰ 2 6 3 14" xfId="8715"/>
    <cellStyle name="€’ЋѓЋ‚›‰ 2 6 3 15" xfId="8716"/>
    <cellStyle name="€’ЋѓЋ‚›‰ 2 6 3 16" xfId="8717"/>
    <cellStyle name="€’ЋѓЋ‚›‰ 2 6 3 17" xfId="8718"/>
    <cellStyle name="€’ЋѓЋ‚›‰ 2 6 3 18" xfId="8719"/>
    <cellStyle name="€’ЋѓЋ‚›‰ 2 6 3 2" xfId="8720"/>
    <cellStyle name="€’ЋѓЋ‚›‰ 2 6 3 2 2" xfId="8721"/>
    <cellStyle name="€’ЋѓЋ‚›‰ 2 6 3 2 2 2" xfId="8722"/>
    <cellStyle name="€’ЋѓЋ‚›‰ 2 6 3 2 3" xfId="8723"/>
    <cellStyle name="€’ЋѓЋ‚›‰ 2 6 3 2 4" xfId="8724"/>
    <cellStyle name="€’ЋѓЋ‚›‰ 2 6 3 3" xfId="8725"/>
    <cellStyle name="€’ЋѓЋ‚›‰ 2 6 3 3 2" xfId="8726"/>
    <cellStyle name="€’ЋѓЋ‚›‰ 2 6 3 3 3" xfId="8727"/>
    <cellStyle name="€’ЋѓЋ‚›‰ 2 6 3 4" xfId="8728"/>
    <cellStyle name="€’ЋѓЋ‚›‰ 2 6 3 4 2" xfId="8729"/>
    <cellStyle name="€’ЋѓЋ‚›‰ 2 6 3 5" xfId="8730"/>
    <cellStyle name="€’ЋѓЋ‚›‰ 2 6 3 6" xfId="8731"/>
    <cellStyle name="€’ЋѓЋ‚›‰ 2 6 3 7" xfId="8732"/>
    <cellStyle name="€’ЋѓЋ‚›‰ 2 6 3 8" xfId="8733"/>
    <cellStyle name="€’ЋѓЋ‚›‰ 2 6 3 9" xfId="8734"/>
    <cellStyle name="€’ЋѓЋ‚›‰ 2 6 4" xfId="8735"/>
    <cellStyle name="€’ЋѓЋ‚›‰ 2 6 4 2" xfId="8736"/>
    <cellStyle name="€’ЋѓЋ‚›‰ 2 6 4 2 2" xfId="8737"/>
    <cellStyle name="€’ЋѓЋ‚›‰ 2 6 4 3" xfId="8738"/>
    <cellStyle name="€’ЋѓЋ‚›‰ 2 6 4 4" xfId="8739"/>
    <cellStyle name="€’ЋѓЋ‚›‰ 2 6 5" xfId="8740"/>
    <cellStyle name="€’ЋѓЋ‚›‰ 2 6 5 2" xfId="8741"/>
    <cellStyle name="€’ЋѓЋ‚›‰ 2 6 6" xfId="8742"/>
    <cellStyle name="€’ЋѓЋ‚›‰ 2 6 7" xfId="8743"/>
    <cellStyle name="€’ЋѓЋ‚›‰ 2 6 8" xfId="8744"/>
    <cellStyle name="€’ЋѓЋ‚›‰ 2 6 9" xfId="8745"/>
    <cellStyle name="€’ЋѓЋ‚›‰ 2 7" xfId="8746"/>
    <cellStyle name="€’ЋѓЋ‚›‰ 2 7 10" xfId="8747"/>
    <cellStyle name="€’ЋѓЋ‚›‰ 2 7 11" xfId="8748"/>
    <cellStyle name="€’ЋѓЋ‚›‰ 2 7 12" xfId="8749"/>
    <cellStyle name="€’ЋѓЋ‚›‰ 2 7 13" xfId="8750"/>
    <cellStyle name="€’ЋѓЋ‚›‰ 2 7 14" xfId="8751"/>
    <cellStyle name="€’ЋѓЋ‚›‰ 2 7 15" xfId="8752"/>
    <cellStyle name="€’ЋѓЋ‚›‰ 2 7 16" xfId="8753"/>
    <cellStyle name="€’ЋѓЋ‚›‰ 2 7 17" xfId="8754"/>
    <cellStyle name="€’ЋѓЋ‚›‰ 2 7 18" xfId="8755"/>
    <cellStyle name="€’ЋѓЋ‚›‰ 2 7 2" xfId="8756"/>
    <cellStyle name="€’ЋѓЋ‚›‰ 2 7 2 2" xfId="8757"/>
    <cellStyle name="€’ЋѓЋ‚›‰ 2 7 2 2 2" xfId="8758"/>
    <cellStyle name="€’ЋѓЋ‚›‰ 2 7 2 3" xfId="8759"/>
    <cellStyle name="€’ЋѓЋ‚›‰ 2 7 2 4" xfId="8760"/>
    <cellStyle name="€’ЋѓЋ‚›‰ 2 7 3" xfId="8761"/>
    <cellStyle name="€’ЋѓЋ‚›‰ 2 7 3 2" xfId="8762"/>
    <cellStyle name="€’ЋѓЋ‚›‰ 2 7 3 3" xfId="8763"/>
    <cellStyle name="€’ЋѓЋ‚›‰ 2 7 4" xfId="8764"/>
    <cellStyle name="€’ЋѓЋ‚›‰ 2 7 4 2" xfId="8765"/>
    <cellStyle name="€’ЋѓЋ‚›‰ 2 7 5" xfId="8766"/>
    <cellStyle name="€’ЋѓЋ‚›‰ 2 7 6" xfId="8767"/>
    <cellStyle name="€’ЋѓЋ‚›‰ 2 7 7" xfId="8768"/>
    <cellStyle name="€’ЋѓЋ‚›‰ 2 7 8" xfId="8769"/>
    <cellStyle name="€’ЋѓЋ‚›‰ 2 7 9" xfId="8770"/>
    <cellStyle name="€’ЋѓЋ‚›‰ 2 8" xfId="8771"/>
    <cellStyle name="€’ЋѓЋ‚›‰ 2 8 10" xfId="8772"/>
    <cellStyle name="€’ЋѓЋ‚›‰ 2 8 11" xfId="8773"/>
    <cellStyle name="€’ЋѓЋ‚›‰ 2 8 12" xfId="8774"/>
    <cellStyle name="€’ЋѓЋ‚›‰ 2 8 13" xfId="8775"/>
    <cellStyle name="€’ЋѓЋ‚›‰ 2 8 14" xfId="8776"/>
    <cellStyle name="€’ЋѓЋ‚›‰ 2 8 15" xfId="8777"/>
    <cellStyle name="€’ЋѓЋ‚›‰ 2 8 16" xfId="8778"/>
    <cellStyle name="€’ЋѓЋ‚›‰ 2 8 17" xfId="8779"/>
    <cellStyle name="€’ЋѓЋ‚›‰ 2 8 18" xfId="8780"/>
    <cellStyle name="€’ЋѓЋ‚›‰ 2 8 2" xfId="8781"/>
    <cellStyle name="€’ЋѓЋ‚›‰ 2 8 2 2" xfId="8782"/>
    <cellStyle name="€’ЋѓЋ‚›‰ 2 8 3" xfId="8783"/>
    <cellStyle name="€’ЋѓЋ‚›‰ 2 8 4" xfId="8784"/>
    <cellStyle name="€’ЋѓЋ‚›‰ 2 8 5" xfId="8785"/>
    <cellStyle name="€’ЋѓЋ‚›‰ 2 8 6" xfId="8786"/>
    <cellStyle name="€’ЋѓЋ‚›‰ 2 8 7" xfId="8787"/>
    <cellStyle name="€’ЋѓЋ‚›‰ 2 8 8" xfId="8788"/>
    <cellStyle name="€’ЋѓЋ‚›‰ 2 8 9" xfId="8789"/>
    <cellStyle name="€’ЋѓЋ‚›‰ 2 9" xfId="8790"/>
    <cellStyle name="€’ЋѓЋ‚›‰ 20" xfId="8791"/>
    <cellStyle name="€’ЋѓЋ‚›‰ 21" xfId="8792"/>
    <cellStyle name="€’ЋѓЋ‚›‰ 22" xfId="8793"/>
    <cellStyle name="€’ЋѓЋ‚›‰ 23" xfId="8794"/>
    <cellStyle name="€’ЋѓЋ‚›‰ 24" xfId="8795"/>
    <cellStyle name="€’ЋѓЋ‚›‰ 25" xfId="8796"/>
    <cellStyle name="€’ЋѓЋ‚›‰ 26" xfId="8797"/>
    <cellStyle name="€’ЋѓЋ‚›‰ 27" xfId="8798"/>
    <cellStyle name="€’ЋѓЋ‚›‰ 28" xfId="8799"/>
    <cellStyle name="€’ЋѓЋ‚›‰ 29" xfId="8800"/>
    <cellStyle name="€’ЋѓЋ‚›‰ 3" xfId="8801"/>
    <cellStyle name="€’ЋѓЋ‚›‰ 3 10" xfId="8802"/>
    <cellStyle name="€’ЋѓЋ‚›‰ 3 11" xfId="8803"/>
    <cellStyle name="€’ЋѓЋ‚›‰ 3 12" xfId="8804"/>
    <cellStyle name="€’ЋѓЋ‚›‰ 3 13" xfId="8805"/>
    <cellStyle name="€’ЋѓЋ‚›‰ 3 14" xfId="8806"/>
    <cellStyle name="€’ЋѓЋ‚›‰ 3 15" xfId="8807"/>
    <cellStyle name="€’ЋѓЋ‚›‰ 3 16" xfId="8808"/>
    <cellStyle name="€’ЋѓЋ‚›‰ 3 17" xfId="8809"/>
    <cellStyle name="€’ЋѓЋ‚›‰ 3 18" xfId="8810"/>
    <cellStyle name="€’ЋѓЋ‚›‰ 3 19" xfId="8811"/>
    <cellStyle name="€’ЋѓЋ‚›‰ 3 2" xfId="8812"/>
    <cellStyle name="€’ЋѓЋ‚›‰ 3 2 10" xfId="8813"/>
    <cellStyle name="€’ЋѓЋ‚›‰ 3 2 11" xfId="8814"/>
    <cellStyle name="€’ЋѓЋ‚›‰ 3 2 12" xfId="8815"/>
    <cellStyle name="€’ЋѓЋ‚›‰ 3 2 13" xfId="8816"/>
    <cellStyle name="€’ЋѓЋ‚›‰ 3 2 14" xfId="8817"/>
    <cellStyle name="€’ЋѓЋ‚›‰ 3 2 15" xfId="8818"/>
    <cellStyle name="€’ЋѓЋ‚›‰ 3 2 16" xfId="8819"/>
    <cellStyle name="€’ЋѓЋ‚›‰ 3 2 17" xfId="8820"/>
    <cellStyle name="€’ЋѓЋ‚›‰ 3 2 18" xfId="8821"/>
    <cellStyle name="€’ЋѓЋ‚›‰ 3 2 19" xfId="8822"/>
    <cellStyle name="€’ЋѓЋ‚›‰ 3 2 2" xfId="8823"/>
    <cellStyle name="€’ЋѓЋ‚›‰ 3 2 2 10" xfId="8824"/>
    <cellStyle name="€’ЋѓЋ‚›‰ 3 2 2 11" xfId="8825"/>
    <cellStyle name="€’ЋѓЋ‚›‰ 3 2 2 12" xfId="8826"/>
    <cellStyle name="€’ЋѓЋ‚›‰ 3 2 2 13" xfId="8827"/>
    <cellStyle name="€’ЋѓЋ‚›‰ 3 2 2 14" xfId="8828"/>
    <cellStyle name="€’ЋѓЋ‚›‰ 3 2 2 15" xfId="8829"/>
    <cellStyle name="€’ЋѓЋ‚›‰ 3 2 2 16" xfId="8830"/>
    <cellStyle name="€’ЋѓЋ‚›‰ 3 2 2 17" xfId="8831"/>
    <cellStyle name="€’ЋѓЋ‚›‰ 3 2 2 18" xfId="8832"/>
    <cellStyle name="€’ЋѓЋ‚›‰ 3 2 2 2" xfId="8833"/>
    <cellStyle name="€’ЋѓЋ‚›‰ 3 2 2 2 2" xfId="8834"/>
    <cellStyle name="€’ЋѓЋ‚›‰ 3 2 2 2 2 2" xfId="8835"/>
    <cellStyle name="€’ЋѓЋ‚›‰ 3 2 2 2 3" xfId="8836"/>
    <cellStyle name="€’ЋѓЋ‚›‰ 3 2 2 2 4" xfId="8837"/>
    <cellStyle name="€’ЋѓЋ‚›‰ 3 2 2 3" xfId="8838"/>
    <cellStyle name="€’ЋѓЋ‚›‰ 3 2 2 3 2" xfId="8839"/>
    <cellStyle name="€’ЋѓЋ‚›‰ 3 2 2 3 3" xfId="8840"/>
    <cellStyle name="€’ЋѓЋ‚›‰ 3 2 2 4" xfId="8841"/>
    <cellStyle name="€’ЋѓЋ‚›‰ 3 2 2 4 2" xfId="8842"/>
    <cellStyle name="€’ЋѓЋ‚›‰ 3 2 2 5" xfId="8843"/>
    <cellStyle name="€’ЋѓЋ‚›‰ 3 2 2 6" xfId="8844"/>
    <cellStyle name="€’ЋѓЋ‚›‰ 3 2 2 7" xfId="8845"/>
    <cellStyle name="€’ЋѓЋ‚›‰ 3 2 2 8" xfId="8846"/>
    <cellStyle name="€’ЋѓЋ‚›‰ 3 2 2 9" xfId="8847"/>
    <cellStyle name="€’ЋѓЋ‚›‰ 3 2 20" xfId="8848"/>
    <cellStyle name="€’ЋѓЋ‚›‰ 3 2 21" xfId="8849"/>
    <cellStyle name="€’ЋѓЋ‚›‰ 3 2 22" xfId="8850"/>
    <cellStyle name="€’ЋѓЋ‚›‰ 3 2 23" xfId="8851"/>
    <cellStyle name="€’ЋѓЋ‚›‰ 3 2 3" xfId="8852"/>
    <cellStyle name="€’ЋѓЋ‚›‰ 3 2 3 10" xfId="8853"/>
    <cellStyle name="€’ЋѓЋ‚›‰ 3 2 3 11" xfId="8854"/>
    <cellStyle name="€’ЋѓЋ‚›‰ 3 2 3 12" xfId="8855"/>
    <cellStyle name="€’ЋѓЋ‚›‰ 3 2 3 13" xfId="8856"/>
    <cellStyle name="€’ЋѓЋ‚›‰ 3 2 3 14" xfId="8857"/>
    <cellStyle name="€’ЋѓЋ‚›‰ 3 2 3 15" xfId="8858"/>
    <cellStyle name="€’ЋѓЋ‚›‰ 3 2 3 16" xfId="8859"/>
    <cellStyle name="€’ЋѓЋ‚›‰ 3 2 3 17" xfId="8860"/>
    <cellStyle name="€’ЋѓЋ‚›‰ 3 2 3 18" xfId="8861"/>
    <cellStyle name="€’ЋѓЋ‚›‰ 3 2 3 2" xfId="8862"/>
    <cellStyle name="€’ЋѓЋ‚›‰ 3 2 3 2 2" xfId="8863"/>
    <cellStyle name="€’ЋѓЋ‚›‰ 3 2 3 2 2 2" xfId="8864"/>
    <cellStyle name="€’ЋѓЋ‚›‰ 3 2 3 2 3" xfId="8865"/>
    <cellStyle name="€’ЋѓЋ‚›‰ 3 2 3 2 4" xfId="8866"/>
    <cellStyle name="€’ЋѓЋ‚›‰ 3 2 3 3" xfId="8867"/>
    <cellStyle name="€’ЋѓЋ‚›‰ 3 2 3 3 2" xfId="8868"/>
    <cellStyle name="€’ЋѓЋ‚›‰ 3 2 3 3 3" xfId="8869"/>
    <cellStyle name="€’ЋѓЋ‚›‰ 3 2 3 4" xfId="8870"/>
    <cellStyle name="€’ЋѓЋ‚›‰ 3 2 3 4 2" xfId="8871"/>
    <cellStyle name="€’ЋѓЋ‚›‰ 3 2 3 5" xfId="8872"/>
    <cellStyle name="€’ЋѓЋ‚›‰ 3 2 3 6" xfId="8873"/>
    <cellStyle name="€’ЋѓЋ‚›‰ 3 2 3 7" xfId="8874"/>
    <cellStyle name="€’ЋѓЋ‚›‰ 3 2 3 8" xfId="8875"/>
    <cellStyle name="€’ЋѓЋ‚›‰ 3 2 3 9" xfId="8876"/>
    <cellStyle name="€’ЋѓЋ‚›‰ 3 2 4" xfId="8877"/>
    <cellStyle name="€’ЋѓЋ‚›‰ 3 2 4 2" xfId="8878"/>
    <cellStyle name="€’ЋѓЋ‚›‰ 3 2 4 2 2" xfId="8879"/>
    <cellStyle name="€’ЋѓЋ‚›‰ 3 2 4 2 3" xfId="8880"/>
    <cellStyle name="€’ЋѓЋ‚›‰ 3 2 4 3" xfId="8881"/>
    <cellStyle name="€’ЋѓЋ‚›‰ 3 2 4 3 2" xfId="8882"/>
    <cellStyle name="€’ЋѓЋ‚›‰ 3 2 4 4" xfId="8883"/>
    <cellStyle name="€’ЋѓЋ‚›‰ 3 2 4 5" xfId="8884"/>
    <cellStyle name="€’ЋѓЋ‚›‰ 3 2 5" xfId="8885"/>
    <cellStyle name="€’ЋѓЋ‚›‰ 3 2 5 2" xfId="8886"/>
    <cellStyle name="€’ЋѓЋ‚›‰ 3 2 5 2 2" xfId="8887"/>
    <cellStyle name="€’ЋѓЋ‚›‰ 3 2 5 3" xfId="8888"/>
    <cellStyle name="€’ЋѓЋ‚›‰ 3 2 5 4" xfId="8889"/>
    <cellStyle name="€’ЋѓЋ‚›‰ 3 2 6" xfId="8890"/>
    <cellStyle name="€’ЋѓЋ‚›‰ 3 2 6 2" xfId="8891"/>
    <cellStyle name="€’ЋѓЋ‚›‰ 3 2 6 3" xfId="8892"/>
    <cellStyle name="€’ЋѓЋ‚›‰ 3 2 7" xfId="8893"/>
    <cellStyle name="€’ЋѓЋ‚›‰ 3 2 7 2" xfId="8894"/>
    <cellStyle name="€’ЋѓЋ‚›‰ 3 2 8" xfId="8895"/>
    <cellStyle name="€’ЋѓЋ‚›‰ 3 2 9" xfId="8896"/>
    <cellStyle name="€’ЋѓЋ‚›‰ 3 20" xfId="8897"/>
    <cellStyle name="€’ЋѓЋ‚›‰ 3 21" xfId="8898"/>
    <cellStyle name="€’ЋѓЋ‚›‰ 3 22" xfId="8899"/>
    <cellStyle name="€’ЋѓЋ‚›‰ 3 23" xfId="8900"/>
    <cellStyle name="€’ЋѓЋ‚›‰ 3 24" xfId="8901"/>
    <cellStyle name="€’ЋѓЋ‚›‰ 3 25" xfId="8902"/>
    <cellStyle name="€’ЋѓЋ‚›‰ 3 26" xfId="8903"/>
    <cellStyle name="€’ЋѓЋ‚›‰ 3 27" xfId="8904"/>
    <cellStyle name="€’ЋѓЋ‚›‰ 3 28" xfId="8905"/>
    <cellStyle name="€’ЋѓЋ‚›‰ 3 3" xfId="8906"/>
    <cellStyle name="€’ЋѓЋ‚›‰ 3 3 10" xfId="8907"/>
    <cellStyle name="€’ЋѓЋ‚›‰ 3 3 11" xfId="8908"/>
    <cellStyle name="€’ЋѓЋ‚›‰ 3 3 12" xfId="8909"/>
    <cellStyle name="€’ЋѓЋ‚›‰ 3 3 13" xfId="8910"/>
    <cellStyle name="€’ЋѓЋ‚›‰ 3 3 14" xfId="8911"/>
    <cellStyle name="€’ЋѓЋ‚›‰ 3 3 15" xfId="8912"/>
    <cellStyle name="€’ЋѓЋ‚›‰ 3 3 16" xfId="8913"/>
    <cellStyle name="€’ЋѓЋ‚›‰ 3 3 17" xfId="8914"/>
    <cellStyle name="€’ЋѓЋ‚›‰ 3 3 18" xfId="8915"/>
    <cellStyle name="€’ЋѓЋ‚›‰ 3 3 19" xfId="8916"/>
    <cellStyle name="€’ЋѓЋ‚›‰ 3 3 2" xfId="8917"/>
    <cellStyle name="€’ЋѓЋ‚›‰ 3 3 2 10" xfId="8918"/>
    <cellStyle name="€’ЋѓЋ‚›‰ 3 3 2 11" xfId="8919"/>
    <cellStyle name="€’ЋѓЋ‚›‰ 3 3 2 12" xfId="8920"/>
    <cellStyle name="€’ЋѓЋ‚›‰ 3 3 2 13" xfId="8921"/>
    <cellStyle name="€’ЋѓЋ‚›‰ 3 3 2 14" xfId="8922"/>
    <cellStyle name="€’ЋѓЋ‚›‰ 3 3 2 15" xfId="8923"/>
    <cellStyle name="€’ЋѓЋ‚›‰ 3 3 2 16" xfId="8924"/>
    <cellStyle name="€’ЋѓЋ‚›‰ 3 3 2 17" xfId="8925"/>
    <cellStyle name="€’ЋѓЋ‚›‰ 3 3 2 18" xfId="8926"/>
    <cellStyle name="€’ЋѓЋ‚›‰ 3 3 2 2" xfId="8927"/>
    <cellStyle name="€’ЋѓЋ‚›‰ 3 3 2 2 2" xfId="8928"/>
    <cellStyle name="€’ЋѓЋ‚›‰ 3 3 2 2 2 2" xfId="8929"/>
    <cellStyle name="€’ЋѓЋ‚›‰ 3 3 2 2 3" xfId="8930"/>
    <cellStyle name="€’ЋѓЋ‚›‰ 3 3 2 2 4" xfId="8931"/>
    <cellStyle name="€’ЋѓЋ‚›‰ 3 3 2 3" xfId="8932"/>
    <cellStyle name="€’ЋѓЋ‚›‰ 3 3 2 3 2" xfId="8933"/>
    <cellStyle name="€’ЋѓЋ‚›‰ 3 3 2 3 3" xfId="8934"/>
    <cellStyle name="€’ЋѓЋ‚›‰ 3 3 2 4" xfId="8935"/>
    <cellStyle name="€’ЋѓЋ‚›‰ 3 3 2 4 2" xfId="8936"/>
    <cellStyle name="€’ЋѓЋ‚›‰ 3 3 2 5" xfId="8937"/>
    <cellStyle name="€’ЋѓЋ‚›‰ 3 3 2 6" xfId="8938"/>
    <cellStyle name="€’ЋѓЋ‚›‰ 3 3 2 7" xfId="8939"/>
    <cellStyle name="€’ЋѓЋ‚›‰ 3 3 2 8" xfId="8940"/>
    <cellStyle name="€’ЋѓЋ‚›‰ 3 3 2 9" xfId="8941"/>
    <cellStyle name="€’ЋѓЋ‚›‰ 3 3 20" xfId="8942"/>
    <cellStyle name="€’ЋѓЋ‚›‰ 3 3 3" xfId="8943"/>
    <cellStyle name="€’ЋѓЋ‚›‰ 3 3 3 10" xfId="8944"/>
    <cellStyle name="€’ЋѓЋ‚›‰ 3 3 3 11" xfId="8945"/>
    <cellStyle name="€’ЋѓЋ‚›‰ 3 3 3 12" xfId="8946"/>
    <cellStyle name="€’ЋѓЋ‚›‰ 3 3 3 13" xfId="8947"/>
    <cellStyle name="€’ЋѓЋ‚›‰ 3 3 3 14" xfId="8948"/>
    <cellStyle name="€’ЋѓЋ‚›‰ 3 3 3 15" xfId="8949"/>
    <cellStyle name="€’ЋѓЋ‚›‰ 3 3 3 16" xfId="8950"/>
    <cellStyle name="€’ЋѓЋ‚›‰ 3 3 3 17" xfId="8951"/>
    <cellStyle name="€’ЋѓЋ‚›‰ 3 3 3 18" xfId="8952"/>
    <cellStyle name="€’ЋѓЋ‚›‰ 3 3 3 2" xfId="8953"/>
    <cellStyle name="€’ЋѓЋ‚›‰ 3 3 3 2 2" xfId="8954"/>
    <cellStyle name="€’ЋѓЋ‚›‰ 3 3 3 2 2 2" xfId="8955"/>
    <cellStyle name="€’ЋѓЋ‚›‰ 3 3 3 2 3" xfId="8956"/>
    <cellStyle name="€’ЋѓЋ‚›‰ 3 3 3 2 4" xfId="8957"/>
    <cellStyle name="€’ЋѓЋ‚›‰ 3 3 3 3" xfId="8958"/>
    <cellStyle name="€’ЋѓЋ‚›‰ 3 3 3 3 2" xfId="8959"/>
    <cellStyle name="€’ЋѓЋ‚›‰ 3 3 3 3 3" xfId="8960"/>
    <cellStyle name="€’ЋѓЋ‚›‰ 3 3 3 4" xfId="8961"/>
    <cellStyle name="€’ЋѓЋ‚›‰ 3 3 3 4 2" xfId="8962"/>
    <cellStyle name="€’ЋѓЋ‚›‰ 3 3 3 5" xfId="8963"/>
    <cellStyle name="€’ЋѓЋ‚›‰ 3 3 3 6" xfId="8964"/>
    <cellStyle name="€’ЋѓЋ‚›‰ 3 3 3 7" xfId="8965"/>
    <cellStyle name="€’ЋѓЋ‚›‰ 3 3 3 8" xfId="8966"/>
    <cellStyle name="€’ЋѓЋ‚›‰ 3 3 3 9" xfId="8967"/>
    <cellStyle name="€’ЋѓЋ‚›‰ 3 3 4" xfId="8968"/>
    <cellStyle name="€’ЋѓЋ‚›‰ 3 3 4 2" xfId="8969"/>
    <cellStyle name="€’ЋѓЋ‚›‰ 3 3 4 2 2" xfId="8970"/>
    <cellStyle name="€’ЋѓЋ‚›‰ 3 3 4 2 3" xfId="8971"/>
    <cellStyle name="€’ЋѓЋ‚›‰ 3 3 4 3" xfId="8972"/>
    <cellStyle name="€’ЋѓЋ‚›‰ 3 3 4 3 2" xfId="8973"/>
    <cellStyle name="€’ЋѓЋ‚›‰ 3 3 4 4" xfId="8974"/>
    <cellStyle name="€’ЋѓЋ‚›‰ 3 3 4 5" xfId="8975"/>
    <cellStyle name="€’ЋѓЋ‚›‰ 3 3 5" xfId="8976"/>
    <cellStyle name="€’ЋѓЋ‚›‰ 3 3 5 2" xfId="8977"/>
    <cellStyle name="€’ЋѓЋ‚›‰ 3 3 5 2 2" xfId="8978"/>
    <cellStyle name="€’ЋѓЋ‚›‰ 3 3 5 3" xfId="8979"/>
    <cellStyle name="€’ЋѓЋ‚›‰ 3 3 5 4" xfId="8980"/>
    <cellStyle name="€’ЋѓЋ‚›‰ 3 3 6" xfId="8981"/>
    <cellStyle name="€’ЋѓЋ‚›‰ 3 3 6 2" xfId="8982"/>
    <cellStyle name="€’ЋѓЋ‚›‰ 3 3 6 3" xfId="8983"/>
    <cellStyle name="€’ЋѓЋ‚›‰ 3 3 7" xfId="8984"/>
    <cellStyle name="€’ЋѓЋ‚›‰ 3 3 7 2" xfId="8985"/>
    <cellStyle name="€’ЋѓЋ‚›‰ 3 3 8" xfId="8986"/>
    <cellStyle name="€’ЋѓЋ‚›‰ 3 3 9" xfId="8987"/>
    <cellStyle name="€’ЋѓЋ‚›‰ 3 4" xfId="8988"/>
    <cellStyle name="€’ЋѓЋ‚›‰ 3 4 10" xfId="8989"/>
    <cellStyle name="€’ЋѓЋ‚›‰ 3 4 11" xfId="8990"/>
    <cellStyle name="€’ЋѓЋ‚›‰ 3 4 12" xfId="8991"/>
    <cellStyle name="€’ЋѓЋ‚›‰ 3 4 13" xfId="8992"/>
    <cellStyle name="€’ЋѓЋ‚›‰ 3 4 14" xfId="8993"/>
    <cellStyle name="€’ЋѓЋ‚›‰ 3 4 15" xfId="8994"/>
    <cellStyle name="€’ЋѓЋ‚›‰ 3 4 16" xfId="8995"/>
    <cellStyle name="€’ЋѓЋ‚›‰ 3 4 17" xfId="8996"/>
    <cellStyle name="€’ЋѓЋ‚›‰ 3 4 18" xfId="8997"/>
    <cellStyle name="€’ЋѓЋ‚›‰ 3 4 19" xfId="8998"/>
    <cellStyle name="€’ЋѓЋ‚›‰ 3 4 2" xfId="8999"/>
    <cellStyle name="€’ЋѓЋ‚›‰ 3 4 2 10" xfId="9000"/>
    <cellStyle name="€’ЋѓЋ‚›‰ 3 4 2 11" xfId="9001"/>
    <cellStyle name="€’ЋѓЋ‚›‰ 3 4 2 12" xfId="9002"/>
    <cellStyle name="€’ЋѓЋ‚›‰ 3 4 2 13" xfId="9003"/>
    <cellStyle name="€’ЋѓЋ‚›‰ 3 4 2 14" xfId="9004"/>
    <cellStyle name="€’ЋѓЋ‚›‰ 3 4 2 15" xfId="9005"/>
    <cellStyle name="€’ЋѓЋ‚›‰ 3 4 2 16" xfId="9006"/>
    <cellStyle name="€’ЋѓЋ‚›‰ 3 4 2 17" xfId="9007"/>
    <cellStyle name="€’ЋѓЋ‚›‰ 3 4 2 18" xfId="9008"/>
    <cellStyle name="€’ЋѓЋ‚›‰ 3 4 2 2" xfId="9009"/>
    <cellStyle name="€’ЋѓЋ‚›‰ 3 4 2 2 2" xfId="9010"/>
    <cellStyle name="€’ЋѓЋ‚›‰ 3 4 2 2 2 2" xfId="9011"/>
    <cellStyle name="€’ЋѓЋ‚›‰ 3 4 2 2 3" xfId="9012"/>
    <cellStyle name="€’ЋѓЋ‚›‰ 3 4 2 2 4" xfId="9013"/>
    <cellStyle name="€’ЋѓЋ‚›‰ 3 4 2 3" xfId="9014"/>
    <cellStyle name="€’ЋѓЋ‚›‰ 3 4 2 3 2" xfId="9015"/>
    <cellStyle name="€’ЋѓЋ‚›‰ 3 4 2 3 3" xfId="9016"/>
    <cellStyle name="€’ЋѓЋ‚›‰ 3 4 2 4" xfId="9017"/>
    <cellStyle name="€’ЋѓЋ‚›‰ 3 4 2 4 2" xfId="9018"/>
    <cellStyle name="€’ЋѓЋ‚›‰ 3 4 2 5" xfId="9019"/>
    <cellStyle name="€’ЋѓЋ‚›‰ 3 4 2 6" xfId="9020"/>
    <cellStyle name="€’ЋѓЋ‚›‰ 3 4 2 7" xfId="9021"/>
    <cellStyle name="€’ЋѓЋ‚›‰ 3 4 2 8" xfId="9022"/>
    <cellStyle name="€’ЋѓЋ‚›‰ 3 4 2 9" xfId="9023"/>
    <cellStyle name="€’ЋѓЋ‚›‰ 3 4 20" xfId="9024"/>
    <cellStyle name="€’ЋѓЋ‚›‰ 3 4 21" xfId="9025"/>
    <cellStyle name="€’ЋѓЋ‚›‰ 3 4 3" xfId="9026"/>
    <cellStyle name="€’ЋѓЋ‚›‰ 3 4 3 10" xfId="9027"/>
    <cellStyle name="€’ЋѓЋ‚›‰ 3 4 3 11" xfId="9028"/>
    <cellStyle name="€’ЋѓЋ‚›‰ 3 4 3 12" xfId="9029"/>
    <cellStyle name="€’ЋѓЋ‚›‰ 3 4 3 13" xfId="9030"/>
    <cellStyle name="€’ЋѓЋ‚›‰ 3 4 3 14" xfId="9031"/>
    <cellStyle name="€’ЋѓЋ‚›‰ 3 4 3 15" xfId="9032"/>
    <cellStyle name="€’ЋѓЋ‚›‰ 3 4 3 16" xfId="9033"/>
    <cellStyle name="€’ЋѓЋ‚›‰ 3 4 3 17" xfId="9034"/>
    <cellStyle name="€’ЋѓЋ‚›‰ 3 4 3 18" xfId="9035"/>
    <cellStyle name="€’ЋѓЋ‚›‰ 3 4 3 2" xfId="9036"/>
    <cellStyle name="€’ЋѓЋ‚›‰ 3 4 3 2 2" xfId="9037"/>
    <cellStyle name="€’ЋѓЋ‚›‰ 3 4 3 2 2 2" xfId="9038"/>
    <cellStyle name="€’ЋѓЋ‚›‰ 3 4 3 2 3" xfId="9039"/>
    <cellStyle name="€’ЋѓЋ‚›‰ 3 4 3 2 4" xfId="9040"/>
    <cellStyle name="€’ЋѓЋ‚›‰ 3 4 3 3" xfId="9041"/>
    <cellStyle name="€’ЋѓЋ‚›‰ 3 4 3 3 2" xfId="9042"/>
    <cellStyle name="€’ЋѓЋ‚›‰ 3 4 3 3 3" xfId="9043"/>
    <cellStyle name="€’ЋѓЋ‚›‰ 3 4 3 4" xfId="9044"/>
    <cellStyle name="€’ЋѓЋ‚›‰ 3 4 3 4 2" xfId="9045"/>
    <cellStyle name="€’ЋѓЋ‚›‰ 3 4 3 5" xfId="9046"/>
    <cellStyle name="€’ЋѓЋ‚›‰ 3 4 3 6" xfId="9047"/>
    <cellStyle name="€’ЋѓЋ‚›‰ 3 4 3 7" xfId="9048"/>
    <cellStyle name="€’ЋѓЋ‚›‰ 3 4 3 8" xfId="9049"/>
    <cellStyle name="€’ЋѓЋ‚›‰ 3 4 3 9" xfId="9050"/>
    <cellStyle name="€’ЋѓЋ‚›‰ 3 4 4" xfId="9051"/>
    <cellStyle name="€’ЋѓЋ‚›‰ 3 4 4 2" xfId="9052"/>
    <cellStyle name="€’ЋѓЋ‚›‰ 3 4 4 2 2" xfId="9053"/>
    <cellStyle name="€’ЋѓЋ‚›‰ 3 4 4 2 3" xfId="9054"/>
    <cellStyle name="€’ЋѓЋ‚›‰ 3 4 4 3" xfId="9055"/>
    <cellStyle name="€’ЋѓЋ‚›‰ 3 4 4 3 2" xfId="9056"/>
    <cellStyle name="€’ЋѓЋ‚›‰ 3 4 4 4" xfId="9057"/>
    <cellStyle name="€’ЋѓЋ‚›‰ 3 4 4 5" xfId="9058"/>
    <cellStyle name="€’ЋѓЋ‚›‰ 3 4 5" xfId="9059"/>
    <cellStyle name="€’ЋѓЋ‚›‰ 3 4 5 2" xfId="9060"/>
    <cellStyle name="€’ЋѓЋ‚›‰ 3 4 5 2 2" xfId="9061"/>
    <cellStyle name="€’ЋѓЋ‚›‰ 3 4 5 3" xfId="9062"/>
    <cellStyle name="€’ЋѓЋ‚›‰ 3 4 5 4" xfId="9063"/>
    <cellStyle name="€’ЋѓЋ‚›‰ 3 4 6" xfId="9064"/>
    <cellStyle name="€’ЋѓЋ‚›‰ 3 4 6 2" xfId="9065"/>
    <cellStyle name="€’ЋѓЋ‚›‰ 3 4 6 3" xfId="9066"/>
    <cellStyle name="€’ЋѓЋ‚›‰ 3 4 7" xfId="9067"/>
    <cellStyle name="€’ЋѓЋ‚›‰ 3 4 7 2" xfId="9068"/>
    <cellStyle name="€’ЋѓЋ‚›‰ 3 4 8" xfId="9069"/>
    <cellStyle name="€’ЋѓЋ‚›‰ 3 4 9" xfId="9070"/>
    <cellStyle name="€’ЋѓЋ‚›‰ 3 5" xfId="9071"/>
    <cellStyle name="€’ЋѓЋ‚›‰ 3 5 10" xfId="9072"/>
    <cellStyle name="€’ЋѓЋ‚›‰ 3 5 11" xfId="9073"/>
    <cellStyle name="€’ЋѓЋ‚›‰ 3 5 12" xfId="9074"/>
    <cellStyle name="€’ЋѓЋ‚›‰ 3 5 13" xfId="9075"/>
    <cellStyle name="€’ЋѓЋ‚›‰ 3 5 14" xfId="9076"/>
    <cellStyle name="€’ЋѓЋ‚›‰ 3 5 15" xfId="9077"/>
    <cellStyle name="€’ЋѓЋ‚›‰ 3 5 16" xfId="9078"/>
    <cellStyle name="€’ЋѓЋ‚›‰ 3 5 17" xfId="9079"/>
    <cellStyle name="€’ЋѓЋ‚›‰ 3 5 18" xfId="9080"/>
    <cellStyle name="€’ЋѓЋ‚›‰ 3 5 19" xfId="9081"/>
    <cellStyle name="€’ЋѓЋ‚›‰ 3 5 2" xfId="9082"/>
    <cellStyle name="€’ЋѓЋ‚›‰ 3 5 2 10" xfId="9083"/>
    <cellStyle name="€’ЋѓЋ‚›‰ 3 5 2 11" xfId="9084"/>
    <cellStyle name="€’ЋѓЋ‚›‰ 3 5 2 12" xfId="9085"/>
    <cellStyle name="€’ЋѓЋ‚›‰ 3 5 2 13" xfId="9086"/>
    <cellStyle name="€’ЋѓЋ‚›‰ 3 5 2 14" xfId="9087"/>
    <cellStyle name="€’ЋѓЋ‚›‰ 3 5 2 15" xfId="9088"/>
    <cellStyle name="€’ЋѓЋ‚›‰ 3 5 2 16" xfId="9089"/>
    <cellStyle name="€’ЋѓЋ‚›‰ 3 5 2 17" xfId="9090"/>
    <cellStyle name="€’ЋѓЋ‚›‰ 3 5 2 18" xfId="9091"/>
    <cellStyle name="€’ЋѓЋ‚›‰ 3 5 2 2" xfId="9092"/>
    <cellStyle name="€’ЋѓЋ‚›‰ 3 5 2 2 2" xfId="9093"/>
    <cellStyle name="€’ЋѓЋ‚›‰ 3 5 2 2 2 2" xfId="9094"/>
    <cellStyle name="€’ЋѓЋ‚›‰ 3 5 2 2 3" xfId="9095"/>
    <cellStyle name="€’ЋѓЋ‚›‰ 3 5 2 2 4" xfId="9096"/>
    <cellStyle name="€’ЋѓЋ‚›‰ 3 5 2 3" xfId="9097"/>
    <cellStyle name="€’ЋѓЋ‚›‰ 3 5 2 3 2" xfId="9098"/>
    <cellStyle name="€’ЋѓЋ‚›‰ 3 5 2 3 3" xfId="9099"/>
    <cellStyle name="€’ЋѓЋ‚›‰ 3 5 2 4" xfId="9100"/>
    <cellStyle name="€’ЋѓЋ‚›‰ 3 5 2 4 2" xfId="9101"/>
    <cellStyle name="€’ЋѓЋ‚›‰ 3 5 2 5" xfId="9102"/>
    <cellStyle name="€’ЋѓЋ‚›‰ 3 5 2 6" xfId="9103"/>
    <cellStyle name="€’ЋѓЋ‚›‰ 3 5 2 7" xfId="9104"/>
    <cellStyle name="€’ЋѓЋ‚›‰ 3 5 2 8" xfId="9105"/>
    <cellStyle name="€’ЋѓЋ‚›‰ 3 5 2 9" xfId="9106"/>
    <cellStyle name="€’ЋѓЋ‚›‰ 3 5 20" xfId="9107"/>
    <cellStyle name="€’ЋѓЋ‚›‰ 3 5 21" xfId="9108"/>
    <cellStyle name="€’ЋѓЋ‚›‰ 3 5 3" xfId="9109"/>
    <cellStyle name="€’ЋѓЋ‚›‰ 3 5 3 10" xfId="9110"/>
    <cellStyle name="€’ЋѓЋ‚›‰ 3 5 3 11" xfId="9111"/>
    <cellStyle name="€’ЋѓЋ‚›‰ 3 5 3 12" xfId="9112"/>
    <cellStyle name="€’ЋѓЋ‚›‰ 3 5 3 13" xfId="9113"/>
    <cellStyle name="€’ЋѓЋ‚›‰ 3 5 3 14" xfId="9114"/>
    <cellStyle name="€’ЋѓЋ‚›‰ 3 5 3 15" xfId="9115"/>
    <cellStyle name="€’ЋѓЋ‚›‰ 3 5 3 16" xfId="9116"/>
    <cellStyle name="€’ЋѓЋ‚›‰ 3 5 3 17" xfId="9117"/>
    <cellStyle name="€’ЋѓЋ‚›‰ 3 5 3 18" xfId="9118"/>
    <cellStyle name="€’ЋѓЋ‚›‰ 3 5 3 2" xfId="9119"/>
    <cellStyle name="€’ЋѓЋ‚›‰ 3 5 3 2 2" xfId="9120"/>
    <cellStyle name="€’ЋѓЋ‚›‰ 3 5 3 2 2 2" xfId="9121"/>
    <cellStyle name="€’ЋѓЋ‚›‰ 3 5 3 2 3" xfId="9122"/>
    <cellStyle name="€’ЋѓЋ‚›‰ 3 5 3 2 4" xfId="9123"/>
    <cellStyle name="€’ЋѓЋ‚›‰ 3 5 3 3" xfId="9124"/>
    <cellStyle name="€’ЋѓЋ‚›‰ 3 5 3 3 2" xfId="9125"/>
    <cellStyle name="€’ЋѓЋ‚›‰ 3 5 3 3 3" xfId="9126"/>
    <cellStyle name="€’ЋѓЋ‚›‰ 3 5 3 4" xfId="9127"/>
    <cellStyle name="€’ЋѓЋ‚›‰ 3 5 3 4 2" xfId="9128"/>
    <cellStyle name="€’ЋѓЋ‚›‰ 3 5 3 5" xfId="9129"/>
    <cellStyle name="€’ЋѓЋ‚›‰ 3 5 3 6" xfId="9130"/>
    <cellStyle name="€’ЋѓЋ‚›‰ 3 5 3 7" xfId="9131"/>
    <cellStyle name="€’ЋѓЋ‚›‰ 3 5 3 8" xfId="9132"/>
    <cellStyle name="€’ЋѓЋ‚›‰ 3 5 3 9" xfId="9133"/>
    <cellStyle name="€’ЋѓЋ‚›‰ 3 5 4" xfId="9134"/>
    <cellStyle name="€’ЋѓЋ‚›‰ 3 5 4 2" xfId="9135"/>
    <cellStyle name="€’ЋѓЋ‚›‰ 3 5 4 2 2" xfId="9136"/>
    <cellStyle name="€’ЋѓЋ‚›‰ 3 5 4 2 3" xfId="9137"/>
    <cellStyle name="€’ЋѓЋ‚›‰ 3 5 4 3" xfId="9138"/>
    <cellStyle name="€’ЋѓЋ‚›‰ 3 5 4 3 2" xfId="9139"/>
    <cellStyle name="€’ЋѓЋ‚›‰ 3 5 4 4" xfId="9140"/>
    <cellStyle name="€’ЋѓЋ‚›‰ 3 5 4 5" xfId="9141"/>
    <cellStyle name="€’ЋѓЋ‚›‰ 3 5 5" xfId="9142"/>
    <cellStyle name="€’ЋѓЋ‚›‰ 3 5 5 2" xfId="9143"/>
    <cellStyle name="€’ЋѓЋ‚›‰ 3 5 5 2 2" xfId="9144"/>
    <cellStyle name="€’ЋѓЋ‚›‰ 3 5 5 3" xfId="9145"/>
    <cellStyle name="€’ЋѓЋ‚›‰ 3 5 5 4" xfId="9146"/>
    <cellStyle name="€’ЋѓЋ‚›‰ 3 5 6" xfId="9147"/>
    <cellStyle name="€’ЋѓЋ‚›‰ 3 5 6 2" xfId="9148"/>
    <cellStyle name="€’ЋѓЋ‚›‰ 3 5 6 3" xfId="9149"/>
    <cellStyle name="€’ЋѓЋ‚›‰ 3 5 7" xfId="9150"/>
    <cellStyle name="€’ЋѓЋ‚›‰ 3 5 7 2" xfId="9151"/>
    <cellStyle name="€’ЋѓЋ‚›‰ 3 5 8" xfId="9152"/>
    <cellStyle name="€’ЋѓЋ‚›‰ 3 5 9" xfId="9153"/>
    <cellStyle name="€’ЋѓЋ‚›‰ 3 6" xfId="9154"/>
    <cellStyle name="€’ЋѓЋ‚›‰ 3 6 10" xfId="9155"/>
    <cellStyle name="€’ЋѓЋ‚›‰ 3 6 11" xfId="9156"/>
    <cellStyle name="€’ЋѓЋ‚›‰ 3 6 12" xfId="9157"/>
    <cellStyle name="€’ЋѓЋ‚›‰ 3 6 13" xfId="9158"/>
    <cellStyle name="€’ЋѓЋ‚›‰ 3 6 14" xfId="9159"/>
    <cellStyle name="€’ЋѓЋ‚›‰ 3 6 15" xfId="9160"/>
    <cellStyle name="€’ЋѓЋ‚›‰ 3 6 16" xfId="9161"/>
    <cellStyle name="€’ЋѓЋ‚›‰ 3 6 17" xfId="9162"/>
    <cellStyle name="€’ЋѓЋ‚›‰ 3 6 18" xfId="9163"/>
    <cellStyle name="€’ЋѓЋ‚›‰ 3 6 19" xfId="9164"/>
    <cellStyle name="€’ЋѓЋ‚›‰ 3 6 2" xfId="9165"/>
    <cellStyle name="€’ЋѓЋ‚›‰ 3 6 2 10" xfId="9166"/>
    <cellStyle name="€’ЋѓЋ‚›‰ 3 6 2 11" xfId="9167"/>
    <cellStyle name="€’ЋѓЋ‚›‰ 3 6 2 12" xfId="9168"/>
    <cellStyle name="€’ЋѓЋ‚›‰ 3 6 2 13" xfId="9169"/>
    <cellStyle name="€’ЋѓЋ‚›‰ 3 6 2 14" xfId="9170"/>
    <cellStyle name="€’ЋѓЋ‚›‰ 3 6 2 15" xfId="9171"/>
    <cellStyle name="€’ЋѓЋ‚›‰ 3 6 2 16" xfId="9172"/>
    <cellStyle name="€’ЋѓЋ‚›‰ 3 6 2 17" xfId="9173"/>
    <cellStyle name="€’ЋѓЋ‚›‰ 3 6 2 18" xfId="9174"/>
    <cellStyle name="€’ЋѓЋ‚›‰ 3 6 2 2" xfId="9175"/>
    <cellStyle name="€’ЋѓЋ‚›‰ 3 6 2 2 2" xfId="9176"/>
    <cellStyle name="€’ЋѓЋ‚›‰ 3 6 2 2 2 2" xfId="9177"/>
    <cellStyle name="€’ЋѓЋ‚›‰ 3 6 2 2 3" xfId="9178"/>
    <cellStyle name="€’ЋѓЋ‚›‰ 3 6 2 2 4" xfId="9179"/>
    <cellStyle name="€’ЋѓЋ‚›‰ 3 6 2 3" xfId="9180"/>
    <cellStyle name="€’ЋѓЋ‚›‰ 3 6 2 3 2" xfId="9181"/>
    <cellStyle name="€’ЋѓЋ‚›‰ 3 6 2 3 3" xfId="9182"/>
    <cellStyle name="€’ЋѓЋ‚›‰ 3 6 2 4" xfId="9183"/>
    <cellStyle name="€’ЋѓЋ‚›‰ 3 6 2 4 2" xfId="9184"/>
    <cellStyle name="€’ЋѓЋ‚›‰ 3 6 2 5" xfId="9185"/>
    <cellStyle name="€’ЋѓЋ‚›‰ 3 6 2 6" xfId="9186"/>
    <cellStyle name="€’ЋѓЋ‚›‰ 3 6 2 7" xfId="9187"/>
    <cellStyle name="€’ЋѓЋ‚›‰ 3 6 2 8" xfId="9188"/>
    <cellStyle name="€’ЋѓЋ‚›‰ 3 6 2 9" xfId="9189"/>
    <cellStyle name="€’ЋѓЋ‚›‰ 3 6 20" xfId="9190"/>
    <cellStyle name="€’ЋѓЋ‚›‰ 3 6 3" xfId="9191"/>
    <cellStyle name="€’ЋѓЋ‚›‰ 3 6 3 10" xfId="9192"/>
    <cellStyle name="€’ЋѓЋ‚›‰ 3 6 3 11" xfId="9193"/>
    <cellStyle name="€’ЋѓЋ‚›‰ 3 6 3 12" xfId="9194"/>
    <cellStyle name="€’ЋѓЋ‚›‰ 3 6 3 13" xfId="9195"/>
    <cellStyle name="€’ЋѓЋ‚›‰ 3 6 3 14" xfId="9196"/>
    <cellStyle name="€’ЋѓЋ‚›‰ 3 6 3 15" xfId="9197"/>
    <cellStyle name="€’ЋѓЋ‚›‰ 3 6 3 16" xfId="9198"/>
    <cellStyle name="€’ЋѓЋ‚›‰ 3 6 3 17" xfId="9199"/>
    <cellStyle name="€’ЋѓЋ‚›‰ 3 6 3 18" xfId="9200"/>
    <cellStyle name="€’ЋѓЋ‚›‰ 3 6 3 2" xfId="9201"/>
    <cellStyle name="€’ЋѓЋ‚›‰ 3 6 3 2 2" xfId="9202"/>
    <cellStyle name="€’ЋѓЋ‚›‰ 3 6 3 2 2 2" xfId="9203"/>
    <cellStyle name="€’ЋѓЋ‚›‰ 3 6 3 2 3" xfId="9204"/>
    <cellStyle name="€’ЋѓЋ‚›‰ 3 6 3 2 4" xfId="9205"/>
    <cellStyle name="€’ЋѓЋ‚›‰ 3 6 3 3" xfId="9206"/>
    <cellStyle name="€’ЋѓЋ‚›‰ 3 6 3 3 2" xfId="9207"/>
    <cellStyle name="€’ЋѓЋ‚›‰ 3 6 3 3 3" xfId="9208"/>
    <cellStyle name="€’ЋѓЋ‚›‰ 3 6 3 4" xfId="9209"/>
    <cellStyle name="€’ЋѓЋ‚›‰ 3 6 3 4 2" xfId="9210"/>
    <cellStyle name="€’ЋѓЋ‚›‰ 3 6 3 5" xfId="9211"/>
    <cellStyle name="€’ЋѓЋ‚›‰ 3 6 3 6" xfId="9212"/>
    <cellStyle name="€’ЋѓЋ‚›‰ 3 6 3 7" xfId="9213"/>
    <cellStyle name="€’ЋѓЋ‚›‰ 3 6 3 8" xfId="9214"/>
    <cellStyle name="€’ЋѓЋ‚›‰ 3 6 3 9" xfId="9215"/>
    <cellStyle name="€’ЋѓЋ‚›‰ 3 6 4" xfId="9216"/>
    <cellStyle name="€’ЋѓЋ‚›‰ 3 6 4 2" xfId="9217"/>
    <cellStyle name="€’ЋѓЋ‚›‰ 3 6 4 2 2" xfId="9218"/>
    <cellStyle name="€’ЋѓЋ‚›‰ 3 6 4 3" xfId="9219"/>
    <cellStyle name="€’ЋѓЋ‚›‰ 3 6 4 4" xfId="9220"/>
    <cellStyle name="€’ЋѓЋ‚›‰ 3 6 5" xfId="9221"/>
    <cellStyle name="€’ЋѓЋ‚›‰ 3 6 5 2" xfId="9222"/>
    <cellStyle name="€’ЋѓЋ‚›‰ 3 6 6" xfId="9223"/>
    <cellStyle name="€’ЋѓЋ‚›‰ 3 6 7" xfId="9224"/>
    <cellStyle name="€’ЋѓЋ‚›‰ 3 6 8" xfId="9225"/>
    <cellStyle name="€’ЋѓЋ‚›‰ 3 6 9" xfId="9226"/>
    <cellStyle name="€’ЋѓЋ‚›‰ 3 7" xfId="9227"/>
    <cellStyle name="€’ЋѓЋ‚›‰ 3 7 10" xfId="9228"/>
    <cellStyle name="€’ЋѓЋ‚›‰ 3 7 11" xfId="9229"/>
    <cellStyle name="€’ЋѓЋ‚›‰ 3 7 12" xfId="9230"/>
    <cellStyle name="€’ЋѓЋ‚›‰ 3 7 13" xfId="9231"/>
    <cellStyle name="€’ЋѓЋ‚›‰ 3 7 14" xfId="9232"/>
    <cellStyle name="€’ЋѓЋ‚›‰ 3 7 15" xfId="9233"/>
    <cellStyle name="€’ЋѓЋ‚›‰ 3 7 16" xfId="9234"/>
    <cellStyle name="€’ЋѓЋ‚›‰ 3 7 17" xfId="9235"/>
    <cellStyle name="€’ЋѓЋ‚›‰ 3 7 18" xfId="9236"/>
    <cellStyle name="€’ЋѓЋ‚›‰ 3 7 2" xfId="9237"/>
    <cellStyle name="€’ЋѓЋ‚›‰ 3 7 2 2" xfId="9238"/>
    <cellStyle name="€’ЋѓЋ‚›‰ 3 7 2 2 2" xfId="9239"/>
    <cellStyle name="€’ЋѓЋ‚›‰ 3 7 2 3" xfId="9240"/>
    <cellStyle name="€’ЋѓЋ‚›‰ 3 7 2 4" xfId="9241"/>
    <cellStyle name="€’ЋѓЋ‚›‰ 3 7 3" xfId="9242"/>
    <cellStyle name="€’ЋѓЋ‚›‰ 3 7 3 2" xfId="9243"/>
    <cellStyle name="€’ЋѓЋ‚›‰ 3 7 3 3" xfId="9244"/>
    <cellStyle name="€’ЋѓЋ‚›‰ 3 7 4" xfId="9245"/>
    <cellStyle name="€’ЋѓЋ‚›‰ 3 7 4 2" xfId="9246"/>
    <cellStyle name="€’ЋѓЋ‚›‰ 3 7 5" xfId="9247"/>
    <cellStyle name="€’ЋѓЋ‚›‰ 3 7 6" xfId="9248"/>
    <cellStyle name="€’ЋѓЋ‚›‰ 3 7 7" xfId="9249"/>
    <cellStyle name="€’ЋѓЋ‚›‰ 3 7 8" xfId="9250"/>
    <cellStyle name="€’ЋѓЋ‚›‰ 3 7 9" xfId="9251"/>
    <cellStyle name="€’ЋѓЋ‚›‰ 3 8" xfId="9252"/>
    <cellStyle name="€’ЋѓЋ‚›‰ 3 8 10" xfId="9253"/>
    <cellStyle name="€’ЋѓЋ‚›‰ 3 8 11" xfId="9254"/>
    <cellStyle name="€’ЋѓЋ‚›‰ 3 8 12" xfId="9255"/>
    <cellStyle name="€’ЋѓЋ‚›‰ 3 8 13" xfId="9256"/>
    <cellStyle name="€’ЋѓЋ‚›‰ 3 8 14" xfId="9257"/>
    <cellStyle name="€’ЋѓЋ‚›‰ 3 8 15" xfId="9258"/>
    <cellStyle name="€’ЋѓЋ‚›‰ 3 8 16" xfId="9259"/>
    <cellStyle name="€’ЋѓЋ‚›‰ 3 8 17" xfId="9260"/>
    <cellStyle name="€’ЋѓЋ‚›‰ 3 8 18" xfId="9261"/>
    <cellStyle name="€’ЋѓЋ‚›‰ 3 8 2" xfId="9262"/>
    <cellStyle name="€’ЋѓЋ‚›‰ 3 8 2 2" xfId="9263"/>
    <cellStyle name="€’ЋѓЋ‚›‰ 3 8 3" xfId="9264"/>
    <cellStyle name="€’ЋѓЋ‚›‰ 3 8 4" xfId="9265"/>
    <cellStyle name="€’ЋѓЋ‚›‰ 3 8 5" xfId="9266"/>
    <cellStyle name="€’ЋѓЋ‚›‰ 3 8 6" xfId="9267"/>
    <cellStyle name="€’ЋѓЋ‚›‰ 3 8 7" xfId="9268"/>
    <cellStyle name="€’ЋѓЋ‚›‰ 3 8 8" xfId="9269"/>
    <cellStyle name="€’ЋѓЋ‚›‰ 3 8 9" xfId="9270"/>
    <cellStyle name="€’ЋѓЋ‚›‰ 3 9" xfId="9271"/>
    <cellStyle name="€’ЋѓЋ‚›‰ 30" xfId="9272"/>
    <cellStyle name="€’ЋѓЋ‚›‰ 31" xfId="9273"/>
    <cellStyle name="€’ЋѓЋ‚›‰ 32" xfId="9274"/>
    <cellStyle name="€’ЋѓЋ‚›‰ 4" xfId="9275"/>
    <cellStyle name="€’ЋѓЋ‚›‰ 4 10" xfId="9276"/>
    <cellStyle name="€’ЋѓЋ‚›‰ 4 11" xfId="9277"/>
    <cellStyle name="€’ЋѓЋ‚›‰ 4 12" xfId="9278"/>
    <cellStyle name="€’ЋѓЋ‚›‰ 4 13" xfId="9279"/>
    <cellStyle name="€’ЋѓЋ‚›‰ 4 14" xfId="9280"/>
    <cellStyle name="€’ЋѓЋ‚›‰ 4 15" xfId="9281"/>
    <cellStyle name="€’ЋѓЋ‚›‰ 4 16" xfId="9282"/>
    <cellStyle name="€’ЋѓЋ‚›‰ 4 17" xfId="9283"/>
    <cellStyle name="€’ЋѓЋ‚›‰ 4 18" xfId="9284"/>
    <cellStyle name="€’ЋѓЋ‚›‰ 4 19" xfId="9285"/>
    <cellStyle name="€’ЋѓЋ‚›‰ 4 2" xfId="9286"/>
    <cellStyle name="€’ЋѓЋ‚›‰ 4 2 10" xfId="9287"/>
    <cellStyle name="€’ЋѓЋ‚›‰ 4 2 11" xfId="9288"/>
    <cellStyle name="€’ЋѓЋ‚›‰ 4 2 12" xfId="9289"/>
    <cellStyle name="€’ЋѓЋ‚›‰ 4 2 13" xfId="9290"/>
    <cellStyle name="€’ЋѓЋ‚›‰ 4 2 14" xfId="9291"/>
    <cellStyle name="€’ЋѓЋ‚›‰ 4 2 15" xfId="9292"/>
    <cellStyle name="€’ЋѓЋ‚›‰ 4 2 16" xfId="9293"/>
    <cellStyle name="€’ЋѓЋ‚›‰ 4 2 17" xfId="9294"/>
    <cellStyle name="€’ЋѓЋ‚›‰ 4 2 18" xfId="9295"/>
    <cellStyle name="€’ЋѓЋ‚›‰ 4 2 19" xfId="9296"/>
    <cellStyle name="€’ЋѓЋ‚›‰ 4 2 2" xfId="9297"/>
    <cellStyle name="€’ЋѓЋ‚›‰ 4 2 2 10" xfId="9298"/>
    <cellStyle name="€’ЋѓЋ‚›‰ 4 2 2 11" xfId="9299"/>
    <cellStyle name="€’ЋѓЋ‚›‰ 4 2 2 12" xfId="9300"/>
    <cellStyle name="€’ЋѓЋ‚›‰ 4 2 2 13" xfId="9301"/>
    <cellStyle name="€’ЋѓЋ‚›‰ 4 2 2 14" xfId="9302"/>
    <cellStyle name="€’ЋѓЋ‚›‰ 4 2 2 15" xfId="9303"/>
    <cellStyle name="€’ЋѓЋ‚›‰ 4 2 2 16" xfId="9304"/>
    <cellStyle name="€’ЋѓЋ‚›‰ 4 2 2 17" xfId="9305"/>
    <cellStyle name="€’ЋѓЋ‚›‰ 4 2 2 18" xfId="9306"/>
    <cellStyle name="€’ЋѓЋ‚›‰ 4 2 2 2" xfId="9307"/>
    <cellStyle name="€’ЋѓЋ‚›‰ 4 2 2 2 2" xfId="9308"/>
    <cellStyle name="€’ЋѓЋ‚›‰ 4 2 2 2 2 2" xfId="9309"/>
    <cellStyle name="€’ЋѓЋ‚›‰ 4 2 2 2 3" xfId="9310"/>
    <cellStyle name="€’ЋѓЋ‚›‰ 4 2 2 2 4" xfId="9311"/>
    <cellStyle name="€’ЋѓЋ‚›‰ 4 2 2 3" xfId="9312"/>
    <cellStyle name="€’ЋѓЋ‚›‰ 4 2 2 3 2" xfId="9313"/>
    <cellStyle name="€’ЋѓЋ‚›‰ 4 2 2 3 3" xfId="9314"/>
    <cellStyle name="€’ЋѓЋ‚›‰ 4 2 2 4" xfId="9315"/>
    <cellStyle name="€’ЋѓЋ‚›‰ 4 2 2 4 2" xfId="9316"/>
    <cellStyle name="€’ЋѓЋ‚›‰ 4 2 2 5" xfId="9317"/>
    <cellStyle name="€’ЋѓЋ‚›‰ 4 2 2 6" xfId="9318"/>
    <cellStyle name="€’ЋѓЋ‚›‰ 4 2 2 7" xfId="9319"/>
    <cellStyle name="€’ЋѓЋ‚›‰ 4 2 2 8" xfId="9320"/>
    <cellStyle name="€’ЋѓЋ‚›‰ 4 2 2 9" xfId="9321"/>
    <cellStyle name="€’ЋѓЋ‚›‰ 4 2 20" xfId="9322"/>
    <cellStyle name="€’ЋѓЋ‚›‰ 4 2 21" xfId="9323"/>
    <cellStyle name="€’ЋѓЋ‚›‰ 4 2 22" xfId="9324"/>
    <cellStyle name="€’ЋѓЋ‚›‰ 4 2 23" xfId="9325"/>
    <cellStyle name="€’ЋѓЋ‚›‰ 4 2 3" xfId="9326"/>
    <cellStyle name="€’ЋѓЋ‚›‰ 4 2 3 10" xfId="9327"/>
    <cellStyle name="€’ЋѓЋ‚›‰ 4 2 3 11" xfId="9328"/>
    <cellStyle name="€’ЋѓЋ‚›‰ 4 2 3 12" xfId="9329"/>
    <cellStyle name="€’ЋѓЋ‚›‰ 4 2 3 13" xfId="9330"/>
    <cellStyle name="€’ЋѓЋ‚›‰ 4 2 3 14" xfId="9331"/>
    <cellStyle name="€’ЋѓЋ‚›‰ 4 2 3 15" xfId="9332"/>
    <cellStyle name="€’ЋѓЋ‚›‰ 4 2 3 16" xfId="9333"/>
    <cellStyle name="€’ЋѓЋ‚›‰ 4 2 3 17" xfId="9334"/>
    <cellStyle name="€’ЋѓЋ‚›‰ 4 2 3 18" xfId="9335"/>
    <cellStyle name="€’ЋѓЋ‚›‰ 4 2 3 2" xfId="9336"/>
    <cellStyle name="€’ЋѓЋ‚›‰ 4 2 3 2 2" xfId="9337"/>
    <cellStyle name="€’ЋѓЋ‚›‰ 4 2 3 2 2 2" xfId="9338"/>
    <cellStyle name="€’ЋѓЋ‚›‰ 4 2 3 2 3" xfId="9339"/>
    <cellStyle name="€’ЋѓЋ‚›‰ 4 2 3 2 4" xfId="9340"/>
    <cellStyle name="€’ЋѓЋ‚›‰ 4 2 3 3" xfId="9341"/>
    <cellStyle name="€’ЋѓЋ‚›‰ 4 2 3 3 2" xfId="9342"/>
    <cellStyle name="€’ЋѓЋ‚›‰ 4 2 3 3 3" xfId="9343"/>
    <cellStyle name="€’ЋѓЋ‚›‰ 4 2 3 4" xfId="9344"/>
    <cellStyle name="€’ЋѓЋ‚›‰ 4 2 3 4 2" xfId="9345"/>
    <cellStyle name="€’ЋѓЋ‚›‰ 4 2 3 5" xfId="9346"/>
    <cellStyle name="€’ЋѓЋ‚›‰ 4 2 3 6" xfId="9347"/>
    <cellStyle name="€’ЋѓЋ‚›‰ 4 2 3 7" xfId="9348"/>
    <cellStyle name="€’ЋѓЋ‚›‰ 4 2 3 8" xfId="9349"/>
    <cellStyle name="€’ЋѓЋ‚›‰ 4 2 3 9" xfId="9350"/>
    <cellStyle name="€’ЋѓЋ‚›‰ 4 2 4" xfId="9351"/>
    <cellStyle name="€’ЋѓЋ‚›‰ 4 2 4 2" xfId="9352"/>
    <cellStyle name="€’ЋѓЋ‚›‰ 4 2 4 2 2" xfId="9353"/>
    <cellStyle name="€’ЋѓЋ‚›‰ 4 2 4 2 3" xfId="9354"/>
    <cellStyle name="€’ЋѓЋ‚›‰ 4 2 4 3" xfId="9355"/>
    <cellStyle name="€’ЋѓЋ‚›‰ 4 2 4 3 2" xfId="9356"/>
    <cellStyle name="€’ЋѓЋ‚›‰ 4 2 4 4" xfId="9357"/>
    <cellStyle name="€’ЋѓЋ‚›‰ 4 2 4 5" xfId="9358"/>
    <cellStyle name="€’ЋѓЋ‚›‰ 4 2 5" xfId="9359"/>
    <cellStyle name="€’ЋѓЋ‚›‰ 4 2 5 2" xfId="9360"/>
    <cellStyle name="€’ЋѓЋ‚›‰ 4 2 5 2 2" xfId="9361"/>
    <cellStyle name="€’ЋѓЋ‚›‰ 4 2 5 3" xfId="9362"/>
    <cellStyle name="€’ЋѓЋ‚›‰ 4 2 5 4" xfId="9363"/>
    <cellStyle name="€’ЋѓЋ‚›‰ 4 2 6" xfId="9364"/>
    <cellStyle name="€’ЋѓЋ‚›‰ 4 2 6 2" xfId="9365"/>
    <cellStyle name="€’ЋѓЋ‚›‰ 4 2 6 3" xfId="9366"/>
    <cellStyle name="€’ЋѓЋ‚›‰ 4 2 7" xfId="9367"/>
    <cellStyle name="€’ЋѓЋ‚›‰ 4 2 7 2" xfId="9368"/>
    <cellStyle name="€’ЋѓЋ‚›‰ 4 2 8" xfId="9369"/>
    <cellStyle name="€’ЋѓЋ‚›‰ 4 2 9" xfId="9370"/>
    <cellStyle name="€’ЋѓЋ‚›‰ 4 20" xfId="9371"/>
    <cellStyle name="€’ЋѓЋ‚›‰ 4 21" xfId="9372"/>
    <cellStyle name="€’ЋѓЋ‚›‰ 4 22" xfId="9373"/>
    <cellStyle name="€’ЋѓЋ‚›‰ 4 23" xfId="9374"/>
    <cellStyle name="€’ЋѓЋ‚›‰ 4 24" xfId="9375"/>
    <cellStyle name="€’ЋѓЋ‚›‰ 4 25" xfId="9376"/>
    <cellStyle name="€’ЋѓЋ‚›‰ 4 26" xfId="9377"/>
    <cellStyle name="€’ЋѓЋ‚›‰ 4 27" xfId="9378"/>
    <cellStyle name="€’ЋѓЋ‚›‰ 4 28" xfId="9379"/>
    <cellStyle name="€’ЋѓЋ‚›‰ 4 3" xfId="9380"/>
    <cellStyle name="€’ЋѓЋ‚›‰ 4 3 10" xfId="9381"/>
    <cellStyle name="€’ЋѓЋ‚›‰ 4 3 11" xfId="9382"/>
    <cellStyle name="€’ЋѓЋ‚›‰ 4 3 12" xfId="9383"/>
    <cellStyle name="€’ЋѓЋ‚›‰ 4 3 13" xfId="9384"/>
    <cellStyle name="€’ЋѓЋ‚›‰ 4 3 14" xfId="9385"/>
    <cellStyle name="€’ЋѓЋ‚›‰ 4 3 15" xfId="9386"/>
    <cellStyle name="€’ЋѓЋ‚›‰ 4 3 16" xfId="9387"/>
    <cellStyle name="€’ЋѓЋ‚›‰ 4 3 17" xfId="9388"/>
    <cellStyle name="€’ЋѓЋ‚›‰ 4 3 18" xfId="9389"/>
    <cellStyle name="€’ЋѓЋ‚›‰ 4 3 19" xfId="9390"/>
    <cellStyle name="€’ЋѓЋ‚›‰ 4 3 2" xfId="9391"/>
    <cellStyle name="€’ЋѓЋ‚›‰ 4 3 2 10" xfId="9392"/>
    <cellStyle name="€’ЋѓЋ‚›‰ 4 3 2 11" xfId="9393"/>
    <cellStyle name="€’ЋѓЋ‚›‰ 4 3 2 12" xfId="9394"/>
    <cellStyle name="€’ЋѓЋ‚›‰ 4 3 2 13" xfId="9395"/>
    <cellStyle name="€’ЋѓЋ‚›‰ 4 3 2 14" xfId="9396"/>
    <cellStyle name="€’ЋѓЋ‚›‰ 4 3 2 15" xfId="9397"/>
    <cellStyle name="€’ЋѓЋ‚›‰ 4 3 2 16" xfId="9398"/>
    <cellStyle name="€’ЋѓЋ‚›‰ 4 3 2 17" xfId="9399"/>
    <cellStyle name="€’ЋѓЋ‚›‰ 4 3 2 18" xfId="9400"/>
    <cellStyle name="€’ЋѓЋ‚›‰ 4 3 2 2" xfId="9401"/>
    <cellStyle name="€’ЋѓЋ‚›‰ 4 3 2 2 2" xfId="9402"/>
    <cellStyle name="€’ЋѓЋ‚›‰ 4 3 2 2 2 2" xfId="9403"/>
    <cellStyle name="€’ЋѓЋ‚›‰ 4 3 2 2 3" xfId="9404"/>
    <cellStyle name="€’ЋѓЋ‚›‰ 4 3 2 2 4" xfId="9405"/>
    <cellStyle name="€’ЋѓЋ‚›‰ 4 3 2 3" xfId="9406"/>
    <cellStyle name="€’ЋѓЋ‚›‰ 4 3 2 3 2" xfId="9407"/>
    <cellStyle name="€’ЋѓЋ‚›‰ 4 3 2 3 3" xfId="9408"/>
    <cellStyle name="€’ЋѓЋ‚›‰ 4 3 2 4" xfId="9409"/>
    <cellStyle name="€’ЋѓЋ‚›‰ 4 3 2 4 2" xfId="9410"/>
    <cellStyle name="€’ЋѓЋ‚›‰ 4 3 2 5" xfId="9411"/>
    <cellStyle name="€’ЋѓЋ‚›‰ 4 3 2 6" xfId="9412"/>
    <cellStyle name="€’ЋѓЋ‚›‰ 4 3 2 7" xfId="9413"/>
    <cellStyle name="€’ЋѓЋ‚›‰ 4 3 2 8" xfId="9414"/>
    <cellStyle name="€’ЋѓЋ‚›‰ 4 3 2 9" xfId="9415"/>
    <cellStyle name="€’ЋѓЋ‚›‰ 4 3 20" xfId="9416"/>
    <cellStyle name="€’ЋѓЋ‚›‰ 4 3 3" xfId="9417"/>
    <cellStyle name="€’ЋѓЋ‚›‰ 4 3 3 10" xfId="9418"/>
    <cellStyle name="€’ЋѓЋ‚›‰ 4 3 3 11" xfId="9419"/>
    <cellStyle name="€’ЋѓЋ‚›‰ 4 3 3 12" xfId="9420"/>
    <cellStyle name="€’ЋѓЋ‚›‰ 4 3 3 13" xfId="9421"/>
    <cellStyle name="€’ЋѓЋ‚›‰ 4 3 3 14" xfId="9422"/>
    <cellStyle name="€’ЋѓЋ‚›‰ 4 3 3 15" xfId="9423"/>
    <cellStyle name="€’ЋѓЋ‚›‰ 4 3 3 16" xfId="9424"/>
    <cellStyle name="€’ЋѓЋ‚›‰ 4 3 3 17" xfId="9425"/>
    <cellStyle name="€’ЋѓЋ‚›‰ 4 3 3 18" xfId="9426"/>
    <cellStyle name="€’ЋѓЋ‚›‰ 4 3 3 2" xfId="9427"/>
    <cellStyle name="€’ЋѓЋ‚›‰ 4 3 3 2 2" xfId="9428"/>
    <cellStyle name="€’ЋѓЋ‚›‰ 4 3 3 2 2 2" xfId="9429"/>
    <cellStyle name="€’ЋѓЋ‚›‰ 4 3 3 2 3" xfId="9430"/>
    <cellStyle name="€’ЋѓЋ‚›‰ 4 3 3 2 4" xfId="9431"/>
    <cellStyle name="€’ЋѓЋ‚›‰ 4 3 3 3" xfId="9432"/>
    <cellStyle name="€’ЋѓЋ‚›‰ 4 3 3 3 2" xfId="9433"/>
    <cellStyle name="€’ЋѓЋ‚›‰ 4 3 3 3 3" xfId="9434"/>
    <cellStyle name="€’ЋѓЋ‚›‰ 4 3 3 4" xfId="9435"/>
    <cellStyle name="€’ЋѓЋ‚›‰ 4 3 3 4 2" xfId="9436"/>
    <cellStyle name="€’ЋѓЋ‚›‰ 4 3 3 5" xfId="9437"/>
    <cellStyle name="€’ЋѓЋ‚›‰ 4 3 3 6" xfId="9438"/>
    <cellStyle name="€’ЋѓЋ‚›‰ 4 3 3 7" xfId="9439"/>
    <cellStyle name="€’ЋѓЋ‚›‰ 4 3 3 8" xfId="9440"/>
    <cellStyle name="€’ЋѓЋ‚›‰ 4 3 3 9" xfId="9441"/>
    <cellStyle name="€’ЋѓЋ‚›‰ 4 3 4" xfId="9442"/>
    <cellStyle name="€’ЋѓЋ‚›‰ 4 3 4 2" xfId="9443"/>
    <cellStyle name="€’ЋѓЋ‚›‰ 4 3 4 2 2" xfId="9444"/>
    <cellStyle name="€’ЋѓЋ‚›‰ 4 3 4 2 3" xfId="9445"/>
    <cellStyle name="€’ЋѓЋ‚›‰ 4 3 4 3" xfId="9446"/>
    <cellStyle name="€’ЋѓЋ‚›‰ 4 3 4 3 2" xfId="9447"/>
    <cellStyle name="€’ЋѓЋ‚›‰ 4 3 4 4" xfId="9448"/>
    <cellStyle name="€’ЋѓЋ‚›‰ 4 3 4 5" xfId="9449"/>
    <cellStyle name="€’ЋѓЋ‚›‰ 4 3 5" xfId="9450"/>
    <cellStyle name="€’ЋѓЋ‚›‰ 4 3 5 2" xfId="9451"/>
    <cellStyle name="€’ЋѓЋ‚›‰ 4 3 5 2 2" xfId="9452"/>
    <cellStyle name="€’ЋѓЋ‚›‰ 4 3 5 3" xfId="9453"/>
    <cellStyle name="€’ЋѓЋ‚›‰ 4 3 5 4" xfId="9454"/>
    <cellStyle name="€’ЋѓЋ‚›‰ 4 3 6" xfId="9455"/>
    <cellStyle name="€’ЋѓЋ‚›‰ 4 3 6 2" xfId="9456"/>
    <cellStyle name="€’ЋѓЋ‚›‰ 4 3 6 3" xfId="9457"/>
    <cellStyle name="€’ЋѓЋ‚›‰ 4 3 7" xfId="9458"/>
    <cellStyle name="€’ЋѓЋ‚›‰ 4 3 7 2" xfId="9459"/>
    <cellStyle name="€’ЋѓЋ‚›‰ 4 3 8" xfId="9460"/>
    <cellStyle name="€’ЋѓЋ‚›‰ 4 3 9" xfId="9461"/>
    <cellStyle name="€’ЋѓЋ‚›‰ 4 4" xfId="9462"/>
    <cellStyle name="€’ЋѓЋ‚›‰ 4 4 10" xfId="9463"/>
    <cellStyle name="€’ЋѓЋ‚›‰ 4 4 11" xfId="9464"/>
    <cellStyle name="€’ЋѓЋ‚›‰ 4 4 12" xfId="9465"/>
    <cellStyle name="€’ЋѓЋ‚›‰ 4 4 13" xfId="9466"/>
    <cellStyle name="€’ЋѓЋ‚›‰ 4 4 14" xfId="9467"/>
    <cellStyle name="€’ЋѓЋ‚›‰ 4 4 15" xfId="9468"/>
    <cellStyle name="€’ЋѓЋ‚›‰ 4 4 16" xfId="9469"/>
    <cellStyle name="€’ЋѓЋ‚›‰ 4 4 17" xfId="9470"/>
    <cellStyle name="€’ЋѓЋ‚›‰ 4 4 18" xfId="9471"/>
    <cellStyle name="€’ЋѓЋ‚›‰ 4 4 19" xfId="9472"/>
    <cellStyle name="€’ЋѓЋ‚›‰ 4 4 2" xfId="9473"/>
    <cellStyle name="€’ЋѓЋ‚›‰ 4 4 2 10" xfId="9474"/>
    <cellStyle name="€’ЋѓЋ‚›‰ 4 4 2 11" xfId="9475"/>
    <cellStyle name="€’ЋѓЋ‚›‰ 4 4 2 12" xfId="9476"/>
    <cellStyle name="€’ЋѓЋ‚›‰ 4 4 2 13" xfId="9477"/>
    <cellStyle name="€’ЋѓЋ‚›‰ 4 4 2 14" xfId="9478"/>
    <cellStyle name="€’ЋѓЋ‚›‰ 4 4 2 15" xfId="9479"/>
    <cellStyle name="€’ЋѓЋ‚›‰ 4 4 2 16" xfId="9480"/>
    <cellStyle name="€’ЋѓЋ‚›‰ 4 4 2 17" xfId="9481"/>
    <cellStyle name="€’ЋѓЋ‚›‰ 4 4 2 18" xfId="9482"/>
    <cellStyle name="€’ЋѓЋ‚›‰ 4 4 2 2" xfId="9483"/>
    <cellStyle name="€’ЋѓЋ‚›‰ 4 4 2 2 2" xfId="9484"/>
    <cellStyle name="€’ЋѓЋ‚›‰ 4 4 2 2 2 2" xfId="9485"/>
    <cellStyle name="€’ЋѓЋ‚›‰ 4 4 2 2 3" xfId="9486"/>
    <cellStyle name="€’ЋѓЋ‚›‰ 4 4 2 2 4" xfId="9487"/>
    <cellStyle name="€’ЋѓЋ‚›‰ 4 4 2 3" xfId="9488"/>
    <cellStyle name="€’ЋѓЋ‚›‰ 4 4 2 3 2" xfId="9489"/>
    <cellStyle name="€’ЋѓЋ‚›‰ 4 4 2 3 3" xfId="9490"/>
    <cellStyle name="€’ЋѓЋ‚›‰ 4 4 2 4" xfId="9491"/>
    <cellStyle name="€’ЋѓЋ‚›‰ 4 4 2 4 2" xfId="9492"/>
    <cellStyle name="€’ЋѓЋ‚›‰ 4 4 2 5" xfId="9493"/>
    <cellStyle name="€’ЋѓЋ‚›‰ 4 4 2 6" xfId="9494"/>
    <cellStyle name="€’ЋѓЋ‚›‰ 4 4 2 7" xfId="9495"/>
    <cellStyle name="€’ЋѓЋ‚›‰ 4 4 2 8" xfId="9496"/>
    <cellStyle name="€’ЋѓЋ‚›‰ 4 4 2 9" xfId="9497"/>
    <cellStyle name="€’ЋѓЋ‚›‰ 4 4 20" xfId="9498"/>
    <cellStyle name="€’ЋѓЋ‚›‰ 4 4 21" xfId="9499"/>
    <cellStyle name="€’ЋѓЋ‚›‰ 4 4 3" xfId="9500"/>
    <cellStyle name="€’ЋѓЋ‚›‰ 4 4 3 10" xfId="9501"/>
    <cellStyle name="€’ЋѓЋ‚›‰ 4 4 3 11" xfId="9502"/>
    <cellStyle name="€’ЋѓЋ‚›‰ 4 4 3 12" xfId="9503"/>
    <cellStyle name="€’ЋѓЋ‚›‰ 4 4 3 13" xfId="9504"/>
    <cellStyle name="€’ЋѓЋ‚›‰ 4 4 3 14" xfId="9505"/>
    <cellStyle name="€’ЋѓЋ‚›‰ 4 4 3 15" xfId="9506"/>
    <cellStyle name="€’ЋѓЋ‚›‰ 4 4 3 16" xfId="9507"/>
    <cellStyle name="€’ЋѓЋ‚›‰ 4 4 3 17" xfId="9508"/>
    <cellStyle name="€’ЋѓЋ‚›‰ 4 4 3 18" xfId="9509"/>
    <cellStyle name="€’ЋѓЋ‚›‰ 4 4 3 2" xfId="9510"/>
    <cellStyle name="€’ЋѓЋ‚›‰ 4 4 3 2 2" xfId="9511"/>
    <cellStyle name="€’ЋѓЋ‚›‰ 4 4 3 2 2 2" xfId="9512"/>
    <cellStyle name="€’ЋѓЋ‚›‰ 4 4 3 2 3" xfId="9513"/>
    <cellStyle name="€’ЋѓЋ‚›‰ 4 4 3 2 4" xfId="9514"/>
    <cellStyle name="€’ЋѓЋ‚›‰ 4 4 3 3" xfId="9515"/>
    <cellStyle name="€’ЋѓЋ‚›‰ 4 4 3 3 2" xfId="9516"/>
    <cellStyle name="€’ЋѓЋ‚›‰ 4 4 3 3 3" xfId="9517"/>
    <cellStyle name="€’ЋѓЋ‚›‰ 4 4 3 4" xfId="9518"/>
    <cellStyle name="€’ЋѓЋ‚›‰ 4 4 3 4 2" xfId="9519"/>
    <cellStyle name="€’ЋѓЋ‚›‰ 4 4 3 5" xfId="9520"/>
    <cellStyle name="€’ЋѓЋ‚›‰ 4 4 3 6" xfId="9521"/>
    <cellStyle name="€’ЋѓЋ‚›‰ 4 4 3 7" xfId="9522"/>
    <cellStyle name="€’ЋѓЋ‚›‰ 4 4 3 8" xfId="9523"/>
    <cellStyle name="€’ЋѓЋ‚›‰ 4 4 3 9" xfId="9524"/>
    <cellStyle name="€’ЋѓЋ‚›‰ 4 4 4" xfId="9525"/>
    <cellStyle name="€’ЋѓЋ‚›‰ 4 4 4 2" xfId="9526"/>
    <cellStyle name="€’ЋѓЋ‚›‰ 4 4 4 2 2" xfId="9527"/>
    <cellStyle name="€’ЋѓЋ‚›‰ 4 4 4 2 3" xfId="9528"/>
    <cellStyle name="€’ЋѓЋ‚›‰ 4 4 4 3" xfId="9529"/>
    <cellStyle name="€’ЋѓЋ‚›‰ 4 4 4 3 2" xfId="9530"/>
    <cellStyle name="€’ЋѓЋ‚›‰ 4 4 4 4" xfId="9531"/>
    <cellStyle name="€’ЋѓЋ‚›‰ 4 4 4 5" xfId="9532"/>
    <cellStyle name="€’ЋѓЋ‚›‰ 4 4 5" xfId="9533"/>
    <cellStyle name="€’ЋѓЋ‚›‰ 4 4 5 2" xfId="9534"/>
    <cellStyle name="€’ЋѓЋ‚›‰ 4 4 5 2 2" xfId="9535"/>
    <cellStyle name="€’ЋѓЋ‚›‰ 4 4 5 3" xfId="9536"/>
    <cellStyle name="€’ЋѓЋ‚›‰ 4 4 5 4" xfId="9537"/>
    <cellStyle name="€’ЋѓЋ‚›‰ 4 4 6" xfId="9538"/>
    <cellStyle name="€’ЋѓЋ‚›‰ 4 4 6 2" xfId="9539"/>
    <cellStyle name="€’ЋѓЋ‚›‰ 4 4 6 3" xfId="9540"/>
    <cellStyle name="€’ЋѓЋ‚›‰ 4 4 7" xfId="9541"/>
    <cellStyle name="€’ЋѓЋ‚›‰ 4 4 7 2" xfId="9542"/>
    <cellStyle name="€’ЋѓЋ‚›‰ 4 4 8" xfId="9543"/>
    <cellStyle name="€’ЋѓЋ‚›‰ 4 4 9" xfId="9544"/>
    <cellStyle name="€’ЋѓЋ‚›‰ 4 5" xfId="9545"/>
    <cellStyle name="€’ЋѓЋ‚›‰ 4 5 10" xfId="9546"/>
    <cellStyle name="€’ЋѓЋ‚›‰ 4 5 11" xfId="9547"/>
    <cellStyle name="€’ЋѓЋ‚›‰ 4 5 12" xfId="9548"/>
    <cellStyle name="€’ЋѓЋ‚›‰ 4 5 13" xfId="9549"/>
    <cellStyle name="€’ЋѓЋ‚›‰ 4 5 14" xfId="9550"/>
    <cellStyle name="€’ЋѓЋ‚›‰ 4 5 15" xfId="9551"/>
    <cellStyle name="€’ЋѓЋ‚›‰ 4 5 16" xfId="9552"/>
    <cellStyle name="€’ЋѓЋ‚›‰ 4 5 17" xfId="9553"/>
    <cellStyle name="€’ЋѓЋ‚›‰ 4 5 18" xfId="9554"/>
    <cellStyle name="€’ЋѓЋ‚›‰ 4 5 19" xfId="9555"/>
    <cellStyle name="€’ЋѓЋ‚›‰ 4 5 2" xfId="9556"/>
    <cellStyle name="€’ЋѓЋ‚›‰ 4 5 2 10" xfId="9557"/>
    <cellStyle name="€’ЋѓЋ‚›‰ 4 5 2 11" xfId="9558"/>
    <cellStyle name="€’ЋѓЋ‚›‰ 4 5 2 12" xfId="9559"/>
    <cellStyle name="€’ЋѓЋ‚›‰ 4 5 2 13" xfId="9560"/>
    <cellStyle name="€’ЋѓЋ‚›‰ 4 5 2 14" xfId="9561"/>
    <cellStyle name="€’ЋѓЋ‚›‰ 4 5 2 15" xfId="9562"/>
    <cellStyle name="€’ЋѓЋ‚›‰ 4 5 2 16" xfId="9563"/>
    <cellStyle name="€’ЋѓЋ‚›‰ 4 5 2 17" xfId="9564"/>
    <cellStyle name="€’ЋѓЋ‚›‰ 4 5 2 18" xfId="9565"/>
    <cellStyle name="€’ЋѓЋ‚›‰ 4 5 2 2" xfId="9566"/>
    <cellStyle name="€’ЋѓЋ‚›‰ 4 5 2 2 2" xfId="9567"/>
    <cellStyle name="€’ЋѓЋ‚›‰ 4 5 2 2 2 2" xfId="9568"/>
    <cellStyle name="€’ЋѓЋ‚›‰ 4 5 2 2 3" xfId="9569"/>
    <cellStyle name="€’ЋѓЋ‚›‰ 4 5 2 2 4" xfId="9570"/>
    <cellStyle name="€’ЋѓЋ‚›‰ 4 5 2 3" xfId="9571"/>
    <cellStyle name="€’ЋѓЋ‚›‰ 4 5 2 3 2" xfId="9572"/>
    <cellStyle name="€’ЋѓЋ‚›‰ 4 5 2 3 3" xfId="9573"/>
    <cellStyle name="€’ЋѓЋ‚›‰ 4 5 2 4" xfId="9574"/>
    <cellStyle name="€’ЋѓЋ‚›‰ 4 5 2 4 2" xfId="9575"/>
    <cellStyle name="€’ЋѓЋ‚›‰ 4 5 2 5" xfId="9576"/>
    <cellStyle name="€’ЋѓЋ‚›‰ 4 5 2 6" xfId="9577"/>
    <cellStyle name="€’ЋѓЋ‚›‰ 4 5 2 7" xfId="9578"/>
    <cellStyle name="€’ЋѓЋ‚›‰ 4 5 2 8" xfId="9579"/>
    <cellStyle name="€’ЋѓЋ‚›‰ 4 5 2 9" xfId="9580"/>
    <cellStyle name="€’ЋѓЋ‚›‰ 4 5 20" xfId="9581"/>
    <cellStyle name="€’ЋѓЋ‚›‰ 4 5 21" xfId="9582"/>
    <cellStyle name="€’ЋѓЋ‚›‰ 4 5 3" xfId="9583"/>
    <cellStyle name="€’ЋѓЋ‚›‰ 4 5 3 10" xfId="9584"/>
    <cellStyle name="€’ЋѓЋ‚›‰ 4 5 3 11" xfId="9585"/>
    <cellStyle name="€’ЋѓЋ‚›‰ 4 5 3 12" xfId="9586"/>
    <cellStyle name="€’ЋѓЋ‚›‰ 4 5 3 13" xfId="9587"/>
    <cellStyle name="€’ЋѓЋ‚›‰ 4 5 3 14" xfId="9588"/>
    <cellStyle name="€’ЋѓЋ‚›‰ 4 5 3 15" xfId="9589"/>
    <cellStyle name="€’ЋѓЋ‚›‰ 4 5 3 16" xfId="9590"/>
    <cellStyle name="€’ЋѓЋ‚›‰ 4 5 3 17" xfId="9591"/>
    <cellStyle name="€’ЋѓЋ‚›‰ 4 5 3 18" xfId="9592"/>
    <cellStyle name="€’ЋѓЋ‚›‰ 4 5 3 2" xfId="9593"/>
    <cellStyle name="€’ЋѓЋ‚›‰ 4 5 3 2 2" xfId="9594"/>
    <cellStyle name="€’ЋѓЋ‚›‰ 4 5 3 2 2 2" xfId="9595"/>
    <cellStyle name="€’ЋѓЋ‚›‰ 4 5 3 2 3" xfId="9596"/>
    <cellStyle name="€’ЋѓЋ‚›‰ 4 5 3 2 4" xfId="9597"/>
    <cellStyle name="€’ЋѓЋ‚›‰ 4 5 3 3" xfId="9598"/>
    <cellStyle name="€’ЋѓЋ‚›‰ 4 5 3 3 2" xfId="9599"/>
    <cellStyle name="€’ЋѓЋ‚›‰ 4 5 3 3 3" xfId="9600"/>
    <cellStyle name="€’ЋѓЋ‚›‰ 4 5 3 4" xfId="9601"/>
    <cellStyle name="€’ЋѓЋ‚›‰ 4 5 3 4 2" xfId="9602"/>
    <cellStyle name="€’ЋѓЋ‚›‰ 4 5 3 5" xfId="9603"/>
    <cellStyle name="€’ЋѓЋ‚›‰ 4 5 3 6" xfId="9604"/>
    <cellStyle name="€’ЋѓЋ‚›‰ 4 5 3 7" xfId="9605"/>
    <cellStyle name="€’ЋѓЋ‚›‰ 4 5 3 8" xfId="9606"/>
    <cellStyle name="€’ЋѓЋ‚›‰ 4 5 3 9" xfId="9607"/>
    <cellStyle name="€’ЋѓЋ‚›‰ 4 5 4" xfId="9608"/>
    <cellStyle name="€’ЋѓЋ‚›‰ 4 5 4 2" xfId="9609"/>
    <cellStyle name="€’ЋѓЋ‚›‰ 4 5 4 2 2" xfId="9610"/>
    <cellStyle name="€’ЋѓЋ‚›‰ 4 5 4 2 3" xfId="9611"/>
    <cellStyle name="€’ЋѓЋ‚›‰ 4 5 4 3" xfId="9612"/>
    <cellStyle name="€’ЋѓЋ‚›‰ 4 5 4 3 2" xfId="9613"/>
    <cellStyle name="€’ЋѓЋ‚›‰ 4 5 4 4" xfId="9614"/>
    <cellStyle name="€’ЋѓЋ‚›‰ 4 5 4 5" xfId="9615"/>
    <cellStyle name="€’ЋѓЋ‚›‰ 4 5 5" xfId="9616"/>
    <cellStyle name="€’ЋѓЋ‚›‰ 4 5 5 2" xfId="9617"/>
    <cellStyle name="€’ЋѓЋ‚›‰ 4 5 5 2 2" xfId="9618"/>
    <cellStyle name="€’ЋѓЋ‚›‰ 4 5 5 3" xfId="9619"/>
    <cellStyle name="€’ЋѓЋ‚›‰ 4 5 5 4" xfId="9620"/>
    <cellStyle name="€’ЋѓЋ‚›‰ 4 5 6" xfId="9621"/>
    <cellStyle name="€’ЋѓЋ‚›‰ 4 5 6 2" xfId="9622"/>
    <cellStyle name="€’ЋѓЋ‚›‰ 4 5 6 3" xfId="9623"/>
    <cellStyle name="€’ЋѓЋ‚›‰ 4 5 7" xfId="9624"/>
    <cellStyle name="€’ЋѓЋ‚›‰ 4 5 7 2" xfId="9625"/>
    <cellStyle name="€’ЋѓЋ‚›‰ 4 5 8" xfId="9626"/>
    <cellStyle name="€’ЋѓЋ‚›‰ 4 5 9" xfId="9627"/>
    <cellStyle name="€’ЋѓЋ‚›‰ 4 6" xfId="9628"/>
    <cellStyle name="€’ЋѓЋ‚›‰ 4 6 10" xfId="9629"/>
    <cellStyle name="€’ЋѓЋ‚›‰ 4 6 11" xfId="9630"/>
    <cellStyle name="€’ЋѓЋ‚›‰ 4 6 12" xfId="9631"/>
    <cellStyle name="€’ЋѓЋ‚›‰ 4 6 13" xfId="9632"/>
    <cellStyle name="€’ЋѓЋ‚›‰ 4 6 14" xfId="9633"/>
    <cellStyle name="€’ЋѓЋ‚›‰ 4 6 15" xfId="9634"/>
    <cellStyle name="€’ЋѓЋ‚›‰ 4 6 16" xfId="9635"/>
    <cellStyle name="€’ЋѓЋ‚›‰ 4 6 17" xfId="9636"/>
    <cellStyle name="€’ЋѓЋ‚›‰ 4 6 18" xfId="9637"/>
    <cellStyle name="€’ЋѓЋ‚›‰ 4 6 19" xfId="9638"/>
    <cellStyle name="€’ЋѓЋ‚›‰ 4 6 2" xfId="9639"/>
    <cellStyle name="€’ЋѓЋ‚›‰ 4 6 2 10" xfId="9640"/>
    <cellStyle name="€’ЋѓЋ‚›‰ 4 6 2 11" xfId="9641"/>
    <cellStyle name="€’ЋѓЋ‚›‰ 4 6 2 12" xfId="9642"/>
    <cellStyle name="€’ЋѓЋ‚›‰ 4 6 2 13" xfId="9643"/>
    <cellStyle name="€’ЋѓЋ‚›‰ 4 6 2 14" xfId="9644"/>
    <cellStyle name="€’ЋѓЋ‚›‰ 4 6 2 15" xfId="9645"/>
    <cellStyle name="€’ЋѓЋ‚›‰ 4 6 2 16" xfId="9646"/>
    <cellStyle name="€’ЋѓЋ‚›‰ 4 6 2 17" xfId="9647"/>
    <cellStyle name="€’ЋѓЋ‚›‰ 4 6 2 18" xfId="9648"/>
    <cellStyle name="€’ЋѓЋ‚›‰ 4 6 2 2" xfId="9649"/>
    <cellStyle name="€’ЋѓЋ‚›‰ 4 6 2 2 2" xfId="9650"/>
    <cellStyle name="€’ЋѓЋ‚›‰ 4 6 2 2 2 2" xfId="9651"/>
    <cellStyle name="€’ЋѓЋ‚›‰ 4 6 2 2 3" xfId="9652"/>
    <cellStyle name="€’ЋѓЋ‚›‰ 4 6 2 2 4" xfId="9653"/>
    <cellStyle name="€’ЋѓЋ‚›‰ 4 6 2 3" xfId="9654"/>
    <cellStyle name="€’ЋѓЋ‚›‰ 4 6 2 3 2" xfId="9655"/>
    <cellStyle name="€’ЋѓЋ‚›‰ 4 6 2 3 3" xfId="9656"/>
    <cellStyle name="€’ЋѓЋ‚›‰ 4 6 2 4" xfId="9657"/>
    <cellStyle name="€’ЋѓЋ‚›‰ 4 6 2 4 2" xfId="9658"/>
    <cellStyle name="€’ЋѓЋ‚›‰ 4 6 2 5" xfId="9659"/>
    <cellStyle name="€’ЋѓЋ‚›‰ 4 6 2 6" xfId="9660"/>
    <cellStyle name="€’ЋѓЋ‚›‰ 4 6 2 7" xfId="9661"/>
    <cellStyle name="€’ЋѓЋ‚›‰ 4 6 2 8" xfId="9662"/>
    <cellStyle name="€’ЋѓЋ‚›‰ 4 6 2 9" xfId="9663"/>
    <cellStyle name="€’ЋѓЋ‚›‰ 4 6 20" xfId="9664"/>
    <cellStyle name="€’ЋѓЋ‚›‰ 4 6 3" xfId="9665"/>
    <cellStyle name="€’ЋѓЋ‚›‰ 4 6 3 10" xfId="9666"/>
    <cellStyle name="€’ЋѓЋ‚›‰ 4 6 3 11" xfId="9667"/>
    <cellStyle name="€’ЋѓЋ‚›‰ 4 6 3 12" xfId="9668"/>
    <cellStyle name="€’ЋѓЋ‚›‰ 4 6 3 13" xfId="9669"/>
    <cellStyle name="€’ЋѓЋ‚›‰ 4 6 3 14" xfId="9670"/>
    <cellStyle name="€’ЋѓЋ‚›‰ 4 6 3 15" xfId="9671"/>
    <cellStyle name="€’ЋѓЋ‚›‰ 4 6 3 16" xfId="9672"/>
    <cellStyle name="€’ЋѓЋ‚›‰ 4 6 3 17" xfId="9673"/>
    <cellStyle name="€’ЋѓЋ‚›‰ 4 6 3 18" xfId="9674"/>
    <cellStyle name="€’ЋѓЋ‚›‰ 4 6 3 2" xfId="9675"/>
    <cellStyle name="€’ЋѓЋ‚›‰ 4 6 3 2 2" xfId="9676"/>
    <cellStyle name="€’ЋѓЋ‚›‰ 4 6 3 2 2 2" xfId="9677"/>
    <cellStyle name="€’ЋѓЋ‚›‰ 4 6 3 2 3" xfId="9678"/>
    <cellStyle name="€’ЋѓЋ‚›‰ 4 6 3 2 4" xfId="9679"/>
    <cellStyle name="€’ЋѓЋ‚›‰ 4 6 3 3" xfId="9680"/>
    <cellStyle name="€’ЋѓЋ‚›‰ 4 6 3 3 2" xfId="9681"/>
    <cellStyle name="€’ЋѓЋ‚›‰ 4 6 3 3 3" xfId="9682"/>
    <cellStyle name="€’ЋѓЋ‚›‰ 4 6 3 4" xfId="9683"/>
    <cellStyle name="€’ЋѓЋ‚›‰ 4 6 3 4 2" xfId="9684"/>
    <cellStyle name="€’ЋѓЋ‚›‰ 4 6 3 5" xfId="9685"/>
    <cellStyle name="€’ЋѓЋ‚›‰ 4 6 3 6" xfId="9686"/>
    <cellStyle name="€’ЋѓЋ‚›‰ 4 6 3 7" xfId="9687"/>
    <cellStyle name="€’ЋѓЋ‚›‰ 4 6 3 8" xfId="9688"/>
    <cellStyle name="€’ЋѓЋ‚›‰ 4 6 3 9" xfId="9689"/>
    <cellStyle name="€’ЋѓЋ‚›‰ 4 6 4" xfId="9690"/>
    <cellStyle name="€’ЋѓЋ‚›‰ 4 6 4 2" xfId="9691"/>
    <cellStyle name="€’ЋѓЋ‚›‰ 4 6 4 2 2" xfId="9692"/>
    <cellStyle name="€’ЋѓЋ‚›‰ 4 6 4 3" xfId="9693"/>
    <cellStyle name="€’ЋѓЋ‚›‰ 4 6 4 4" xfId="9694"/>
    <cellStyle name="€’ЋѓЋ‚›‰ 4 6 5" xfId="9695"/>
    <cellStyle name="€’ЋѓЋ‚›‰ 4 6 5 2" xfId="9696"/>
    <cellStyle name="€’ЋѓЋ‚›‰ 4 6 6" xfId="9697"/>
    <cellStyle name="€’ЋѓЋ‚›‰ 4 6 7" xfId="9698"/>
    <cellStyle name="€’ЋѓЋ‚›‰ 4 6 8" xfId="9699"/>
    <cellStyle name="€’ЋѓЋ‚›‰ 4 6 9" xfId="9700"/>
    <cellStyle name="€’ЋѓЋ‚›‰ 4 7" xfId="9701"/>
    <cellStyle name="€’ЋѓЋ‚›‰ 4 7 10" xfId="9702"/>
    <cellStyle name="€’ЋѓЋ‚›‰ 4 7 11" xfId="9703"/>
    <cellStyle name="€’ЋѓЋ‚›‰ 4 7 12" xfId="9704"/>
    <cellStyle name="€’ЋѓЋ‚›‰ 4 7 13" xfId="9705"/>
    <cellStyle name="€’ЋѓЋ‚›‰ 4 7 14" xfId="9706"/>
    <cellStyle name="€’ЋѓЋ‚›‰ 4 7 15" xfId="9707"/>
    <cellStyle name="€’ЋѓЋ‚›‰ 4 7 16" xfId="9708"/>
    <cellStyle name="€’ЋѓЋ‚›‰ 4 7 17" xfId="9709"/>
    <cellStyle name="€’ЋѓЋ‚›‰ 4 7 18" xfId="9710"/>
    <cellStyle name="€’ЋѓЋ‚›‰ 4 7 2" xfId="9711"/>
    <cellStyle name="€’ЋѓЋ‚›‰ 4 7 2 2" xfId="9712"/>
    <cellStyle name="€’ЋѓЋ‚›‰ 4 7 2 2 2" xfId="9713"/>
    <cellStyle name="€’ЋѓЋ‚›‰ 4 7 2 3" xfId="9714"/>
    <cellStyle name="€’ЋѓЋ‚›‰ 4 7 2 4" xfId="9715"/>
    <cellStyle name="€’ЋѓЋ‚›‰ 4 7 3" xfId="9716"/>
    <cellStyle name="€’ЋѓЋ‚›‰ 4 7 3 2" xfId="9717"/>
    <cellStyle name="€’ЋѓЋ‚›‰ 4 7 3 3" xfId="9718"/>
    <cellStyle name="€’ЋѓЋ‚›‰ 4 7 4" xfId="9719"/>
    <cellStyle name="€’ЋѓЋ‚›‰ 4 7 4 2" xfId="9720"/>
    <cellStyle name="€’ЋѓЋ‚›‰ 4 7 5" xfId="9721"/>
    <cellStyle name="€’ЋѓЋ‚›‰ 4 7 6" xfId="9722"/>
    <cellStyle name="€’ЋѓЋ‚›‰ 4 7 7" xfId="9723"/>
    <cellStyle name="€’ЋѓЋ‚›‰ 4 7 8" xfId="9724"/>
    <cellStyle name="€’ЋѓЋ‚›‰ 4 7 9" xfId="9725"/>
    <cellStyle name="€’ЋѓЋ‚›‰ 4 8" xfId="9726"/>
    <cellStyle name="€’ЋѓЋ‚›‰ 4 8 10" xfId="9727"/>
    <cellStyle name="€’ЋѓЋ‚›‰ 4 8 11" xfId="9728"/>
    <cellStyle name="€’ЋѓЋ‚›‰ 4 8 12" xfId="9729"/>
    <cellStyle name="€’ЋѓЋ‚›‰ 4 8 13" xfId="9730"/>
    <cellStyle name="€’ЋѓЋ‚›‰ 4 8 14" xfId="9731"/>
    <cellStyle name="€’ЋѓЋ‚›‰ 4 8 15" xfId="9732"/>
    <cellStyle name="€’ЋѓЋ‚›‰ 4 8 16" xfId="9733"/>
    <cellStyle name="€’ЋѓЋ‚›‰ 4 8 17" xfId="9734"/>
    <cellStyle name="€’ЋѓЋ‚›‰ 4 8 18" xfId="9735"/>
    <cellStyle name="€’ЋѓЋ‚›‰ 4 8 2" xfId="9736"/>
    <cellStyle name="€’ЋѓЋ‚›‰ 4 8 2 2" xfId="9737"/>
    <cellStyle name="€’ЋѓЋ‚›‰ 4 8 3" xfId="9738"/>
    <cellStyle name="€’ЋѓЋ‚›‰ 4 8 4" xfId="9739"/>
    <cellStyle name="€’ЋѓЋ‚›‰ 4 8 5" xfId="9740"/>
    <cellStyle name="€’ЋѓЋ‚›‰ 4 8 6" xfId="9741"/>
    <cellStyle name="€’ЋѓЋ‚›‰ 4 8 7" xfId="9742"/>
    <cellStyle name="€’ЋѓЋ‚›‰ 4 8 8" xfId="9743"/>
    <cellStyle name="€’ЋѓЋ‚›‰ 4 8 9" xfId="9744"/>
    <cellStyle name="€’ЋѓЋ‚›‰ 4 9" xfId="9745"/>
    <cellStyle name="€’ЋѓЋ‚›‰ 5" xfId="9746"/>
    <cellStyle name="€’ЋѓЋ‚›‰ 5 10" xfId="9747"/>
    <cellStyle name="€’ЋѓЋ‚›‰ 5 11" xfId="9748"/>
    <cellStyle name="€’ЋѓЋ‚›‰ 5 12" xfId="9749"/>
    <cellStyle name="€’ЋѓЋ‚›‰ 5 13" xfId="9750"/>
    <cellStyle name="€’ЋѓЋ‚›‰ 5 14" xfId="9751"/>
    <cellStyle name="€’ЋѓЋ‚›‰ 5 15" xfId="9752"/>
    <cellStyle name="€’ЋѓЋ‚›‰ 5 16" xfId="9753"/>
    <cellStyle name="€’ЋѓЋ‚›‰ 5 17" xfId="9754"/>
    <cellStyle name="€’ЋѓЋ‚›‰ 5 18" xfId="9755"/>
    <cellStyle name="€’ЋѓЋ‚›‰ 5 19" xfId="9756"/>
    <cellStyle name="€’ЋѓЋ‚›‰ 5 2" xfId="9757"/>
    <cellStyle name="€’ЋѓЋ‚›‰ 5 2 10" xfId="9758"/>
    <cellStyle name="€’ЋѓЋ‚›‰ 5 2 11" xfId="9759"/>
    <cellStyle name="€’ЋѓЋ‚›‰ 5 2 12" xfId="9760"/>
    <cellStyle name="€’ЋѓЋ‚›‰ 5 2 13" xfId="9761"/>
    <cellStyle name="€’ЋѓЋ‚›‰ 5 2 14" xfId="9762"/>
    <cellStyle name="€’ЋѓЋ‚›‰ 5 2 15" xfId="9763"/>
    <cellStyle name="€’ЋѓЋ‚›‰ 5 2 16" xfId="9764"/>
    <cellStyle name="€’ЋѓЋ‚›‰ 5 2 17" xfId="9765"/>
    <cellStyle name="€’ЋѓЋ‚›‰ 5 2 18" xfId="9766"/>
    <cellStyle name="€’ЋѓЋ‚›‰ 5 2 19" xfId="9767"/>
    <cellStyle name="€’ЋѓЋ‚›‰ 5 2 2" xfId="9768"/>
    <cellStyle name="€’ЋѓЋ‚›‰ 5 2 2 10" xfId="9769"/>
    <cellStyle name="€’ЋѓЋ‚›‰ 5 2 2 11" xfId="9770"/>
    <cellStyle name="€’ЋѓЋ‚›‰ 5 2 2 12" xfId="9771"/>
    <cellStyle name="€’ЋѓЋ‚›‰ 5 2 2 13" xfId="9772"/>
    <cellStyle name="€’ЋѓЋ‚›‰ 5 2 2 14" xfId="9773"/>
    <cellStyle name="€’ЋѓЋ‚›‰ 5 2 2 15" xfId="9774"/>
    <cellStyle name="€’ЋѓЋ‚›‰ 5 2 2 16" xfId="9775"/>
    <cellStyle name="€’ЋѓЋ‚›‰ 5 2 2 17" xfId="9776"/>
    <cellStyle name="€’ЋѓЋ‚›‰ 5 2 2 18" xfId="9777"/>
    <cellStyle name="€’ЋѓЋ‚›‰ 5 2 2 2" xfId="9778"/>
    <cellStyle name="€’ЋѓЋ‚›‰ 5 2 2 2 2" xfId="9779"/>
    <cellStyle name="€’ЋѓЋ‚›‰ 5 2 2 2 2 2" xfId="9780"/>
    <cellStyle name="€’ЋѓЋ‚›‰ 5 2 2 2 3" xfId="9781"/>
    <cellStyle name="€’ЋѓЋ‚›‰ 5 2 2 2 4" xfId="9782"/>
    <cellStyle name="€’ЋѓЋ‚›‰ 5 2 2 3" xfId="9783"/>
    <cellStyle name="€’ЋѓЋ‚›‰ 5 2 2 3 2" xfId="9784"/>
    <cellStyle name="€’ЋѓЋ‚›‰ 5 2 2 3 3" xfId="9785"/>
    <cellStyle name="€’ЋѓЋ‚›‰ 5 2 2 4" xfId="9786"/>
    <cellStyle name="€’ЋѓЋ‚›‰ 5 2 2 4 2" xfId="9787"/>
    <cellStyle name="€’ЋѓЋ‚›‰ 5 2 2 5" xfId="9788"/>
    <cellStyle name="€’ЋѓЋ‚›‰ 5 2 2 6" xfId="9789"/>
    <cellStyle name="€’ЋѓЋ‚›‰ 5 2 2 7" xfId="9790"/>
    <cellStyle name="€’ЋѓЋ‚›‰ 5 2 2 8" xfId="9791"/>
    <cellStyle name="€’ЋѓЋ‚›‰ 5 2 2 9" xfId="9792"/>
    <cellStyle name="€’ЋѓЋ‚›‰ 5 2 20" xfId="9793"/>
    <cellStyle name="€’ЋѓЋ‚›‰ 5 2 21" xfId="9794"/>
    <cellStyle name="€’ЋѓЋ‚›‰ 5 2 22" xfId="9795"/>
    <cellStyle name="€’ЋѓЋ‚›‰ 5 2 23" xfId="9796"/>
    <cellStyle name="€’ЋѓЋ‚›‰ 5 2 3" xfId="9797"/>
    <cellStyle name="€’ЋѓЋ‚›‰ 5 2 3 10" xfId="9798"/>
    <cellStyle name="€’ЋѓЋ‚›‰ 5 2 3 11" xfId="9799"/>
    <cellStyle name="€’ЋѓЋ‚›‰ 5 2 3 12" xfId="9800"/>
    <cellStyle name="€’ЋѓЋ‚›‰ 5 2 3 13" xfId="9801"/>
    <cellStyle name="€’ЋѓЋ‚›‰ 5 2 3 14" xfId="9802"/>
    <cellStyle name="€’ЋѓЋ‚›‰ 5 2 3 15" xfId="9803"/>
    <cellStyle name="€’ЋѓЋ‚›‰ 5 2 3 16" xfId="9804"/>
    <cellStyle name="€’ЋѓЋ‚›‰ 5 2 3 17" xfId="9805"/>
    <cellStyle name="€’ЋѓЋ‚›‰ 5 2 3 18" xfId="9806"/>
    <cellStyle name="€’ЋѓЋ‚›‰ 5 2 3 2" xfId="9807"/>
    <cellStyle name="€’ЋѓЋ‚›‰ 5 2 3 2 2" xfId="9808"/>
    <cellStyle name="€’ЋѓЋ‚›‰ 5 2 3 2 2 2" xfId="9809"/>
    <cellStyle name="€’ЋѓЋ‚›‰ 5 2 3 2 3" xfId="9810"/>
    <cellStyle name="€’ЋѓЋ‚›‰ 5 2 3 2 4" xfId="9811"/>
    <cellStyle name="€’ЋѓЋ‚›‰ 5 2 3 3" xfId="9812"/>
    <cellStyle name="€’ЋѓЋ‚›‰ 5 2 3 3 2" xfId="9813"/>
    <cellStyle name="€’ЋѓЋ‚›‰ 5 2 3 3 3" xfId="9814"/>
    <cellStyle name="€’ЋѓЋ‚›‰ 5 2 3 4" xfId="9815"/>
    <cellStyle name="€’ЋѓЋ‚›‰ 5 2 3 4 2" xfId="9816"/>
    <cellStyle name="€’ЋѓЋ‚›‰ 5 2 3 5" xfId="9817"/>
    <cellStyle name="€’ЋѓЋ‚›‰ 5 2 3 6" xfId="9818"/>
    <cellStyle name="€’ЋѓЋ‚›‰ 5 2 3 7" xfId="9819"/>
    <cellStyle name="€’ЋѓЋ‚›‰ 5 2 3 8" xfId="9820"/>
    <cellStyle name="€’ЋѓЋ‚›‰ 5 2 3 9" xfId="9821"/>
    <cellStyle name="€’ЋѓЋ‚›‰ 5 2 4" xfId="9822"/>
    <cellStyle name="€’ЋѓЋ‚›‰ 5 2 4 2" xfId="9823"/>
    <cellStyle name="€’ЋѓЋ‚›‰ 5 2 4 2 2" xfId="9824"/>
    <cellStyle name="€’ЋѓЋ‚›‰ 5 2 4 2 3" xfId="9825"/>
    <cellStyle name="€’ЋѓЋ‚›‰ 5 2 4 3" xfId="9826"/>
    <cellStyle name="€’ЋѓЋ‚›‰ 5 2 4 3 2" xfId="9827"/>
    <cellStyle name="€’ЋѓЋ‚›‰ 5 2 4 4" xfId="9828"/>
    <cellStyle name="€’ЋѓЋ‚›‰ 5 2 4 5" xfId="9829"/>
    <cellStyle name="€’ЋѓЋ‚›‰ 5 2 5" xfId="9830"/>
    <cellStyle name="€’ЋѓЋ‚›‰ 5 2 5 2" xfId="9831"/>
    <cellStyle name="€’ЋѓЋ‚›‰ 5 2 5 2 2" xfId="9832"/>
    <cellStyle name="€’ЋѓЋ‚›‰ 5 2 5 3" xfId="9833"/>
    <cellStyle name="€’ЋѓЋ‚›‰ 5 2 5 4" xfId="9834"/>
    <cellStyle name="€’ЋѓЋ‚›‰ 5 2 6" xfId="9835"/>
    <cellStyle name="€’ЋѓЋ‚›‰ 5 2 6 2" xfId="9836"/>
    <cellStyle name="€’ЋѓЋ‚›‰ 5 2 6 3" xfId="9837"/>
    <cellStyle name="€’ЋѓЋ‚›‰ 5 2 7" xfId="9838"/>
    <cellStyle name="€’ЋѓЋ‚›‰ 5 2 7 2" xfId="9839"/>
    <cellStyle name="€’ЋѓЋ‚›‰ 5 2 8" xfId="9840"/>
    <cellStyle name="€’ЋѓЋ‚›‰ 5 2 9" xfId="9841"/>
    <cellStyle name="€’ЋѓЋ‚›‰ 5 20" xfId="9842"/>
    <cellStyle name="€’ЋѓЋ‚›‰ 5 21" xfId="9843"/>
    <cellStyle name="€’ЋѓЋ‚›‰ 5 22" xfId="9844"/>
    <cellStyle name="€’ЋѓЋ‚›‰ 5 23" xfId="9845"/>
    <cellStyle name="€’ЋѓЋ‚›‰ 5 24" xfId="9846"/>
    <cellStyle name="€’ЋѓЋ‚›‰ 5 25" xfId="9847"/>
    <cellStyle name="€’ЋѓЋ‚›‰ 5 26" xfId="9848"/>
    <cellStyle name="€’ЋѓЋ‚›‰ 5 27" xfId="9849"/>
    <cellStyle name="€’ЋѓЋ‚›‰ 5 28" xfId="9850"/>
    <cellStyle name="€’ЋѓЋ‚›‰ 5 3" xfId="9851"/>
    <cellStyle name="€’ЋѓЋ‚›‰ 5 3 10" xfId="9852"/>
    <cellStyle name="€’ЋѓЋ‚›‰ 5 3 11" xfId="9853"/>
    <cellStyle name="€’ЋѓЋ‚›‰ 5 3 12" xfId="9854"/>
    <cellStyle name="€’ЋѓЋ‚›‰ 5 3 13" xfId="9855"/>
    <cellStyle name="€’ЋѓЋ‚›‰ 5 3 14" xfId="9856"/>
    <cellStyle name="€’ЋѓЋ‚›‰ 5 3 15" xfId="9857"/>
    <cellStyle name="€’ЋѓЋ‚›‰ 5 3 16" xfId="9858"/>
    <cellStyle name="€’ЋѓЋ‚›‰ 5 3 17" xfId="9859"/>
    <cellStyle name="€’ЋѓЋ‚›‰ 5 3 18" xfId="9860"/>
    <cellStyle name="€’ЋѓЋ‚›‰ 5 3 19" xfId="9861"/>
    <cellStyle name="€’ЋѓЋ‚›‰ 5 3 2" xfId="9862"/>
    <cellStyle name="€’ЋѓЋ‚›‰ 5 3 2 10" xfId="9863"/>
    <cellStyle name="€’ЋѓЋ‚›‰ 5 3 2 11" xfId="9864"/>
    <cellStyle name="€’ЋѓЋ‚›‰ 5 3 2 12" xfId="9865"/>
    <cellStyle name="€’ЋѓЋ‚›‰ 5 3 2 13" xfId="9866"/>
    <cellStyle name="€’ЋѓЋ‚›‰ 5 3 2 14" xfId="9867"/>
    <cellStyle name="€’ЋѓЋ‚›‰ 5 3 2 15" xfId="9868"/>
    <cellStyle name="€’ЋѓЋ‚›‰ 5 3 2 16" xfId="9869"/>
    <cellStyle name="€’ЋѓЋ‚›‰ 5 3 2 17" xfId="9870"/>
    <cellStyle name="€’ЋѓЋ‚›‰ 5 3 2 18" xfId="9871"/>
    <cellStyle name="€’ЋѓЋ‚›‰ 5 3 2 2" xfId="9872"/>
    <cellStyle name="€’ЋѓЋ‚›‰ 5 3 2 2 2" xfId="9873"/>
    <cellStyle name="€’ЋѓЋ‚›‰ 5 3 2 2 2 2" xfId="9874"/>
    <cellStyle name="€’ЋѓЋ‚›‰ 5 3 2 2 3" xfId="9875"/>
    <cellStyle name="€’ЋѓЋ‚›‰ 5 3 2 2 4" xfId="9876"/>
    <cellStyle name="€’ЋѓЋ‚›‰ 5 3 2 3" xfId="9877"/>
    <cellStyle name="€’ЋѓЋ‚›‰ 5 3 2 3 2" xfId="9878"/>
    <cellStyle name="€’ЋѓЋ‚›‰ 5 3 2 3 3" xfId="9879"/>
    <cellStyle name="€’ЋѓЋ‚›‰ 5 3 2 4" xfId="9880"/>
    <cellStyle name="€’ЋѓЋ‚›‰ 5 3 2 4 2" xfId="9881"/>
    <cellStyle name="€’ЋѓЋ‚›‰ 5 3 2 5" xfId="9882"/>
    <cellStyle name="€’ЋѓЋ‚›‰ 5 3 2 6" xfId="9883"/>
    <cellStyle name="€’ЋѓЋ‚›‰ 5 3 2 7" xfId="9884"/>
    <cellStyle name="€’ЋѓЋ‚›‰ 5 3 2 8" xfId="9885"/>
    <cellStyle name="€’ЋѓЋ‚›‰ 5 3 2 9" xfId="9886"/>
    <cellStyle name="€’ЋѓЋ‚›‰ 5 3 20" xfId="9887"/>
    <cellStyle name="€’ЋѓЋ‚›‰ 5 3 3" xfId="9888"/>
    <cellStyle name="€’ЋѓЋ‚›‰ 5 3 3 10" xfId="9889"/>
    <cellStyle name="€’ЋѓЋ‚›‰ 5 3 3 11" xfId="9890"/>
    <cellStyle name="€’ЋѓЋ‚›‰ 5 3 3 12" xfId="9891"/>
    <cellStyle name="€’ЋѓЋ‚›‰ 5 3 3 13" xfId="9892"/>
    <cellStyle name="€’ЋѓЋ‚›‰ 5 3 3 14" xfId="9893"/>
    <cellStyle name="€’ЋѓЋ‚›‰ 5 3 3 15" xfId="9894"/>
    <cellStyle name="€’ЋѓЋ‚›‰ 5 3 3 16" xfId="9895"/>
    <cellStyle name="€’ЋѓЋ‚›‰ 5 3 3 17" xfId="9896"/>
    <cellStyle name="€’ЋѓЋ‚›‰ 5 3 3 18" xfId="9897"/>
    <cellStyle name="€’ЋѓЋ‚›‰ 5 3 3 2" xfId="9898"/>
    <cellStyle name="€’ЋѓЋ‚›‰ 5 3 3 2 2" xfId="9899"/>
    <cellStyle name="€’ЋѓЋ‚›‰ 5 3 3 2 2 2" xfId="9900"/>
    <cellStyle name="€’ЋѓЋ‚›‰ 5 3 3 2 3" xfId="9901"/>
    <cellStyle name="€’ЋѓЋ‚›‰ 5 3 3 2 4" xfId="9902"/>
    <cellStyle name="€’ЋѓЋ‚›‰ 5 3 3 3" xfId="9903"/>
    <cellStyle name="€’ЋѓЋ‚›‰ 5 3 3 3 2" xfId="9904"/>
    <cellStyle name="€’ЋѓЋ‚›‰ 5 3 3 3 3" xfId="9905"/>
    <cellStyle name="€’ЋѓЋ‚›‰ 5 3 3 4" xfId="9906"/>
    <cellStyle name="€’ЋѓЋ‚›‰ 5 3 3 4 2" xfId="9907"/>
    <cellStyle name="€’ЋѓЋ‚›‰ 5 3 3 5" xfId="9908"/>
    <cellStyle name="€’ЋѓЋ‚›‰ 5 3 3 6" xfId="9909"/>
    <cellStyle name="€’ЋѓЋ‚›‰ 5 3 3 7" xfId="9910"/>
    <cellStyle name="€’ЋѓЋ‚›‰ 5 3 3 8" xfId="9911"/>
    <cellStyle name="€’ЋѓЋ‚›‰ 5 3 3 9" xfId="9912"/>
    <cellStyle name="€’ЋѓЋ‚›‰ 5 3 4" xfId="9913"/>
    <cellStyle name="€’ЋѓЋ‚›‰ 5 3 4 2" xfId="9914"/>
    <cellStyle name="€’ЋѓЋ‚›‰ 5 3 4 2 2" xfId="9915"/>
    <cellStyle name="€’ЋѓЋ‚›‰ 5 3 4 2 3" xfId="9916"/>
    <cellStyle name="€’ЋѓЋ‚›‰ 5 3 4 3" xfId="9917"/>
    <cellStyle name="€’ЋѓЋ‚›‰ 5 3 4 3 2" xfId="9918"/>
    <cellStyle name="€’ЋѓЋ‚›‰ 5 3 4 4" xfId="9919"/>
    <cellStyle name="€’ЋѓЋ‚›‰ 5 3 4 5" xfId="9920"/>
    <cellStyle name="€’ЋѓЋ‚›‰ 5 3 5" xfId="9921"/>
    <cellStyle name="€’ЋѓЋ‚›‰ 5 3 5 2" xfId="9922"/>
    <cellStyle name="€’ЋѓЋ‚›‰ 5 3 5 2 2" xfId="9923"/>
    <cellStyle name="€’ЋѓЋ‚›‰ 5 3 5 3" xfId="9924"/>
    <cellStyle name="€’ЋѓЋ‚›‰ 5 3 5 4" xfId="9925"/>
    <cellStyle name="€’ЋѓЋ‚›‰ 5 3 6" xfId="9926"/>
    <cellStyle name="€’ЋѓЋ‚›‰ 5 3 6 2" xfId="9927"/>
    <cellStyle name="€’ЋѓЋ‚›‰ 5 3 6 3" xfId="9928"/>
    <cellStyle name="€’ЋѓЋ‚›‰ 5 3 7" xfId="9929"/>
    <cellStyle name="€’ЋѓЋ‚›‰ 5 3 7 2" xfId="9930"/>
    <cellStyle name="€’ЋѓЋ‚›‰ 5 3 8" xfId="9931"/>
    <cellStyle name="€’ЋѓЋ‚›‰ 5 3 9" xfId="9932"/>
    <cellStyle name="€’ЋѓЋ‚›‰ 5 4" xfId="9933"/>
    <cellStyle name="€’ЋѓЋ‚›‰ 5 4 10" xfId="9934"/>
    <cellStyle name="€’ЋѓЋ‚›‰ 5 4 11" xfId="9935"/>
    <cellStyle name="€’ЋѓЋ‚›‰ 5 4 12" xfId="9936"/>
    <cellStyle name="€’ЋѓЋ‚›‰ 5 4 13" xfId="9937"/>
    <cellStyle name="€’ЋѓЋ‚›‰ 5 4 14" xfId="9938"/>
    <cellStyle name="€’ЋѓЋ‚›‰ 5 4 15" xfId="9939"/>
    <cellStyle name="€’ЋѓЋ‚›‰ 5 4 16" xfId="9940"/>
    <cellStyle name="€’ЋѓЋ‚›‰ 5 4 17" xfId="9941"/>
    <cellStyle name="€’ЋѓЋ‚›‰ 5 4 18" xfId="9942"/>
    <cellStyle name="€’ЋѓЋ‚›‰ 5 4 19" xfId="9943"/>
    <cellStyle name="€’ЋѓЋ‚›‰ 5 4 2" xfId="9944"/>
    <cellStyle name="€’ЋѓЋ‚›‰ 5 4 2 10" xfId="9945"/>
    <cellStyle name="€’ЋѓЋ‚›‰ 5 4 2 11" xfId="9946"/>
    <cellStyle name="€’ЋѓЋ‚›‰ 5 4 2 12" xfId="9947"/>
    <cellStyle name="€’ЋѓЋ‚›‰ 5 4 2 13" xfId="9948"/>
    <cellStyle name="€’ЋѓЋ‚›‰ 5 4 2 14" xfId="9949"/>
    <cellStyle name="€’ЋѓЋ‚›‰ 5 4 2 15" xfId="9950"/>
    <cellStyle name="€’ЋѓЋ‚›‰ 5 4 2 16" xfId="9951"/>
    <cellStyle name="€’ЋѓЋ‚›‰ 5 4 2 17" xfId="9952"/>
    <cellStyle name="€’ЋѓЋ‚›‰ 5 4 2 18" xfId="9953"/>
    <cellStyle name="€’ЋѓЋ‚›‰ 5 4 2 2" xfId="9954"/>
    <cellStyle name="€’ЋѓЋ‚›‰ 5 4 2 2 2" xfId="9955"/>
    <cellStyle name="€’ЋѓЋ‚›‰ 5 4 2 2 2 2" xfId="9956"/>
    <cellStyle name="€’ЋѓЋ‚›‰ 5 4 2 2 3" xfId="9957"/>
    <cellStyle name="€’ЋѓЋ‚›‰ 5 4 2 2 4" xfId="9958"/>
    <cellStyle name="€’ЋѓЋ‚›‰ 5 4 2 3" xfId="9959"/>
    <cellStyle name="€’ЋѓЋ‚›‰ 5 4 2 3 2" xfId="9960"/>
    <cellStyle name="€’ЋѓЋ‚›‰ 5 4 2 3 3" xfId="9961"/>
    <cellStyle name="€’ЋѓЋ‚›‰ 5 4 2 4" xfId="9962"/>
    <cellStyle name="€’ЋѓЋ‚›‰ 5 4 2 4 2" xfId="9963"/>
    <cellStyle name="€’ЋѓЋ‚›‰ 5 4 2 5" xfId="9964"/>
    <cellStyle name="€’ЋѓЋ‚›‰ 5 4 2 6" xfId="9965"/>
    <cellStyle name="€’ЋѓЋ‚›‰ 5 4 2 7" xfId="9966"/>
    <cellStyle name="€’ЋѓЋ‚›‰ 5 4 2 8" xfId="9967"/>
    <cellStyle name="€’ЋѓЋ‚›‰ 5 4 2 9" xfId="9968"/>
    <cellStyle name="€’ЋѓЋ‚›‰ 5 4 20" xfId="9969"/>
    <cellStyle name="€’ЋѓЋ‚›‰ 5 4 21" xfId="9970"/>
    <cellStyle name="€’ЋѓЋ‚›‰ 5 4 3" xfId="9971"/>
    <cellStyle name="€’ЋѓЋ‚›‰ 5 4 3 10" xfId="9972"/>
    <cellStyle name="€’ЋѓЋ‚›‰ 5 4 3 11" xfId="9973"/>
    <cellStyle name="€’ЋѓЋ‚›‰ 5 4 3 12" xfId="9974"/>
    <cellStyle name="€’ЋѓЋ‚›‰ 5 4 3 13" xfId="9975"/>
    <cellStyle name="€’ЋѓЋ‚›‰ 5 4 3 14" xfId="9976"/>
    <cellStyle name="€’ЋѓЋ‚›‰ 5 4 3 15" xfId="9977"/>
    <cellStyle name="€’ЋѓЋ‚›‰ 5 4 3 16" xfId="9978"/>
    <cellStyle name="€’ЋѓЋ‚›‰ 5 4 3 17" xfId="9979"/>
    <cellStyle name="€’ЋѓЋ‚›‰ 5 4 3 18" xfId="9980"/>
    <cellStyle name="€’ЋѓЋ‚›‰ 5 4 3 2" xfId="9981"/>
    <cellStyle name="€’ЋѓЋ‚›‰ 5 4 3 2 2" xfId="9982"/>
    <cellStyle name="€’ЋѓЋ‚›‰ 5 4 3 2 2 2" xfId="9983"/>
    <cellStyle name="€’ЋѓЋ‚›‰ 5 4 3 2 3" xfId="9984"/>
    <cellStyle name="€’ЋѓЋ‚›‰ 5 4 3 2 4" xfId="9985"/>
    <cellStyle name="€’ЋѓЋ‚›‰ 5 4 3 3" xfId="9986"/>
    <cellStyle name="€’ЋѓЋ‚›‰ 5 4 3 3 2" xfId="9987"/>
    <cellStyle name="€’ЋѓЋ‚›‰ 5 4 3 3 3" xfId="9988"/>
    <cellStyle name="€’ЋѓЋ‚›‰ 5 4 3 4" xfId="9989"/>
    <cellStyle name="€’ЋѓЋ‚›‰ 5 4 3 4 2" xfId="9990"/>
    <cellStyle name="€’ЋѓЋ‚›‰ 5 4 3 5" xfId="9991"/>
    <cellStyle name="€’ЋѓЋ‚›‰ 5 4 3 6" xfId="9992"/>
    <cellStyle name="€’ЋѓЋ‚›‰ 5 4 3 7" xfId="9993"/>
    <cellStyle name="€’ЋѓЋ‚›‰ 5 4 3 8" xfId="9994"/>
    <cellStyle name="€’ЋѓЋ‚›‰ 5 4 3 9" xfId="9995"/>
    <cellStyle name="€’ЋѓЋ‚›‰ 5 4 4" xfId="9996"/>
    <cellStyle name="€’ЋѓЋ‚›‰ 5 4 4 2" xfId="9997"/>
    <cellStyle name="€’ЋѓЋ‚›‰ 5 4 4 2 2" xfId="9998"/>
    <cellStyle name="€’ЋѓЋ‚›‰ 5 4 4 2 3" xfId="9999"/>
    <cellStyle name="€’ЋѓЋ‚›‰ 5 4 4 3" xfId="10000"/>
    <cellStyle name="€’ЋѓЋ‚›‰ 5 4 4 3 2" xfId="10001"/>
    <cellStyle name="€’ЋѓЋ‚›‰ 5 4 4 4" xfId="10002"/>
    <cellStyle name="€’ЋѓЋ‚›‰ 5 4 4 5" xfId="10003"/>
    <cellStyle name="€’ЋѓЋ‚›‰ 5 4 5" xfId="10004"/>
    <cellStyle name="€’ЋѓЋ‚›‰ 5 4 5 2" xfId="10005"/>
    <cellStyle name="€’ЋѓЋ‚›‰ 5 4 5 2 2" xfId="10006"/>
    <cellStyle name="€’ЋѓЋ‚›‰ 5 4 5 3" xfId="10007"/>
    <cellStyle name="€’ЋѓЋ‚›‰ 5 4 5 4" xfId="10008"/>
    <cellStyle name="€’ЋѓЋ‚›‰ 5 4 6" xfId="10009"/>
    <cellStyle name="€’ЋѓЋ‚›‰ 5 4 6 2" xfId="10010"/>
    <cellStyle name="€’ЋѓЋ‚›‰ 5 4 6 3" xfId="10011"/>
    <cellStyle name="€’ЋѓЋ‚›‰ 5 4 7" xfId="10012"/>
    <cellStyle name="€’ЋѓЋ‚›‰ 5 4 7 2" xfId="10013"/>
    <cellStyle name="€’ЋѓЋ‚›‰ 5 4 8" xfId="10014"/>
    <cellStyle name="€’ЋѓЋ‚›‰ 5 4 9" xfId="10015"/>
    <cellStyle name="€’ЋѓЋ‚›‰ 5 5" xfId="10016"/>
    <cellStyle name="€’ЋѓЋ‚›‰ 5 5 10" xfId="10017"/>
    <cellStyle name="€’ЋѓЋ‚›‰ 5 5 11" xfId="10018"/>
    <cellStyle name="€’ЋѓЋ‚›‰ 5 5 12" xfId="10019"/>
    <cellStyle name="€’ЋѓЋ‚›‰ 5 5 13" xfId="10020"/>
    <cellStyle name="€’ЋѓЋ‚›‰ 5 5 14" xfId="10021"/>
    <cellStyle name="€’ЋѓЋ‚›‰ 5 5 15" xfId="10022"/>
    <cellStyle name="€’ЋѓЋ‚›‰ 5 5 16" xfId="10023"/>
    <cellStyle name="€’ЋѓЋ‚›‰ 5 5 17" xfId="10024"/>
    <cellStyle name="€’ЋѓЋ‚›‰ 5 5 18" xfId="10025"/>
    <cellStyle name="€’ЋѓЋ‚›‰ 5 5 19" xfId="10026"/>
    <cellStyle name="€’ЋѓЋ‚›‰ 5 5 2" xfId="10027"/>
    <cellStyle name="€’ЋѓЋ‚›‰ 5 5 2 10" xfId="10028"/>
    <cellStyle name="€’ЋѓЋ‚›‰ 5 5 2 11" xfId="10029"/>
    <cellStyle name="€’ЋѓЋ‚›‰ 5 5 2 12" xfId="10030"/>
    <cellStyle name="€’ЋѓЋ‚›‰ 5 5 2 13" xfId="10031"/>
    <cellStyle name="€’ЋѓЋ‚›‰ 5 5 2 14" xfId="10032"/>
    <cellStyle name="€’ЋѓЋ‚›‰ 5 5 2 15" xfId="10033"/>
    <cellStyle name="€’ЋѓЋ‚›‰ 5 5 2 16" xfId="10034"/>
    <cellStyle name="€’ЋѓЋ‚›‰ 5 5 2 17" xfId="10035"/>
    <cellStyle name="€’ЋѓЋ‚›‰ 5 5 2 18" xfId="10036"/>
    <cellStyle name="€’ЋѓЋ‚›‰ 5 5 2 2" xfId="10037"/>
    <cellStyle name="€’ЋѓЋ‚›‰ 5 5 2 2 2" xfId="10038"/>
    <cellStyle name="€’ЋѓЋ‚›‰ 5 5 2 2 2 2" xfId="10039"/>
    <cellStyle name="€’ЋѓЋ‚›‰ 5 5 2 2 3" xfId="10040"/>
    <cellStyle name="€’ЋѓЋ‚›‰ 5 5 2 2 4" xfId="10041"/>
    <cellStyle name="€’ЋѓЋ‚›‰ 5 5 2 3" xfId="10042"/>
    <cellStyle name="€’ЋѓЋ‚›‰ 5 5 2 3 2" xfId="10043"/>
    <cellStyle name="€’ЋѓЋ‚›‰ 5 5 2 3 3" xfId="10044"/>
    <cellStyle name="€’ЋѓЋ‚›‰ 5 5 2 4" xfId="10045"/>
    <cellStyle name="€’ЋѓЋ‚›‰ 5 5 2 4 2" xfId="10046"/>
    <cellStyle name="€’ЋѓЋ‚›‰ 5 5 2 5" xfId="10047"/>
    <cellStyle name="€’ЋѓЋ‚›‰ 5 5 2 6" xfId="10048"/>
    <cellStyle name="€’ЋѓЋ‚›‰ 5 5 2 7" xfId="10049"/>
    <cellStyle name="€’ЋѓЋ‚›‰ 5 5 2 8" xfId="10050"/>
    <cellStyle name="€’ЋѓЋ‚›‰ 5 5 2 9" xfId="10051"/>
    <cellStyle name="€’ЋѓЋ‚›‰ 5 5 20" xfId="10052"/>
    <cellStyle name="€’ЋѓЋ‚›‰ 5 5 21" xfId="10053"/>
    <cellStyle name="€’ЋѓЋ‚›‰ 5 5 3" xfId="10054"/>
    <cellStyle name="€’ЋѓЋ‚›‰ 5 5 3 10" xfId="10055"/>
    <cellStyle name="€’ЋѓЋ‚›‰ 5 5 3 11" xfId="10056"/>
    <cellStyle name="€’ЋѓЋ‚›‰ 5 5 3 12" xfId="10057"/>
    <cellStyle name="€’ЋѓЋ‚›‰ 5 5 3 13" xfId="10058"/>
    <cellStyle name="€’ЋѓЋ‚›‰ 5 5 3 14" xfId="10059"/>
    <cellStyle name="€’ЋѓЋ‚›‰ 5 5 3 15" xfId="10060"/>
    <cellStyle name="€’ЋѓЋ‚›‰ 5 5 3 16" xfId="10061"/>
    <cellStyle name="€’ЋѓЋ‚›‰ 5 5 3 17" xfId="10062"/>
    <cellStyle name="€’ЋѓЋ‚›‰ 5 5 3 18" xfId="10063"/>
    <cellStyle name="€’ЋѓЋ‚›‰ 5 5 3 2" xfId="10064"/>
    <cellStyle name="€’ЋѓЋ‚›‰ 5 5 3 2 2" xfId="10065"/>
    <cellStyle name="€’ЋѓЋ‚›‰ 5 5 3 2 2 2" xfId="10066"/>
    <cellStyle name="€’ЋѓЋ‚›‰ 5 5 3 2 3" xfId="10067"/>
    <cellStyle name="€’ЋѓЋ‚›‰ 5 5 3 2 4" xfId="10068"/>
    <cellStyle name="€’ЋѓЋ‚›‰ 5 5 3 3" xfId="10069"/>
    <cellStyle name="€’ЋѓЋ‚›‰ 5 5 3 3 2" xfId="10070"/>
    <cellStyle name="€’ЋѓЋ‚›‰ 5 5 3 3 3" xfId="10071"/>
    <cellStyle name="€’ЋѓЋ‚›‰ 5 5 3 4" xfId="10072"/>
    <cellStyle name="€’ЋѓЋ‚›‰ 5 5 3 4 2" xfId="10073"/>
    <cellStyle name="€’ЋѓЋ‚›‰ 5 5 3 5" xfId="10074"/>
    <cellStyle name="€’ЋѓЋ‚›‰ 5 5 3 6" xfId="10075"/>
    <cellStyle name="€’ЋѓЋ‚›‰ 5 5 3 7" xfId="10076"/>
    <cellStyle name="€’ЋѓЋ‚›‰ 5 5 3 8" xfId="10077"/>
    <cellStyle name="€’ЋѓЋ‚›‰ 5 5 3 9" xfId="10078"/>
    <cellStyle name="€’ЋѓЋ‚›‰ 5 5 4" xfId="10079"/>
    <cellStyle name="€’ЋѓЋ‚›‰ 5 5 4 2" xfId="10080"/>
    <cellStyle name="€’ЋѓЋ‚›‰ 5 5 4 2 2" xfId="10081"/>
    <cellStyle name="€’ЋѓЋ‚›‰ 5 5 4 2 3" xfId="10082"/>
    <cellStyle name="€’ЋѓЋ‚›‰ 5 5 4 3" xfId="10083"/>
    <cellStyle name="€’ЋѓЋ‚›‰ 5 5 4 3 2" xfId="10084"/>
    <cellStyle name="€’ЋѓЋ‚›‰ 5 5 4 4" xfId="10085"/>
    <cellStyle name="€’ЋѓЋ‚›‰ 5 5 4 5" xfId="10086"/>
    <cellStyle name="€’ЋѓЋ‚›‰ 5 5 5" xfId="10087"/>
    <cellStyle name="€’ЋѓЋ‚›‰ 5 5 5 2" xfId="10088"/>
    <cellStyle name="€’ЋѓЋ‚›‰ 5 5 5 2 2" xfId="10089"/>
    <cellStyle name="€’ЋѓЋ‚›‰ 5 5 5 3" xfId="10090"/>
    <cellStyle name="€’ЋѓЋ‚›‰ 5 5 5 4" xfId="10091"/>
    <cellStyle name="€’ЋѓЋ‚›‰ 5 5 6" xfId="10092"/>
    <cellStyle name="€’ЋѓЋ‚›‰ 5 5 6 2" xfId="10093"/>
    <cellStyle name="€’ЋѓЋ‚›‰ 5 5 6 3" xfId="10094"/>
    <cellStyle name="€’ЋѓЋ‚›‰ 5 5 7" xfId="10095"/>
    <cellStyle name="€’ЋѓЋ‚›‰ 5 5 7 2" xfId="10096"/>
    <cellStyle name="€’ЋѓЋ‚›‰ 5 5 8" xfId="10097"/>
    <cellStyle name="€’ЋѓЋ‚›‰ 5 5 9" xfId="10098"/>
    <cellStyle name="€’ЋѓЋ‚›‰ 5 6" xfId="10099"/>
    <cellStyle name="€’ЋѓЋ‚›‰ 5 6 10" xfId="10100"/>
    <cellStyle name="€’ЋѓЋ‚›‰ 5 6 11" xfId="10101"/>
    <cellStyle name="€’ЋѓЋ‚›‰ 5 6 12" xfId="10102"/>
    <cellStyle name="€’ЋѓЋ‚›‰ 5 6 13" xfId="10103"/>
    <cellStyle name="€’ЋѓЋ‚›‰ 5 6 14" xfId="10104"/>
    <cellStyle name="€’ЋѓЋ‚›‰ 5 6 15" xfId="10105"/>
    <cellStyle name="€’ЋѓЋ‚›‰ 5 6 16" xfId="10106"/>
    <cellStyle name="€’ЋѓЋ‚›‰ 5 6 17" xfId="10107"/>
    <cellStyle name="€’ЋѓЋ‚›‰ 5 6 18" xfId="10108"/>
    <cellStyle name="€’ЋѓЋ‚›‰ 5 6 19" xfId="10109"/>
    <cellStyle name="€’ЋѓЋ‚›‰ 5 6 2" xfId="10110"/>
    <cellStyle name="€’ЋѓЋ‚›‰ 5 6 2 10" xfId="10111"/>
    <cellStyle name="€’ЋѓЋ‚›‰ 5 6 2 11" xfId="10112"/>
    <cellStyle name="€’ЋѓЋ‚›‰ 5 6 2 12" xfId="10113"/>
    <cellStyle name="€’ЋѓЋ‚›‰ 5 6 2 13" xfId="10114"/>
    <cellStyle name="€’ЋѓЋ‚›‰ 5 6 2 14" xfId="10115"/>
    <cellStyle name="€’ЋѓЋ‚›‰ 5 6 2 15" xfId="10116"/>
    <cellStyle name="€’ЋѓЋ‚›‰ 5 6 2 16" xfId="10117"/>
    <cellStyle name="€’ЋѓЋ‚›‰ 5 6 2 17" xfId="10118"/>
    <cellStyle name="€’ЋѓЋ‚›‰ 5 6 2 18" xfId="10119"/>
    <cellStyle name="€’ЋѓЋ‚›‰ 5 6 2 2" xfId="10120"/>
    <cellStyle name="€’ЋѓЋ‚›‰ 5 6 2 2 2" xfId="10121"/>
    <cellStyle name="€’ЋѓЋ‚›‰ 5 6 2 2 2 2" xfId="10122"/>
    <cellStyle name="€’ЋѓЋ‚›‰ 5 6 2 2 3" xfId="10123"/>
    <cellStyle name="€’ЋѓЋ‚›‰ 5 6 2 2 4" xfId="10124"/>
    <cellStyle name="€’ЋѓЋ‚›‰ 5 6 2 3" xfId="10125"/>
    <cellStyle name="€’ЋѓЋ‚›‰ 5 6 2 3 2" xfId="10126"/>
    <cellStyle name="€’ЋѓЋ‚›‰ 5 6 2 3 3" xfId="10127"/>
    <cellStyle name="€’ЋѓЋ‚›‰ 5 6 2 4" xfId="10128"/>
    <cellStyle name="€’ЋѓЋ‚›‰ 5 6 2 4 2" xfId="10129"/>
    <cellStyle name="€’ЋѓЋ‚›‰ 5 6 2 5" xfId="10130"/>
    <cellStyle name="€’ЋѓЋ‚›‰ 5 6 2 6" xfId="10131"/>
    <cellStyle name="€’ЋѓЋ‚›‰ 5 6 2 7" xfId="10132"/>
    <cellStyle name="€’ЋѓЋ‚›‰ 5 6 2 8" xfId="10133"/>
    <cellStyle name="€’ЋѓЋ‚›‰ 5 6 2 9" xfId="10134"/>
    <cellStyle name="€’ЋѓЋ‚›‰ 5 6 20" xfId="10135"/>
    <cellStyle name="€’ЋѓЋ‚›‰ 5 6 3" xfId="10136"/>
    <cellStyle name="€’ЋѓЋ‚›‰ 5 6 3 10" xfId="10137"/>
    <cellStyle name="€’ЋѓЋ‚›‰ 5 6 3 11" xfId="10138"/>
    <cellStyle name="€’ЋѓЋ‚›‰ 5 6 3 12" xfId="10139"/>
    <cellStyle name="€’ЋѓЋ‚›‰ 5 6 3 13" xfId="10140"/>
    <cellStyle name="€’ЋѓЋ‚›‰ 5 6 3 14" xfId="10141"/>
    <cellStyle name="€’ЋѓЋ‚›‰ 5 6 3 15" xfId="10142"/>
    <cellStyle name="€’ЋѓЋ‚›‰ 5 6 3 16" xfId="10143"/>
    <cellStyle name="€’ЋѓЋ‚›‰ 5 6 3 17" xfId="10144"/>
    <cellStyle name="€’ЋѓЋ‚›‰ 5 6 3 18" xfId="10145"/>
    <cellStyle name="€’ЋѓЋ‚›‰ 5 6 3 2" xfId="10146"/>
    <cellStyle name="€’ЋѓЋ‚›‰ 5 6 3 2 2" xfId="10147"/>
    <cellStyle name="€’ЋѓЋ‚›‰ 5 6 3 2 2 2" xfId="10148"/>
    <cellStyle name="€’ЋѓЋ‚›‰ 5 6 3 2 3" xfId="10149"/>
    <cellStyle name="€’ЋѓЋ‚›‰ 5 6 3 2 4" xfId="10150"/>
    <cellStyle name="€’ЋѓЋ‚›‰ 5 6 3 3" xfId="10151"/>
    <cellStyle name="€’ЋѓЋ‚›‰ 5 6 3 3 2" xfId="10152"/>
    <cellStyle name="€’ЋѓЋ‚›‰ 5 6 3 3 3" xfId="10153"/>
    <cellStyle name="€’ЋѓЋ‚›‰ 5 6 3 4" xfId="10154"/>
    <cellStyle name="€’ЋѓЋ‚›‰ 5 6 3 4 2" xfId="10155"/>
    <cellStyle name="€’ЋѓЋ‚›‰ 5 6 3 5" xfId="10156"/>
    <cellStyle name="€’ЋѓЋ‚›‰ 5 6 3 6" xfId="10157"/>
    <cellStyle name="€’ЋѓЋ‚›‰ 5 6 3 7" xfId="10158"/>
    <cellStyle name="€’ЋѓЋ‚›‰ 5 6 3 8" xfId="10159"/>
    <cellStyle name="€’ЋѓЋ‚›‰ 5 6 3 9" xfId="10160"/>
    <cellStyle name="€’ЋѓЋ‚›‰ 5 6 4" xfId="10161"/>
    <cellStyle name="€’ЋѓЋ‚›‰ 5 6 4 2" xfId="10162"/>
    <cellStyle name="€’ЋѓЋ‚›‰ 5 6 4 2 2" xfId="10163"/>
    <cellStyle name="€’ЋѓЋ‚›‰ 5 6 4 3" xfId="10164"/>
    <cellStyle name="€’ЋѓЋ‚›‰ 5 6 4 4" xfId="10165"/>
    <cellStyle name="€’ЋѓЋ‚›‰ 5 6 5" xfId="10166"/>
    <cellStyle name="€’ЋѓЋ‚›‰ 5 6 5 2" xfId="10167"/>
    <cellStyle name="€’ЋѓЋ‚›‰ 5 6 6" xfId="10168"/>
    <cellStyle name="€’ЋѓЋ‚›‰ 5 6 7" xfId="10169"/>
    <cellStyle name="€’ЋѓЋ‚›‰ 5 6 8" xfId="10170"/>
    <cellStyle name="€’ЋѓЋ‚›‰ 5 6 9" xfId="10171"/>
    <cellStyle name="€’ЋѓЋ‚›‰ 5 7" xfId="10172"/>
    <cellStyle name="€’ЋѓЋ‚›‰ 5 7 10" xfId="10173"/>
    <cellStyle name="€’ЋѓЋ‚›‰ 5 7 11" xfId="10174"/>
    <cellStyle name="€’ЋѓЋ‚›‰ 5 7 12" xfId="10175"/>
    <cellStyle name="€’ЋѓЋ‚›‰ 5 7 13" xfId="10176"/>
    <cellStyle name="€’ЋѓЋ‚›‰ 5 7 14" xfId="10177"/>
    <cellStyle name="€’ЋѓЋ‚›‰ 5 7 15" xfId="10178"/>
    <cellStyle name="€’ЋѓЋ‚›‰ 5 7 16" xfId="10179"/>
    <cellStyle name="€’ЋѓЋ‚›‰ 5 7 17" xfId="10180"/>
    <cellStyle name="€’ЋѓЋ‚›‰ 5 7 18" xfId="10181"/>
    <cellStyle name="€’ЋѓЋ‚›‰ 5 7 2" xfId="10182"/>
    <cellStyle name="€’ЋѓЋ‚›‰ 5 7 2 2" xfId="10183"/>
    <cellStyle name="€’ЋѓЋ‚›‰ 5 7 2 2 2" xfId="10184"/>
    <cellStyle name="€’ЋѓЋ‚›‰ 5 7 2 3" xfId="10185"/>
    <cellStyle name="€’ЋѓЋ‚›‰ 5 7 2 4" xfId="10186"/>
    <cellStyle name="€’ЋѓЋ‚›‰ 5 7 3" xfId="10187"/>
    <cellStyle name="€’ЋѓЋ‚›‰ 5 7 3 2" xfId="10188"/>
    <cellStyle name="€’ЋѓЋ‚›‰ 5 7 3 3" xfId="10189"/>
    <cellStyle name="€’ЋѓЋ‚›‰ 5 7 4" xfId="10190"/>
    <cellStyle name="€’ЋѓЋ‚›‰ 5 7 4 2" xfId="10191"/>
    <cellStyle name="€’ЋѓЋ‚›‰ 5 7 5" xfId="10192"/>
    <cellStyle name="€’ЋѓЋ‚›‰ 5 7 6" xfId="10193"/>
    <cellStyle name="€’ЋѓЋ‚›‰ 5 7 7" xfId="10194"/>
    <cellStyle name="€’ЋѓЋ‚›‰ 5 7 8" xfId="10195"/>
    <cellStyle name="€’ЋѓЋ‚›‰ 5 7 9" xfId="10196"/>
    <cellStyle name="€’ЋѓЋ‚›‰ 5 8" xfId="10197"/>
    <cellStyle name="€’ЋѓЋ‚›‰ 5 8 10" xfId="10198"/>
    <cellStyle name="€’ЋѓЋ‚›‰ 5 8 11" xfId="10199"/>
    <cellStyle name="€’ЋѓЋ‚›‰ 5 8 12" xfId="10200"/>
    <cellStyle name="€’ЋѓЋ‚›‰ 5 8 13" xfId="10201"/>
    <cellStyle name="€’ЋѓЋ‚›‰ 5 8 14" xfId="10202"/>
    <cellStyle name="€’ЋѓЋ‚›‰ 5 8 15" xfId="10203"/>
    <cellStyle name="€’ЋѓЋ‚›‰ 5 8 16" xfId="10204"/>
    <cellStyle name="€’ЋѓЋ‚›‰ 5 8 17" xfId="10205"/>
    <cellStyle name="€’ЋѓЋ‚›‰ 5 8 18" xfId="10206"/>
    <cellStyle name="€’ЋѓЋ‚›‰ 5 8 2" xfId="10207"/>
    <cellStyle name="€’ЋѓЋ‚›‰ 5 8 2 2" xfId="10208"/>
    <cellStyle name="€’ЋѓЋ‚›‰ 5 8 3" xfId="10209"/>
    <cellStyle name="€’ЋѓЋ‚›‰ 5 8 4" xfId="10210"/>
    <cellStyle name="€’ЋѓЋ‚›‰ 5 8 5" xfId="10211"/>
    <cellStyle name="€’ЋѓЋ‚›‰ 5 8 6" xfId="10212"/>
    <cellStyle name="€’ЋѓЋ‚›‰ 5 8 7" xfId="10213"/>
    <cellStyle name="€’ЋѓЋ‚›‰ 5 8 8" xfId="10214"/>
    <cellStyle name="€’ЋѓЋ‚›‰ 5 8 9" xfId="10215"/>
    <cellStyle name="€’ЋѓЋ‚›‰ 5 9" xfId="10216"/>
    <cellStyle name="€’ЋѓЋ‚›‰ 6" xfId="10217"/>
    <cellStyle name="€’ЋѓЋ‚›‰ 6 10" xfId="10218"/>
    <cellStyle name="€’ЋѓЋ‚›‰ 6 11" xfId="10219"/>
    <cellStyle name="€’ЋѓЋ‚›‰ 6 12" xfId="10220"/>
    <cellStyle name="€’ЋѓЋ‚›‰ 6 13" xfId="10221"/>
    <cellStyle name="€’ЋѓЋ‚›‰ 6 14" xfId="10222"/>
    <cellStyle name="€’ЋѓЋ‚›‰ 6 15" xfId="10223"/>
    <cellStyle name="€’ЋѓЋ‚›‰ 6 16" xfId="10224"/>
    <cellStyle name="€’ЋѓЋ‚›‰ 6 17" xfId="10225"/>
    <cellStyle name="€’ЋѓЋ‚›‰ 6 18" xfId="10226"/>
    <cellStyle name="€’ЋѓЋ‚›‰ 6 19" xfId="10227"/>
    <cellStyle name="€’ЋѓЋ‚›‰ 6 2" xfId="10228"/>
    <cellStyle name="€’ЋѓЋ‚›‰ 6 2 10" xfId="10229"/>
    <cellStyle name="€’ЋѓЋ‚›‰ 6 2 11" xfId="10230"/>
    <cellStyle name="€’ЋѓЋ‚›‰ 6 2 12" xfId="10231"/>
    <cellStyle name="€’ЋѓЋ‚›‰ 6 2 13" xfId="10232"/>
    <cellStyle name="€’ЋѓЋ‚›‰ 6 2 14" xfId="10233"/>
    <cellStyle name="€’ЋѓЋ‚›‰ 6 2 15" xfId="10234"/>
    <cellStyle name="€’ЋѓЋ‚›‰ 6 2 16" xfId="10235"/>
    <cellStyle name="€’ЋѓЋ‚›‰ 6 2 17" xfId="10236"/>
    <cellStyle name="€’ЋѓЋ‚›‰ 6 2 18" xfId="10237"/>
    <cellStyle name="€’ЋѓЋ‚›‰ 6 2 2" xfId="10238"/>
    <cellStyle name="€’ЋѓЋ‚›‰ 6 2 2 2" xfId="10239"/>
    <cellStyle name="€’ЋѓЋ‚›‰ 6 2 2 2 2" xfId="10240"/>
    <cellStyle name="€’ЋѓЋ‚›‰ 6 2 2 3" xfId="10241"/>
    <cellStyle name="€’ЋѓЋ‚›‰ 6 2 2 4" xfId="10242"/>
    <cellStyle name="€’ЋѓЋ‚›‰ 6 2 3" xfId="10243"/>
    <cellStyle name="€’ЋѓЋ‚›‰ 6 2 3 2" xfId="10244"/>
    <cellStyle name="€’ЋѓЋ‚›‰ 6 2 3 3" xfId="10245"/>
    <cellStyle name="€’ЋѓЋ‚›‰ 6 2 4" xfId="10246"/>
    <cellStyle name="€’ЋѓЋ‚›‰ 6 2 4 2" xfId="10247"/>
    <cellStyle name="€’ЋѓЋ‚›‰ 6 2 5" xfId="10248"/>
    <cellStyle name="€’ЋѓЋ‚›‰ 6 2 6" xfId="10249"/>
    <cellStyle name="€’ЋѓЋ‚›‰ 6 2 7" xfId="10250"/>
    <cellStyle name="€’ЋѓЋ‚›‰ 6 2 8" xfId="10251"/>
    <cellStyle name="€’ЋѓЋ‚›‰ 6 2 9" xfId="10252"/>
    <cellStyle name="€’ЋѓЋ‚›‰ 6 20" xfId="10253"/>
    <cellStyle name="€’ЋѓЋ‚›‰ 6 21" xfId="10254"/>
    <cellStyle name="€’ЋѓЋ‚›‰ 6 22" xfId="10255"/>
    <cellStyle name="€’ЋѓЋ‚›‰ 6 23" xfId="10256"/>
    <cellStyle name="€’ЋѓЋ‚›‰ 6 3" xfId="10257"/>
    <cellStyle name="€’ЋѓЋ‚›‰ 6 3 10" xfId="10258"/>
    <cellStyle name="€’ЋѓЋ‚›‰ 6 3 11" xfId="10259"/>
    <cellStyle name="€’ЋѓЋ‚›‰ 6 3 12" xfId="10260"/>
    <cellStyle name="€’ЋѓЋ‚›‰ 6 3 13" xfId="10261"/>
    <cellStyle name="€’ЋѓЋ‚›‰ 6 3 14" xfId="10262"/>
    <cellStyle name="€’ЋѓЋ‚›‰ 6 3 15" xfId="10263"/>
    <cellStyle name="€’ЋѓЋ‚›‰ 6 3 16" xfId="10264"/>
    <cellStyle name="€’ЋѓЋ‚›‰ 6 3 17" xfId="10265"/>
    <cellStyle name="€’ЋѓЋ‚›‰ 6 3 18" xfId="10266"/>
    <cellStyle name="€’ЋѓЋ‚›‰ 6 3 2" xfId="10267"/>
    <cellStyle name="€’ЋѓЋ‚›‰ 6 3 2 2" xfId="10268"/>
    <cellStyle name="€’ЋѓЋ‚›‰ 6 3 2 2 2" xfId="10269"/>
    <cellStyle name="€’ЋѓЋ‚›‰ 6 3 2 3" xfId="10270"/>
    <cellStyle name="€’ЋѓЋ‚›‰ 6 3 2 4" xfId="10271"/>
    <cellStyle name="€’ЋѓЋ‚›‰ 6 3 3" xfId="10272"/>
    <cellStyle name="€’ЋѓЋ‚›‰ 6 3 3 2" xfId="10273"/>
    <cellStyle name="€’ЋѓЋ‚›‰ 6 3 3 3" xfId="10274"/>
    <cellStyle name="€’ЋѓЋ‚›‰ 6 3 4" xfId="10275"/>
    <cellStyle name="€’ЋѓЋ‚›‰ 6 3 4 2" xfId="10276"/>
    <cellStyle name="€’ЋѓЋ‚›‰ 6 3 5" xfId="10277"/>
    <cellStyle name="€’ЋѓЋ‚›‰ 6 3 6" xfId="10278"/>
    <cellStyle name="€’ЋѓЋ‚›‰ 6 3 7" xfId="10279"/>
    <cellStyle name="€’ЋѓЋ‚›‰ 6 3 8" xfId="10280"/>
    <cellStyle name="€’ЋѓЋ‚›‰ 6 3 9" xfId="10281"/>
    <cellStyle name="€’ЋѓЋ‚›‰ 6 4" xfId="10282"/>
    <cellStyle name="€’ЋѓЋ‚›‰ 6 4 2" xfId="10283"/>
    <cellStyle name="€’ЋѓЋ‚›‰ 6 4 2 2" xfId="10284"/>
    <cellStyle name="€’ЋѓЋ‚›‰ 6 4 2 3" xfId="10285"/>
    <cellStyle name="€’ЋѓЋ‚›‰ 6 4 3" xfId="10286"/>
    <cellStyle name="€’ЋѓЋ‚›‰ 6 4 3 2" xfId="10287"/>
    <cellStyle name="€’ЋѓЋ‚›‰ 6 4 4" xfId="10288"/>
    <cellStyle name="€’ЋѓЋ‚›‰ 6 4 5" xfId="10289"/>
    <cellStyle name="€’ЋѓЋ‚›‰ 6 5" xfId="10290"/>
    <cellStyle name="€’ЋѓЋ‚›‰ 6 5 2" xfId="10291"/>
    <cellStyle name="€’ЋѓЋ‚›‰ 6 5 2 2" xfId="10292"/>
    <cellStyle name="€’ЋѓЋ‚›‰ 6 5 3" xfId="10293"/>
    <cellStyle name="€’ЋѓЋ‚›‰ 6 5 4" xfId="10294"/>
    <cellStyle name="€’ЋѓЋ‚›‰ 6 6" xfId="10295"/>
    <cellStyle name="€’ЋѓЋ‚›‰ 6 6 2" xfId="10296"/>
    <cellStyle name="€’ЋѓЋ‚›‰ 6 6 3" xfId="10297"/>
    <cellStyle name="€’ЋѓЋ‚›‰ 6 7" xfId="10298"/>
    <cellStyle name="€’ЋѓЋ‚›‰ 6 7 2" xfId="10299"/>
    <cellStyle name="€’ЋѓЋ‚›‰ 6 8" xfId="10300"/>
    <cellStyle name="€’ЋѓЋ‚›‰ 6 9" xfId="10301"/>
    <cellStyle name="€’ЋѓЋ‚›‰ 7" xfId="10302"/>
    <cellStyle name="€’ЋѓЋ‚›‰ 7 10" xfId="10303"/>
    <cellStyle name="€’ЋѓЋ‚›‰ 7 11" xfId="10304"/>
    <cellStyle name="€’ЋѓЋ‚›‰ 7 12" xfId="10305"/>
    <cellStyle name="€’ЋѓЋ‚›‰ 7 13" xfId="10306"/>
    <cellStyle name="€’ЋѓЋ‚›‰ 7 14" xfId="10307"/>
    <cellStyle name="€’ЋѓЋ‚›‰ 7 15" xfId="10308"/>
    <cellStyle name="€’ЋѓЋ‚›‰ 7 16" xfId="10309"/>
    <cellStyle name="€’ЋѓЋ‚›‰ 7 17" xfId="10310"/>
    <cellStyle name="€’ЋѓЋ‚›‰ 7 18" xfId="10311"/>
    <cellStyle name="€’ЋѓЋ‚›‰ 7 19" xfId="10312"/>
    <cellStyle name="€’ЋѓЋ‚›‰ 7 2" xfId="10313"/>
    <cellStyle name="€’ЋѓЋ‚›‰ 7 2 10" xfId="10314"/>
    <cellStyle name="€’ЋѓЋ‚›‰ 7 2 11" xfId="10315"/>
    <cellStyle name="€’ЋѓЋ‚›‰ 7 2 12" xfId="10316"/>
    <cellStyle name="€’ЋѓЋ‚›‰ 7 2 13" xfId="10317"/>
    <cellStyle name="€’ЋѓЋ‚›‰ 7 2 14" xfId="10318"/>
    <cellStyle name="€’ЋѓЋ‚›‰ 7 2 15" xfId="10319"/>
    <cellStyle name="€’ЋѓЋ‚›‰ 7 2 16" xfId="10320"/>
    <cellStyle name="€’ЋѓЋ‚›‰ 7 2 17" xfId="10321"/>
    <cellStyle name="€’ЋѓЋ‚›‰ 7 2 18" xfId="10322"/>
    <cellStyle name="€’ЋѓЋ‚›‰ 7 2 2" xfId="10323"/>
    <cellStyle name="€’ЋѓЋ‚›‰ 7 2 2 2" xfId="10324"/>
    <cellStyle name="€’ЋѓЋ‚›‰ 7 2 2 2 2" xfId="10325"/>
    <cellStyle name="€’ЋѓЋ‚›‰ 7 2 2 3" xfId="10326"/>
    <cellStyle name="€’ЋѓЋ‚›‰ 7 2 2 4" xfId="10327"/>
    <cellStyle name="€’ЋѓЋ‚›‰ 7 2 3" xfId="10328"/>
    <cellStyle name="€’ЋѓЋ‚›‰ 7 2 3 2" xfId="10329"/>
    <cellStyle name="€’ЋѓЋ‚›‰ 7 2 3 3" xfId="10330"/>
    <cellStyle name="€’ЋѓЋ‚›‰ 7 2 4" xfId="10331"/>
    <cellStyle name="€’ЋѓЋ‚›‰ 7 2 4 2" xfId="10332"/>
    <cellStyle name="€’ЋѓЋ‚›‰ 7 2 5" xfId="10333"/>
    <cellStyle name="€’ЋѓЋ‚›‰ 7 2 6" xfId="10334"/>
    <cellStyle name="€’ЋѓЋ‚›‰ 7 2 7" xfId="10335"/>
    <cellStyle name="€’ЋѓЋ‚›‰ 7 2 8" xfId="10336"/>
    <cellStyle name="€’ЋѓЋ‚›‰ 7 2 9" xfId="10337"/>
    <cellStyle name="€’ЋѓЋ‚›‰ 7 20" xfId="10338"/>
    <cellStyle name="€’ЋѓЋ‚›‰ 7 3" xfId="10339"/>
    <cellStyle name="€’ЋѓЋ‚›‰ 7 3 10" xfId="10340"/>
    <cellStyle name="€’ЋѓЋ‚›‰ 7 3 11" xfId="10341"/>
    <cellStyle name="€’ЋѓЋ‚›‰ 7 3 12" xfId="10342"/>
    <cellStyle name="€’ЋѓЋ‚›‰ 7 3 13" xfId="10343"/>
    <cellStyle name="€’ЋѓЋ‚›‰ 7 3 14" xfId="10344"/>
    <cellStyle name="€’ЋѓЋ‚›‰ 7 3 15" xfId="10345"/>
    <cellStyle name="€’ЋѓЋ‚›‰ 7 3 16" xfId="10346"/>
    <cellStyle name="€’ЋѓЋ‚›‰ 7 3 17" xfId="10347"/>
    <cellStyle name="€’ЋѓЋ‚›‰ 7 3 18" xfId="10348"/>
    <cellStyle name="€’ЋѓЋ‚›‰ 7 3 2" xfId="10349"/>
    <cellStyle name="€’ЋѓЋ‚›‰ 7 3 2 2" xfId="10350"/>
    <cellStyle name="€’ЋѓЋ‚›‰ 7 3 2 2 2" xfId="10351"/>
    <cellStyle name="€’ЋѓЋ‚›‰ 7 3 2 3" xfId="10352"/>
    <cellStyle name="€’ЋѓЋ‚›‰ 7 3 2 4" xfId="10353"/>
    <cellStyle name="€’ЋѓЋ‚›‰ 7 3 3" xfId="10354"/>
    <cellStyle name="€’ЋѓЋ‚›‰ 7 3 3 2" xfId="10355"/>
    <cellStyle name="€’ЋѓЋ‚›‰ 7 3 3 3" xfId="10356"/>
    <cellStyle name="€’ЋѓЋ‚›‰ 7 3 4" xfId="10357"/>
    <cellStyle name="€’ЋѓЋ‚›‰ 7 3 4 2" xfId="10358"/>
    <cellStyle name="€’ЋѓЋ‚›‰ 7 3 5" xfId="10359"/>
    <cellStyle name="€’ЋѓЋ‚›‰ 7 3 6" xfId="10360"/>
    <cellStyle name="€’ЋѓЋ‚›‰ 7 3 7" xfId="10361"/>
    <cellStyle name="€’ЋѓЋ‚›‰ 7 3 8" xfId="10362"/>
    <cellStyle name="€’ЋѓЋ‚›‰ 7 3 9" xfId="10363"/>
    <cellStyle name="€’ЋѓЋ‚›‰ 7 4" xfId="10364"/>
    <cellStyle name="€’ЋѓЋ‚›‰ 7 4 2" xfId="10365"/>
    <cellStyle name="€’ЋѓЋ‚›‰ 7 4 2 2" xfId="10366"/>
    <cellStyle name="€’ЋѓЋ‚›‰ 7 4 2 3" xfId="10367"/>
    <cellStyle name="€’ЋѓЋ‚›‰ 7 4 3" xfId="10368"/>
    <cellStyle name="€’ЋѓЋ‚›‰ 7 4 3 2" xfId="10369"/>
    <cellStyle name="€’ЋѓЋ‚›‰ 7 4 4" xfId="10370"/>
    <cellStyle name="€’ЋѓЋ‚›‰ 7 4 5" xfId="10371"/>
    <cellStyle name="€’ЋѓЋ‚›‰ 7 5" xfId="10372"/>
    <cellStyle name="€’ЋѓЋ‚›‰ 7 5 2" xfId="10373"/>
    <cellStyle name="€’ЋѓЋ‚›‰ 7 5 2 2" xfId="10374"/>
    <cellStyle name="€’ЋѓЋ‚›‰ 7 5 3" xfId="10375"/>
    <cellStyle name="€’ЋѓЋ‚›‰ 7 5 4" xfId="10376"/>
    <cellStyle name="€’ЋѓЋ‚›‰ 7 6" xfId="10377"/>
    <cellStyle name="€’ЋѓЋ‚›‰ 7 6 2" xfId="10378"/>
    <cellStyle name="€’ЋѓЋ‚›‰ 7 6 3" xfId="10379"/>
    <cellStyle name="€’ЋѓЋ‚›‰ 7 7" xfId="10380"/>
    <cellStyle name="€’ЋѓЋ‚›‰ 7 7 2" xfId="10381"/>
    <cellStyle name="€’ЋѓЋ‚›‰ 7 8" xfId="10382"/>
    <cellStyle name="€’ЋѓЋ‚›‰ 7 9" xfId="10383"/>
    <cellStyle name="€’ЋѓЋ‚›‰ 8" xfId="10384"/>
    <cellStyle name="€’ЋѓЋ‚›‰ 8 10" xfId="10385"/>
    <cellStyle name="€’ЋѓЋ‚›‰ 8 11" xfId="10386"/>
    <cellStyle name="€’ЋѓЋ‚›‰ 8 12" xfId="10387"/>
    <cellStyle name="€’ЋѓЋ‚›‰ 8 13" xfId="10388"/>
    <cellStyle name="€’ЋѓЋ‚›‰ 8 14" xfId="10389"/>
    <cellStyle name="€’ЋѓЋ‚›‰ 8 15" xfId="10390"/>
    <cellStyle name="€’ЋѓЋ‚›‰ 8 16" xfId="10391"/>
    <cellStyle name="€’ЋѓЋ‚›‰ 8 17" xfId="10392"/>
    <cellStyle name="€’ЋѓЋ‚›‰ 8 18" xfId="10393"/>
    <cellStyle name="€’ЋѓЋ‚›‰ 8 19" xfId="10394"/>
    <cellStyle name="€’ЋѓЋ‚›‰ 8 2" xfId="10395"/>
    <cellStyle name="€’ЋѓЋ‚›‰ 8 2 10" xfId="10396"/>
    <cellStyle name="€’ЋѓЋ‚›‰ 8 2 11" xfId="10397"/>
    <cellStyle name="€’ЋѓЋ‚›‰ 8 2 12" xfId="10398"/>
    <cellStyle name="€’ЋѓЋ‚›‰ 8 2 13" xfId="10399"/>
    <cellStyle name="€’ЋѓЋ‚›‰ 8 2 14" xfId="10400"/>
    <cellStyle name="€’ЋѓЋ‚›‰ 8 2 15" xfId="10401"/>
    <cellStyle name="€’ЋѓЋ‚›‰ 8 2 16" xfId="10402"/>
    <cellStyle name="€’ЋѓЋ‚›‰ 8 2 17" xfId="10403"/>
    <cellStyle name="€’ЋѓЋ‚›‰ 8 2 18" xfId="10404"/>
    <cellStyle name="€’ЋѓЋ‚›‰ 8 2 2" xfId="10405"/>
    <cellStyle name="€’ЋѓЋ‚›‰ 8 2 2 2" xfId="10406"/>
    <cellStyle name="€’ЋѓЋ‚›‰ 8 2 2 2 2" xfId="10407"/>
    <cellStyle name="€’ЋѓЋ‚›‰ 8 2 2 3" xfId="10408"/>
    <cellStyle name="€’ЋѓЋ‚›‰ 8 2 2 4" xfId="10409"/>
    <cellStyle name="€’ЋѓЋ‚›‰ 8 2 3" xfId="10410"/>
    <cellStyle name="€’ЋѓЋ‚›‰ 8 2 3 2" xfId="10411"/>
    <cellStyle name="€’ЋѓЋ‚›‰ 8 2 3 3" xfId="10412"/>
    <cellStyle name="€’ЋѓЋ‚›‰ 8 2 4" xfId="10413"/>
    <cellStyle name="€’ЋѓЋ‚›‰ 8 2 4 2" xfId="10414"/>
    <cellStyle name="€’ЋѓЋ‚›‰ 8 2 5" xfId="10415"/>
    <cellStyle name="€’ЋѓЋ‚›‰ 8 2 6" xfId="10416"/>
    <cellStyle name="€’ЋѓЋ‚›‰ 8 2 7" xfId="10417"/>
    <cellStyle name="€’ЋѓЋ‚›‰ 8 2 8" xfId="10418"/>
    <cellStyle name="€’ЋѓЋ‚›‰ 8 2 9" xfId="10419"/>
    <cellStyle name="€’ЋѓЋ‚›‰ 8 20" xfId="10420"/>
    <cellStyle name="€’ЋѓЋ‚›‰ 8 21" xfId="10421"/>
    <cellStyle name="€’ЋѓЋ‚›‰ 8 3" xfId="10422"/>
    <cellStyle name="€’ЋѓЋ‚›‰ 8 3 10" xfId="10423"/>
    <cellStyle name="€’ЋѓЋ‚›‰ 8 3 11" xfId="10424"/>
    <cellStyle name="€’ЋѓЋ‚›‰ 8 3 12" xfId="10425"/>
    <cellStyle name="€’ЋѓЋ‚›‰ 8 3 13" xfId="10426"/>
    <cellStyle name="€’ЋѓЋ‚›‰ 8 3 14" xfId="10427"/>
    <cellStyle name="€’ЋѓЋ‚›‰ 8 3 15" xfId="10428"/>
    <cellStyle name="€’ЋѓЋ‚›‰ 8 3 16" xfId="10429"/>
    <cellStyle name="€’ЋѓЋ‚›‰ 8 3 17" xfId="10430"/>
    <cellStyle name="€’ЋѓЋ‚›‰ 8 3 18" xfId="10431"/>
    <cellStyle name="€’ЋѓЋ‚›‰ 8 3 2" xfId="10432"/>
    <cellStyle name="€’ЋѓЋ‚›‰ 8 3 2 2" xfId="10433"/>
    <cellStyle name="€’ЋѓЋ‚›‰ 8 3 2 2 2" xfId="10434"/>
    <cellStyle name="€’ЋѓЋ‚›‰ 8 3 2 3" xfId="10435"/>
    <cellStyle name="€’ЋѓЋ‚›‰ 8 3 2 4" xfId="10436"/>
    <cellStyle name="€’ЋѓЋ‚›‰ 8 3 3" xfId="10437"/>
    <cellStyle name="€’ЋѓЋ‚›‰ 8 3 3 2" xfId="10438"/>
    <cellStyle name="€’ЋѓЋ‚›‰ 8 3 3 3" xfId="10439"/>
    <cellStyle name="€’ЋѓЋ‚›‰ 8 3 4" xfId="10440"/>
    <cellStyle name="€’ЋѓЋ‚›‰ 8 3 4 2" xfId="10441"/>
    <cellStyle name="€’ЋѓЋ‚›‰ 8 3 5" xfId="10442"/>
    <cellStyle name="€’ЋѓЋ‚›‰ 8 3 6" xfId="10443"/>
    <cellStyle name="€’ЋѓЋ‚›‰ 8 3 7" xfId="10444"/>
    <cellStyle name="€’ЋѓЋ‚›‰ 8 3 8" xfId="10445"/>
    <cellStyle name="€’ЋѓЋ‚›‰ 8 3 9" xfId="10446"/>
    <cellStyle name="€’ЋѓЋ‚›‰ 8 4" xfId="10447"/>
    <cellStyle name="€’ЋѓЋ‚›‰ 8 4 2" xfId="10448"/>
    <cellStyle name="€’ЋѓЋ‚›‰ 8 4 2 2" xfId="10449"/>
    <cellStyle name="€’ЋѓЋ‚›‰ 8 4 2 3" xfId="10450"/>
    <cellStyle name="€’ЋѓЋ‚›‰ 8 4 3" xfId="10451"/>
    <cellStyle name="€’ЋѓЋ‚›‰ 8 4 3 2" xfId="10452"/>
    <cellStyle name="€’ЋѓЋ‚›‰ 8 4 4" xfId="10453"/>
    <cellStyle name="€’ЋѓЋ‚›‰ 8 4 5" xfId="10454"/>
    <cellStyle name="€’ЋѓЋ‚›‰ 8 5" xfId="10455"/>
    <cellStyle name="€’ЋѓЋ‚›‰ 8 5 2" xfId="10456"/>
    <cellStyle name="€’ЋѓЋ‚›‰ 8 5 2 2" xfId="10457"/>
    <cellStyle name="€’ЋѓЋ‚›‰ 8 5 3" xfId="10458"/>
    <cellStyle name="€’ЋѓЋ‚›‰ 8 5 4" xfId="10459"/>
    <cellStyle name="€’ЋѓЋ‚›‰ 8 6" xfId="10460"/>
    <cellStyle name="€’ЋѓЋ‚›‰ 8 6 2" xfId="10461"/>
    <cellStyle name="€’ЋѓЋ‚›‰ 8 6 3" xfId="10462"/>
    <cellStyle name="€’ЋѓЋ‚›‰ 8 7" xfId="10463"/>
    <cellStyle name="€’ЋѓЋ‚›‰ 8 7 2" xfId="10464"/>
    <cellStyle name="€’ЋѓЋ‚›‰ 8 8" xfId="10465"/>
    <cellStyle name="€’ЋѓЋ‚›‰ 8 9" xfId="10466"/>
    <cellStyle name="€’ЋѓЋ‚›‰ 9" xfId="10467"/>
    <cellStyle name="€’ЋѓЋ‚›‰ 9 10" xfId="10468"/>
    <cellStyle name="€’ЋѓЋ‚›‰ 9 11" xfId="10469"/>
    <cellStyle name="€’ЋѓЋ‚›‰ 9 12" xfId="10470"/>
    <cellStyle name="€’ЋѓЋ‚›‰ 9 13" xfId="10471"/>
    <cellStyle name="€’ЋѓЋ‚›‰ 9 14" xfId="10472"/>
    <cellStyle name="€’ЋѓЋ‚›‰ 9 15" xfId="10473"/>
    <cellStyle name="€’ЋѓЋ‚›‰ 9 16" xfId="10474"/>
    <cellStyle name="€’ЋѓЋ‚›‰ 9 17" xfId="10475"/>
    <cellStyle name="€’ЋѓЋ‚›‰ 9 18" xfId="10476"/>
    <cellStyle name="€’ЋѓЋ‚›‰ 9 19" xfId="10477"/>
    <cellStyle name="€’ЋѓЋ‚›‰ 9 2" xfId="10478"/>
    <cellStyle name="€’ЋѓЋ‚›‰ 9 2 10" xfId="10479"/>
    <cellStyle name="€’ЋѓЋ‚›‰ 9 2 11" xfId="10480"/>
    <cellStyle name="€’ЋѓЋ‚›‰ 9 2 12" xfId="10481"/>
    <cellStyle name="€’ЋѓЋ‚›‰ 9 2 13" xfId="10482"/>
    <cellStyle name="€’ЋѓЋ‚›‰ 9 2 14" xfId="10483"/>
    <cellStyle name="€’ЋѓЋ‚›‰ 9 2 15" xfId="10484"/>
    <cellStyle name="€’ЋѓЋ‚›‰ 9 2 16" xfId="10485"/>
    <cellStyle name="€’ЋѓЋ‚›‰ 9 2 17" xfId="10486"/>
    <cellStyle name="€’ЋѓЋ‚›‰ 9 2 18" xfId="10487"/>
    <cellStyle name="€’ЋѓЋ‚›‰ 9 2 2" xfId="10488"/>
    <cellStyle name="€’ЋѓЋ‚›‰ 9 2 2 2" xfId="10489"/>
    <cellStyle name="€’ЋѓЋ‚›‰ 9 2 2 2 2" xfId="10490"/>
    <cellStyle name="€’ЋѓЋ‚›‰ 9 2 2 3" xfId="10491"/>
    <cellStyle name="€’ЋѓЋ‚›‰ 9 2 2 4" xfId="10492"/>
    <cellStyle name="€’ЋѓЋ‚›‰ 9 2 3" xfId="10493"/>
    <cellStyle name="€’ЋѓЋ‚›‰ 9 2 3 2" xfId="10494"/>
    <cellStyle name="€’ЋѓЋ‚›‰ 9 2 3 3" xfId="10495"/>
    <cellStyle name="€’ЋѓЋ‚›‰ 9 2 4" xfId="10496"/>
    <cellStyle name="€’ЋѓЋ‚›‰ 9 2 4 2" xfId="10497"/>
    <cellStyle name="€’ЋѓЋ‚›‰ 9 2 5" xfId="10498"/>
    <cellStyle name="€’ЋѓЋ‚›‰ 9 2 6" xfId="10499"/>
    <cellStyle name="€’ЋѓЋ‚›‰ 9 2 7" xfId="10500"/>
    <cellStyle name="€’ЋѓЋ‚›‰ 9 2 8" xfId="10501"/>
    <cellStyle name="€’ЋѓЋ‚›‰ 9 2 9" xfId="10502"/>
    <cellStyle name="€’ЋѓЋ‚›‰ 9 20" xfId="10503"/>
    <cellStyle name="€’ЋѓЋ‚›‰ 9 21" xfId="10504"/>
    <cellStyle name="€’ЋѓЋ‚›‰ 9 3" xfId="10505"/>
    <cellStyle name="€’ЋѓЋ‚›‰ 9 3 10" xfId="10506"/>
    <cellStyle name="€’ЋѓЋ‚›‰ 9 3 11" xfId="10507"/>
    <cellStyle name="€’ЋѓЋ‚›‰ 9 3 12" xfId="10508"/>
    <cellStyle name="€’ЋѓЋ‚›‰ 9 3 13" xfId="10509"/>
    <cellStyle name="€’ЋѓЋ‚›‰ 9 3 14" xfId="10510"/>
    <cellStyle name="€’ЋѓЋ‚›‰ 9 3 15" xfId="10511"/>
    <cellStyle name="€’ЋѓЋ‚›‰ 9 3 16" xfId="10512"/>
    <cellStyle name="€’ЋѓЋ‚›‰ 9 3 17" xfId="10513"/>
    <cellStyle name="€’ЋѓЋ‚›‰ 9 3 18" xfId="10514"/>
    <cellStyle name="€’ЋѓЋ‚›‰ 9 3 2" xfId="10515"/>
    <cellStyle name="€’ЋѓЋ‚›‰ 9 3 2 2" xfId="10516"/>
    <cellStyle name="€’ЋѓЋ‚›‰ 9 3 2 2 2" xfId="10517"/>
    <cellStyle name="€’ЋѓЋ‚›‰ 9 3 2 3" xfId="10518"/>
    <cellStyle name="€’ЋѓЋ‚›‰ 9 3 2 4" xfId="10519"/>
    <cellStyle name="€’ЋѓЋ‚›‰ 9 3 3" xfId="10520"/>
    <cellStyle name="€’ЋѓЋ‚›‰ 9 3 3 2" xfId="10521"/>
    <cellStyle name="€’ЋѓЋ‚›‰ 9 3 3 3" xfId="10522"/>
    <cellStyle name="€’ЋѓЋ‚›‰ 9 3 4" xfId="10523"/>
    <cellStyle name="€’ЋѓЋ‚›‰ 9 3 4 2" xfId="10524"/>
    <cellStyle name="€’ЋѓЋ‚›‰ 9 3 5" xfId="10525"/>
    <cellStyle name="€’ЋѓЋ‚›‰ 9 3 6" xfId="10526"/>
    <cellStyle name="€’ЋѓЋ‚›‰ 9 3 7" xfId="10527"/>
    <cellStyle name="€’ЋѓЋ‚›‰ 9 3 8" xfId="10528"/>
    <cellStyle name="€’ЋѓЋ‚›‰ 9 3 9" xfId="10529"/>
    <cellStyle name="€’ЋѓЋ‚›‰ 9 4" xfId="10530"/>
    <cellStyle name="€’ЋѓЋ‚›‰ 9 4 2" xfId="10531"/>
    <cellStyle name="€’ЋѓЋ‚›‰ 9 4 2 2" xfId="10532"/>
    <cellStyle name="€’ЋѓЋ‚›‰ 9 4 2 3" xfId="10533"/>
    <cellStyle name="€’ЋѓЋ‚›‰ 9 4 3" xfId="10534"/>
    <cellStyle name="€’ЋѓЋ‚›‰ 9 4 3 2" xfId="10535"/>
    <cellStyle name="€’ЋѓЋ‚›‰ 9 4 4" xfId="10536"/>
    <cellStyle name="€’ЋѓЋ‚›‰ 9 4 5" xfId="10537"/>
    <cellStyle name="€’ЋѓЋ‚›‰ 9 5" xfId="10538"/>
    <cellStyle name="€’ЋѓЋ‚›‰ 9 5 2" xfId="10539"/>
    <cellStyle name="€’ЋѓЋ‚›‰ 9 5 2 2" xfId="10540"/>
    <cellStyle name="€’ЋѓЋ‚›‰ 9 5 3" xfId="10541"/>
    <cellStyle name="€’ЋѓЋ‚›‰ 9 5 4" xfId="10542"/>
    <cellStyle name="€’ЋѓЋ‚›‰ 9 6" xfId="10543"/>
    <cellStyle name="€’ЋѓЋ‚›‰ 9 6 2" xfId="10544"/>
    <cellStyle name="€’ЋѓЋ‚›‰ 9 6 3" xfId="10545"/>
    <cellStyle name="€’ЋѓЋ‚›‰ 9 7" xfId="10546"/>
    <cellStyle name="€’ЋѓЋ‚›‰ 9 7 2" xfId="10547"/>
    <cellStyle name="€’ЋѓЋ‚›‰ 9 8" xfId="10548"/>
    <cellStyle name="€’ЋѓЋ‚›‰ 9 9" xfId="10549"/>
    <cellStyle name="=C:\WINNT35\SYSTEM32\COMMAND.COM" xfId="10550"/>
    <cellStyle name="=C:\WINNT35\SYSTEM32\COMMAND.COM 2" xfId="10551"/>
    <cellStyle name="=C:\WINNT35\SYSTEM32\COMMAND.COM 3" xfId="10552"/>
    <cellStyle name="‡???‹?‚??1" xfId="10553"/>
    <cellStyle name="‡???‹?‚??1 2" xfId="10554"/>
    <cellStyle name="‡???‹?‚??1 3" xfId="10555"/>
    <cellStyle name="‡???‹?‚??2" xfId="10556"/>
    <cellStyle name="‡???‹?‚??2 2" xfId="10557"/>
    <cellStyle name="‡???‹?‚??2 3" xfId="10558"/>
    <cellStyle name="‡€ƒŽ‹Ž‚ŽŠ1" xfId="10559"/>
    <cellStyle name="‡€ƒŽ‹Ž‚ŽŠ1 2" xfId="10560"/>
    <cellStyle name="‡€ƒŽ‹Ž‚ŽŠ1 3" xfId="10561"/>
    <cellStyle name="‡€ƒŽ‹Ž‚ŽŠ2" xfId="10562"/>
    <cellStyle name="‡€ƒŽ‹Ž‚ŽŠ2 2" xfId="10563"/>
    <cellStyle name="‡€ƒŽ‹Ž‚ŽŠ2 3" xfId="10564"/>
    <cellStyle name="‡ЂѓЋ‹Ћ‚ЋЉ1" xfId="10565"/>
    <cellStyle name="‡ЂѓЋ‹Ћ‚ЋЉ1 2" xfId="10566"/>
    <cellStyle name="‡ЂѓЋ‹Ћ‚ЋЉ1 3" xfId="10567"/>
    <cellStyle name="‡ЂѓЋ‹Ћ‚ЋЉ2" xfId="10568"/>
    <cellStyle name="‡ЂѓЋ‹Ћ‚ЋЉ2 2" xfId="10569"/>
    <cellStyle name="‡ЂѓЋ‹Ћ‚ЋЉ2 3" xfId="10570"/>
    <cellStyle name="_FA_2007" xfId="10571"/>
    <cellStyle name="" xfId="10572"/>
    <cellStyle name=" 2" xfId="10573"/>
    <cellStyle name=" 2_pess GGAZ_FM_Sept10_2209corrAC0%" xfId="10574"/>
    <cellStyle name=" 3" xfId="10575"/>
    <cellStyle name=" 3_pess GGAZ_FM_Sept10_2209corrAC0%" xfId="10576"/>
    <cellStyle name=" 4" xfId="10577"/>
    <cellStyle name=" 4_pess GGAZ_FM_Sept10_2209corrAC0%" xfId="10578"/>
    <cellStyle name=" 5" xfId="10579"/>
    <cellStyle name=" 5_pess GGAZ_FM_Sept10_2209corrAC0%" xfId="10580"/>
    <cellStyle name=" 6" xfId="10581"/>
    <cellStyle name="_FA_2007_Расчет" xfId="10582"/>
    <cellStyle name="_модели" xfId="10583"/>
    <cellStyle name="_модели" xfId="10584"/>
    <cellStyle name="" xfId="10585"/>
    <cellStyle name=" 2" xfId="10586"/>
    <cellStyle name=" 3" xfId="10587"/>
    <cellStyle name=" 4" xfId="10588"/>
    <cellStyle name=" 5" xfId="10589"/>
    <cellStyle name=" 6" xfId="10590"/>
    <cellStyle name="_модели" xfId="10591"/>
    <cellStyle name="1" xfId="10592"/>
    <cellStyle name="1 2" xfId="10593"/>
    <cellStyle name="1 3" xfId="10594"/>
    <cellStyle name="1 4" xfId="10595"/>
    <cellStyle name="1 5" xfId="10596"/>
    <cellStyle name="2" xfId="10597"/>
    <cellStyle name="2 2" xfId="10598"/>
    <cellStyle name="2 3" xfId="10599"/>
    <cellStyle name="2 4" xfId="10600"/>
    <cellStyle name="2 5" xfId="10601"/>
    <cellStyle name="0" xfId="10602"/>
    <cellStyle name="0,0" xfId="10603"/>
    <cellStyle name="0,0 2" xfId="10604"/>
    <cellStyle name="0,0_x000a__x000a_NA_x000a__x000a_" xfId="10605"/>
    <cellStyle name="0,0_x000a__x000a_NA_x000a__x000a_ 2" xfId="10606"/>
    <cellStyle name="0,0_x000d__x000a_NA_x000d__x000a_" xfId="10607"/>
    <cellStyle name="0,00" xfId="10608"/>
    <cellStyle name="0,00;0;" xfId="10609"/>
    <cellStyle name="0,00;0; 2" xfId="10610"/>
    <cellStyle name="0,00;0; 2 2" xfId="10611"/>
    <cellStyle name="0,00;0; 3" xfId="10612"/>
    <cellStyle name="0,00;0; 3 2" xfId="10613"/>
    <cellStyle name="0,00;0; 4" xfId="10614"/>
    <cellStyle name="0,00;0; 4 2" xfId="10615"/>
    <cellStyle name="0,00;0; 5" xfId="10616"/>
    <cellStyle name="0.0" xfId="10617"/>
    <cellStyle name="0.0 2" xfId="10618"/>
    <cellStyle name="0.0 2 2" xfId="10619"/>
    <cellStyle name="0.0 2 3" xfId="10620"/>
    <cellStyle name="0.0 2 4" xfId="10621"/>
    <cellStyle name="0.0 3" xfId="10622"/>
    <cellStyle name="0.0 4" xfId="10623"/>
    <cellStyle name="0_BP2" xfId="10624"/>
    <cellStyle name="0_BP2 2" xfId="10625"/>
    <cellStyle name="0_BP2.XLS" xfId="10626"/>
    <cellStyle name="0_BP2.XLS 2" xfId="10627"/>
    <cellStyle name="0_BP2.XLS 3" xfId="10628"/>
    <cellStyle name="0_BP2.XLS_модельИрина" xfId="10629"/>
    <cellStyle name="0_BP2.XLS_модельИрина_Книга2" xfId="10630"/>
    <cellStyle name="0_BP2.XLS_Оборудование" xfId="10631"/>
    <cellStyle name="0_BP2.XLS_Расчет" xfId="10632"/>
    <cellStyle name="0_BP3" xfId="10633"/>
    <cellStyle name="0_BP3 2" xfId="10634"/>
    <cellStyle name="0_BP3 3" xfId="10635"/>
    <cellStyle name="0_BP3.XLS" xfId="10636"/>
    <cellStyle name="0_BP3.XLS 2" xfId="10637"/>
    <cellStyle name="0_BP3.XLS 3" xfId="10638"/>
    <cellStyle name="0_BP3.XLS_модельИрина" xfId="10639"/>
    <cellStyle name="0_BP3.XLS_модельИрина_Книга2" xfId="10640"/>
    <cellStyle name="0_BP3.XLS_Оборудование" xfId="10641"/>
    <cellStyle name="0_BP3.XLS_Расчет" xfId="10642"/>
    <cellStyle name="0_BP3_модельИрина" xfId="10643"/>
    <cellStyle name="0_BP3_модельИрина_Книга2" xfId="10644"/>
    <cellStyle name="0_BP3_Оборудование" xfId="10645"/>
    <cellStyle name="0_BP3_Расчет" xfId="10646"/>
    <cellStyle name="0_BP4.XLS" xfId="10647"/>
    <cellStyle name="0_BP4.XLS 2" xfId="10648"/>
    <cellStyle name="0_BP4.XLS 3" xfId="10649"/>
    <cellStyle name="0_BP4.XLS_модельИрина" xfId="10650"/>
    <cellStyle name="0_BP4.XLS_модельИрина_Книга2" xfId="10651"/>
    <cellStyle name="0_BP4.XLS_Оборудование" xfId="10652"/>
    <cellStyle name="0_BP4.XLS_Расчет" xfId="10653"/>
    <cellStyle name="01_Validation" xfId="10654"/>
    <cellStyle name="02_Amount_from_OSV" xfId="10655"/>
    <cellStyle name="1decimal" xfId="10656"/>
    <cellStyle name="1Normal" xfId="10657"/>
    <cellStyle name="1Normal 10" xfId="10658"/>
    <cellStyle name="1Normal 2" xfId="10659"/>
    <cellStyle name="1Normal 2 2" xfId="10660"/>
    <cellStyle name="1Normal 2 3" xfId="10661"/>
    <cellStyle name="1Normal 3" xfId="10662"/>
    <cellStyle name="1Normal 3 2" xfId="10663"/>
    <cellStyle name="1Normal 3 3" xfId="10664"/>
    <cellStyle name="1Normal 4" xfId="10665"/>
    <cellStyle name="1Normal 4 2" xfId="10666"/>
    <cellStyle name="1Normal 4 3" xfId="10667"/>
    <cellStyle name="1Normal 5" xfId="10668"/>
    <cellStyle name="1Normal 5 2" xfId="10669"/>
    <cellStyle name="1Normal 5 3" xfId="10670"/>
    <cellStyle name="1Normal 6" xfId="10671"/>
    <cellStyle name="1Normal 6 2" xfId="10672"/>
    <cellStyle name="1Normal 6 3" xfId="10673"/>
    <cellStyle name="1Normal 7" xfId="10674"/>
    <cellStyle name="1Normal 7 2" xfId="10675"/>
    <cellStyle name="1Normal 7 3" xfId="10676"/>
    <cellStyle name="1Normal 8" xfId="10677"/>
    <cellStyle name="1Normal 8 2" xfId="10678"/>
    <cellStyle name="1Normal 8 3" xfId="10679"/>
    <cellStyle name="1Normal 9" xfId="10680"/>
    <cellStyle name="1Normal 9 2" xfId="10681"/>
    <cellStyle name="1Normal 9 3" xfId="10682"/>
    <cellStyle name="20% - Accent1" xfId="10683"/>
    <cellStyle name="20% - Accent1 2" xfId="10684"/>
    <cellStyle name="20% - Accent2" xfId="10685"/>
    <cellStyle name="20% - Accent2 2" xfId="10686"/>
    <cellStyle name="20% - Accent3" xfId="10687"/>
    <cellStyle name="20% - Accent3 2" xfId="10688"/>
    <cellStyle name="20% - Accent4" xfId="10689"/>
    <cellStyle name="20% - Accent4 2" xfId="10690"/>
    <cellStyle name="20% - Accent5" xfId="10691"/>
    <cellStyle name="20% - Accent5 2" xfId="10692"/>
    <cellStyle name="20% - Accent6" xfId="10693"/>
    <cellStyle name="20% - Accent6 2" xfId="10694"/>
    <cellStyle name="20% - Акцент1 10" xfId="10695"/>
    <cellStyle name="20% - Акцент1 10 2" xfId="10696"/>
    <cellStyle name="20% - Акцент1 10 3" xfId="10697"/>
    <cellStyle name="20% - Акцент1 11" xfId="10698"/>
    <cellStyle name="20% - Акцент1 11 2" xfId="10699"/>
    <cellStyle name="20% - Акцент1 11 3" xfId="10700"/>
    <cellStyle name="20% - Акцент1 12" xfId="10701"/>
    <cellStyle name="20% - Акцент1 12 2" xfId="10702"/>
    <cellStyle name="20% - Акцент1 12 3" xfId="10703"/>
    <cellStyle name="20% - Акцент1 13" xfId="10704"/>
    <cellStyle name="20% - Акцент1 14" xfId="10705"/>
    <cellStyle name="20% - Акцент1 14 2" xfId="10706"/>
    <cellStyle name="20% - Акцент1 14 2 2" xfId="10707"/>
    <cellStyle name="20% - Акцент1 14 2 3" xfId="10708"/>
    <cellStyle name="20% - Акцент1 14 3" xfId="10709"/>
    <cellStyle name="20% - Акцент1 14 3 2" xfId="10710"/>
    <cellStyle name="20% - Акцент1 14 4" xfId="10711"/>
    <cellStyle name="20% - Акцент1 14 5" xfId="10712"/>
    <cellStyle name="20% - Акцент1 14 6" xfId="10713"/>
    <cellStyle name="20% - Акцент1 15" xfId="10714"/>
    <cellStyle name="20% - Акцент1 16" xfId="10715"/>
    <cellStyle name="20% - Акцент1 16 2" xfId="10716"/>
    <cellStyle name="20% - Акцент1 17" xfId="10717"/>
    <cellStyle name="20% - Акцент1 2" xfId="10718"/>
    <cellStyle name="20% - Акцент1 2 2" xfId="10719"/>
    <cellStyle name="20% - Акцент1 2 3" xfId="10720"/>
    <cellStyle name="20% - Акцент1 3" xfId="10721"/>
    <cellStyle name="20% - Акцент1 3 2" xfId="10722"/>
    <cellStyle name="20% - Акцент1 3 3" xfId="10723"/>
    <cellStyle name="20% - Акцент1 4" xfId="10724"/>
    <cellStyle name="20% - Акцент1 4 2" xfId="10725"/>
    <cellStyle name="20% - Акцент1 4 3" xfId="10726"/>
    <cellStyle name="20% - Акцент1 5" xfId="10727"/>
    <cellStyle name="20% - Акцент1 5 2" xfId="10728"/>
    <cellStyle name="20% - Акцент1 5 3" xfId="10729"/>
    <cellStyle name="20% - Акцент1 6" xfId="10730"/>
    <cellStyle name="20% - Акцент1 6 2" xfId="10731"/>
    <cellStyle name="20% - Акцент1 6 3" xfId="10732"/>
    <cellStyle name="20% - Акцент1 7" xfId="10733"/>
    <cellStyle name="20% - Акцент1 7 2" xfId="10734"/>
    <cellStyle name="20% - Акцент1 7 3" xfId="10735"/>
    <cellStyle name="20% - Акцент1 8" xfId="10736"/>
    <cellStyle name="20% - Акцент1 8 2" xfId="10737"/>
    <cellStyle name="20% - Акцент1 8 3" xfId="10738"/>
    <cellStyle name="20% - Акцент1 9" xfId="10739"/>
    <cellStyle name="20% - Акцент1 9 2" xfId="10740"/>
    <cellStyle name="20% - Акцент1 9 3" xfId="10741"/>
    <cellStyle name="20% - Акцент2 10" xfId="10742"/>
    <cellStyle name="20% - Акцент2 10 2" xfId="10743"/>
    <cellStyle name="20% - Акцент2 10 3" xfId="10744"/>
    <cellStyle name="20% - Акцент2 11" xfId="10745"/>
    <cellStyle name="20% - Акцент2 11 2" xfId="10746"/>
    <cellStyle name="20% - Акцент2 11 3" xfId="10747"/>
    <cellStyle name="20% - Акцент2 12" xfId="10748"/>
    <cellStyle name="20% - Акцент2 12 2" xfId="10749"/>
    <cellStyle name="20% - Акцент2 12 3" xfId="10750"/>
    <cellStyle name="20% - Акцент2 13" xfId="10751"/>
    <cellStyle name="20% - Акцент2 14" xfId="10752"/>
    <cellStyle name="20% - Акцент2 14 2" xfId="10753"/>
    <cellStyle name="20% - Акцент2 14 2 2" xfId="10754"/>
    <cellStyle name="20% - Акцент2 14 2 3" xfId="10755"/>
    <cellStyle name="20% - Акцент2 14 3" xfId="10756"/>
    <cellStyle name="20% - Акцент2 14 3 2" xfId="10757"/>
    <cellStyle name="20% - Акцент2 14 4" xfId="10758"/>
    <cellStyle name="20% - Акцент2 14 5" xfId="10759"/>
    <cellStyle name="20% - Акцент2 14 6" xfId="10760"/>
    <cellStyle name="20% - Акцент2 15" xfId="10761"/>
    <cellStyle name="20% - Акцент2 16" xfId="10762"/>
    <cellStyle name="20% - Акцент2 16 2" xfId="10763"/>
    <cellStyle name="20% - Акцент2 17" xfId="10764"/>
    <cellStyle name="20% - Акцент2 2" xfId="10765"/>
    <cellStyle name="20% - Акцент2 2 2" xfId="10766"/>
    <cellStyle name="20% - Акцент2 2 3" xfId="10767"/>
    <cellStyle name="20% - Акцент2 3" xfId="10768"/>
    <cellStyle name="20% - Акцент2 3 2" xfId="10769"/>
    <cellStyle name="20% - Акцент2 3 3" xfId="10770"/>
    <cellStyle name="20% - Акцент2 4" xfId="10771"/>
    <cellStyle name="20% - Акцент2 4 2" xfId="10772"/>
    <cellStyle name="20% - Акцент2 4 3" xfId="10773"/>
    <cellStyle name="20% - Акцент2 5" xfId="10774"/>
    <cellStyle name="20% - Акцент2 5 2" xfId="10775"/>
    <cellStyle name="20% - Акцент2 5 3" xfId="10776"/>
    <cellStyle name="20% - Акцент2 6" xfId="10777"/>
    <cellStyle name="20% - Акцент2 6 2" xfId="10778"/>
    <cellStyle name="20% - Акцент2 6 3" xfId="10779"/>
    <cellStyle name="20% - Акцент2 7" xfId="10780"/>
    <cellStyle name="20% - Акцент2 7 2" xfId="10781"/>
    <cellStyle name="20% - Акцент2 7 3" xfId="10782"/>
    <cellStyle name="20% - Акцент2 8" xfId="10783"/>
    <cellStyle name="20% - Акцент2 8 2" xfId="10784"/>
    <cellStyle name="20% - Акцент2 8 3" xfId="10785"/>
    <cellStyle name="20% - Акцент2 9" xfId="10786"/>
    <cellStyle name="20% - Акцент2 9 2" xfId="10787"/>
    <cellStyle name="20% - Акцент2 9 3" xfId="10788"/>
    <cellStyle name="20% - Акцент3 10" xfId="10789"/>
    <cellStyle name="20% - Акцент3 10 2" xfId="10790"/>
    <cellStyle name="20% - Акцент3 10 3" xfId="10791"/>
    <cellStyle name="20% - Акцент3 11" xfId="10792"/>
    <cellStyle name="20% - Акцент3 11 2" xfId="10793"/>
    <cellStyle name="20% - Акцент3 11 3" xfId="10794"/>
    <cellStyle name="20% - Акцент3 12" xfId="10795"/>
    <cellStyle name="20% - Акцент3 12 2" xfId="10796"/>
    <cellStyle name="20% - Акцент3 12 3" xfId="10797"/>
    <cellStyle name="20% - Акцент3 13" xfId="10798"/>
    <cellStyle name="20% - Акцент3 14" xfId="10799"/>
    <cellStyle name="20% - Акцент3 14 2" xfId="10800"/>
    <cellStyle name="20% - Акцент3 14 3" xfId="10801"/>
    <cellStyle name="20% - Акцент3 14 3 2" xfId="10802"/>
    <cellStyle name="20% - Акцент3 14 4" xfId="10803"/>
    <cellStyle name="20% - Акцент3 14 5" xfId="10804"/>
    <cellStyle name="20% - Акцент3 14 6" xfId="10805"/>
    <cellStyle name="20% - Акцент3 15" xfId="10806"/>
    <cellStyle name="20% - Акцент3 16" xfId="10807"/>
    <cellStyle name="20% - Акцент3 16 2" xfId="10808"/>
    <cellStyle name="20% - Акцент3 17" xfId="10809"/>
    <cellStyle name="20% - Акцент3 2" xfId="10810"/>
    <cellStyle name="20% - Акцент3 2 2" xfId="10811"/>
    <cellStyle name="20% - Акцент3 2 3" xfId="10812"/>
    <cellStyle name="20% - Акцент3 3" xfId="10813"/>
    <cellStyle name="20% - Акцент3 3 2" xfId="10814"/>
    <cellStyle name="20% - Акцент3 3 3" xfId="10815"/>
    <cellStyle name="20% - Акцент3 4" xfId="10816"/>
    <cellStyle name="20% - Акцент3 4 2" xfId="10817"/>
    <cellStyle name="20% - Акцент3 4 3" xfId="10818"/>
    <cellStyle name="20% - Акцент3 5" xfId="10819"/>
    <cellStyle name="20% - Акцент3 5 2" xfId="10820"/>
    <cellStyle name="20% - Акцент3 5 3" xfId="10821"/>
    <cellStyle name="20% - Акцент3 6" xfId="10822"/>
    <cellStyle name="20% - Акцент3 6 2" xfId="10823"/>
    <cellStyle name="20% - Акцент3 6 3" xfId="10824"/>
    <cellStyle name="20% - Акцент3 7" xfId="10825"/>
    <cellStyle name="20% - Акцент3 7 2" xfId="10826"/>
    <cellStyle name="20% - Акцент3 7 3" xfId="10827"/>
    <cellStyle name="20% - Акцент3 8" xfId="10828"/>
    <cellStyle name="20% - Акцент3 8 2" xfId="10829"/>
    <cellStyle name="20% - Акцент3 8 3" xfId="10830"/>
    <cellStyle name="20% - Акцент3 9" xfId="10831"/>
    <cellStyle name="20% - Акцент3 9 2" xfId="10832"/>
    <cellStyle name="20% - Акцент3 9 3" xfId="10833"/>
    <cellStyle name="20% - Акцент4 10" xfId="10834"/>
    <cellStyle name="20% - Акцент4 10 2" xfId="10835"/>
    <cellStyle name="20% - Акцент4 10 3" xfId="10836"/>
    <cellStyle name="20% - Акцент4 11" xfId="10837"/>
    <cellStyle name="20% - Акцент4 11 2" xfId="10838"/>
    <cellStyle name="20% - Акцент4 11 3" xfId="10839"/>
    <cellStyle name="20% - Акцент4 12" xfId="10840"/>
    <cellStyle name="20% - Акцент4 12 2" xfId="10841"/>
    <cellStyle name="20% - Акцент4 12 3" xfId="10842"/>
    <cellStyle name="20% - Акцент4 13" xfId="10843"/>
    <cellStyle name="20% - Акцент4 14" xfId="10844"/>
    <cellStyle name="20% - Акцент4 14 2" xfId="10845"/>
    <cellStyle name="20% - Акцент4 14 2 2" xfId="10846"/>
    <cellStyle name="20% - Акцент4 14 2 3" xfId="10847"/>
    <cellStyle name="20% - Акцент4 14 3" xfId="10848"/>
    <cellStyle name="20% - Акцент4 14 3 2" xfId="10849"/>
    <cellStyle name="20% - Акцент4 14 4" xfId="10850"/>
    <cellStyle name="20% - Акцент4 14 5" xfId="10851"/>
    <cellStyle name="20% - Акцент4 14 6" xfId="10852"/>
    <cellStyle name="20% - Акцент4 15" xfId="10853"/>
    <cellStyle name="20% - Акцент4 16" xfId="10854"/>
    <cellStyle name="20% - Акцент4 16 2" xfId="10855"/>
    <cellStyle name="20% - Акцент4 17" xfId="10856"/>
    <cellStyle name="20% - Акцент4 2" xfId="10857"/>
    <cellStyle name="20% - Акцент4 2 2" xfId="10858"/>
    <cellStyle name="20% - Акцент4 2 3" xfId="10859"/>
    <cellStyle name="20% - Акцент4 3" xfId="10860"/>
    <cellStyle name="20% - Акцент4 3 2" xfId="10861"/>
    <cellStyle name="20% - Акцент4 3 3" xfId="10862"/>
    <cellStyle name="20% - Акцент4 4" xfId="10863"/>
    <cellStyle name="20% - Акцент4 4 2" xfId="10864"/>
    <cellStyle name="20% - Акцент4 4 3" xfId="10865"/>
    <cellStyle name="20% - Акцент4 5" xfId="10866"/>
    <cellStyle name="20% - Акцент4 5 2" xfId="10867"/>
    <cellStyle name="20% - Акцент4 5 3" xfId="10868"/>
    <cellStyle name="20% - Акцент4 6" xfId="10869"/>
    <cellStyle name="20% - Акцент4 6 2" xfId="10870"/>
    <cellStyle name="20% - Акцент4 6 3" xfId="10871"/>
    <cellStyle name="20% - Акцент4 7" xfId="10872"/>
    <cellStyle name="20% - Акцент4 7 2" xfId="10873"/>
    <cellStyle name="20% - Акцент4 7 3" xfId="10874"/>
    <cellStyle name="20% - Акцент4 8" xfId="10875"/>
    <cellStyle name="20% - Акцент4 8 2" xfId="10876"/>
    <cellStyle name="20% - Акцент4 8 3" xfId="10877"/>
    <cellStyle name="20% - Акцент4 9" xfId="10878"/>
    <cellStyle name="20% - Акцент4 9 2" xfId="10879"/>
    <cellStyle name="20% - Акцент4 9 3" xfId="10880"/>
    <cellStyle name="20% - Акцент5 10" xfId="10881"/>
    <cellStyle name="20% - Акцент5 10 2" xfId="10882"/>
    <cellStyle name="20% - Акцент5 10 3" xfId="10883"/>
    <cellStyle name="20% - Акцент5 11" xfId="10884"/>
    <cellStyle name="20% - Акцент5 11 2" xfId="10885"/>
    <cellStyle name="20% - Акцент5 11 3" xfId="10886"/>
    <cellStyle name="20% - Акцент5 12" xfId="10887"/>
    <cellStyle name="20% - Акцент5 12 2" xfId="10888"/>
    <cellStyle name="20% - Акцент5 12 3" xfId="10889"/>
    <cellStyle name="20% - Акцент5 13" xfId="10890"/>
    <cellStyle name="20% - Акцент5 14" xfId="10891"/>
    <cellStyle name="20% - Акцент5 14 2" xfId="10892"/>
    <cellStyle name="20% - Акцент5 14 3" xfId="10893"/>
    <cellStyle name="20% - Акцент5 2" xfId="10894"/>
    <cellStyle name="20% - Акцент5 2 2" xfId="10895"/>
    <cellStyle name="20% - Акцент5 2 3" xfId="10896"/>
    <cellStyle name="20% - Акцент5 3" xfId="10897"/>
    <cellStyle name="20% - Акцент5 3 2" xfId="10898"/>
    <cellStyle name="20% - Акцент5 3 3" xfId="10899"/>
    <cellStyle name="20% - Акцент5 4" xfId="10900"/>
    <cellStyle name="20% - Акцент5 4 2" xfId="10901"/>
    <cellStyle name="20% - Акцент5 4 3" xfId="10902"/>
    <cellStyle name="20% - Акцент5 5" xfId="10903"/>
    <cellStyle name="20% - Акцент5 5 2" xfId="10904"/>
    <cellStyle name="20% - Акцент5 5 3" xfId="10905"/>
    <cellStyle name="20% - Акцент5 6" xfId="10906"/>
    <cellStyle name="20% - Акцент5 6 2" xfId="10907"/>
    <cellStyle name="20% - Акцент5 6 3" xfId="10908"/>
    <cellStyle name="20% - Акцент5 7" xfId="10909"/>
    <cellStyle name="20% - Акцент5 7 2" xfId="10910"/>
    <cellStyle name="20% - Акцент5 7 3" xfId="10911"/>
    <cellStyle name="20% - Акцент5 8" xfId="10912"/>
    <cellStyle name="20% - Акцент5 8 2" xfId="10913"/>
    <cellStyle name="20% - Акцент5 8 3" xfId="10914"/>
    <cellStyle name="20% - Акцент5 9" xfId="10915"/>
    <cellStyle name="20% - Акцент5 9 2" xfId="10916"/>
    <cellStyle name="20% - Акцент5 9 3" xfId="10917"/>
    <cellStyle name="20% - Акцент6 10" xfId="10918"/>
    <cellStyle name="20% - Акцент6 10 2" xfId="10919"/>
    <cellStyle name="20% - Акцент6 10 3" xfId="10920"/>
    <cellStyle name="20% - Акцент6 11" xfId="10921"/>
    <cellStyle name="20% - Акцент6 11 2" xfId="10922"/>
    <cellStyle name="20% - Акцент6 11 3" xfId="10923"/>
    <cellStyle name="20% - Акцент6 12" xfId="10924"/>
    <cellStyle name="20% - Акцент6 12 2" xfId="10925"/>
    <cellStyle name="20% - Акцент6 12 3" xfId="10926"/>
    <cellStyle name="20% - Акцент6 13" xfId="10927"/>
    <cellStyle name="20% - Акцент6 14" xfId="10928"/>
    <cellStyle name="20% - Акцент6 14 2" xfId="10929"/>
    <cellStyle name="20% - Акцент6 14 2 2" xfId="10930"/>
    <cellStyle name="20% - Акцент6 14 2 3" xfId="10931"/>
    <cellStyle name="20% - Акцент6 14 3" xfId="10932"/>
    <cellStyle name="20% - Акцент6 14 3 2" xfId="10933"/>
    <cellStyle name="20% - Акцент6 14 4" xfId="10934"/>
    <cellStyle name="20% - Акцент6 14 5" xfId="10935"/>
    <cellStyle name="20% - Акцент6 14 6" xfId="10936"/>
    <cellStyle name="20% - Акцент6 15" xfId="10937"/>
    <cellStyle name="20% - Акцент6 16" xfId="10938"/>
    <cellStyle name="20% - Акцент6 16 2" xfId="10939"/>
    <cellStyle name="20% - Акцент6 17" xfId="10940"/>
    <cellStyle name="20% - Акцент6 2" xfId="10941"/>
    <cellStyle name="20% - Акцент6 2 2" xfId="10942"/>
    <cellStyle name="20% - Акцент6 2 3" xfId="10943"/>
    <cellStyle name="20% - Акцент6 3" xfId="10944"/>
    <cellStyle name="20% - Акцент6 3 2" xfId="10945"/>
    <cellStyle name="20% - Акцент6 3 3" xfId="10946"/>
    <cellStyle name="20% - Акцент6 4" xfId="10947"/>
    <cellStyle name="20% - Акцент6 4 2" xfId="10948"/>
    <cellStyle name="20% - Акцент6 4 3" xfId="10949"/>
    <cellStyle name="20% - Акцент6 5" xfId="10950"/>
    <cellStyle name="20% - Акцент6 5 2" xfId="10951"/>
    <cellStyle name="20% - Акцент6 5 3" xfId="10952"/>
    <cellStyle name="20% - Акцент6 6" xfId="10953"/>
    <cellStyle name="20% - Акцент6 6 2" xfId="10954"/>
    <cellStyle name="20% - Акцент6 6 3" xfId="10955"/>
    <cellStyle name="20% - Акцент6 7" xfId="10956"/>
    <cellStyle name="20% - Акцент6 7 2" xfId="10957"/>
    <cellStyle name="20% - Акцент6 7 3" xfId="10958"/>
    <cellStyle name="20% - Акцент6 8" xfId="10959"/>
    <cellStyle name="20% - Акцент6 8 2" xfId="10960"/>
    <cellStyle name="20% - Акцент6 8 3" xfId="10961"/>
    <cellStyle name="20% - Акцент6 9" xfId="10962"/>
    <cellStyle name="20% - Акцент6 9 2" xfId="10963"/>
    <cellStyle name="20% - Акцент6 9 3" xfId="10964"/>
    <cellStyle name="2decimal" xfId="10965"/>
    <cellStyle name="40% - Accent1" xfId="10966"/>
    <cellStyle name="40% - Accent1 2" xfId="10967"/>
    <cellStyle name="40% - Accent2" xfId="10968"/>
    <cellStyle name="40% - Accent2 2" xfId="10969"/>
    <cellStyle name="40% - Accent3" xfId="10970"/>
    <cellStyle name="40% - Accent3 2" xfId="10971"/>
    <cellStyle name="40% - Accent4" xfId="10972"/>
    <cellStyle name="40% - Accent4 2" xfId="10973"/>
    <cellStyle name="40% - Accent5" xfId="10974"/>
    <cellStyle name="40% - Accent5 2" xfId="10975"/>
    <cellStyle name="40% - Accent6" xfId="10976"/>
    <cellStyle name="40% - Accent6 2" xfId="10977"/>
    <cellStyle name="40% - Акцент1 10" xfId="10978"/>
    <cellStyle name="40% - Акцент1 10 2" xfId="10979"/>
    <cellStyle name="40% - Акцент1 10 3" xfId="10980"/>
    <cellStyle name="40% - Акцент1 11" xfId="10981"/>
    <cellStyle name="40% - Акцент1 11 2" xfId="10982"/>
    <cellStyle name="40% - Акцент1 11 3" xfId="10983"/>
    <cellStyle name="40% - Акцент1 12" xfId="10984"/>
    <cellStyle name="40% - Акцент1 12 2" xfId="10985"/>
    <cellStyle name="40% - Акцент1 12 3" xfId="10986"/>
    <cellStyle name="40% - Акцент1 13" xfId="10987"/>
    <cellStyle name="40% - Акцент1 14" xfId="10988"/>
    <cellStyle name="40% - Акцент1 14 2" xfId="10989"/>
    <cellStyle name="40% - Акцент1 14 2 2" xfId="10990"/>
    <cellStyle name="40% - Акцент1 14 2 3" xfId="10991"/>
    <cellStyle name="40% - Акцент1 14 3" xfId="10992"/>
    <cellStyle name="40% - Акцент1 14 3 2" xfId="10993"/>
    <cellStyle name="40% - Акцент1 14 4" xfId="10994"/>
    <cellStyle name="40% - Акцент1 14 5" xfId="10995"/>
    <cellStyle name="40% - Акцент1 14 6" xfId="10996"/>
    <cellStyle name="40% - Акцент1 15" xfId="10997"/>
    <cellStyle name="40% - Акцент1 16" xfId="10998"/>
    <cellStyle name="40% - Акцент1 16 2" xfId="10999"/>
    <cellStyle name="40% - Акцент1 17" xfId="11000"/>
    <cellStyle name="40% - Акцент1 2" xfId="11001"/>
    <cellStyle name="40% - Акцент1 2 2" xfId="11002"/>
    <cellStyle name="40% - Акцент1 2 3" xfId="11003"/>
    <cellStyle name="40% - Акцент1 3" xfId="11004"/>
    <cellStyle name="40% - Акцент1 3 2" xfId="11005"/>
    <cellStyle name="40% - Акцент1 3 3" xfId="11006"/>
    <cellStyle name="40% - Акцент1 4" xfId="11007"/>
    <cellStyle name="40% - Акцент1 4 2" xfId="11008"/>
    <cellStyle name="40% - Акцент1 4 3" xfId="11009"/>
    <cellStyle name="40% - Акцент1 5" xfId="11010"/>
    <cellStyle name="40% - Акцент1 5 2" xfId="11011"/>
    <cellStyle name="40% - Акцент1 5 3" xfId="11012"/>
    <cellStyle name="40% - Акцент1 6" xfId="11013"/>
    <cellStyle name="40% - Акцент1 6 2" xfId="11014"/>
    <cellStyle name="40% - Акцент1 6 3" xfId="11015"/>
    <cellStyle name="40% - Акцент1 7" xfId="11016"/>
    <cellStyle name="40% - Акцент1 7 2" xfId="11017"/>
    <cellStyle name="40% - Акцент1 7 3" xfId="11018"/>
    <cellStyle name="40% - Акцент1 8" xfId="11019"/>
    <cellStyle name="40% - Акцент1 8 2" xfId="11020"/>
    <cellStyle name="40% - Акцент1 8 3" xfId="11021"/>
    <cellStyle name="40% - Акцент1 9" xfId="11022"/>
    <cellStyle name="40% - Акцент1 9 2" xfId="11023"/>
    <cellStyle name="40% - Акцент1 9 3" xfId="11024"/>
    <cellStyle name="40% - Акцент2 10" xfId="11025"/>
    <cellStyle name="40% - Акцент2 10 2" xfId="11026"/>
    <cellStyle name="40% - Акцент2 10 3" xfId="11027"/>
    <cellStyle name="40% - Акцент2 11" xfId="11028"/>
    <cellStyle name="40% - Акцент2 11 2" xfId="11029"/>
    <cellStyle name="40% - Акцент2 11 3" xfId="11030"/>
    <cellStyle name="40% - Акцент2 12" xfId="11031"/>
    <cellStyle name="40% - Акцент2 12 2" xfId="11032"/>
    <cellStyle name="40% - Акцент2 12 3" xfId="11033"/>
    <cellStyle name="40% - Акцент2 13" xfId="11034"/>
    <cellStyle name="40% - Акцент2 14" xfId="11035"/>
    <cellStyle name="40% - Акцент2 14 2" xfId="11036"/>
    <cellStyle name="40% - Акцент2 15" xfId="11037"/>
    <cellStyle name="40% - Акцент2 2" xfId="11038"/>
    <cellStyle name="40% - Акцент2 2 2" xfId="11039"/>
    <cellStyle name="40% - Акцент2 2 3" xfId="11040"/>
    <cellStyle name="40% - Акцент2 2 4" xfId="11041"/>
    <cellStyle name="40% - Акцент2 3" xfId="11042"/>
    <cellStyle name="40% - Акцент2 3 2" xfId="11043"/>
    <cellStyle name="40% - Акцент2 3 3" xfId="11044"/>
    <cellStyle name="40% - Акцент2 4" xfId="11045"/>
    <cellStyle name="40% - Акцент2 4 2" xfId="11046"/>
    <cellStyle name="40% - Акцент2 4 3" xfId="11047"/>
    <cellStyle name="40% - Акцент2 5" xfId="11048"/>
    <cellStyle name="40% - Акцент2 5 2" xfId="11049"/>
    <cellStyle name="40% - Акцент2 5 3" xfId="11050"/>
    <cellStyle name="40% - Акцент2 6" xfId="11051"/>
    <cellStyle name="40% - Акцент2 6 2" xfId="11052"/>
    <cellStyle name="40% - Акцент2 6 3" xfId="11053"/>
    <cellStyle name="40% - Акцент2 7" xfId="11054"/>
    <cellStyle name="40% - Акцент2 7 2" xfId="11055"/>
    <cellStyle name="40% - Акцент2 7 3" xfId="11056"/>
    <cellStyle name="40% - Акцент2 8" xfId="11057"/>
    <cellStyle name="40% - Акцент2 8 2" xfId="11058"/>
    <cellStyle name="40% - Акцент2 8 3" xfId="11059"/>
    <cellStyle name="40% - Акцент2 9" xfId="11060"/>
    <cellStyle name="40% - Акцент2 9 2" xfId="11061"/>
    <cellStyle name="40% - Акцент2 9 3" xfId="11062"/>
    <cellStyle name="40% - Акцент3 10" xfId="11063"/>
    <cellStyle name="40% - Акцент3 10 2" xfId="11064"/>
    <cellStyle name="40% - Акцент3 10 3" xfId="11065"/>
    <cellStyle name="40% - Акцент3 11" xfId="11066"/>
    <cellStyle name="40% - Акцент3 11 2" xfId="11067"/>
    <cellStyle name="40% - Акцент3 11 3" xfId="11068"/>
    <cellStyle name="40% - Акцент3 12" xfId="11069"/>
    <cellStyle name="40% - Акцент3 12 2" xfId="11070"/>
    <cellStyle name="40% - Акцент3 12 3" xfId="11071"/>
    <cellStyle name="40% - Акцент3 13" xfId="11072"/>
    <cellStyle name="40% - Акцент3 14" xfId="11073"/>
    <cellStyle name="40% - Акцент3 14 2" xfId="11074"/>
    <cellStyle name="40% - Акцент3 14 3" xfId="11075"/>
    <cellStyle name="40% - Акцент3 14 3 2" xfId="11076"/>
    <cellStyle name="40% - Акцент3 14 4" xfId="11077"/>
    <cellStyle name="40% - Акцент3 14 5" xfId="11078"/>
    <cellStyle name="40% - Акцент3 14 6" xfId="11079"/>
    <cellStyle name="40% - Акцент3 15" xfId="11080"/>
    <cellStyle name="40% - Акцент3 16" xfId="11081"/>
    <cellStyle name="40% - Акцент3 16 2" xfId="11082"/>
    <cellStyle name="40% - Акцент3 17" xfId="11083"/>
    <cellStyle name="40% - Акцент3 2" xfId="11084"/>
    <cellStyle name="40% - Акцент3 2 2" xfId="11085"/>
    <cellStyle name="40% - Акцент3 2 3" xfId="11086"/>
    <cellStyle name="40% - Акцент3 3" xfId="11087"/>
    <cellStyle name="40% - Акцент3 3 2" xfId="11088"/>
    <cellStyle name="40% - Акцент3 3 3" xfId="11089"/>
    <cellStyle name="40% - Акцент3 4" xfId="11090"/>
    <cellStyle name="40% - Акцент3 4 2" xfId="11091"/>
    <cellStyle name="40% - Акцент3 4 3" xfId="11092"/>
    <cellStyle name="40% - Акцент3 5" xfId="11093"/>
    <cellStyle name="40% - Акцент3 5 2" xfId="11094"/>
    <cellStyle name="40% - Акцент3 5 3" xfId="11095"/>
    <cellStyle name="40% - Акцент3 6" xfId="11096"/>
    <cellStyle name="40% - Акцент3 6 2" xfId="11097"/>
    <cellStyle name="40% - Акцент3 6 3" xfId="11098"/>
    <cellStyle name="40% - Акцент3 7" xfId="11099"/>
    <cellStyle name="40% - Акцент3 7 2" xfId="11100"/>
    <cellStyle name="40% - Акцент3 7 3" xfId="11101"/>
    <cellStyle name="40% - Акцент3 8" xfId="11102"/>
    <cellStyle name="40% - Акцент3 8 2" xfId="11103"/>
    <cellStyle name="40% - Акцент3 8 3" xfId="11104"/>
    <cellStyle name="40% - Акцент3 9" xfId="11105"/>
    <cellStyle name="40% - Акцент3 9 2" xfId="11106"/>
    <cellStyle name="40% - Акцент3 9 3" xfId="11107"/>
    <cellStyle name="40% - Акцент4 10" xfId="11108"/>
    <cellStyle name="40% - Акцент4 10 2" xfId="11109"/>
    <cellStyle name="40% - Акцент4 10 3" xfId="11110"/>
    <cellStyle name="40% - Акцент4 11" xfId="11111"/>
    <cellStyle name="40% - Акцент4 11 2" xfId="11112"/>
    <cellStyle name="40% - Акцент4 11 3" xfId="11113"/>
    <cellStyle name="40% - Акцент4 12" xfId="11114"/>
    <cellStyle name="40% - Акцент4 12 2" xfId="11115"/>
    <cellStyle name="40% - Акцент4 12 3" xfId="11116"/>
    <cellStyle name="40% - Акцент4 13" xfId="11117"/>
    <cellStyle name="40% - Акцент4 14" xfId="11118"/>
    <cellStyle name="40% - Акцент4 14 2" xfId="11119"/>
    <cellStyle name="40% - Акцент4 14 2 2" xfId="11120"/>
    <cellStyle name="40% - Акцент4 14 2 3" xfId="11121"/>
    <cellStyle name="40% - Акцент4 14 3" xfId="11122"/>
    <cellStyle name="40% - Акцент4 14 3 2" xfId="11123"/>
    <cellStyle name="40% - Акцент4 14 4" xfId="11124"/>
    <cellStyle name="40% - Акцент4 14 5" xfId="11125"/>
    <cellStyle name="40% - Акцент4 14 6" xfId="11126"/>
    <cellStyle name="40% - Акцент4 15" xfId="11127"/>
    <cellStyle name="40% - Акцент4 16" xfId="11128"/>
    <cellStyle name="40% - Акцент4 16 2" xfId="11129"/>
    <cellStyle name="40% - Акцент4 17" xfId="11130"/>
    <cellStyle name="40% - Акцент4 2" xfId="11131"/>
    <cellStyle name="40% - Акцент4 2 2" xfId="11132"/>
    <cellStyle name="40% - Акцент4 2 3" xfId="11133"/>
    <cellStyle name="40% - Акцент4 3" xfId="11134"/>
    <cellStyle name="40% - Акцент4 3 2" xfId="11135"/>
    <cellStyle name="40% - Акцент4 3 3" xfId="11136"/>
    <cellStyle name="40% - Акцент4 4" xfId="11137"/>
    <cellStyle name="40% - Акцент4 4 2" xfId="11138"/>
    <cellStyle name="40% - Акцент4 4 3" xfId="11139"/>
    <cellStyle name="40% - Акцент4 5" xfId="11140"/>
    <cellStyle name="40% - Акцент4 5 2" xfId="11141"/>
    <cellStyle name="40% - Акцент4 5 3" xfId="11142"/>
    <cellStyle name="40% - Акцент4 6" xfId="11143"/>
    <cellStyle name="40% - Акцент4 6 2" xfId="11144"/>
    <cellStyle name="40% - Акцент4 6 3" xfId="11145"/>
    <cellStyle name="40% - Акцент4 7" xfId="11146"/>
    <cellStyle name="40% - Акцент4 7 2" xfId="11147"/>
    <cellStyle name="40% - Акцент4 7 3" xfId="11148"/>
    <cellStyle name="40% - Акцент4 8" xfId="11149"/>
    <cellStyle name="40% - Акцент4 8 2" xfId="11150"/>
    <cellStyle name="40% - Акцент4 8 3" xfId="11151"/>
    <cellStyle name="40% - Акцент4 9" xfId="11152"/>
    <cellStyle name="40% - Акцент4 9 2" xfId="11153"/>
    <cellStyle name="40% - Акцент4 9 3" xfId="11154"/>
    <cellStyle name="40% - Акцент5 10" xfId="11155"/>
    <cellStyle name="40% - Акцент5 10 2" xfId="11156"/>
    <cellStyle name="40% - Акцент5 10 3" xfId="11157"/>
    <cellStyle name="40% - Акцент5 11" xfId="11158"/>
    <cellStyle name="40% - Акцент5 11 2" xfId="11159"/>
    <cellStyle name="40% - Акцент5 11 3" xfId="11160"/>
    <cellStyle name="40% - Акцент5 12" xfId="11161"/>
    <cellStyle name="40% - Акцент5 12 2" xfId="11162"/>
    <cellStyle name="40% - Акцент5 12 3" xfId="11163"/>
    <cellStyle name="40% - Акцент5 13" xfId="11164"/>
    <cellStyle name="40% - Акцент5 14" xfId="11165"/>
    <cellStyle name="40% - Акцент5 14 2" xfId="11166"/>
    <cellStyle name="40% - Акцент5 15" xfId="11167"/>
    <cellStyle name="40% - Акцент5 2" xfId="11168"/>
    <cellStyle name="40% - Акцент5 2 2" xfId="11169"/>
    <cellStyle name="40% - Акцент5 2 3" xfId="11170"/>
    <cellStyle name="40% - Акцент5 2 4" xfId="11171"/>
    <cellStyle name="40% - Акцент5 3" xfId="11172"/>
    <cellStyle name="40% - Акцент5 3 2" xfId="11173"/>
    <cellStyle name="40% - Акцент5 3 3" xfId="11174"/>
    <cellStyle name="40% - Акцент5 4" xfId="11175"/>
    <cellStyle name="40% - Акцент5 4 2" xfId="11176"/>
    <cellStyle name="40% - Акцент5 4 3" xfId="11177"/>
    <cellStyle name="40% - Акцент5 5" xfId="11178"/>
    <cellStyle name="40% - Акцент5 5 2" xfId="11179"/>
    <cellStyle name="40% - Акцент5 5 3" xfId="11180"/>
    <cellStyle name="40% - Акцент5 6" xfId="11181"/>
    <cellStyle name="40% - Акцент5 6 2" xfId="11182"/>
    <cellStyle name="40% - Акцент5 6 3" xfId="11183"/>
    <cellStyle name="40% - Акцент5 7" xfId="11184"/>
    <cellStyle name="40% - Акцент5 7 2" xfId="11185"/>
    <cellStyle name="40% - Акцент5 7 3" xfId="11186"/>
    <cellStyle name="40% - Акцент5 8" xfId="11187"/>
    <cellStyle name="40% - Акцент5 8 2" xfId="11188"/>
    <cellStyle name="40% - Акцент5 8 3" xfId="11189"/>
    <cellStyle name="40% - Акцент5 9" xfId="11190"/>
    <cellStyle name="40% - Акцент5 9 2" xfId="11191"/>
    <cellStyle name="40% - Акцент5 9 3" xfId="11192"/>
    <cellStyle name="40% - Акцент6 10" xfId="11193"/>
    <cellStyle name="40% - Акцент6 10 2" xfId="11194"/>
    <cellStyle name="40% - Акцент6 10 3" xfId="11195"/>
    <cellStyle name="40% - Акцент6 11" xfId="11196"/>
    <cellStyle name="40% - Акцент6 11 2" xfId="11197"/>
    <cellStyle name="40% - Акцент6 11 3" xfId="11198"/>
    <cellStyle name="40% - Акцент6 12" xfId="11199"/>
    <cellStyle name="40% - Акцент6 12 2" xfId="11200"/>
    <cellStyle name="40% - Акцент6 12 3" xfId="11201"/>
    <cellStyle name="40% - Акцент6 13" xfId="11202"/>
    <cellStyle name="40% - Акцент6 14" xfId="11203"/>
    <cellStyle name="40% - Акцент6 14 2" xfId="11204"/>
    <cellStyle name="40% - Акцент6 14 2 2" xfId="11205"/>
    <cellStyle name="40% - Акцент6 14 2 3" xfId="11206"/>
    <cellStyle name="40% - Акцент6 14 3" xfId="11207"/>
    <cellStyle name="40% - Акцент6 14 3 2" xfId="11208"/>
    <cellStyle name="40% - Акцент6 14 4" xfId="11209"/>
    <cellStyle name="40% - Акцент6 14 5" xfId="11210"/>
    <cellStyle name="40% - Акцент6 14 6" xfId="11211"/>
    <cellStyle name="40% - Акцент6 15" xfId="11212"/>
    <cellStyle name="40% - Акцент6 16" xfId="11213"/>
    <cellStyle name="40% - Акцент6 16 2" xfId="11214"/>
    <cellStyle name="40% - Акцент6 17" xfId="11215"/>
    <cellStyle name="40% - Акцент6 2" xfId="11216"/>
    <cellStyle name="40% - Акцент6 2 2" xfId="11217"/>
    <cellStyle name="40% - Акцент6 2 3" xfId="11218"/>
    <cellStyle name="40% - Акцент6 3" xfId="11219"/>
    <cellStyle name="40% - Акцент6 3 2" xfId="11220"/>
    <cellStyle name="40% - Акцент6 3 3" xfId="11221"/>
    <cellStyle name="40% - Акцент6 4" xfId="11222"/>
    <cellStyle name="40% - Акцент6 4 2" xfId="11223"/>
    <cellStyle name="40% - Акцент6 4 3" xfId="11224"/>
    <cellStyle name="40% - Акцент6 5" xfId="11225"/>
    <cellStyle name="40% - Акцент6 5 2" xfId="11226"/>
    <cellStyle name="40% - Акцент6 5 3" xfId="11227"/>
    <cellStyle name="40% - Акцент6 6" xfId="11228"/>
    <cellStyle name="40% - Акцент6 6 2" xfId="11229"/>
    <cellStyle name="40% - Акцент6 6 3" xfId="11230"/>
    <cellStyle name="40% - Акцент6 7" xfId="11231"/>
    <cellStyle name="40% - Акцент6 7 2" xfId="11232"/>
    <cellStyle name="40% - Акцент6 7 3" xfId="11233"/>
    <cellStyle name="40% - Акцент6 8" xfId="11234"/>
    <cellStyle name="40% - Акцент6 8 2" xfId="11235"/>
    <cellStyle name="40% - Акцент6 8 3" xfId="11236"/>
    <cellStyle name="40% - Акцент6 9" xfId="11237"/>
    <cellStyle name="40% - Акцент6 9 2" xfId="11238"/>
    <cellStyle name="40% - Акцент6 9 3" xfId="11239"/>
    <cellStyle name="50%" xfId="11240"/>
    <cellStyle name="50% 10" xfId="11241"/>
    <cellStyle name="50% 11" xfId="11242"/>
    <cellStyle name="50% 12" xfId="11243"/>
    <cellStyle name="50% 13" xfId="11244"/>
    <cellStyle name="50% 14" xfId="11245"/>
    <cellStyle name="50% 15" xfId="11246"/>
    <cellStyle name="50% 16" xfId="11247"/>
    <cellStyle name="50% 17" xfId="11248"/>
    <cellStyle name="50% 18" xfId="11249"/>
    <cellStyle name="50% 19" xfId="11250"/>
    <cellStyle name="50% 2" xfId="11251"/>
    <cellStyle name="50% 2 10" xfId="11252"/>
    <cellStyle name="50% 2 11" xfId="11253"/>
    <cellStyle name="50% 2 12" xfId="11254"/>
    <cellStyle name="50% 2 13" xfId="11255"/>
    <cellStyle name="50% 2 14" xfId="11256"/>
    <cellStyle name="50% 2 15" xfId="11257"/>
    <cellStyle name="50% 2 16" xfId="11258"/>
    <cellStyle name="50% 2 17" xfId="11259"/>
    <cellStyle name="50% 2 18" xfId="11260"/>
    <cellStyle name="50% 2 19" xfId="11261"/>
    <cellStyle name="50% 2 2" xfId="11262"/>
    <cellStyle name="50% 2 2 10" xfId="11263"/>
    <cellStyle name="50% 2 2 11" xfId="11264"/>
    <cellStyle name="50% 2 2 12" xfId="11265"/>
    <cellStyle name="50% 2 2 13" xfId="11266"/>
    <cellStyle name="50% 2 2 14" xfId="11267"/>
    <cellStyle name="50% 2 2 15" xfId="11268"/>
    <cellStyle name="50% 2 2 16" xfId="11269"/>
    <cellStyle name="50% 2 2 17" xfId="11270"/>
    <cellStyle name="50% 2 2 18" xfId="11271"/>
    <cellStyle name="50% 2 2 2" xfId="11272"/>
    <cellStyle name="50% 2 2 2 2" xfId="11273"/>
    <cellStyle name="50% 2 2 2 2 2" xfId="11274"/>
    <cellStyle name="50% 2 2 2 3" xfId="11275"/>
    <cellStyle name="50% 2 2 2 4" xfId="11276"/>
    <cellStyle name="50% 2 2 3" xfId="11277"/>
    <cellStyle name="50% 2 2 3 2" xfId="11278"/>
    <cellStyle name="50% 2 2 3 3" xfId="11279"/>
    <cellStyle name="50% 2 2 4" xfId="11280"/>
    <cellStyle name="50% 2 2 4 2" xfId="11281"/>
    <cellStyle name="50% 2 2 5" xfId="11282"/>
    <cellStyle name="50% 2 2 6" xfId="11283"/>
    <cellStyle name="50% 2 2 7" xfId="11284"/>
    <cellStyle name="50% 2 2 8" xfId="11285"/>
    <cellStyle name="50% 2 2 9" xfId="11286"/>
    <cellStyle name="50% 2 3" xfId="11287"/>
    <cellStyle name="50% 2 3 10" xfId="11288"/>
    <cellStyle name="50% 2 3 11" xfId="11289"/>
    <cellStyle name="50% 2 3 12" xfId="11290"/>
    <cellStyle name="50% 2 3 13" xfId="11291"/>
    <cellStyle name="50% 2 3 14" xfId="11292"/>
    <cellStyle name="50% 2 3 15" xfId="11293"/>
    <cellStyle name="50% 2 3 16" xfId="11294"/>
    <cellStyle name="50% 2 3 17" xfId="11295"/>
    <cellStyle name="50% 2 3 18" xfId="11296"/>
    <cellStyle name="50% 2 3 2" xfId="11297"/>
    <cellStyle name="50% 2 3 2 2" xfId="11298"/>
    <cellStyle name="50% 2 3 2 2 2" xfId="11299"/>
    <cellStyle name="50% 2 3 2 3" xfId="11300"/>
    <cellStyle name="50% 2 3 2 4" xfId="11301"/>
    <cellStyle name="50% 2 3 3" xfId="11302"/>
    <cellStyle name="50% 2 3 3 2" xfId="11303"/>
    <cellStyle name="50% 2 3 3 3" xfId="11304"/>
    <cellStyle name="50% 2 3 4" xfId="11305"/>
    <cellStyle name="50% 2 3 4 2" xfId="11306"/>
    <cellStyle name="50% 2 3 5" xfId="11307"/>
    <cellStyle name="50% 2 3 6" xfId="11308"/>
    <cellStyle name="50% 2 3 7" xfId="11309"/>
    <cellStyle name="50% 2 3 8" xfId="11310"/>
    <cellStyle name="50% 2 3 9" xfId="11311"/>
    <cellStyle name="50% 2 4" xfId="11312"/>
    <cellStyle name="50% 2 4 2" xfId="11313"/>
    <cellStyle name="50% 2 4 2 2" xfId="11314"/>
    <cellStyle name="50% 2 4 2 3" xfId="11315"/>
    <cellStyle name="50% 2 4 3" xfId="11316"/>
    <cellStyle name="50% 2 4 3 2" xfId="11317"/>
    <cellStyle name="50% 2 4 4" xfId="11318"/>
    <cellStyle name="50% 2 4 5" xfId="11319"/>
    <cellStyle name="50% 2 5" xfId="11320"/>
    <cellStyle name="50% 2 5 2" xfId="11321"/>
    <cellStyle name="50% 2 5 2 2" xfId="11322"/>
    <cellStyle name="50% 2 5 3" xfId="11323"/>
    <cellStyle name="50% 2 5 4" xfId="11324"/>
    <cellStyle name="50% 2 6" xfId="11325"/>
    <cellStyle name="50% 2 6 2" xfId="11326"/>
    <cellStyle name="50% 2 7" xfId="11327"/>
    <cellStyle name="50% 2 8" xfId="11328"/>
    <cellStyle name="50% 2 9" xfId="11329"/>
    <cellStyle name="50% 20" xfId="11330"/>
    <cellStyle name="50% 21" xfId="11331"/>
    <cellStyle name="50% 22" xfId="11332"/>
    <cellStyle name="50% 23" xfId="11333"/>
    <cellStyle name="50% 24" xfId="11334"/>
    <cellStyle name="50% 25" xfId="11335"/>
    <cellStyle name="50% 3" xfId="11336"/>
    <cellStyle name="50% 3 10" xfId="11337"/>
    <cellStyle name="50% 3 11" xfId="11338"/>
    <cellStyle name="50% 3 12" xfId="11339"/>
    <cellStyle name="50% 3 13" xfId="11340"/>
    <cellStyle name="50% 3 14" xfId="11341"/>
    <cellStyle name="50% 3 15" xfId="11342"/>
    <cellStyle name="50% 3 16" xfId="11343"/>
    <cellStyle name="50% 3 17" xfId="11344"/>
    <cellStyle name="50% 3 18" xfId="11345"/>
    <cellStyle name="50% 3 19" xfId="11346"/>
    <cellStyle name="50% 3 2" xfId="11347"/>
    <cellStyle name="50% 3 2 10" xfId="11348"/>
    <cellStyle name="50% 3 2 11" xfId="11349"/>
    <cellStyle name="50% 3 2 12" xfId="11350"/>
    <cellStyle name="50% 3 2 13" xfId="11351"/>
    <cellStyle name="50% 3 2 14" xfId="11352"/>
    <cellStyle name="50% 3 2 15" xfId="11353"/>
    <cellStyle name="50% 3 2 16" xfId="11354"/>
    <cellStyle name="50% 3 2 17" xfId="11355"/>
    <cellStyle name="50% 3 2 18" xfId="11356"/>
    <cellStyle name="50% 3 2 2" xfId="11357"/>
    <cellStyle name="50% 3 2 2 2" xfId="11358"/>
    <cellStyle name="50% 3 2 2 2 2" xfId="11359"/>
    <cellStyle name="50% 3 2 2 3" xfId="11360"/>
    <cellStyle name="50% 3 2 2 4" xfId="11361"/>
    <cellStyle name="50% 3 2 3" xfId="11362"/>
    <cellStyle name="50% 3 2 3 2" xfId="11363"/>
    <cellStyle name="50% 3 2 3 3" xfId="11364"/>
    <cellStyle name="50% 3 2 4" xfId="11365"/>
    <cellStyle name="50% 3 2 4 2" xfId="11366"/>
    <cellStyle name="50% 3 2 5" xfId="11367"/>
    <cellStyle name="50% 3 2 6" xfId="11368"/>
    <cellStyle name="50% 3 2 7" xfId="11369"/>
    <cellStyle name="50% 3 2 8" xfId="11370"/>
    <cellStyle name="50% 3 2 9" xfId="11371"/>
    <cellStyle name="50% 3 20" xfId="11372"/>
    <cellStyle name="50% 3 21" xfId="11373"/>
    <cellStyle name="50% 3 3" xfId="11374"/>
    <cellStyle name="50% 3 3 10" xfId="11375"/>
    <cellStyle name="50% 3 3 11" xfId="11376"/>
    <cellStyle name="50% 3 3 12" xfId="11377"/>
    <cellStyle name="50% 3 3 13" xfId="11378"/>
    <cellStyle name="50% 3 3 14" xfId="11379"/>
    <cellStyle name="50% 3 3 15" xfId="11380"/>
    <cellStyle name="50% 3 3 16" xfId="11381"/>
    <cellStyle name="50% 3 3 17" xfId="11382"/>
    <cellStyle name="50% 3 3 18" xfId="11383"/>
    <cellStyle name="50% 3 3 2" xfId="11384"/>
    <cellStyle name="50% 3 3 2 2" xfId="11385"/>
    <cellStyle name="50% 3 3 2 2 2" xfId="11386"/>
    <cellStyle name="50% 3 3 2 3" xfId="11387"/>
    <cellStyle name="50% 3 3 2 4" xfId="11388"/>
    <cellStyle name="50% 3 3 3" xfId="11389"/>
    <cellStyle name="50% 3 3 3 2" xfId="11390"/>
    <cellStyle name="50% 3 3 3 3" xfId="11391"/>
    <cellStyle name="50% 3 3 4" xfId="11392"/>
    <cellStyle name="50% 3 3 4 2" xfId="11393"/>
    <cellStyle name="50% 3 3 5" xfId="11394"/>
    <cellStyle name="50% 3 3 6" xfId="11395"/>
    <cellStyle name="50% 3 3 7" xfId="11396"/>
    <cellStyle name="50% 3 3 8" xfId="11397"/>
    <cellStyle name="50% 3 3 9" xfId="11398"/>
    <cellStyle name="50% 3 4" xfId="11399"/>
    <cellStyle name="50% 3 4 2" xfId="11400"/>
    <cellStyle name="50% 3 4 2 2" xfId="11401"/>
    <cellStyle name="50% 3 4 2 3" xfId="11402"/>
    <cellStyle name="50% 3 4 3" xfId="11403"/>
    <cellStyle name="50% 3 4 3 2" xfId="11404"/>
    <cellStyle name="50% 3 4 4" xfId="11405"/>
    <cellStyle name="50% 3 4 5" xfId="11406"/>
    <cellStyle name="50% 3 5" xfId="11407"/>
    <cellStyle name="50% 3 5 2" xfId="11408"/>
    <cellStyle name="50% 3 5 2 2" xfId="11409"/>
    <cellStyle name="50% 3 5 3" xfId="11410"/>
    <cellStyle name="50% 3 5 4" xfId="11411"/>
    <cellStyle name="50% 3 6" xfId="11412"/>
    <cellStyle name="50% 3 6 2" xfId="11413"/>
    <cellStyle name="50% 3 7" xfId="11414"/>
    <cellStyle name="50% 3 8" xfId="11415"/>
    <cellStyle name="50% 3 9" xfId="11416"/>
    <cellStyle name="50% 4" xfId="11417"/>
    <cellStyle name="50% 4 10" xfId="11418"/>
    <cellStyle name="50% 4 11" xfId="11419"/>
    <cellStyle name="50% 4 12" xfId="11420"/>
    <cellStyle name="50% 4 13" xfId="11421"/>
    <cellStyle name="50% 4 14" xfId="11422"/>
    <cellStyle name="50% 4 15" xfId="11423"/>
    <cellStyle name="50% 4 16" xfId="11424"/>
    <cellStyle name="50% 4 17" xfId="11425"/>
    <cellStyle name="50% 4 18" xfId="11426"/>
    <cellStyle name="50% 4 19" xfId="11427"/>
    <cellStyle name="50% 4 2" xfId="11428"/>
    <cellStyle name="50% 4 2 10" xfId="11429"/>
    <cellStyle name="50% 4 2 11" xfId="11430"/>
    <cellStyle name="50% 4 2 12" xfId="11431"/>
    <cellStyle name="50% 4 2 13" xfId="11432"/>
    <cellStyle name="50% 4 2 14" xfId="11433"/>
    <cellStyle name="50% 4 2 15" xfId="11434"/>
    <cellStyle name="50% 4 2 16" xfId="11435"/>
    <cellStyle name="50% 4 2 17" xfId="11436"/>
    <cellStyle name="50% 4 2 18" xfId="11437"/>
    <cellStyle name="50% 4 2 2" xfId="11438"/>
    <cellStyle name="50% 4 2 2 2" xfId="11439"/>
    <cellStyle name="50% 4 2 2 2 2" xfId="11440"/>
    <cellStyle name="50% 4 2 2 3" xfId="11441"/>
    <cellStyle name="50% 4 2 2 4" xfId="11442"/>
    <cellStyle name="50% 4 2 3" xfId="11443"/>
    <cellStyle name="50% 4 2 3 2" xfId="11444"/>
    <cellStyle name="50% 4 2 3 3" xfId="11445"/>
    <cellStyle name="50% 4 2 4" xfId="11446"/>
    <cellStyle name="50% 4 2 4 2" xfId="11447"/>
    <cellStyle name="50% 4 2 5" xfId="11448"/>
    <cellStyle name="50% 4 2 6" xfId="11449"/>
    <cellStyle name="50% 4 2 7" xfId="11450"/>
    <cellStyle name="50% 4 2 8" xfId="11451"/>
    <cellStyle name="50% 4 2 9" xfId="11452"/>
    <cellStyle name="50% 4 20" xfId="11453"/>
    <cellStyle name="50% 4 21" xfId="11454"/>
    <cellStyle name="50% 4 3" xfId="11455"/>
    <cellStyle name="50% 4 3 10" xfId="11456"/>
    <cellStyle name="50% 4 3 11" xfId="11457"/>
    <cellStyle name="50% 4 3 12" xfId="11458"/>
    <cellStyle name="50% 4 3 13" xfId="11459"/>
    <cellStyle name="50% 4 3 14" xfId="11460"/>
    <cellStyle name="50% 4 3 15" xfId="11461"/>
    <cellStyle name="50% 4 3 16" xfId="11462"/>
    <cellStyle name="50% 4 3 17" xfId="11463"/>
    <cellStyle name="50% 4 3 18" xfId="11464"/>
    <cellStyle name="50% 4 3 2" xfId="11465"/>
    <cellStyle name="50% 4 3 2 2" xfId="11466"/>
    <cellStyle name="50% 4 3 2 2 2" xfId="11467"/>
    <cellStyle name="50% 4 3 2 3" xfId="11468"/>
    <cellStyle name="50% 4 3 2 4" xfId="11469"/>
    <cellStyle name="50% 4 3 3" xfId="11470"/>
    <cellStyle name="50% 4 3 3 2" xfId="11471"/>
    <cellStyle name="50% 4 3 3 3" xfId="11472"/>
    <cellStyle name="50% 4 3 4" xfId="11473"/>
    <cellStyle name="50% 4 3 4 2" xfId="11474"/>
    <cellStyle name="50% 4 3 5" xfId="11475"/>
    <cellStyle name="50% 4 3 6" xfId="11476"/>
    <cellStyle name="50% 4 3 7" xfId="11477"/>
    <cellStyle name="50% 4 3 8" xfId="11478"/>
    <cellStyle name="50% 4 3 9" xfId="11479"/>
    <cellStyle name="50% 4 4" xfId="11480"/>
    <cellStyle name="50% 4 4 2" xfId="11481"/>
    <cellStyle name="50% 4 4 2 2" xfId="11482"/>
    <cellStyle name="50% 4 4 2 3" xfId="11483"/>
    <cellStyle name="50% 4 4 3" xfId="11484"/>
    <cellStyle name="50% 4 4 3 2" xfId="11485"/>
    <cellStyle name="50% 4 4 4" xfId="11486"/>
    <cellStyle name="50% 4 4 5" xfId="11487"/>
    <cellStyle name="50% 4 5" xfId="11488"/>
    <cellStyle name="50% 4 5 2" xfId="11489"/>
    <cellStyle name="50% 4 5 2 2" xfId="11490"/>
    <cellStyle name="50% 4 5 3" xfId="11491"/>
    <cellStyle name="50% 4 5 4" xfId="11492"/>
    <cellStyle name="50% 4 6" xfId="11493"/>
    <cellStyle name="50% 4 6 2" xfId="11494"/>
    <cellStyle name="50% 4 7" xfId="11495"/>
    <cellStyle name="50% 4 8" xfId="11496"/>
    <cellStyle name="50% 4 9" xfId="11497"/>
    <cellStyle name="50% 5" xfId="11498"/>
    <cellStyle name="50% 5 10" xfId="11499"/>
    <cellStyle name="50% 5 11" xfId="11500"/>
    <cellStyle name="50% 5 12" xfId="11501"/>
    <cellStyle name="50% 5 13" xfId="11502"/>
    <cellStyle name="50% 5 14" xfId="11503"/>
    <cellStyle name="50% 5 15" xfId="11504"/>
    <cellStyle name="50% 5 16" xfId="11505"/>
    <cellStyle name="50% 5 17" xfId="11506"/>
    <cellStyle name="50% 5 18" xfId="11507"/>
    <cellStyle name="50% 5 19" xfId="11508"/>
    <cellStyle name="50% 5 2" xfId="11509"/>
    <cellStyle name="50% 5 2 10" xfId="11510"/>
    <cellStyle name="50% 5 2 11" xfId="11511"/>
    <cellStyle name="50% 5 2 12" xfId="11512"/>
    <cellStyle name="50% 5 2 13" xfId="11513"/>
    <cellStyle name="50% 5 2 14" xfId="11514"/>
    <cellStyle name="50% 5 2 15" xfId="11515"/>
    <cellStyle name="50% 5 2 16" xfId="11516"/>
    <cellStyle name="50% 5 2 17" xfId="11517"/>
    <cellStyle name="50% 5 2 18" xfId="11518"/>
    <cellStyle name="50% 5 2 2" xfId="11519"/>
    <cellStyle name="50% 5 2 2 2" xfId="11520"/>
    <cellStyle name="50% 5 2 2 2 2" xfId="11521"/>
    <cellStyle name="50% 5 2 2 3" xfId="11522"/>
    <cellStyle name="50% 5 2 2 4" xfId="11523"/>
    <cellStyle name="50% 5 2 3" xfId="11524"/>
    <cellStyle name="50% 5 2 3 2" xfId="11525"/>
    <cellStyle name="50% 5 2 3 3" xfId="11526"/>
    <cellStyle name="50% 5 2 4" xfId="11527"/>
    <cellStyle name="50% 5 2 4 2" xfId="11528"/>
    <cellStyle name="50% 5 2 5" xfId="11529"/>
    <cellStyle name="50% 5 2 6" xfId="11530"/>
    <cellStyle name="50% 5 2 7" xfId="11531"/>
    <cellStyle name="50% 5 2 8" xfId="11532"/>
    <cellStyle name="50% 5 2 9" xfId="11533"/>
    <cellStyle name="50% 5 3" xfId="11534"/>
    <cellStyle name="50% 5 3 10" xfId="11535"/>
    <cellStyle name="50% 5 3 11" xfId="11536"/>
    <cellStyle name="50% 5 3 12" xfId="11537"/>
    <cellStyle name="50% 5 3 13" xfId="11538"/>
    <cellStyle name="50% 5 3 14" xfId="11539"/>
    <cellStyle name="50% 5 3 15" xfId="11540"/>
    <cellStyle name="50% 5 3 16" xfId="11541"/>
    <cellStyle name="50% 5 3 17" xfId="11542"/>
    <cellStyle name="50% 5 3 18" xfId="11543"/>
    <cellStyle name="50% 5 3 2" xfId="11544"/>
    <cellStyle name="50% 5 3 2 2" xfId="11545"/>
    <cellStyle name="50% 5 3 2 2 2" xfId="11546"/>
    <cellStyle name="50% 5 3 2 3" xfId="11547"/>
    <cellStyle name="50% 5 3 2 4" xfId="11548"/>
    <cellStyle name="50% 5 3 3" xfId="11549"/>
    <cellStyle name="50% 5 3 3 2" xfId="11550"/>
    <cellStyle name="50% 5 3 3 3" xfId="11551"/>
    <cellStyle name="50% 5 3 4" xfId="11552"/>
    <cellStyle name="50% 5 3 4 2" xfId="11553"/>
    <cellStyle name="50% 5 3 5" xfId="11554"/>
    <cellStyle name="50% 5 3 6" xfId="11555"/>
    <cellStyle name="50% 5 3 7" xfId="11556"/>
    <cellStyle name="50% 5 3 8" xfId="11557"/>
    <cellStyle name="50% 5 3 9" xfId="11558"/>
    <cellStyle name="50% 5 4" xfId="11559"/>
    <cellStyle name="50% 5 4 2" xfId="11560"/>
    <cellStyle name="50% 5 4 2 2" xfId="11561"/>
    <cellStyle name="50% 5 4 2 3" xfId="11562"/>
    <cellStyle name="50% 5 4 3" xfId="11563"/>
    <cellStyle name="50% 5 4 3 2" xfId="11564"/>
    <cellStyle name="50% 5 4 4" xfId="11565"/>
    <cellStyle name="50% 5 4 5" xfId="11566"/>
    <cellStyle name="50% 5 5" xfId="11567"/>
    <cellStyle name="50% 5 5 2" xfId="11568"/>
    <cellStyle name="50% 5 5 2 2" xfId="11569"/>
    <cellStyle name="50% 5 5 3" xfId="11570"/>
    <cellStyle name="50% 5 5 4" xfId="11571"/>
    <cellStyle name="50% 5 6" xfId="11572"/>
    <cellStyle name="50% 5 6 2" xfId="11573"/>
    <cellStyle name="50% 5 7" xfId="11574"/>
    <cellStyle name="50% 5 8" xfId="11575"/>
    <cellStyle name="50% 5 9" xfId="11576"/>
    <cellStyle name="50% 6" xfId="11577"/>
    <cellStyle name="50% 6 10" xfId="11578"/>
    <cellStyle name="50% 6 11" xfId="11579"/>
    <cellStyle name="50% 6 12" xfId="11580"/>
    <cellStyle name="50% 6 13" xfId="11581"/>
    <cellStyle name="50% 6 14" xfId="11582"/>
    <cellStyle name="50% 6 15" xfId="11583"/>
    <cellStyle name="50% 6 16" xfId="11584"/>
    <cellStyle name="50% 6 17" xfId="11585"/>
    <cellStyle name="50% 6 18" xfId="11586"/>
    <cellStyle name="50% 6 19" xfId="11587"/>
    <cellStyle name="50% 6 2" xfId="11588"/>
    <cellStyle name="50% 6 2 10" xfId="11589"/>
    <cellStyle name="50% 6 2 11" xfId="11590"/>
    <cellStyle name="50% 6 2 12" xfId="11591"/>
    <cellStyle name="50% 6 2 13" xfId="11592"/>
    <cellStyle name="50% 6 2 14" xfId="11593"/>
    <cellStyle name="50% 6 2 15" xfId="11594"/>
    <cellStyle name="50% 6 2 16" xfId="11595"/>
    <cellStyle name="50% 6 2 17" xfId="11596"/>
    <cellStyle name="50% 6 2 18" xfId="11597"/>
    <cellStyle name="50% 6 2 2" xfId="11598"/>
    <cellStyle name="50% 6 2 2 2" xfId="11599"/>
    <cellStyle name="50% 6 2 2 2 2" xfId="11600"/>
    <cellStyle name="50% 6 2 2 3" xfId="11601"/>
    <cellStyle name="50% 6 2 2 4" xfId="11602"/>
    <cellStyle name="50% 6 2 3" xfId="11603"/>
    <cellStyle name="50% 6 2 3 2" xfId="11604"/>
    <cellStyle name="50% 6 2 3 3" xfId="11605"/>
    <cellStyle name="50% 6 2 4" xfId="11606"/>
    <cellStyle name="50% 6 2 4 2" xfId="11607"/>
    <cellStyle name="50% 6 2 5" xfId="11608"/>
    <cellStyle name="50% 6 2 6" xfId="11609"/>
    <cellStyle name="50% 6 2 7" xfId="11610"/>
    <cellStyle name="50% 6 2 8" xfId="11611"/>
    <cellStyle name="50% 6 2 9" xfId="11612"/>
    <cellStyle name="50% 6 20" xfId="11613"/>
    <cellStyle name="50% 6 3" xfId="11614"/>
    <cellStyle name="50% 6 3 10" xfId="11615"/>
    <cellStyle name="50% 6 3 11" xfId="11616"/>
    <cellStyle name="50% 6 3 12" xfId="11617"/>
    <cellStyle name="50% 6 3 13" xfId="11618"/>
    <cellStyle name="50% 6 3 14" xfId="11619"/>
    <cellStyle name="50% 6 3 15" xfId="11620"/>
    <cellStyle name="50% 6 3 16" xfId="11621"/>
    <cellStyle name="50% 6 3 17" xfId="11622"/>
    <cellStyle name="50% 6 3 18" xfId="11623"/>
    <cellStyle name="50% 6 3 2" xfId="11624"/>
    <cellStyle name="50% 6 3 2 2" xfId="11625"/>
    <cellStyle name="50% 6 3 2 2 2" xfId="11626"/>
    <cellStyle name="50% 6 3 2 3" xfId="11627"/>
    <cellStyle name="50% 6 3 2 4" xfId="11628"/>
    <cellStyle name="50% 6 3 3" xfId="11629"/>
    <cellStyle name="50% 6 3 3 2" xfId="11630"/>
    <cellStyle name="50% 6 3 3 3" xfId="11631"/>
    <cellStyle name="50% 6 3 4" xfId="11632"/>
    <cellStyle name="50% 6 3 4 2" xfId="11633"/>
    <cellStyle name="50% 6 3 5" xfId="11634"/>
    <cellStyle name="50% 6 3 6" xfId="11635"/>
    <cellStyle name="50% 6 3 7" xfId="11636"/>
    <cellStyle name="50% 6 3 8" xfId="11637"/>
    <cellStyle name="50% 6 3 9" xfId="11638"/>
    <cellStyle name="50% 6 4" xfId="11639"/>
    <cellStyle name="50% 6 4 2" xfId="11640"/>
    <cellStyle name="50% 6 4 2 2" xfId="11641"/>
    <cellStyle name="50% 6 4 2 3" xfId="11642"/>
    <cellStyle name="50% 6 4 3" xfId="11643"/>
    <cellStyle name="50% 6 4 3 2" xfId="11644"/>
    <cellStyle name="50% 6 4 4" xfId="11645"/>
    <cellStyle name="50% 6 4 5" xfId="11646"/>
    <cellStyle name="50% 6 5" xfId="11647"/>
    <cellStyle name="50% 6 5 2" xfId="11648"/>
    <cellStyle name="50% 6 5 2 2" xfId="11649"/>
    <cellStyle name="50% 6 5 3" xfId="11650"/>
    <cellStyle name="50% 6 5 4" xfId="11651"/>
    <cellStyle name="50% 6 6" xfId="11652"/>
    <cellStyle name="50% 6 6 2" xfId="11653"/>
    <cellStyle name="50% 6 7" xfId="11654"/>
    <cellStyle name="50% 6 8" xfId="11655"/>
    <cellStyle name="50% 6 9" xfId="11656"/>
    <cellStyle name="50% 7" xfId="11657"/>
    <cellStyle name="50% 7 10" xfId="11658"/>
    <cellStyle name="50% 7 11" xfId="11659"/>
    <cellStyle name="50% 7 12" xfId="11660"/>
    <cellStyle name="50% 7 13" xfId="11661"/>
    <cellStyle name="50% 7 14" xfId="11662"/>
    <cellStyle name="50% 7 15" xfId="11663"/>
    <cellStyle name="50% 7 16" xfId="11664"/>
    <cellStyle name="50% 7 17" xfId="11665"/>
    <cellStyle name="50% 7 2" xfId="11666"/>
    <cellStyle name="50% 7 2 2" xfId="11667"/>
    <cellStyle name="50% 7 2 2 2" xfId="11668"/>
    <cellStyle name="50% 7 2 3" xfId="11669"/>
    <cellStyle name="50% 7 2 4" xfId="11670"/>
    <cellStyle name="50% 7 3" xfId="11671"/>
    <cellStyle name="50% 7 3 2" xfId="11672"/>
    <cellStyle name="50% 7 4" xfId="11673"/>
    <cellStyle name="50% 7 5" xfId="11674"/>
    <cellStyle name="50% 7 6" xfId="11675"/>
    <cellStyle name="50% 7 7" xfId="11676"/>
    <cellStyle name="50% 7 8" xfId="11677"/>
    <cellStyle name="50% 7 9" xfId="11678"/>
    <cellStyle name="50% 8" xfId="11679"/>
    <cellStyle name="50% 8 2" xfId="11680"/>
    <cellStyle name="50% 8 2 2" xfId="11681"/>
    <cellStyle name="50% 8 2 2 2" xfId="11682"/>
    <cellStyle name="50% 8 2 3" xfId="11683"/>
    <cellStyle name="50% 8 2 4" xfId="11684"/>
    <cellStyle name="50% 8 3" xfId="11685"/>
    <cellStyle name="50% 8 3 2" xfId="11686"/>
    <cellStyle name="50% 8 3 3" xfId="11687"/>
    <cellStyle name="50% 8 4" xfId="11688"/>
    <cellStyle name="50% 8 4 2" xfId="11689"/>
    <cellStyle name="50% 8 5" xfId="11690"/>
    <cellStyle name="50% 8 6" xfId="11691"/>
    <cellStyle name="50% 9" xfId="11692"/>
    <cellStyle name="50% 9 2" xfId="11693"/>
    <cellStyle name="50% 9 2 2" xfId="11694"/>
    <cellStyle name="50% 9 3" xfId="11695"/>
    <cellStyle name="50% 9 4" xfId="11696"/>
    <cellStyle name="60% - Accent1" xfId="11697"/>
    <cellStyle name="60% - Accent1 2" xfId="11698"/>
    <cellStyle name="60% - Accent2" xfId="11699"/>
    <cellStyle name="60% - Accent2 2" xfId="11700"/>
    <cellStyle name="60% - Accent3" xfId="11701"/>
    <cellStyle name="60% - Accent3 2" xfId="11702"/>
    <cellStyle name="60% - Accent4" xfId="11703"/>
    <cellStyle name="60% - Accent4 2" xfId="11704"/>
    <cellStyle name="60% - Accent5" xfId="11705"/>
    <cellStyle name="60% - Accent5 2" xfId="11706"/>
    <cellStyle name="60% - Accent6" xfId="11707"/>
    <cellStyle name="60% - Accent6 2" xfId="11708"/>
    <cellStyle name="60% - Акцент1 10" xfId="11709"/>
    <cellStyle name="60% - Акцент1 10 2" xfId="11710"/>
    <cellStyle name="60% - Акцент1 10 3" xfId="11711"/>
    <cellStyle name="60% - Акцент1 11" xfId="11712"/>
    <cellStyle name="60% - Акцент1 11 2" xfId="11713"/>
    <cellStyle name="60% - Акцент1 11 3" xfId="11714"/>
    <cellStyle name="60% - Акцент1 12" xfId="11715"/>
    <cellStyle name="60% - Акцент1 12 2" xfId="11716"/>
    <cellStyle name="60% - Акцент1 12 3" xfId="11717"/>
    <cellStyle name="60% - Акцент1 13" xfId="11718"/>
    <cellStyle name="60% - Акцент1 14" xfId="11719"/>
    <cellStyle name="60% - Акцент1 14 2" xfId="11720"/>
    <cellStyle name="60% - Акцент1 14 3" xfId="11721"/>
    <cellStyle name="60% - Акцент1 14 3 2" xfId="11722"/>
    <cellStyle name="60% - Акцент1 14 4" xfId="11723"/>
    <cellStyle name="60% - Акцент1 14 5" xfId="11724"/>
    <cellStyle name="60% - Акцент1 14 6" xfId="11725"/>
    <cellStyle name="60% - Акцент1 15" xfId="11726"/>
    <cellStyle name="60% - Акцент1 16" xfId="11727"/>
    <cellStyle name="60% - Акцент1 16 2" xfId="11728"/>
    <cellStyle name="60% - Акцент1 17" xfId="11729"/>
    <cellStyle name="60% - Акцент1 2" xfId="11730"/>
    <cellStyle name="60% - Акцент1 2 2" xfId="11731"/>
    <cellStyle name="60% - Акцент1 2 3" xfId="11732"/>
    <cellStyle name="60% - Акцент1 3" xfId="11733"/>
    <cellStyle name="60% - Акцент1 3 2" xfId="11734"/>
    <cellStyle name="60% - Акцент1 3 3" xfId="11735"/>
    <cellStyle name="60% - Акцент1 4" xfId="11736"/>
    <cellStyle name="60% - Акцент1 4 2" xfId="11737"/>
    <cellStyle name="60% - Акцент1 4 3" xfId="11738"/>
    <cellStyle name="60% - Акцент1 5" xfId="11739"/>
    <cellStyle name="60% - Акцент1 5 2" xfId="11740"/>
    <cellStyle name="60% - Акцент1 5 3" xfId="11741"/>
    <cellStyle name="60% - Акцент1 6" xfId="11742"/>
    <cellStyle name="60% - Акцент1 6 2" xfId="11743"/>
    <cellStyle name="60% - Акцент1 6 3" xfId="11744"/>
    <cellStyle name="60% - Акцент1 7" xfId="11745"/>
    <cellStyle name="60% - Акцент1 7 2" xfId="11746"/>
    <cellStyle name="60% - Акцент1 7 3" xfId="11747"/>
    <cellStyle name="60% - Акцент1 8" xfId="11748"/>
    <cellStyle name="60% - Акцент1 8 2" xfId="11749"/>
    <cellStyle name="60% - Акцент1 8 3" xfId="11750"/>
    <cellStyle name="60% - Акцент1 9" xfId="11751"/>
    <cellStyle name="60% - Акцент1 9 2" xfId="11752"/>
    <cellStyle name="60% - Акцент1 9 3" xfId="11753"/>
    <cellStyle name="60% - Акцент2 10" xfId="11754"/>
    <cellStyle name="60% - Акцент2 10 2" xfId="11755"/>
    <cellStyle name="60% - Акцент2 10 3" xfId="11756"/>
    <cellStyle name="60% - Акцент2 11" xfId="11757"/>
    <cellStyle name="60% - Акцент2 11 2" xfId="11758"/>
    <cellStyle name="60% - Акцент2 11 3" xfId="11759"/>
    <cellStyle name="60% - Акцент2 12" xfId="11760"/>
    <cellStyle name="60% - Акцент2 12 2" xfId="11761"/>
    <cellStyle name="60% - Акцент2 12 3" xfId="11762"/>
    <cellStyle name="60% - Акцент2 13" xfId="11763"/>
    <cellStyle name="60% - Акцент2 14" xfId="11764"/>
    <cellStyle name="60% - Акцент2 2" xfId="11765"/>
    <cellStyle name="60% - Акцент2 2 2" xfId="11766"/>
    <cellStyle name="60% - Акцент2 2 3" xfId="11767"/>
    <cellStyle name="60% - Акцент2 2 4" xfId="11768"/>
    <cellStyle name="60% - Акцент2 3" xfId="11769"/>
    <cellStyle name="60% - Акцент2 3 2" xfId="11770"/>
    <cellStyle name="60% - Акцент2 3 3" xfId="11771"/>
    <cellStyle name="60% - Акцент2 4" xfId="11772"/>
    <cellStyle name="60% - Акцент2 4 2" xfId="11773"/>
    <cellStyle name="60% - Акцент2 4 3" xfId="11774"/>
    <cellStyle name="60% - Акцент2 5" xfId="11775"/>
    <cellStyle name="60% - Акцент2 5 2" xfId="11776"/>
    <cellStyle name="60% - Акцент2 5 3" xfId="11777"/>
    <cellStyle name="60% - Акцент2 6" xfId="11778"/>
    <cellStyle name="60% - Акцент2 6 2" xfId="11779"/>
    <cellStyle name="60% - Акцент2 6 3" xfId="11780"/>
    <cellStyle name="60% - Акцент2 7" xfId="11781"/>
    <cellStyle name="60% - Акцент2 7 2" xfId="11782"/>
    <cellStyle name="60% - Акцент2 7 3" xfId="11783"/>
    <cellStyle name="60% - Акцент2 8" xfId="11784"/>
    <cellStyle name="60% - Акцент2 8 2" xfId="11785"/>
    <cellStyle name="60% - Акцент2 8 3" xfId="11786"/>
    <cellStyle name="60% - Акцент2 9" xfId="11787"/>
    <cellStyle name="60% - Акцент2 9 2" xfId="11788"/>
    <cellStyle name="60% - Акцент2 9 3" xfId="11789"/>
    <cellStyle name="60% - Акцент3 10" xfId="11790"/>
    <cellStyle name="60% - Акцент3 10 2" xfId="11791"/>
    <cellStyle name="60% - Акцент3 10 3" xfId="11792"/>
    <cellStyle name="60% - Акцент3 11" xfId="11793"/>
    <cellStyle name="60% - Акцент3 11 2" xfId="11794"/>
    <cellStyle name="60% - Акцент3 11 3" xfId="11795"/>
    <cellStyle name="60% - Акцент3 12" xfId="11796"/>
    <cellStyle name="60% - Акцент3 12 2" xfId="11797"/>
    <cellStyle name="60% - Акцент3 12 3" xfId="11798"/>
    <cellStyle name="60% - Акцент3 13" xfId="11799"/>
    <cellStyle name="60% - Акцент3 14" xfId="11800"/>
    <cellStyle name="60% - Акцент3 14 2" xfId="11801"/>
    <cellStyle name="60% - Акцент3 14 3" xfId="11802"/>
    <cellStyle name="60% - Акцент3 14 3 2" xfId="11803"/>
    <cellStyle name="60% - Акцент3 14 4" xfId="11804"/>
    <cellStyle name="60% - Акцент3 14 5" xfId="11805"/>
    <cellStyle name="60% - Акцент3 14 6" xfId="11806"/>
    <cellStyle name="60% - Акцент3 15" xfId="11807"/>
    <cellStyle name="60% - Акцент3 16" xfId="11808"/>
    <cellStyle name="60% - Акцент3 16 2" xfId="11809"/>
    <cellStyle name="60% - Акцент3 17" xfId="11810"/>
    <cellStyle name="60% - Акцент3 2" xfId="11811"/>
    <cellStyle name="60% - Акцент3 2 2" xfId="11812"/>
    <cellStyle name="60% - Акцент3 2 3" xfId="11813"/>
    <cellStyle name="60% - Акцент3 3" xfId="11814"/>
    <cellStyle name="60% - Акцент3 3 2" xfId="11815"/>
    <cellStyle name="60% - Акцент3 3 3" xfId="11816"/>
    <cellStyle name="60% - Акцент3 4" xfId="11817"/>
    <cellStyle name="60% - Акцент3 4 2" xfId="11818"/>
    <cellStyle name="60% - Акцент3 4 3" xfId="11819"/>
    <cellStyle name="60% - Акцент3 5" xfId="11820"/>
    <cellStyle name="60% - Акцент3 5 2" xfId="11821"/>
    <cellStyle name="60% - Акцент3 5 3" xfId="11822"/>
    <cellStyle name="60% - Акцент3 6" xfId="11823"/>
    <cellStyle name="60% - Акцент3 6 2" xfId="11824"/>
    <cellStyle name="60% - Акцент3 6 3" xfId="11825"/>
    <cellStyle name="60% - Акцент3 7" xfId="11826"/>
    <cellStyle name="60% - Акцент3 7 2" xfId="11827"/>
    <cellStyle name="60% - Акцент3 7 3" xfId="11828"/>
    <cellStyle name="60% - Акцент3 8" xfId="11829"/>
    <cellStyle name="60% - Акцент3 8 2" xfId="11830"/>
    <cellStyle name="60% - Акцент3 8 3" xfId="11831"/>
    <cellStyle name="60% - Акцент3 9" xfId="11832"/>
    <cellStyle name="60% - Акцент3 9 2" xfId="11833"/>
    <cellStyle name="60% - Акцент3 9 3" xfId="11834"/>
    <cellStyle name="60% - Акцент4 10" xfId="11835"/>
    <cellStyle name="60% - Акцент4 10 2" xfId="11836"/>
    <cellStyle name="60% - Акцент4 10 3" xfId="11837"/>
    <cellStyle name="60% - Акцент4 11" xfId="11838"/>
    <cellStyle name="60% - Акцент4 11 2" xfId="11839"/>
    <cellStyle name="60% - Акцент4 11 3" xfId="11840"/>
    <cellStyle name="60% - Акцент4 12" xfId="11841"/>
    <cellStyle name="60% - Акцент4 12 2" xfId="11842"/>
    <cellStyle name="60% - Акцент4 12 3" xfId="11843"/>
    <cellStyle name="60% - Акцент4 13" xfId="11844"/>
    <cellStyle name="60% - Акцент4 14" xfId="11845"/>
    <cellStyle name="60% - Акцент4 14 2" xfId="11846"/>
    <cellStyle name="60% - Акцент4 14 3" xfId="11847"/>
    <cellStyle name="60% - Акцент4 14 3 2" xfId="11848"/>
    <cellStyle name="60% - Акцент4 14 4" xfId="11849"/>
    <cellStyle name="60% - Акцент4 14 5" xfId="11850"/>
    <cellStyle name="60% - Акцент4 14 6" xfId="11851"/>
    <cellStyle name="60% - Акцент4 15" xfId="11852"/>
    <cellStyle name="60% - Акцент4 16" xfId="11853"/>
    <cellStyle name="60% - Акцент4 16 2" xfId="11854"/>
    <cellStyle name="60% - Акцент4 17" xfId="11855"/>
    <cellStyle name="60% - Акцент4 2" xfId="11856"/>
    <cellStyle name="60% - Акцент4 2 2" xfId="11857"/>
    <cellStyle name="60% - Акцент4 2 3" xfId="11858"/>
    <cellStyle name="60% - Акцент4 3" xfId="11859"/>
    <cellStyle name="60% - Акцент4 3 2" xfId="11860"/>
    <cellStyle name="60% - Акцент4 3 3" xfId="11861"/>
    <cellStyle name="60% - Акцент4 4" xfId="11862"/>
    <cellStyle name="60% - Акцент4 4 2" xfId="11863"/>
    <cellStyle name="60% - Акцент4 4 3" xfId="11864"/>
    <cellStyle name="60% - Акцент4 5" xfId="11865"/>
    <cellStyle name="60% - Акцент4 5 2" xfId="11866"/>
    <cellStyle name="60% - Акцент4 5 3" xfId="11867"/>
    <cellStyle name="60% - Акцент4 6" xfId="11868"/>
    <cellStyle name="60% - Акцент4 6 2" xfId="11869"/>
    <cellStyle name="60% - Акцент4 6 3" xfId="11870"/>
    <cellStyle name="60% - Акцент4 7" xfId="11871"/>
    <cellStyle name="60% - Акцент4 7 2" xfId="11872"/>
    <cellStyle name="60% - Акцент4 7 3" xfId="11873"/>
    <cellStyle name="60% - Акцент4 8" xfId="11874"/>
    <cellStyle name="60% - Акцент4 8 2" xfId="11875"/>
    <cellStyle name="60% - Акцент4 8 3" xfId="11876"/>
    <cellStyle name="60% - Акцент4 9" xfId="11877"/>
    <cellStyle name="60% - Акцент4 9 2" xfId="11878"/>
    <cellStyle name="60% - Акцент4 9 3" xfId="11879"/>
    <cellStyle name="60% - Акцент5 10" xfId="11880"/>
    <cellStyle name="60% - Акцент5 10 2" xfId="11881"/>
    <cellStyle name="60% - Акцент5 10 3" xfId="11882"/>
    <cellStyle name="60% - Акцент5 11" xfId="11883"/>
    <cellStyle name="60% - Акцент5 11 2" xfId="11884"/>
    <cellStyle name="60% - Акцент5 11 3" xfId="11885"/>
    <cellStyle name="60% - Акцент5 12" xfId="11886"/>
    <cellStyle name="60% - Акцент5 12 2" xfId="11887"/>
    <cellStyle name="60% - Акцент5 12 3" xfId="11888"/>
    <cellStyle name="60% - Акцент5 13" xfId="11889"/>
    <cellStyle name="60% - Акцент5 14" xfId="11890"/>
    <cellStyle name="60% - Акцент5 2" xfId="11891"/>
    <cellStyle name="60% - Акцент5 2 2" xfId="11892"/>
    <cellStyle name="60% - Акцент5 2 3" xfId="11893"/>
    <cellStyle name="60% - Акцент5 2 4" xfId="11894"/>
    <cellStyle name="60% - Акцент5 3" xfId="11895"/>
    <cellStyle name="60% - Акцент5 3 2" xfId="11896"/>
    <cellStyle name="60% - Акцент5 3 3" xfId="11897"/>
    <cellStyle name="60% - Акцент5 4" xfId="11898"/>
    <cellStyle name="60% - Акцент5 4 2" xfId="11899"/>
    <cellStyle name="60% - Акцент5 4 3" xfId="11900"/>
    <cellStyle name="60% - Акцент5 5" xfId="11901"/>
    <cellStyle name="60% - Акцент5 5 2" xfId="11902"/>
    <cellStyle name="60% - Акцент5 5 3" xfId="11903"/>
    <cellStyle name="60% - Акцент5 6" xfId="11904"/>
    <cellStyle name="60% - Акцент5 6 2" xfId="11905"/>
    <cellStyle name="60% - Акцент5 6 3" xfId="11906"/>
    <cellStyle name="60% - Акцент5 7" xfId="11907"/>
    <cellStyle name="60% - Акцент5 7 2" xfId="11908"/>
    <cellStyle name="60% - Акцент5 7 3" xfId="11909"/>
    <cellStyle name="60% - Акцент5 8" xfId="11910"/>
    <cellStyle name="60% - Акцент5 8 2" xfId="11911"/>
    <cellStyle name="60% - Акцент5 8 3" xfId="11912"/>
    <cellStyle name="60% - Акцент5 9" xfId="11913"/>
    <cellStyle name="60% - Акцент5 9 2" xfId="11914"/>
    <cellStyle name="60% - Акцент5 9 3" xfId="11915"/>
    <cellStyle name="60% - Акцент6 10" xfId="11916"/>
    <cellStyle name="60% - Акцент6 10 2" xfId="11917"/>
    <cellStyle name="60% - Акцент6 10 3" xfId="11918"/>
    <cellStyle name="60% - Акцент6 11" xfId="11919"/>
    <cellStyle name="60% - Акцент6 11 2" xfId="11920"/>
    <cellStyle name="60% - Акцент6 11 3" xfId="11921"/>
    <cellStyle name="60% - Акцент6 12" xfId="11922"/>
    <cellStyle name="60% - Акцент6 12 2" xfId="11923"/>
    <cellStyle name="60% - Акцент6 12 3" xfId="11924"/>
    <cellStyle name="60% - Акцент6 13" xfId="11925"/>
    <cellStyle name="60% - Акцент6 14" xfId="11926"/>
    <cellStyle name="60% - Акцент6 14 2" xfId="11927"/>
    <cellStyle name="60% - Акцент6 14 3" xfId="11928"/>
    <cellStyle name="60% - Акцент6 14 3 2" xfId="11929"/>
    <cellStyle name="60% - Акцент6 14 4" xfId="11930"/>
    <cellStyle name="60% - Акцент6 14 5" xfId="11931"/>
    <cellStyle name="60% - Акцент6 14 6" xfId="11932"/>
    <cellStyle name="60% - Акцент6 15" xfId="11933"/>
    <cellStyle name="60% - Акцент6 16" xfId="11934"/>
    <cellStyle name="60% - Акцент6 16 2" xfId="11935"/>
    <cellStyle name="60% - Акцент6 17" xfId="11936"/>
    <cellStyle name="60% - Акцент6 2" xfId="11937"/>
    <cellStyle name="60% - Акцент6 2 2" xfId="11938"/>
    <cellStyle name="60% - Акцент6 2 3" xfId="11939"/>
    <cellStyle name="60% - Акцент6 3" xfId="11940"/>
    <cellStyle name="60% - Акцент6 3 2" xfId="11941"/>
    <cellStyle name="60% - Акцент6 3 3" xfId="11942"/>
    <cellStyle name="60% - Акцент6 4" xfId="11943"/>
    <cellStyle name="60% - Акцент6 4 2" xfId="11944"/>
    <cellStyle name="60% - Акцент6 4 3" xfId="11945"/>
    <cellStyle name="60% - Акцент6 5" xfId="11946"/>
    <cellStyle name="60% - Акцент6 5 2" xfId="11947"/>
    <cellStyle name="60% - Акцент6 5 3" xfId="11948"/>
    <cellStyle name="60% - Акцент6 6" xfId="11949"/>
    <cellStyle name="60% - Акцент6 6 2" xfId="11950"/>
    <cellStyle name="60% - Акцент6 6 3" xfId="11951"/>
    <cellStyle name="60% - Акцент6 7" xfId="11952"/>
    <cellStyle name="60% - Акцент6 7 2" xfId="11953"/>
    <cellStyle name="60% - Акцент6 7 3" xfId="11954"/>
    <cellStyle name="60% - Акцент6 8" xfId="11955"/>
    <cellStyle name="60% - Акцент6 8 2" xfId="11956"/>
    <cellStyle name="60% - Акцент6 8 3" xfId="11957"/>
    <cellStyle name="60% - Акцент6 9" xfId="11958"/>
    <cellStyle name="60% - Акцент6 9 2" xfId="11959"/>
    <cellStyle name="60% - Акцент6 9 3" xfId="11960"/>
    <cellStyle name="6Code" xfId="11961"/>
    <cellStyle name="6Code 2" xfId="11962"/>
    <cellStyle name="75%" xfId="11963"/>
    <cellStyle name="75% 10" xfId="11964"/>
    <cellStyle name="75% 11" xfId="11965"/>
    <cellStyle name="75% 12" xfId="11966"/>
    <cellStyle name="75% 13" xfId="11967"/>
    <cellStyle name="75% 14" xfId="11968"/>
    <cellStyle name="75% 15" xfId="11969"/>
    <cellStyle name="75% 16" xfId="11970"/>
    <cellStyle name="75% 17" xfId="11971"/>
    <cellStyle name="75% 18" xfId="11972"/>
    <cellStyle name="75% 19" xfId="11973"/>
    <cellStyle name="75% 2" xfId="11974"/>
    <cellStyle name="75% 2 10" xfId="11975"/>
    <cellStyle name="75% 2 11" xfId="11976"/>
    <cellStyle name="75% 2 12" xfId="11977"/>
    <cellStyle name="75% 2 13" xfId="11978"/>
    <cellStyle name="75% 2 14" xfId="11979"/>
    <cellStyle name="75% 2 15" xfId="11980"/>
    <cellStyle name="75% 2 16" xfId="11981"/>
    <cellStyle name="75% 2 17" xfId="11982"/>
    <cellStyle name="75% 2 18" xfId="11983"/>
    <cellStyle name="75% 2 19" xfId="11984"/>
    <cellStyle name="75% 2 2" xfId="11985"/>
    <cellStyle name="75% 2 2 10" xfId="11986"/>
    <cellStyle name="75% 2 2 11" xfId="11987"/>
    <cellStyle name="75% 2 2 12" xfId="11988"/>
    <cellStyle name="75% 2 2 13" xfId="11989"/>
    <cellStyle name="75% 2 2 14" xfId="11990"/>
    <cellStyle name="75% 2 2 15" xfId="11991"/>
    <cellStyle name="75% 2 2 16" xfId="11992"/>
    <cellStyle name="75% 2 2 17" xfId="11993"/>
    <cellStyle name="75% 2 2 18" xfId="11994"/>
    <cellStyle name="75% 2 2 2" xfId="11995"/>
    <cellStyle name="75% 2 2 2 2" xfId="11996"/>
    <cellStyle name="75% 2 2 2 2 2" xfId="11997"/>
    <cellStyle name="75% 2 2 2 3" xfId="11998"/>
    <cellStyle name="75% 2 2 2 4" xfId="11999"/>
    <cellStyle name="75% 2 2 3" xfId="12000"/>
    <cellStyle name="75% 2 2 3 2" xfId="12001"/>
    <cellStyle name="75% 2 2 3 3" xfId="12002"/>
    <cellStyle name="75% 2 2 4" xfId="12003"/>
    <cellStyle name="75% 2 2 4 2" xfId="12004"/>
    <cellStyle name="75% 2 2 5" xfId="12005"/>
    <cellStyle name="75% 2 2 6" xfId="12006"/>
    <cellStyle name="75% 2 2 7" xfId="12007"/>
    <cellStyle name="75% 2 2 8" xfId="12008"/>
    <cellStyle name="75% 2 2 9" xfId="12009"/>
    <cellStyle name="75% 2 3" xfId="12010"/>
    <cellStyle name="75% 2 3 10" xfId="12011"/>
    <cellStyle name="75% 2 3 11" xfId="12012"/>
    <cellStyle name="75% 2 3 12" xfId="12013"/>
    <cellStyle name="75% 2 3 13" xfId="12014"/>
    <cellStyle name="75% 2 3 14" xfId="12015"/>
    <cellStyle name="75% 2 3 15" xfId="12016"/>
    <cellStyle name="75% 2 3 16" xfId="12017"/>
    <cellStyle name="75% 2 3 17" xfId="12018"/>
    <cellStyle name="75% 2 3 18" xfId="12019"/>
    <cellStyle name="75% 2 3 2" xfId="12020"/>
    <cellStyle name="75% 2 3 2 2" xfId="12021"/>
    <cellStyle name="75% 2 3 2 2 2" xfId="12022"/>
    <cellStyle name="75% 2 3 2 3" xfId="12023"/>
    <cellStyle name="75% 2 3 2 4" xfId="12024"/>
    <cellStyle name="75% 2 3 3" xfId="12025"/>
    <cellStyle name="75% 2 3 3 2" xfId="12026"/>
    <cellStyle name="75% 2 3 3 3" xfId="12027"/>
    <cellStyle name="75% 2 3 4" xfId="12028"/>
    <cellStyle name="75% 2 3 4 2" xfId="12029"/>
    <cellStyle name="75% 2 3 5" xfId="12030"/>
    <cellStyle name="75% 2 3 6" xfId="12031"/>
    <cellStyle name="75% 2 3 7" xfId="12032"/>
    <cellStyle name="75% 2 3 8" xfId="12033"/>
    <cellStyle name="75% 2 3 9" xfId="12034"/>
    <cellStyle name="75% 2 4" xfId="12035"/>
    <cellStyle name="75% 2 4 2" xfId="12036"/>
    <cellStyle name="75% 2 4 2 2" xfId="12037"/>
    <cellStyle name="75% 2 4 2 3" xfId="12038"/>
    <cellStyle name="75% 2 4 3" xfId="12039"/>
    <cellStyle name="75% 2 4 3 2" xfId="12040"/>
    <cellStyle name="75% 2 4 4" xfId="12041"/>
    <cellStyle name="75% 2 4 5" xfId="12042"/>
    <cellStyle name="75% 2 5" xfId="12043"/>
    <cellStyle name="75% 2 5 2" xfId="12044"/>
    <cellStyle name="75% 2 5 2 2" xfId="12045"/>
    <cellStyle name="75% 2 5 3" xfId="12046"/>
    <cellStyle name="75% 2 5 4" xfId="12047"/>
    <cellStyle name="75% 2 6" xfId="12048"/>
    <cellStyle name="75% 2 6 2" xfId="12049"/>
    <cellStyle name="75% 2 7" xfId="12050"/>
    <cellStyle name="75% 2 8" xfId="12051"/>
    <cellStyle name="75% 2 9" xfId="12052"/>
    <cellStyle name="75% 20" xfId="12053"/>
    <cellStyle name="75% 21" xfId="12054"/>
    <cellStyle name="75% 22" xfId="12055"/>
    <cellStyle name="75% 23" xfId="12056"/>
    <cellStyle name="75% 24" xfId="12057"/>
    <cellStyle name="75% 25" xfId="12058"/>
    <cellStyle name="75% 3" xfId="12059"/>
    <cellStyle name="75% 3 10" xfId="12060"/>
    <cellStyle name="75% 3 11" xfId="12061"/>
    <cellStyle name="75% 3 12" xfId="12062"/>
    <cellStyle name="75% 3 13" xfId="12063"/>
    <cellStyle name="75% 3 14" xfId="12064"/>
    <cellStyle name="75% 3 15" xfId="12065"/>
    <cellStyle name="75% 3 16" xfId="12066"/>
    <cellStyle name="75% 3 17" xfId="12067"/>
    <cellStyle name="75% 3 18" xfId="12068"/>
    <cellStyle name="75% 3 19" xfId="12069"/>
    <cellStyle name="75% 3 2" xfId="12070"/>
    <cellStyle name="75% 3 2 10" xfId="12071"/>
    <cellStyle name="75% 3 2 11" xfId="12072"/>
    <cellStyle name="75% 3 2 12" xfId="12073"/>
    <cellStyle name="75% 3 2 13" xfId="12074"/>
    <cellStyle name="75% 3 2 14" xfId="12075"/>
    <cellStyle name="75% 3 2 15" xfId="12076"/>
    <cellStyle name="75% 3 2 16" xfId="12077"/>
    <cellStyle name="75% 3 2 17" xfId="12078"/>
    <cellStyle name="75% 3 2 18" xfId="12079"/>
    <cellStyle name="75% 3 2 2" xfId="12080"/>
    <cellStyle name="75% 3 2 2 2" xfId="12081"/>
    <cellStyle name="75% 3 2 2 2 2" xfId="12082"/>
    <cellStyle name="75% 3 2 2 3" xfId="12083"/>
    <cellStyle name="75% 3 2 2 4" xfId="12084"/>
    <cellStyle name="75% 3 2 3" xfId="12085"/>
    <cellStyle name="75% 3 2 3 2" xfId="12086"/>
    <cellStyle name="75% 3 2 3 3" xfId="12087"/>
    <cellStyle name="75% 3 2 4" xfId="12088"/>
    <cellStyle name="75% 3 2 4 2" xfId="12089"/>
    <cellStyle name="75% 3 2 5" xfId="12090"/>
    <cellStyle name="75% 3 2 6" xfId="12091"/>
    <cellStyle name="75% 3 2 7" xfId="12092"/>
    <cellStyle name="75% 3 2 8" xfId="12093"/>
    <cellStyle name="75% 3 2 9" xfId="12094"/>
    <cellStyle name="75% 3 20" xfId="12095"/>
    <cellStyle name="75% 3 21" xfId="12096"/>
    <cellStyle name="75% 3 3" xfId="12097"/>
    <cellStyle name="75% 3 3 10" xfId="12098"/>
    <cellStyle name="75% 3 3 11" xfId="12099"/>
    <cellStyle name="75% 3 3 12" xfId="12100"/>
    <cellStyle name="75% 3 3 13" xfId="12101"/>
    <cellStyle name="75% 3 3 14" xfId="12102"/>
    <cellStyle name="75% 3 3 15" xfId="12103"/>
    <cellStyle name="75% 3 3 16" xfId="12104"/>
    <cellStyle name="75% 3 3 17" xfId="12105"/>
    <cellStyle name="75% 3 3 18" xfId="12106"/>
    <cellStyle name="75% 3 3 2" xfId="12107"/>
    <cellStyle name="75% 3 3 2 2" xfId="12108"/>
    <cellStyle name="75% 3 3 2 2 2" xfId="12109"/>
    <cellStyle name="75% 3 3 2 3" xfId="12110"/>
    <cellStyle name="75% 3 3 2 4" xfId="12111"/>
    <cellStyle name="75% 3 3 3" xfId="12112"/>
    <cellStyle name="75% 3 3 3 2" xfId="12113"/>
    <cellStyle name="75% 3 3 3 3" xfId="12114"/>
    <cellStyle name="75% 3 3 4" xfId="12115"/>
    <cellStyle name="75% 3 3 4 2" xfId="12116"/>
    <cellStyle name="75% 3 3 5" xfId="12117"/>
    <cellStyle name="75% 3 3 6" xfId="12118"/>
    <cellStyle name="75% 3 3 7" xfId="12119"/>
    <cellStyle name="75% 3 3 8" xfId="12120"/>
    <cellStyle name="75% 3 3 9" xfId="12121"/>
    <cellStyle name="75% 3 4" xfId="12122"/>
    <cellStyle name="75% 3 4 2" xfId="12123"/>
    <cellStyle name="75% 3 4 2 2" xfId="12124"/>
    <cellStyle name="75% 3 4 2 3" xfId="12125"/>
    <cellStyle name="75% 3 4 3" xfId="12126"/>
    <cellStyle name="75% 3 4 3 2" xfId="12127"/>
    <cellStyle name="75% 3 4 4" xfId="12128"/>
    <cellStyle name="75% 3 4 5" xfId="12129"/>
    <cellStyle name="75% 3 5" xfId="12130"/>
    <cellStyle name="75% 3 5 2" xfId="12131"/>
    <cellStyle name="75% 3 5 2 2" xfId="12132"/>
    <cellStyle name="75% 3 5 3" xfId="12133"/>
    <cellStyle name="75% 3 5 4" xfId="12134"/>
    <cellStyle name="75% 3 6" xfId="12135"/>
    <cellStyle name="75% 3 6 2" xfId="12136"/>
    <cellStyle name="75% 3 7" xfId="12137"/>
    <cellStyle name="75% 3 8" xfId="12138"/>
    <cellStyle name="75% 3 9" xfId="12139"/>
    <cellStyle name="75% 4" xfId="12140"/>
    <cellStyle name="75% 4 10" xfId="12141"/>
    <cellStyle name="75% 4 11" xfId="12142"/>
    <cellStyle name="75% 4 12" xfId="12143"/>
    <cellStyle name="75% 4 13" xfId="12144"/>
    <cellStyle name="75% 4 14" xfId="12145"/>
    <cellStyle name="75% 4 15" xfId="12146"/>
    <cellStyle name="75% 4 16" xfId="12147"/>
    <cellStyle name="75% 4 17" xfId="12148"/>
    <cellStyle name="75% 4 18" xfId="12149"/>
    <cellStyle name="75% 4 19" xfId="12150"/>
    <cellStyle name="75% 4 2" xfId="12151"/>
    <cellStyle name="75% 4 2 10" xfId="12152"/>
    <cellStyle name="75% 4 2 11" xfId="12153"/>
    <cellStyle name="75% 4 2 12" xfId="12154"/>
    <cellStyle name="75% 4 2 13" xfId="12155"/>
    <cellStyle name="75% 4 2 14" xfId="12156"/>
    <cellStyle name="75% 4 2 15" xfId="12157"/>
    <cellStyle name="75% 4 2 16" xfId="12158"/>
    <cellStyle name="75% 4 2 17" xfId="12159"/>
    <cellStyle name="75% 4 2 18" xfId="12160"/>
    <cellStyle name="75% 4 2 2" xfId="12161"/>
    <cellStyle name="75% 4 2 2 2" xfId="12162"/>
    <cellStyle name="75% 4 2 2 2 2" xfId="12163"/>
    <cellStyle name="75% 4 2 2 3" xfId="12164"/>
    <cellStyle name="75% 4 2 2 4" xfId="12165"/>
    <cellStyle name="75% 4 2 3" xfId="12166"/>
    <cellStyle name="75% 4 2 3 2" xfId="12167"/>
    <cellStyle name="75% 4 2 3 3" xfId="12168"/>
    <cellStyle name="75% 4 2 4" xfId="12169"/>
    <cellStyle name="75% 4 2 4 2" xfId="12170"/>
    <cellStyle name="75% 4 2 5" xfId="12171"/>
    <cellStyle name="75% 4 2 6" xfId="12172"/>
    <cellStyle name="75% 4 2 7" xfId="12173"/>
    <cellStyle name="75% 4 2 8" xfId="12174"/>
    <cellStyle name="75% 4 2 9" xfId="12175"/>
    <cellStyle name="75% 4 20" xfId="12176"/>
    <cellStyle name="75% 4 21" xfId="12177"/>
    <cellStyle name="75% 4 3" xfId="12178"/>
    <cellStyle name="75% 4 3 10" xfId="12179"/>
    <cellStyle name="75% 4 3 11" xfId="12180"/>
    <cellStyle name="75% 4 3 12" xfId="12181"/>
    <cellStyle name="75% 4 3 13" xfId="12182"/>
    <cellStyle name="75% 4 3 14" xfId="12183"/>
    <cellStyle name="75% 4 3 15" xfId="12184"/>
    <cellStyle name="75% 4 3 16" xfId="12185"/>
    <cellStyle name="75% 4 3 17" xfId="12186"/>
    <cellStyle name="75% 4 3 18" xfId="12187"/>
    <cellStyle name="75% 4 3 2" xfId="12188"/>
    <cellStyle name="75% 4 3 2 2" xfId="12189"/>
    <cellStyle name="75% 4 3 2 2 2" xfId="12190"/>
    <cellStyle name="75% 4 3 2 3" xfId="12191"/>
    <cellStyle name="75% 4 3 2 4" xfId="12192"/>
    <cellStyle name="75% 4 3 3" xfId="12193"/>
    <cellStyle name="75% 4 3 3 2" xfId="12194"/>
    <cellStyle name="75% 4 3 3 3" xfId="12195"/>
    <cellStyle name="75% 4 3 4" xfId="12196"/>
    <cellStyle name="75% 4 3 4 2" xfId="12197"/>
    <cellStyle name="75% 4 3 5" xfId="12198"/>
    <cellStyle name="75% 4 3 6" xfId="12199"/>
    <cellStyle name="75% 4 3 7" xfId="12200"/>
    <cellStyle name="75% 4 3 8" xfId="12201"/>
    <cellStyle name="75% 4 3 9" xfId="12202"/>
    <cellStyle name="75% 4 4" xfId="12203"/>
    <cellStyle name="75% 4 4 2" xfId="12204"/>
    <cellStyle name="75% 4 4 2 2" xfId="12205"/>
    <cellStyle name="75% 4 4 2 3" xfId="12206"/>
    <cellStyle name="75% 4 4 3" xfId="12207"/>
    <cellStyle name="75% 4 4 3 2" xfId="12208"/>
    <cellStyle name="75% 4 4 4" xfId="12209"/>
    <cellStyle name="75% 4 4 5" xfId="12210"/>
    <cellStyle name="75% 4 5" xfId="12211"/>
    <cellStyle name="75% 4 5 2" xfId="12212"/>
    <cellStyle name="75% 4 5 2 2" xfId="12213"/>
    <cellStyle name="75% 4 5 3" xfId="12214"/>
    <cellStyle name="75% 4 5 4" xfId="12215"/>
    <cellStyle name="75% 4 6" xfId="12216"/>
    <cellStyle name="75% 4 6 2" xfId="12217"/>
    <cellStyle name="75% 4 7" xfId="12218"/>
    <cellStyle name="75% 4 8" xfId="12219"/>
    <cellStyle name="75% 4 9" xfId="12220"/>
    <cellStyle name="75% 5" xfId="12221"/>
    <cellStyle name="75% 5 10" xfId="12222"/>
    <cellStyle name="75% 5 11" xfId="12223"/>
    <cellStyle name="75% 5 12" xfId="12224"/>
    <cellStyle name="75% 5 13" xfId="12225"/>
    <cellStyle name="75% 5 14" xfId="12226"/>
    <cellStyle name="75% 5 15" xfId="12227"/>
    <cellStyle name="75% 5 16" xfId="12228"/>
    <cellStyle name="75% 5 17" xfId="12229"/>
    <cellStyle name="75% 5 18" xfId="12230"/>
    <cellStyle name="75% 5 19" xfId="12231"/>
    <cellStyle name="75% 5 2" xfId="12232"/>
    <cellStyle name="75% 5 2 10" xfId="12233"/>
    <cellStyle name="75% 5 2 11" xfId="12234"/>
    <cellStyle name="75% 5 2 12" xfId="12235"/>
    <cellStyle name="75% 5 2 13" xfId="12236"/>
    <cellStyle name="75% 5 2 14" xfId="12237"/>
    <cellStyle name="75% 5 2 15" xfId="12238"/>
    <cellStyle name="75% 5 2 16" xfId="12239"/>
    <cellStyle name="75% 5 2 17" xfId="12240"/>
    <cellStyle name="75% 5 2 18" xfId="12241"/>
    <cellStyle name="75% 5 2 2" xfId="12242"/>
    <cellStyle name="75% 5 2 2 2" xfId="12243"/>
    <cellStyle name="75% 5 2 2 2 2" xfId="12244"/>
    <cellStyle name="75% 5 2 2 3" xfId="12245"/>
    <cellStyle name="75% 5 2 2 4" xfId="12246"/>
    <cellStyle name="75% 5 2 3" xfId="12247"/>
    <cellStyle name="75% 5 2 3 2" xfId="12248"/>
    <cellStyle name="75% 5 2 3 3" xfId="12249"/>
    <cellStyle name="75% 5 2 4" xfId="12250"/>
    <cellStyle name="75% 5 2 4 2" xfId="12251"/>
    <cellStyle name="75% 5 2 5" xfId="12252"/>
    <cellStyle name="75% 5 2 6" xfId="12253"/>
    <cellStyle name="75% 5 2 7" xfId="12254"/>
    <cellStyle name="75% 5 2 8" xfId="12255"/>
    <cellStyle name="75% 5 2 9" xfId="12256"/>
    <cellStyle name="75% 5 3" xfId="12257"/>
    <cellStyle name="75% 5 3 10" xfId="12258"/>
    <cellStyle name="75% 5 3 11" xfId="12259"/>
    <cellStyle name="75% 5 3 12" xfId="12260"/>
    <cellStyle name="75% 5 3 13" xfId="12261"/>
    <cellStyle name="75% 5 3 14" xfId="12262"/>
    <cellStyle name="75% 5 3 15" xfId="12263"/>
    <cellStyle name="75% 5 3 16" xfId="12264"/>
    <cellStyle name="75% 5 3 17" xfId="12265"/>
    <cellStyle name="75% 5 3 18" xfId="12266"/>
    <cellStyle name="75% 5 3 2" xfId="12267"/>
    <cellStyle name="75% 5 3 2 2" xfId="12268"/>
    <cellStyle name="75% 5 3 2 2 2" xfId="12269"/>
    <cellStyle name="75% 5 3 2 3" xfId="12270"/>
    <cellStyle name="75% 5 3 2 4" xfId="12271"/>
    <cellStyle name="75% 5 3 3" xfId="12272"/>
    <cellStyle name="75% 5 3 3 2" xfId="12273"/>
    <cellStyle name="75% 5 3 3 3" xfId="12274"/>
    <cellStyle name="75% 5 3 4" xfId="12275"/>
    <cellStyle name="75% 5 3 4 2" xfId="12276"/>
    <cellStyle name="75% 5 3 5" xfId="12277"/>
    <cellStyle name="75% 5 3 6" xfId="12278"/>
    <cellStyle name="75% 5 3 7" xfId="12279"/>
    <cellStyle name="75% 5 3 8" xfId="12280"/>
    <cellStyle name="75% 5 3 9" xfId="12281"/>
    <cellStyle name="75% 5 4" xfId="12282"/>
    <cellStyle name="75% 5 4 2" xfId="12283"/>
    <cellStyle name="75% 5 4 2 2" xfId="12284"/>
    <cellStyle name="75% 5 4 2 3" xfId="12285"/>
    <cellStyle name="75% 5 4 3" xfId="12286"/>
    <cellStyle name="75% 5 4 3 2" xfId="12287"/>
    <cellStyle name="75% 5 4 4" xfId="12288"/>
    <cellStyle name="75% 5 4 5" xfId="12289"/>
    <cellStyle name="75% 5 5" xfId="12290"/>
    <cellStyle name="75% 5 5 2" xfId="12291"/>
    <cellStyle name="75% 5 5 2 2" xfId="12292"/>
    <cellStyle name="75% 5 5 3" xfId="12293"/>
    <cellStyle name="75% 5 5 4" xfId="12294"/>
    <cellStyle name="75% 5 6" xfId="12295"/>
    <cellStyle name="75% 5 6 2" xfId="12296"/>
    <cellStyle name="75% 5 7" xfId="12297"/>
    <cellStyle name="75% 5 8" xfId="12298"/>
    <cellStyle name="75% 5 9" xfId="12299"/>
    <cellStyle name="75% 6" xfId="12300"/>
    <cellStyle name="75% 6 10" xfId="12301"/>
    <cellStyle name="75% 6 11" xfId="12302"/>
    <cellStyle name="75% 6 12" xfId="12303"/>
    <cellStyle name="75% 6 13" xfId="12304"/>
    <cellStyle name="75% 6 14" xfId="12305"/>
    <cellStyle name="75% 6 15" xfId="12306"/>
    <cellStyle name="75% 6 16" xfId="12307"/>
    <cellStyle name="75% 6 17" xfId="12308"/>
    <cellStyle name="75% 6 18" xfId="12309"/>
    <cellStyle name="75% 6 19" xfId="12310"/>
    <cellStyle name="75% 6 2" xfId="12311"/>
    <cellStyle name="75% 6 2 10" xfId="12312"/>
    <cellStyle name="75% 6 2 11" xfId="12313"/>
    <cellStyle name="75% 6 2 12" xfId="12314"/>
    <cellStyle name="75% 6 2 13" xfId="12315"/>
    <cellStyle name="75% 6 2 14" xfId="12316"/>
    <cellStyle name="75% 6 2 15" xfId="12317"/>
    <cellStyle name="75% 6 2 16" xfId="12318"/>
    <cellStyle name="75% 6 2 17" xfId="12319"/>
    <cellStyle name="75% 6 2 18" xfId="12320"/>
    <cellStyle name="75% 6 2 2" xfId="12321"/>
    <cellStyle name="75% 6 2 2 2" xfId="12322"/>
    <cellStyle name="75% 6 2 2 2 2" xfId="12323"/>
    <cellStyle name="75% 6 2 2 3" xfId="12324"/>
    <cellStyle name="75% 6 2 2 4" xfId="12325"/>
    <cellStyle name="75% 6 2 3" xfId="12326"/>
    <cellStyle name="75% 6 2 3 2" xfId="12327"/>
    <cellStyle name="75% 6 2 3 3" xfId="12328"/>
    <cellStyle name="75% 6 2 4" xfId="12329"/>
    <cellStyle name="75% 6 2 4 2" xfId="12330"/>
    <cellStyle name="75% 6 2 5" xfId="12331"/>
    <cellStyle name="75% 6 2 6" xfId="12332"/>
    <cellStyle name="75% 6 2 7" xfId="12333"/>
    <cellStyle name="75% 6 2 8" xfId="12334"/>
    <cellStyle name="75% 6 2 9" xfId="12335"/>
    <cellStyle name="75% 6 20" xfId="12336"/>
    <cellStyle name="75% 6 3" xfId="12337"/>
    <cellStyle name="75% 6 3 10" xfId="12338"/>
    <cellStyle name="75% 6 3 11" xfId="12339"/>
    <cellStyle name="75% 6 3 12" xfId="12340"/>
    <cellStyle name="75% 6 3 13" xfId="12341"/>
    <cellStyle name="75% 6 3 14" xfId="12342"/>
    <cellStyle name="75% 6 3 15" xfId="12343"/>
    <cellStyle name="75% 6 3 16" xfId="12344"/>
    <cellStyle name="75% 6 3 17" xfId="12345"/>
    <cellStyle name="75% 6 3 18" xfId="12346"/>
    <cellStyle name="75% 6 3 2" xfId="12347"/>
    <cellStyle name="75% 6 3 2 2" xfId="12348"/>
    <cellStyle name="75% 6 3 2 2 2" xfId="12349"/>
    <cellStyle name="75% 6 3 2 3" xfId="12350"/>
    <cellStyle name="75% 6 3 2 4" xfId="12351"/>
    <cellStyle name="75% 6 3 3" xfId="12352"/>
    <cellStyle name="75% 6 3 3 2" xfId="12353"/>
    <cellStyle name="75% 6 3 3 3" xfId="12354"/>
    <cellStyle name="75% 6 3 4" xfId="12355"/>
    <cellStyle name="75% 6 3 4 2" xfId="12356"/>
    <cellStyle name="75% 6 3 5" xfId="12357"/>
    <cellStyle name="75% 6 3 6" xfId="12358"/>
    <cellStyle name="75% 6 3 7" xfId="12359"/>
    <cellStyle name="75% 6 3 8" xfId="12360"/>
    <cellStyle name="75% 6 3 9" xfId="12361"/>
    <cellStyle name="75% 6 4" xfId="12362"/>
    <cellStyle name="75% 6 4 2" xfId="12363"/>
    <cellStyle name="75% 6 4 2 2" xfId="12364"/>
    <cellStyle name="75% 6 4 2 3" xfId="12365"/>
    <cellStyle name="75% 6 4 3" xfId="12366"/>
    <cellStyle name="75% 6 4 3 2" xfId="12367"/>
    <cellStyle name="75% 6 4 4" xfId="12368"/>
    <cellStyle name="75% 6 4 5" xfId="12369"/>
    <cellStyle name="75% 6 5" xfId="12370"/>
    <cellStyle name="75% 6 5 2" xfId="12371"/>
    <cellStyle name="75% 6 5 2 2" xfId="12372"/>
    <cellStyle name="75% 6 5 3" xfId="12373"/>
    <cellStyle name="75% 6 5 4" xfId="12374"/>
    <cellStyle name="75% 6 6" xfId="12375"/>
    <cellStyle name="75% 6 6 2" xfId="12376"/>
    <cellStyle name="75% 6 7" xfId="12377"/>
    <cellStyle name="75% 6 8" xfId="12378"/>
    <cellStyle name="75% 6 9" xfId="12379"/>
    <cellStyle name="75% 7" xfId="12380"/>
    <cellStyle name="75% 7 10" xfId="12381"/>
    <cellStyle name="75% 7 11" xfId="12382"/>
    <cellStyle name="75% 7 12" xfId="12383"/>
    <cellStyle name="75% 7 13" xfId="12384"/>
    <cellStyle name="75% 7 14" xfId="12385"/>
    <cellStyle name="75% 7 15" xfId="12386"/>
    <cellStyle name="75% 7 16" xfId="12387"/>
    <cellStyle name="75% 7 17" xfId="12388"/>
    <cellStyle name="75% 7 2" xfId="12389"/>
    <cellStyle name="75% 7 2 2" xfId="12390"/>
    <cellStyle name="75% 7 2 2 2" xfId="12391"/>
    <cellStyle name="75% 7 2 3" xfId="12392"/>
    <cellStyle name="75% 7 2 4" xfId="12393"/>
    <cellStyle name="75% 7 3" xfId="12394"/>
    <cellStyle name="75% 7 3 2" xfId="12395"/>
    <cellStyle name="75% 7 4" xfId="12396"/>
    <cellStyle name="75% 7 5" xfId="12397"/>
    <cellStyle name="75% 7 6" xfId="12398"/>
    <cellStyle name="75% 7 7" xfId="12399"/>
    <cellStyle name="75% 7 8" xfId="12400"/>
    <cellStyle name="75% 7 9" xfId="12401"/>
    <cellStyle name="75% 8" xfId="12402"/>
    <cellStyle name="75% 8 2" xfId="12403"/>
    <cellStyle name="75% 8 2 2" xfId="12404"/>
    <cellStyle name="75% 8 2 2 2" xfId="12405"/>
    <cellStyle name="75% 8 2 3" xfId="12406"/>
    <cellStyle name="75% 8 2 4" xfId="12407"/>
    <cellStyle name="75% 8 3" xfId="12408"/>
    <cellStyle name="75% 8 3 2" xfId="12409"/>
    <cellStyle name="75% 8 3 3" xfId="12410"/>
    <cellStyle name="75% 8 4" xfId="12411"/>
    <cellStyle name="75% 8 4 2" xfId="12412"/>
    <cellStyle name="75% 8 5" xfId="12413"/>
    <cellStyle name="75% 8 6" xfId="12414"/>
    <cellStyle name="75% 9" xfId="12415"/>
    <cellStyle name="75% 9 2" xfId="12416"/>
    <cellStyle name="75% 9 2 2" xfId="12417"/>
    <cellStyle name="75% 9 3" xfId="12418"/>
    <cellStyle name="75% 9 4" xfId="12419"/>
    <cellStyle name="8pt" xfId="12420"/>
    <cellStyle name="8pt 2" xfId="12421"/>
    <cellStyle name="8pt 3" xfId="12422"/>
    <cellStyle name="A_input" xfId="12423"/>
    <cellStyle name="Aaia?iue [0]_?anoiau" xfId="12424"/>
    <cellStyle name="Aaia?iue_?anoiau" xfId="12425"/>
    <cellStyle name="Accent1" xfId="12426"/>
    <cellStyle name="Accent1 - 20%" xfId="12427"/>
    <cellStyle name="Accent1 - 20% 2" xfId="12428"/>
    <cellStyle name="Accent1 - 20% 3" xfId="12429"/>
    <cellStyle name="Accent1 - 20% 4" xfId="12430"/>
    <cellStyle name="Accent1 - 20% 5" xfId="12431"/>
    <cellStyle name="Accent1 - 20% 6" xfId="12432"/>
    <cellStyle name="Accent1 - 40%" xfId="12433"/>
    <cellStyle name="Accent1 - 40% 2" xfId="12434"/>
    <cellStyle name="Accent1 - 40% 3" xfId="12435"/>
    <cellStyle name="Accent1 - 40% 4" xfId="12436"/>
    <cellStyle name="Accent1 - 40% 5" xfId="12437"/>
    <cellStyle name="Accent1 - 40% 6" xfId="12438"/>
    <cellStyle name="Accent1 - 60%" xfId="12439"/>
    <cellStyle name="Accent1 - 60% 2" xfId="12440"/>
    <cellStyle name="Accent1 - 60% 3" xfId="12441"/>
    <cellStyle name="Accent1 - 60% 4" xfId="12442"/>
    <cellStyle name="Accent1 - 60% 5" xfId="12443"/>
    <cellStyle name="Accent1 - 60% 6" xfId="12444"/>
    <cellStyle name="Accent1 2" xfId="12445"/>
    <cellStyle name="Accent1_акции по годам 2009-2012" xfId="12446"/>
    <cellStyle name="Accent2" xfId="12447"/>
    <cellStyle name="Accent2 - 20%" xfId="12448"/>
    <cellStyle name="Accent2 - 20% 2" xfId="12449"/>
    <cellStyle name="Accent2 - 20% 3" xfId="12450"/>
    <cellStyle name="Accent2 - 20% 4" xfId="12451"/>
    <cellStyle name="Accent2 - 20% 5" xfId="12452"/>
    <cellStyle name="Accent2 - 20% 6" xfId="12453"/>
    <cellStyle name="Accent2 - 40%" xfId="12454"/>
    <cellStyle name="Accent2 - 40% 2" xfId="12455"/>
    <cellStyle name="Accent2 - 40% 3" xfId="12456"/>
    <cellStyle name="Accent2 - 40% 4" xfId="12457"/>
    <cellStyle name="Accent2 - 40% 5" xfId="12458"/>
    <cellStyle name="Accent2 - 40% 6" xfId="12459"/>
    <cellStyle name="Accent2 - 60%" xfId="12460"/>
    <cellStyle name="Accent2 - 60% 2" xfId="12461"/>
    <cellStyle name="Accent2 - 60% 3" xfId="12462"/>
    <cellStyle name="Accent2 - 60% 4" xfId="12463"/>
    <cellStyle name="Accent2 - 60% 5" xfId="12464"/>
    <cellStyle name="Accent2 - 60% 6" xfId="12465"/>
    <cellStyle name="Accent2 2" xfId="12466"/>
    <cellStyle name="Accent2_акции по годам 2009-2012" xfId="12467"/>
    <cellStyle name="Accent3" xfId="12468"/>
    <cellStyle name="Accent3 - 20%" xfId="12469"/>
    <cellStyle name="Accent3 - 20% 2" xfId="12470"/>
    <cellStyle name="Accent3 - 20% 3" xfId="12471"/>
    <cellStyle name="Accent3 - 20% 4" xfId="12472"/>
    <cellStyle name="Accent3 - 20% 5" xfId="12473"/>
    <cellStyle name="Accent3 - 20% 6" xfId="12474"/>
    <cellStyle name="Accent3 - 40%" xfId="12475"/>
    <cellStyle name="Accent3 - 40% 2" xfId="12476"/>
    <cellStyle name="Accent3 - 40% 3" xfId="12477"/>
    <cellStyle name="Accent3 - 40% 4" xfId="12478"/>
    <cellStyle name="Accent3 - 40% 5" xfId="12479"/>
    <cellStyle name="Accent3 - 40% 6" xfId="12480"/>
    <cellStyle name="Accent3 - 60%" xfId="12481"/>
    <cellStyle name="Accent3 - 60% 2" xfId="12482"/>
    <cellStyle name="Accent3 - 60% 3" xfId="12483"/>
    <cellStyle name="Accent3 - 60% 4" xfId="12484"/>
    <cellStyle name="Accent3 - 60% 5" xfId="12485"/>
    <cellStyle name="Accent3 - 60% 6" xfId="12486"/>
    <cellStyle name="Accent3 2" xfId="12487"/>
    <cellStyle name="Accent3_7-р" xfId="12488"/>
    <cellStyle name="Accent4" xfId="12489"/>
    <cellStyle name="Accent4 - 20%" xfId="12490"/>
    <cellStyle name="Accent4 - 20% 2" xfId="12491"/>
    <cellStyle name="Accent4 - 20% 3" xfId="12492"/>
    <cellStyle name="Accent4 - 20% 4" xfId="12493"/>
    <cellStyle name="Accent4 - 20% 5" xfId="12494"/>
    <cellStyle name="Accent4 - 20% 6" xfId="12495"/>
    <cellStyle name="Accent4 - 40%" xfId="12496"/>
    <cellStyle name="Accent4 - 40% 2" xfId="12497"/>
    <cellStyle name="Accent4 - 40% 3" xfId="12498"/>
    <cellStyle name="Accent4 - 40% 4" xfId="12499"/>
    <cellStyle name="Accent4 - 40% 5" xfId="12500"/>
    <cellStyle name="Accent4 - 40% 6" xfId="12501"/>
    <cellStyle name="Accent4 - 60%" xfId="12502"/>
    <cellStyle name="Accent4 - 60% 2" xfId="12503"/>
    <cellStyle name="Accent4 - 60% 3" xfId="12504"/>
    <cellStyle name="Accent4 - 60% 4" xfId="12505"/>
    <cellStyle name="Accent4 - 60% 5" xfId="12506"/>
    <cellStyle name="Accent4 - 60% 6" xfId="12507"/>
    <cellStyle name="Accent4 2" xfId="12508"/>
    <cellStyle name="Accent4_7-р" xfId="12509"/>
    <cellStyle name="Accent5" xfId="12510"/>
    <cellStyle name="Accent5 - 20%" xfId="12511"/>
    <cellStyle name="Accent5 - 20% 2" xfId="12512"/>
    <cellStyle name="Accent5 - 20% 3" xfId="12513"/>
    <cellStyle name="Accent5 - 20% 4" xfId="12514"/>
    <cellStyle name="Accent5 - 20% 5" xfId="12515"/>
    <cellStyle name="Accent5 - 20% 6" xfId="12516"/>
    <cellStyle name="Accent5 - 40%" xfId="12517"/>
    <cellStyle name="Accent5 - 60%" xfId="12518"/>
    <cellStyle name="Accent5 - 60% 2" xfId="12519"/>
    <cellStyle name="Accent5 - 60% 3" xfId="12520"/>
    <cellStyle name="Accent5 - 60% 4" xfId="12521"/>
    <cellStyle name="Accent5 - 60% 5" xfId="12522"/>
    <cellStyle name="Accent5 - 60% 6" xfId="12523"/>
    <cellStyle name="Accent5 2" xfId="12524"/>
    <cellStyle name="Accent5_7-р" xfId="12525"/>
    <cellStyle name="Accent6" xfId="12526"/>
    <cellStyle name="Accent6 - 20%" xfId="12527"/>
    <cellStyle name="Accent6 - 40%" xfId="12528"/>
    <cellStyle name="Accent6 - 40% 2" xfId="12529"/>
    <cellStyle name="Accent6 - 40% 3" xfId="12530"/>
    <cellStyle name="Accent6 - 40% 4" xfId="12531"/>
    <cellStyle name="Accent6 - 40% 5" xfId="12532"/>
    <cellStyle name="Accent6 - 40% 6" xfId="12533"/>
    <cellStyle name="Accent6 - 60%" xfId="12534"/>
    <cellStyle name="Accent6 - 60% 2" xfId="12535"/>
    <cellStyle name="Accent6 - 60% 3" xfId="12536"/>
    <cellStyle name="Accent6 - 60% 4" xfId="12537"/>
    <cellStyle name="Accent6 - 60% 5" xfId="12538"/>
    <cellStyle name="Accent6 - 60% 6" xfId="12539"/>
    <cellStyle name="Accent6 2" xfId="12540"/>
    <cellStyle name="Accent6_7-р" xfId="12541"/>
    <cellStyle name="account" xfId="12542"/>
    <cellStyle name="account 2" xfId="12543"/>
    <cellStyle name="account 3" xfId="12544"/>
    <cellStyle name="Accounting" xfId="12545"/>
    <cellStyle name="Accounting 2" xfId="12546"/>
    <cellStyle name="Accounting 2 2" xfId="12547"/>
    <cellStyle name="Accounting 2 3" xfId="12548"/>
    <cellStyle name="Accounting 3" xfId="12549"/>
    <cellStyle name="Accounting 4" xfId="12550"/>
    <cellStyle name="Accounting 5" xfId="12551"/>
    <cellStyle name="Accounting 6" xfId="12552"/>
    <cellStyle name="Aeia?nnueea" xfId="12553"/>
    <cellStyle name="alternate" xfId="12554"/>
    <cellStyle name="alternate 2" xfId="12555"/>
    <cellStyle name="aluminium" xfId="12556"/>
    <cellStyle name="aluminium 2" xfId="12557"/>
    <cellStyle name="Amount_from_OSV" xfId="12558"/>
    <cellStyle name="Analyst Name" xfId="12559"/>
    <cellStyle name="Analyst Name 2" xfId="12560"/>
    <cellStyle name="Anna" xfId="12561"/>
    <cellStyle name="Anna 2" xfId="12562"/>
    <cellStyle name="Annotations Cell - PerformancePoint" xfId="12563"/>
    <cellStyle name="AP_AR_UPS" xfId="12564"/>
    <cellStyle name="Arial 10" xfId="12565"/>
    <cellStyle name="Arial 10 2" xfId="12566"/>
    <cellStyle name="Arial 12" xfId="12567"/>
    <cellStyle name="Arial007000001514155735" xfId="12568"/>
    <cellStyle name="Arial007000001514155735 2" xfId="12569"/>
    <cellStyle name="Arial0070000015536870911" xfId="12570"/>
    <cellStyle name="Arial0070000015536870911 2" xfId="12571"/>
    <cellStyle name="Arial007000001565535" xfId="12572"/>
    <cellStyle name="Arial007000001565535 2" xfId="12573"/>
    <cellStyle name="Arial0110010000536870911" xfId="12574"/>
    <cellStyle name="Arial01101000015536870911" xfId="12575"/>
    <cellStyle name="Arial017010000536870911" xfId="12576"/>
    <cellStyle name="Arial018000000536870911" xfId="12577"/>
    <cellStyle name="Arial10170100015536870911" xfId="12578"/>
    <cellStyle name="Arial10170100015536870911 2" xfId="12579"/>
    <cellStyle name="Arial107000000536870911" xfId="12580"/>
    <cellStyle name="Arial107000001514155735" xfId="12581"/>
    <cellStyle name="Arial107000001514155735 2" xfId="12582"/>
    <cellStyle name="Arial107000001514155735FMT" xfId="12583"/>
    <cellStyle name="Arial107000001514155735FMT 2" xfId="12584"/>
    <cellStyle name="Arial1070000015536870911" xfId="12585"/>
    <cellStyle name="Arial1070000015536870911 2" xfId="12586"/>
    <cellStyle name="Arial1070000015536870911FMT" xfId="12587"/>
    <cellStyle name="Arial1070000015536870911FMT 2" xfId="12588"/>
    <cellStyle name="Arial107000001565535" xfId="12589"/>
    <cellStyle name="Arial107000001565535 2" xfId="12590"/>
    <cellStyle name="Arial107000001565535FMT" xfId="12591"/>
    <cellStyle name="Arial107000001565535FMT 2" xfId="12592"/>
    <cellStyle name="Arial117100000536870911" xfId="12593"/>
    <cellStyle name="Arial118000000536870911" xfId="12594"/>
    <cellStyle name="Arial2110100000536870911" xfId="12595"/>
    <cellStyle name="Arial21101000015536870911" xfId="12596"/>
    <cellStyle name="Arial2170000015536870911" xfId="12597"/>
    <cellStyle name="Arial2170000015536870911 2" xfId="12598"/>
    <cellStyle name="Arial2170000015536870911FMT" xfId="12599"/>
    <cellStyle name="Arial2170000015536870911FMT 2" xfId="12600"/>
    <cellStyle name="Assumption" xfId="12601"/>
    <cellStyle name="Assumption 2" xfId="12602"/>
    <cellStyle name="AutoFormat Options" xfId="12603"/>
    <cellStyle name="AutoFormat Options 2" xfId="12604"/>
    <cellStyle name="AutoFormat Options 2 2" xfId="12605"/>
    <cellStyle name="AutoFormat Options 3" xfId="12606"/>
    <cellStyle name="AutoFormat Options 3 2" xfId="12607"/>
    <cellStyle name="AutoFormat Options 4" xfId="12608"/>
    <cellStyle name="AutoFormat Options 4 2" xfId="12609"/>
    <cellStyle name="AutoFormat Options 5" xfId="12610"/>
    <cellStyle name="Availability" xfId="12611"/>
    <cellStyle name="b lue" xfId="12612"/>
    <cellStyle name="b lue 2" xfId="12613"/>
    <cellStyle name="BackGround_General" xfId="12614"/>
    <cellStyle name="Bad" xfId="12615"/>
    <cellStyle name="Bad 2" xfId="12616"/>
    <cellStyle name="Balance" xfId="12617"/>
    <cellStyle name="Balance 2" xfId="12618"/>
    <cellStyle name="Balance 3" xfId="12619"/>
    <cellStyle name="Balance 4" xfId="12620"/>
    <cellStyle name="Balance 5" xfId="12621"/>
    <cellStyle name="BalanceBold" xfId="12622"/>
    <cellStyle name="base" xfId="12623"/>
    <cellStyle name="base 2" xfId="12624"/>
    <cellStyle name="Big" xfId="12625"/>
    <cellStyle name="Black heading &amp; bold" xfId="12626"/>
    <cellStyle name="blank" xfId="12627"/>
    <cellStyle name="blank 2" xfId="12628"/>
    <cellStyle name="blank 3" xfId="12629"/>
    <cellStyle name="Blue" xfId="12630"/>
    <cellStyle name="Blue 2" xfId="12631"/>
    <cellStyle name="blur" xfId="12632"/>
    <cellStyle name="blur 2" xfId="12633"/>
    <cellStyle name="Border Heavy" xfId="12634"/>
    <cellStyle name="Border Heavy 2" xfId="12635"/>
    <cellStyle name="Border Heavy 3" xfId="12636"/>
    <cellStyle name="Border Heavy 4" xfId="12637"/>
    <cellStyle name="Border Thin" xfId="12638"/>
    <cellStyle name="Border Thin 2" xfId="12639"/>
    <cellStyle name="Border Thin 3" xfId="12640"/>
    <cellStyle name="Border Thin 4" xfId="12641"/>
    <cellStyle name="Border Thin 5" xfId="12642"/>
    <cellStyle name="Bottom Edge" xfId="12643"/>
    <cellStyle name="Bottom Edge 10" xfId="12644"/>
    <cellStyle name="Bottom Edge 11" xfId="12645"/>
    <cellStyle name="Bottom Edge 12" xfId="12646"/>
    <cellStyle name="Bottom Edge 13" xfId="12647"/>
    <cellStyle name="Bottom Edge 14" xfId="12648"/>
    <cellStyle name="Bottom Edge 15" xfId="12649"/>
    <cellStyle name="Bottom Edge 16" xfId="12650"/>
    <cellStyle name="Bottom Edge 17" xfId="12651"/>
    <cellStyle name="Bottom Edge 18" xfId="12652"/>
    <cellStyle name="Bottom Edge 2" xfId="12653"/>
    <cellStyle name="Bottom Edge 2 10" xfId="12654"/>
    <cellStyle name="Bottom Edge 2 11" xfId="12655"/>
    <cellStyle name="Bottom Edge 2 12" xfId="12656"/>
    <cellStyle name="Bottom Edge 2 13" xfId="12657"/>
    <cellStyle name="Bottom Edge 2 14" xfId="12658"/>
    <cellStyle name="Bottom Edge 2 15" xfId="12659"/>
    <cellStyle name="Bottom Edge 2 16" xfId="12660"/>
    <cellStyle name="Bottom Edge 2 17" xfId="12661"/>
    <cellStyle name="Bottom Edge 2 18" xfId="12662"/>
    <cellStyle name="Bottom Edge 2 19" xfId="12663"/>
    <cellStyle name="Bottom Edge 2 2" xfId="12664"/>
    <cellStyle name="Bottom Edge 2 2 10" xfId="12665"/>
    <cellStyle name="Bottom Edge 2 2 11" xfId="12666"/>
    <cellStyle name="Bottom Edge 2 2 12" xfId="12667"/>
    <cellStyle name="Bottom Edge 2 2 13" xfId="12668"/>
    <cellStyle name="Bottom Edge 2 2 14" xfId="12669"/>
    <cellStyle name="Bottom Edge 2 2 15" xfId="12670"/>
    <cellStyle name="Bottom Edge 2 2 16" xfId="12671"/>
    <cellStyle name="Bottom Edge 2 2 17" xfId="12672"/>
    <cellStyle name="Bottom Edge 2 2 18" xfId="12673"/>
    <cellStyle name="Bottom Edge 2 2 2" xfId="12674"/>
    <cellStyle name="Bottom Edge 2 2 2 2" xfId="12675"/>
    <cellStyle name="Bottom Edge 2 2 2 2 2" xfId="12676"/>
    <cellStyle name="Bottom Edge 2 2 2 3" xfId="12677"/>
    <cellStyle name="Bottom Edge 2 2 2 4" xfId="12678"/>
    <cellStyle name="Bottom Edge 2 2 3" xfId="12679"/>
    <cellStyle name="Bottom Edge 2 2 3 2" xfId="12680"/>
    <cellStyle name="Bottom Edge 2 2 3 3" xfId="12681"/>
    <cellStyle name="Bottom Edge 2 2 4" xfId="12682"/>
    <cellStyle name="Bottom Edge 2 2 4 2" xfId="12683"/>
    <cellStyle name="Bottom Edge 2 2 5" xfId="12684"/>
    <cellStyle name="Bottom Edge 2 2 6" xfId="12685"/>
    <cellStyle name="Bottom Edge 2 2 7" xfId="12686"/>
    <cellStyle name="Bottom Edge 2 2 8" xfId="12687"/>
    <cellStyle name="Bottom Edge 2 2 9" xfId="12688"/>
    <cellStyle name="Bottom Edge 2 20" xfId="12689"/>
    <cellStyle name="Bottom Edge 2 21" xfId="12690"/>
    <cellStyle name="Bottom Edge 2 22" xfId="12691"/>
    <cellStyle name="Bottom Edge 2 23" xfId="12692"/>
    <cellStyle name="Bottom Edge 2 24" xfId="12693"/>
    <cellStyle name="Bottom Edge 2 25" xfId="12694"/>
    <cellStyle name="Bottom Edge 2 3" xfId="12695"/>
    <cellStyle name="Bottom Edge 2 3 10" xfId="12696"/>
    <cellStyle name="Bottom Edge 2 3 11" xfId="12697"/>
    <cellStyle name="Bottom Edge 2 3 12" xfId="12698"/>
    <cellStyle name="Bottom Edge 2 3 13" xfId="12699"/>
    <cellStyle name="Bottom Edge 2 3 14" xfId="12700"/>
    <cellStyle name="Bottom Edge 2 3 15" xfId="12701"/>
    <cellStyle name="Bottom Edge 2 3 16" xfId="12702"/>
    <cellStyle name="Bottom Edge 2 3 17" xfId="12703"/>
    <cellStyle name="Bottom Edge 2 3 18" xfId="12704"/>
    <cellStyle name="Bottom Edge 2 3 2" xfId="12705"/>
    <cellStyle name="Bottom Edge 2 3 2 2" xfId="12706"/>
    <cellStyle name="Bottom Edge 2 3 2 2 2" xfId="12707"/>
    <cellStyle name="Bottom Edge 2 3 2 3" xfId="12708"/>
    <cellStyle name="Bottom Edge 2 3 2 4" xfId="12709"/>
    <cellStyle name="Bottom Edge 2 3 3" xfId="12710"/>
    <cellStyle name="Bottom Edge 2 3 3 2" xfId="12711"/>
    <cellStyle name="Bottom Edge 2 3 3 3" xfId="12712"/>
    <cellStyle name="Bottom Edge 2 3 4" xfId="12713"/>
    <cellStyle name="Bottom Edge 2 3 4 2" xfId="12714"/>
    <cellStyle name="Bottom Edge 2 3 5" xfId="12715"/>
    <cellStyle name="Bottom Edge 2 3 6" xfId="12716"/>
    <cellStyle name="Bottom Edge 2 3 7" xfId="12717"/>
    <cellStyle name="Bottom Edge 2 3 8" xfId="12718"/>
    <cellStyle name="Bottom Edge 2 3 9" xfId="12719"/>
    <cellStyle name="Bottom Edge 2 4" xfId="12720"/>
    <cellStyle name="Bottom Edge 2 4 2" xfId="12721"/>
    <cellStyle name="Bottom Edge 2 4 2 2" xfId="12722"/>
    <cellStyle name="Bottom Edge 2 4 2 3" xfId="12723"/>
    <cellStyle name="Bottom Edge 2 4 3" xfId="12724"/>
    <cellStyle name="Bottom Edge 2 4 3 2" xfId="12725"/>
    <cellStyle name="Bottom Edge 2 4 4" xfId="12726"/>
    <cellStyle name="Bottom Edge 2 4 5" xfId="12727"/>
    <cellStyle name="Bottom Edge 2 5" xfId="12728"/>
    <cellStyle name="Bottom Edge 2 5 2" xfId="12729"/>
    <cellStyle name="Bottom Edge 2 5 2 2" xfId="12730"/>
    <cellStyle name="Bottom Edge 2 5 3" xfId="12731"/>
    <cellStyle name="Bottom Edge 2 5 4" xfId="12732"/>
    <cellStyle name="Bottom Edge 2 6" xfId="12733"/>
    <cellStyle name="Bottom Edge 2 6 2" xfId="12734"/>
    <cellStyle name="Bottom Edge 2 6 3" xfId="12735"/>
    <cellStyle name="Bottom Edge 2 7" xfId="12736"/>
    <cellStyle name="Bottom Edge 2 7 2" xfId="12737"/>
    <cellStyle name="Bottom Edge 2 8" xfId="12738"/>
    <cellStyle name="Bottom Edge 2 9" xfId="12739"/>
    <cellStyle name="Bottom Edge 3" xfId="12740"/>
    <cellStyle name="Bottom Edge 3 10" xfId="12741"/>
    <cellStyle name="Bottom Edge 3 11" xfId="12742"/>
    <cellStyle name="Bottom Edge 3 12" xfId="12743"/>
    <cellStyle name="Bottom Edge 3 13" xfId="12744"/>
    <cellStyle name="Bottom Edge 3 14" xfId="12745"/>
    <cellStyle name="Bottom Edge 3 15" xfId="12746"/>
    <cellStyle name="Bottom Edge 3 16" xfId="12747"/>
    <cellStyle name="Bottom Edge 3 17" xfId="12748"/>
    <cellStyle name="Bottom Edge 3 18" xfId="12749"/>
    <cellStyle name="Bottom Edge 3 19" xfId="12750"/>
    <cellStyle name="Bottom Edge 3 2" xfId="12751"/>
    <cellStyle name="Bottom Edge 3 2 10" xfId="12752"/>
    <cellStyle name="Bottom Edge 3 2 11" xfId="12753"/>
    <cellStyle name="Bottom Edge 3 2 12" xfId="12754"/>
    <cellStyle name="Bottom Edge 3 2 13" xfId="12755"/>
    <cellStyle name="Bottom Edge 3 2 14" xfId="12756"/>
    <cellStyle name="Bottom Edge 3 2 15" xfId="12757"/>
    <cellStyle name="Bottom Edge 3 2 16" xfId="12758"/>
    <cellStyle name="Bottom Edge 3 2 17" xfId="12759"/>
    <cellStyle name="Bottom Edge 3 2 18" xfId="12760"/>
    <cellStyle name="Bottom Edge 3 2 2" xfId="12761"/>
    <cellStyle name="Bottom Edge 3 2 2 2" xfId="12762"/>
    <cellStyle name="Bottom Edge 3 2 2 2 2" xfId="12763"/>
    <cellStyle name="Bottom Edge 3 2 2 3" xfId="12764"/>
    <cellStyle name="Bottom Edge 3 2 2 4" xfId="12765"/>
    <cellStyle name="Bottom Edge 3 2 3" xfId="12766"/>
    <cellStyle name="Bottom Edge 3 2 3 2" xfId="12767"/>
    <cellStyle name="Bottom Edge 3 2 3 3" xfId="12768"/>
    <cellStyle name="Bottom Edge 3 2 4" xfId="12769"/>
    <cellStyle name="Bottom Edge 3 2 4 2" xfId="12770"/>
    <cellStyle name="Bottom Edge 3 2 5" xfId="12771"/>
    <cellStyle name="Bottom Edge 3 2 6" xfId="12772"/>
    <cellStyle name="Bottom Edge 3 2 7" xfId="12773"/>
    <cellStyle name="Bottom Edge 3 2 8" xfId="12774"/>
    <cellStyle name="Bottom Edge 3 2 9" xfId="12775"/>
    <cellStyle name="Bottom Edge 3 20" xfId="12776"/>
    <cellStyle name="Bottom Edge 3 21" xfId="12777"/>
    <cellStyle name="Bottom Edge 3 3" xfId="12778"/>
    <cellStyle name="Bottom Edge 3 3 10" xfId="12779"/>
    <cellStyle name="Bottom Edge 3 3 11" xfId="12780"/>
    <cellStyle name="Bottom Edge 3 3 12" xfId="12781"/>
    <cellStyle name="Bottom Edge 3 3 13" xfId="12782"/>
    <cellStyle name="Bottom Edge 3 3 14" xfId="12783"/>
    <cellStyle name="Bottom Edge 3 3 15" xfId="12784"/>
    <cellStyle name="Bottom Edge 3 3 16" xfId="12785"/>
    <cellStyle name="Bottom Edge 3 3 17" xfId="12786"/>
    <cellStyle name="Bottom Edge 3 3 18" xfId="12787"/>
    <cellStyle name="Bottom Edge 3 3 2" xfId="12788"/>
    <cellStyle name="Bottom Edge 3 3 2 2" xfId="12789"/>
    <cellStyle name="Bottom Edge 3 3 2 2 2" xfId="12790"/>
    <cellStyle name="Bottom Edge 3 3 2 3" xfId="12791"/>
    <cellStyle name="Bottom Edge 3 3 2 4" xfId="12792"/>
    <cellStyle name="Bottom Edge 3 3 3" xfId="12793"/>
    <cellStyle name="Bottom Edge 3 3 3 2" xfId="12794"/>
    <cellStyle name="Bottom Edge 3 3 3 3" xfId="12795"/>
    <cellStyle name="Bottom Edge 3 3 4" xfId="12796"/>
    <cellStyle name="Bottom Edge 3 3 4 2" xfId="12797"/>
    <cellStyle name="Bottom Edge 3 3 5" xfId="12798"/>
    <cellStyle name="Bottom Edge 3 3 6" xfId="12799"/>
    <cellStyle name="Bottom Edge 3 3 7" xfId="12800"/>
    <cellStyle name="Bottom Edge 3 3 8" xfId="12801"/>
    <cellStyle name="Bottom Edge 3 3 9" xfId="12802"/>
    <cellStyle name="Bottom Edge 3 4" xfId="12803"/>
    <cellStyle name="Bottom Edge 3 4 2" xfId="12804"/>
    <cellStyle name="Bottom Edge 3 4 2 2" xfId="12805"/>
    <cellStyle name="Bottom Edge 3 4 2 3" xfId="12806"/>
    <cellStyle name="Bottom Edge 3 4 3" xfId="12807"/>
    <cellStyle name="Bottom Edge 3 4 3 2" xfId="12808"/>
    <cellStyle name="Bottom Edge 3 4 4" xfId="12809"/>
    <cellStyle name="Bottom Edge 3 4 5" xfId="12810"/>
    <cellStyle name="Bottom Edge 3 5" xfId="12811"/>
    <cellStyle name="Bottom Edge 3 5 2" xfId="12812"/>
    <cellStyle name="Bottom Edge 3 5 2 2" xfId="12813"/>
    <cellStyle name="Bottom Edge 3 5 3" xfId="12814"/>
    <cellStyle name="Bottom Edge 3 5 4" xfId="12815"/>
    <cellStyle name="Bottom Edge 3 6" xfId="12816"/>
    <cellStyle name="Bottom Edge 3 6 2" xfId="12817"/>
    <cellStyle name="Bottom Edge 3 6 3" xfId="12818"/>
    <cellStyle name="Bottom Edge 3 7" xfId="12819"/>
    <cellStyle name="Bottom Edge 3 7 2" xfId="12820"/>
    <cellStyle name="Bottom Edge 3 8" xfId="12821"/>
    <cellStyle name="Bottom Edge 3 9" xfId="12822"/>
    <cellStyle name="Bottom Edge 4" xfId="12823"/>
    <cellStyle name="Bottom Edge 4 10" xfId="12824"/>
    <cellStyle name="Bottom Edge 4 11" xfId="12825"/>
    <cellStyle name="Bottom Edge 4 12" xfId="12826"/>
    <cellStyle name="Bottom Edge 4 13" xfId="12827"/>
    <cellStyle name="Bottom Edge 4 14" xfId="12828"/>
    <cellStyle name="Bottom Edge 4 15" xfId="12829"/>
    <cellStyle name="Bottom Edge 4 16" xfId="12830"/>
    <cellStyle name="Bottom Edge 4 17" xfId="12831"/>
    <cellStyle name="Bottom Edge 4 18" xfId="12832"/>
    <cellStyle name="Bottom Edge 4 19" xfId="12833"/>
    <cellStyle name="Bottom Edge 4 2" xfId="12834"/>
    <cellStyle name="Bottom Edge 4 2 10" xfId="12835"/>
    <cellStyle name="Bottom Edge 4 2 11" xfId="12836"/>
    <cellStyle name="Bottom Edge 4 2 12" xfId="12837"/>
    <cellStyle name="Bottom Edge 4 2 13" xfId="12838"/>
    <cellStyle name="Bottom Edge 4 2 14" xfId="12839"/>
    <cellStyle name="Bottom Edge 4 2 15" xfId="12840"/>
    <cellStyle name="Bottom Edge 4 2 16" xfId="12841"/>
    <cellStyle name="Bottom Edge 4 2 17" xfId="12842"/>
    <cellStyle name="Bottom Edge 4 2 18" xfId="12843"/>
    <cellStyle name="Bottom Edge 4 2 2" xfId="12844"/>
    <cellStyle name="Bottom Edge 4 2 2 2" xfId="12845"/>
    <cellStyle name="Bottom Edge 4 2 2 2 2" xfId="12846"/>
    <cellStyle name="Bottom Edge 4 2 2 3" xfId="12847"/>
    <cellStyle name="Bottom Edge 4 2 2 4" xfId="12848"/>
    <cellStyle name="Bottom Edge 4 2 3" xfId="12849"/>
    <cellStyle name="Bottom Edge 4 2 3 2" xfId="12850"/>
    <cellStyle name="Bottom Edge 4 2 3 3" xfId="12851"/>
    <cellStyle name="Bottom Edge 4 2 4" xfId="12852"/>
    <cellStyle name="Bottom Edge 4 2 4 2" xfId="12853"/>
    <cellStyle name="Bottom Edge 4 2 5" xfId="12854"/>
    <cellStyle name="Bottom Edge 4 2 6" xfId="12855"/>
    <cellStyle name="Bottom Edge 4 2 7" xfId="12856"/>
    <cellStyle name="Bottom Edge 4 2 8" xfId="12857"/>
    <cellStyle name="Bottom Edge 4 2 9" xfId="12858"/>
    <cellStyle name="Bottom Edge 4 20" xfId="12859"/>
    <cellStyle name="Bottom Edge 4 21" xfId="12860"/>
    <cellStyle name="Bottom Edge 4 3" xfId="12861"/>
    <cellStyle name="Bottom Edge 4 3 10" xfId="12862"/>
    <cellStyle name="Bottom Edge 4 3 11" xfId="12863"/>
    <cellStyle name="Bottom Edge 4 3 12" xfId="12864"/>
    <cellStyle name="Bottom Edge 4 3 13" xfId="12865"/>
    <cellStyle name="Bottom Edge 4 3 14" xfId="12866"/>
    <cellStyle name="Bottom Edge 4 3 15" xfId="12867"/>
    <cellStyle name="Bottom Edge 4 3 16" xfId="12868"/>
    <cellStyle name="Bottom Edge 4 3 17" xfId="12869"/>
    <cellStyle name="Bottom Edge 4 3 18" xfId="12870"/>
    <cellStyle name="Bottom Edge 4 3 2" xfId="12871"/>
    <cellStyle name="Bottom Edge 4 3 2 2" xfId="12872"/>
    <cellStyle name="Bottom Edge 4 3 2 2 2" xfId="12873"/>
    <cellStyle name="Bottom Edge 4 3 2 3" xfId="12874"/>
    <cellStyle name="Bottom Edge 4 3 2 4" xfId="12875"/>
    <cellStyle name="Bottom Edge 4 3 3" xfId="12876"/>
    <cellStyle name="Bottom Edge 4 3 3 2" xfId="12877"/>
    <cellStyle name="Bottom Edge 4 3 3 3" xfId="12878"/>
    <cellStyle name="Bottom Edge 4 3 4" xfId="12879"/>
    <cellStyle name="Bottom Edge 4 3 4 2" xfId="12880"/>
    <cellStyle name="Bottom Edge 4 3 5" xfId="12881"/>
    <cellStyle name="Bottom Edge 4 3 6" xfId="12882"/>
    <cellStyle name="Bottom Edge 4 3 7" xfId="12883"/>
    <cellStyle name="Bottom Edge 4 3 8" xfId="12884"/>
    <cellStyle name="Bottom Edge 4 3 9" xfId="12885"/>
    <cellStyle name="Bottom Edge 4 4" xfId="12886"/>
    <cellStyle name="Bottom Edge 4 4 2" xfId="12887"/>
    <cellStyle name="Bottom Edge 4 4 2 2" xfId="12888"/>
    <cellStyle name="Bottom Edge 4 4 2 3" xfId="12889"/>
    <cellStyle name="Bottom Edge 4 4 3" xfId="12890"/>
    <cellStyle name="Bottom Edge 4 4 3 2" xfId="12891"/>
    <cellStyle name="Bottom Edge 4 4 4" xfId="12892"/>
    <cellStyle name="Bottom Edge 4 4 5" xfId="12893"/>
    <cellStyle name="Bottom Edge 4 5" xfId="12894"/>
    <cellStyle name="Bottom Edge 4 5 2" xfId="12895"/>
    <cellStyle name="Bottom Edge 4 5 2 2" xfId="12896"/>
    <cellStyle name="Bottom Edge 4 5 3" xfId="12897"/>
    <cellStyle name="Bottom Edge 4 5 4" xfId="12898"/>
    <cellStyle name="Bottom Edge 4 6" xfId="12899"/>
    <cellStyle name="Bottom Edge 4 6 2" xfId="12900"/>
    <cellStyle name="Bottom Edge 4 6 3" xfId="12901"/>
    <cellStyle name="Bottom Edge 4 7" xfId="12902"/>
    <cellStyle name="Bottom Edge 4 7 2" xfId="12903"/>
    <cellStyle name="Bottom Edge 4 8" xfId="12904"/>
    <cellStyle name="Bottom Edge 4 9" xfId="12905"/>
    <cellStyle name="Bottom Edge 5" xfId="12906"/>
    <cellStyle name="Bottom Edge 5 10" xfId="12907"/>
    <cellStyle name="Bottom Edge 5 11" xfId="12908"/>
    <cellStyle name="Bottom Edge 5 12" xfId="12909"/>
    <cellStyle name="Bottom Edge 5 2" xfId="12910"/>
    <cellStyle name="Bottom Edge 5 2 10" xfId="12911"/>
    <cellStyle name="Bottom Edge 5 2 11" xfId="12912"/>
    <cellStyle name="Bottom Edge 5 2 12" xfId="12913"/>
    <cellStyle name="Bottom Edge 5 2 13" xfId="12914"/>
    <cellStyle name="Bottom Edge 5 2 14" xfId="12915"/>
    <cellStyle name="Bottom Edge 5 2 15" xfId="12916"/>
    <cellStyle name="Bottom Edge 5 2 16" xfId="12917"/>
    <cellStyle name="Bottom Edge 5 2 17" xfId="12918"/>
    <cellStyle name="Bottom Edge 5 2 18" xfId="12919"/>
    <cellStyle name="Bottom Edge 5 2 2" xfId="12920"/>
    <cellStyle name="Bottom Edge 5 2 2 2" xfId="12921"/>
    <cellStyle name="Bottom Edge 5 2 2 2 2" xfId="12922"/>
    <cellStyle name="Bottom Edge 5 2 2 3" xfId="12923"/>
    <cellStyle name="Bottom Edge 5 2 2 4" xfId="12924"/>
    <cellStyle name="Bottom Edge 5 2 3" xfId="12925"/>
    <cellStyle name="Bottom Edge 5 2 3 2" xfId="12926"/>
    <cellStyle name="Bottom Edge 5 2 3 3" xfId="12927"/>
    <cellStyle name="Bottom Edge 5 2 4" xfId="12928"/>
    <cellStyle name="Bottom Edge 5 2 4 2" xfId="12929"/>
    <cellStyle name="Bottom Edge 5 2 5" xfId="12930"/>
    <cellStyle name="Bottom Edge 5 2 6" xfId="12931"/>
    <cellStyle name="Bottom Edge 5 2 7" xfId="12932"/>
    <cellStyle name="Bottom Edge 5 2 8" xfId="12933"/>
    <cellStyle name="Bottom Edge 5 2 9" xfId="12934"/>
    <cellStyle name="Bottom Edge 5 3" xfId="12935"/>
    <cellStyle name="Bottom Edge 5 3 10" xfId="12936"/>
    <cellStyle name="Bottom Edge 5 3 11" xfId="12937"/>
    <cellStyle name="Bottom Edge 5 3 12" xfId="12938"/>
    <cellStyle name="Bottom Edge 5 3 13" xfId="12939"/>
    <cellStyle name="Bottom Edge 5 3 14" xfId="12940"/>
    <cellStyle name="Bottom Edge 5 3 15" xfId="12941"/>
    <cellStyle name="Bottom Edge 5 3 16" xfId="12942"/>
    <cellStyle name="Bottom Edge 5 3 17" xfId="12943"/>
    <cellStyle name="Bottom Edge 5 3 18" xfId="12944"/>
    <cellStyle name="Bottom Edge 5 3 2" xfId="12945"/>
    <cellStyle name="Bottom Edge 5 3 2 2" xfId="12946"/>
    <cellStyle name="Bottom Edge 5 3 2 2 2" xfId="12947"/>
    <cellStyle name="Bottom Edge 5 3 2 3" xfId="12948"/>
    <cellStyle name="Bottom Edge 5 3 2 4" xfId="12949"/>
    <cellStyle name="Bottom Edge 5 3 3" xfId="12950"/>
    <cellStyle name="Bottom Edge 5 3 3 2" xfId="12951"/>
    <cellStyle name="Bottom Edge 5 3 3 3" xfId="12952"/>
    <cellStyle name="Bottom Edge 5 3 4" xfId="12953"/>
    <cellStyle name="Bottom Edge 5 3 4 2" xfId="12954"/>
    <cellStyle name="Bottom Edge 5 3 5" xfId="12955"/>
    <cellStyle name="Bottom Edge 5 3 6" xfId="12956"/>
    <cellStyle name="Bottom Edge 5 3 7" xfId="12957"/>
    <cellStyle name="Bottom Edge 5 3 8" xfId="12958"/>
    <cellStyle name="Bottom Edge 5 3 9" xfId="12959"/>
    <cellStyle name="Bottom Edge 5 4" xfId="12960"/>
    <cellStyle name="Bottom Edge 5 4 2" xfId="12961"/>
    <cellStyle name="Bottom Edge 5 4 2 2" xfId="12962"/>
    <cellStyle name="Bottom Edge 5 4 2 3" xfId="12963"/>
    <cellStyle name="Bottom Edge 5 4 3" xfId="12964"/>
    <cellStyle name="Bottom Edge 5 4 3 2" xfId="12965"/>
    <cellStyle name="Bottom Edge 5 4 4" xfId="12966"/>
    <cellStyle name="Bottom Edge 5 4 5" xfId="12967"/>
    <cellStyle name="Bottom Edge 5 5" xfId="12968"/>
    <cellStyle name="Bottom Edge 5 5 2" xfId="12969"/>
    <cellStyle name="Bottom Edge 5 5 2 2" xfId="12970"/>
    <cellStyle name="Bottom Edge 5 5 3" xfId="12971"/>
    <cellStyle name="Bottom Edge 5 5 4" xfId="12972"/>
    <cellStyle name="Bottom Edge 5 6" xfId="12973"/>
    <cellStyle name="Bottom Edge 5 6 2" xfId="12974"/>
    <cellStyle name="Bottom Edge 5 7" xfId="12975"/>
    <cellStyle name="Bottom Edge 5 8" xfId="12976"/>
    <cellStyle name="Bottom Edge 5 9" xfId="12977"/>
    <cellStyle name="Bottom Edge 6" xfId="12978"/>
    <cellStyle name="Bottom Edge 6 10" xfId="12979"/>
    <cellStyle name="Bottom Edge 6 11" xfId="12980"/>
    <cellStyle name="Bottom Edge 6 12" xfId="12981"/>
    <cellStyle name="Bottom Edge 6 13" xfId="12982"/>
    <cellStyle name="Bottom Edge 6 14" xfId="12983"/>
    <cellStyle name="Bottom Edge 6 15" xfId="12984"/>
    <cellStyle name="Bottom Edge 6 16" xfId="12985"/>
    <cellStyle name="Bottom Edge 6 17" xfId="12986"/>
    <cellStyle name="Bottom Edge 6 18" xfId="12987"/>
    <cellStyle name="Bottom Edge 6 2" xfId="12988"/>
    <cellStyle name="Bottom Edge 6 2 2" xfId="12989"/>
    <cellStyle name="Bottom Edge 6 2 2 2" xfId="12990"/>
    <cellStyle name="Bottom Edge 6 2 3" xfId="12991"/>
    <cellStyle name="Bottom Edge 6 2 4" xfId="12992"/>
    <cellStyle name="Bottom Edge 6 3" xfId="12993"/>
    <cellStyle name="Bottom Edge 6 3 2" xfId="12994"/>
    <cellStyle name="Bottom Edge 6 3 3" xfId="12995"/>
    <cellStyle name="Bottom Edge 6 4" xfId="12996"/>
    <cellStyle name="Bottom Edge 6 4 2" xfId="12997"/>
    <cellStyle name="Bottom Edge 6 5" xfId="12998"/>
    <cellStyle name="Bottom Edge 6 6" xfId="12999"/>
    <cellStyle name="Bottom Edge 6 7" xfId="13000"/>
    <cellStyle name="Bottom Edge 6 8" xfId="13001"/>
    <cellStyle name="Bottom Edge 6 9" xfId="13002"/>
    <cellStyle name="Bottom Edge 7" xfId="13003"/>
    <cellStyle name="Bottom Edge 7 10" xfId="13004"/>
    <cellStyle name="Bottom Edge 7 11" xfId="13005"/>
    <cellStyle name="Bottom Edge 7 12" xfId="13006"/>
    <cellStyle name="Bottom Edge 7 13" xfId="13007"/>
    <cellStyle name="Bottom Edge 7 14" xfId="13008"/>
    <cellStyle name="Bottom Edge 7 15" xfId="13009"/>
    <cellStyle name="Bottom Edge 7 16" xfId="13010"/>
    <cellStyle name="Bottom Edge 7 17" xfId="13011"/>
    <cellStyle name="Bottom Edge 7 18" xfId="13012"/>
    <cellStyle name="Bottom Edge 7 2" xfId="13013"/>
    <cellStyle name="Bottom Edge 7 2 2" xfId="13014"/>
    <cellStyle name="Bottom Edge 7 2 3" xfId="13015"/>
    <cellStyle name="Bottom Edge 7 3" xfId="13016"/>
    <cellStyle name="Bottom Edge 7 3 2" xfId="13017"/>
    <cellStyle name="Bottom Edge 7 4" xfId="13018"/>
    <cellStyle name="Bottom Edge 7 5" xfId="13019"/>
    <cellStyle name="Bottom Edge 7 6" xfId="13020"/>
    <cellStyle name="Bottom Edge 7 7" xfId="13021"/>
    <cellStyle name="Bottom Edge 7 8" xfId="13022"/>
    <cellStyle name="Bottom Edge 7 9" xfId="13023"/>
    <cellStyle name="Bottom Edge 8" xfId="13024"/>
    <cellStyle name="Bottom Edge 8 2" xfId="13025"/>
    <cellStyle name="Bottom Edge 8 2 2" xfId="13026"/>
    <cellStyle name="Bottom Edge 8 3" xfId="13027"/>
    <cellStyle name="Bottom Edge 8 4" xfId="13028"/>
    <cellStyle name="Bottom Edge 9" xfId="13029"/>
    <cellStyle name="British Pound" xfId="13030"/>
    <cellStyle name="C" xfId="13031"/>
    <cellStyle name="C 2" xfId="13032"/>
    <cellStyle name="CALC Amount" xfId="13033"/>
    <cellStyle name="CALC Amount [1]" xfId="13034"/>
    <cellStyle name="CALC Amount [2]" xfId="13035"/>
    <cellStyle name="CALC Amount Total" xfId="13036"/>
    <cellStyle name="CALC Amount Total [1]" xfId="13037"/>
    <cellStyle name="CALC Amount Total [1] 2" xfId="13038"/>
    <cellStyle name="CALC Amount Total [1] 2 2" xfId="13039"/>
    <cellStyle name="CALC Amount Total [1] 2 2 2" xfId="13040"/>
    <cellStyle name="CALC Amount Total [1] 2 2 2 2" xfId="13041"/>
    <cellStyle name="CALC Amount Total [1] 2 2 3" xfId="13042"/>
    <cellStyle name="CALC Amount Total [1] 2 2 4" xfId="13043"/>
    <cellStyle name="CALC Amount Total [1] 2 3" xfId="13044"/>
    <cellStyle name="CALC Amount Total [1] 2 3 2" xfId="13045"/>
    <cellStyle name="CALC Amount Total [1] 2 3 3" xfId="13046"/>
    <cellStyle name="CALC Amount Total [1] 2 4" xfId="13047"/>
    <cellStyle name="CALC Amount Total [1] 2 4 2" xfId="13048"/>
    <cellStyle name="CALC Amount Total [1] 2 5" xfId="13049"/>
    <cellStyle name="CALC Amount Total [1] 2 6" xfId="13050"/>
    <cellStyle name="CALC Amount Total [1] 2 7" xfId="13051"/>
    <cellStyle name="CALC Amount Total [1] 3" xfId="13052"/>
    <cellStyle name="CALC Amount Total [1] 3 2" xfId="13053"/>
    <cellStyle name="CALC Amount Total [1] 3 2 2" xfId="13054"/>
    <cellStyle name="CALC Amount Total [1] 3 3" xfId="13055"/>
    <cellStyle name="CALC Amount Total [1] 3 4" xfId="13056"/>
    <cellStyle name="CALC Amount Total [1] 4" xfId="13057"/>
    <cellStyle name="CALC Amount Total [1] 5" xfId="13058"/>
    <cellStyle name="CALC Amount Total [1] 6" xfId="13059"/>
    <cellStyle name="CALC Amount Total [2]" xfId="13060"/>
    <cellStyle name="CALC Amount Total [2] 2" xfId="13061"/>
    <cellStyle name="CALC Amount Total [2] 2 2" xfId="13062"/>
    <cellStyle name="CALC Amount Total [2] 2 2 2" xfId="13063"/>
    <cellStyle name="CALC Amount Total [2] 2 2 2 2" xfId="13064"/>
    <cellStyle name="CALC Amount Total [2] 2 2 3" xfId="13065"/>
    <cellStyle name="CALC Amount Total [2] 2 2 4" xfId="13066"/>
    <cellStyle name="CALC Amount Total [2] 2 3" xfId="13067"/>
    <cellStyle name="CALC Amount Total [2] 2 3 2" xfId="13068"/>
    <cellStyle name="CALC Amount Total [2] 2 3 3" xfId="13069"/>
    <cellStyle name="CALC Amount Total [2] 2 4" xfId="13070"/>
    <cellStyle name="CALC Amount Total [2] 2 4 2" xfId="13071"/>
    <cellStyle name="CALC Amount Total [2] 2 5" xfId="13072"/>
    <cellStyle name="CALC Amount Total [2] 2 6" xfId="13073"/>
    <cellStyle name="CALC Amount Total [2] 2 7" xfId="13074"/>
    <cellStyle name="CALC Amount Total [2] 3" xfId="13075"/>
    <cellStyle name="CALC Amount Total [2] 3 2" xfId="13076"/>
    <cellStyle name="CALC Amount Total [2] 3 2 2" xfId="13077"/>
    <cellStyle name="CALC Amount Total [2] 3 3" xfId="13078"/>
    <cellStyle name="CALC Amount Total [2] 3 4" xfId="13079"/>
    <cellStyle name="CALC Amount Total [2] 4" xfId="13080"/>
    <cellStyle name="CALC Amount Total [2] 5" xfId="13081"/>
    <cellStyle name="CALC Amount Total [2] 6" xfId="13082"/>
    <cellStyle name="CALC Amount Total 10" xfId="13083"/>
    <cellStyle name="CALC Amount Total 10 2" xfId="13084"/>
    <cellStyle name="CALC Amount Total 10 3" xfId="13085"/>
    <cellStyle name="CALC Amount Total 11" xfId="13086"/>
    <cellStyle name="CALC Amount Total 11 2" xfId="13087"/>
    <cellStyle name="CALC Amount Total 11 3" xfId="13088"/>
    <cellStyle name="CALC Amount Total 12" xfId="13089"/>
    <cellStyle name="CALC Amount Total 12 2" xfId="13090"/>
    <cellStyle name="CALC Amount Total 12 3" xfId="13091"/>
    <cellStyle name="CALC Amount Total 13" xfId="13092"/>
    <cellStyle name="CALC Amount Total 13 2" xfId="13093"/>
    <cellStyle name="CALC Amount Total 13 3" xfId="13094"/>
    <cellStyle name="CALC Amount Total 14" xfId="13095"/>
    <cellStyle name="CALC Amount Total 14 2" xfId="13096"/>
    <cellStyle name="CALC Amount Total 14 3" xfId="13097"/>
    <cellStyle name="CALC Amount Total 15" xfId="13098"/>
    <cellStyle name="CALC Amount Total 15 2" xfId="13099"/>
    <cellStyle name="CALC Amount Total 15 3" xfId="13100"/>
    <cellStyle name="CALC Amount Total 16" xfId="13101"/>
    <cellStyle name="CALC Amount Total 16 2" xfId="13102"/>
    <cellStyle name="CALC Amount Total 16 3" xfId="13103"/>
    <cellStyle name="CALC Amount Total 17" xfId="13104"/>
    <cellStyle name="CALC Amount Total 17 2" xfId="13105"/>
    <cellStyle name="CALC Amount Total 17 3" xfId="13106"/>
    <cellStyle name="CALC Amount Total 18" xfId="13107"/>
    <cellStyle name="CALC Amount Total 18 2" xfId="13108"/>
    <cellStyle name="CALC Amount Total 18 3" xfId="13109"/>
    <cellStyle name="CALC Amount Total 19" xfId="13110"/>
    <cellStyle name="CALC Amount Total 19 2" xfId="13111"/>
    <cellStyle name="CALC Amount Total 19 3" xfId="13112"/>
    <cellStyle name="CALC Amount Total 2" xfId="13113"/>
    <cellStyle name="CALC Amount Total 2 2" xfId="13114"/>
    <cellStyle name="CALC Amount Total 2 2 2" xfId="13115"/>
    <cellStyle name="CALC Amount Total 2 2 2 2" xfId="13116"/>
    <cellStyle name="CALC Amount Total 2 2 3" xfId="13117"/>
    <cellStyle name="CALC Amount Total 2 2 4" xfId="13118"/>
    <cellStyle name="CALC Amount Total 2 3" xfId="13119"/>
    <cellStyle name="CALC Amount Total 2 3 2" xfId="13120"/>
    <cellStyle name="CALC Amount Total 2 3 3" xfId="13121"/>
    <cellStyle name="CALC Amount Total 2 4" xfId="13122"/>
    <cellStyle name="CALC Amount Total 2 4 2" xfId="13123"/>
    <cellStyle name="CALC Amount Total 2 5" xfId="13124"/>
    <cellStyle name="CALC Amount Total 2 6" xfId="13125"/>
    <cellStyle name="CALC Amount Total 2 7" xfId="13126"/>
    <cellStyle name="CALC Amount Total 20" xfId="13127"/>
    <cellStyle name="CALC Amount Total 21" xfId="13128"/>
    <cellStyle name="CALC Amount Total 22" xfId="13129"/>
    <cellStyle name="CALC Amount Total 23" xfId="13130"/>
    <cellStyle name="CALC Amount Total 24" xfId="13131"/>
    <cellStyle name="CALC Amount Total 25" xfId="13132"/>
    <cellStyle name="CALC Amount Total 26" xfId="13133"/>
    <cellStyle name="CALC Amount Total 3" xfId="13134"/>
    <cellStyle name="CALC Amount Total 3 2" xfId="13135"/>
    <cellStyle name="CALC Amount Total 3 2 2" xfId="13136"/>
    <cellStyle name="CALC Amount Total 3 3" xfId="13137"/>
    <cellStyle name="CALC Amount Total 3 4" xfId="13138"/>
    <cellStyle name="CALC Amount Total 3 5" xfId="13139"/>
    <cellStyle name="CALC Amount Total 4" xfId="13140"/>
    <cellStyle name="CALC Amount Total 4 2" xfId="13141"/>
    <cellStyle name="CALC Amount Total 4 3" xfId="13142"/>
    <cellStyle name="CALC Amount Total 4 4" xfId="13143"/>
    <cellStyle name="CALC Amount Total 5" xfId="13144"/>
    <cellStyle name="CALC Amount Total 5 2" xfId="13145"/>
    <cellStyle name="CALC Amount Total 5 3" xfId="13146"/>
    <cellStyle name="CALC Amount Total 6" xfId="13147"/>
    <cellStyle name="CALC Amount Total 6 2" xfId="13148"/>
    <cellStyle name="CALC Amount Total 6 3" xfId="13149"/>
    <cellStyle name="CALC Amount Total 7" xfId="13150"/>
    <cellStyle name="CALC Amount Total 7 2" xfId="13151"/>
    <cellStyle name="CALC Amount Total 7 3" xfId="13152"/>
    <cellStyle name="CALC Amount Total 8" xfId="13153"/>
    <cellStyle name="CALC Amount Total 8 2" xfId="13154"/>
    <cellStyle name="CALC Amount Total 8 3" xfId="13155"/>
    <cellStyle name="CALC Amount Total 9" xfId="13156"/>
    <cellStyle name="CALC Amount Total 9 2" xfId="13157"/>
    <cellStyle name="CALC Amount Total 9 3" xfId="13158"/>
    <cellStyle name="CALC Amount_бизнес-план_2005-2012_макет ТГК-5" xfId="13159"/>
    <cellStyle name="CALC Currency" xfId="13160"/>
    <cellStyle name="Calc Currency (0)" xfId="13161"/>
    <cellStyle name="Calc Currency (0) 2" xfId="13162"/>
    <cellStyle name="Calc Currency (0) 3" xfId="13163"/>
    <cellStyle name="Calc Currency (0) 4" xfId="13164"/>
    <cellStyle name="Calc Currency (0) 5" xfId="13165"/>
    <cellStyle name="Calc Currency (2)" xfId="13166"/>
    <cellStyle name="Calc Currency (2) 2" xfId="13167"/>
    <cellStyle name="Calc Currency (2) 3" xfId="13168"/>
    <cellStyle name="CALC Currency [1]" xfId="13169"/>
    <cellStyle name="CALC Currency [2]" xfId="13170"/>
    <cellStyle name="CALC Currency Total" xfId="13171"/>
    <cellStyle name="CALC Currency Total [1]" xfId="13172"/>
    <cellStyle name="CALC Currency Total [1] 2" xfId="13173"/>
    <cellStyle name="CALC Currency Total [1] 2 2" xfId="13174"/>
    <cellStyle name="CALC Currency Total [1] 2 2 2" xfId="13175"/>
    <cellStyle name="CALC Currency Total [1] 2 2 2 2" xfId="13176"/>
    <cellStyle name="CALC Currency Total [1] 2 2 3" xfId="13177"/>
    <cellStyle name="CALC Currency Total [1] 2 2 4" xfId="13178"/>
    <cellStyle name="CALC Currency Total [1] 2 3" xfId="13179"/>
    <cellStyle name="CALC Currency Total [1] 2 3 2" xfId="13180"/>
    <cellStyle name="CALC Currency Total [1] 2 3 3" xfId="13181"/>
    <cellStyle name="CALC Currency Total [1] 2 4" xfId="13182"/>
    <cellStyle name="CALC Currency Total [1] 2 4 2" xfId="13183"/>
    <cellStyle name="CALC Currency Total [1] 2 5" xfId="13184"/>
    <cellStyle name="CALC Currency Total [1] 2 6" xfId="13185"/>
    <cellStyle name="CALC Currency Total [1] 2 7" xfId="13186"/>
    <cellStyle name="CALC Currency Total [1] 3" xfId="13187"/>
    <cellStyle name="CALC Currency Total [1] 3 2" xfId="13188"/>
    <cellStyle name="CALC Currency Total [1] 3 2 2" xfId="13189"/>
    <cellStyle name="CALC Currency Total [1] 3 3" xfId="13190"/>
    <cellStyle name="CALC Currency Total [1] 3 4" xfId="13191"/>
    <cellStyle name="CALC Currency Total [1] 4" xfId="13192"/>
    <cellStyle name="CALC Currency Total [1] 5" xfId="13193"/>
    <cellStyle name="CALC Currency Total [1] 6" xfId="13194"/>
    <cellStyle name="CALC Currency Total [2]" xfId="13195"/>
    <cellStyle name="CALC Currency Total [2] 2" xfId="13196"/>
    <cellStyle name="CALC Currency Total [2] 2 2" xfId="13197"/>
    <cellStyle name="CALC Currency Total [2] 2 2 2" xfId="13198"/>
    <cellStyle name="CALC Currency Total [2] 2 2 2 2" xfId="13199"/>
    <cellStyle name="CALC Currency Total [2] 2 2 3" xfId="13200"/>
    <cellStyle name="CALC Currency Total [2] 2 2 4" xfId="13201"/>
    <cellStyle name="CALC Currency Total [2] 2 3" xfId="13202"/>
    <cellStyle name="CALC Currency Total [2] 2 3 2" xfId="13203"/>
    <cellStyle name="CALC Currency Total [2] 2 3 3" xfId="13204"/>
    <cellStyle name="CALC Currency Total [2] 2 4" xfId="13205"/>
    <cellStyle name="CALC Currency Total [2] 2 4 2" xfId="13206"/>
    <cellStyle name="CALC Currency Total [2] 2 5" xfId="13207"/>
    <cellStyle name="CALC Currency Total [2] 2 6" xfId="13208"/>
    <cellStyle name="CALC Currency Total [2] 2 7" xfId="13209"/>
    <cellStyle name="CALC Currency Total [2] 3" xfId="13210"/>
    <cellStyle name="CALC Currency Total [2] 3 2" xfId="13211"/>
    <cellStyle name="CALC Currency Total [2] 3 2 2" xfId="13212"/>
    <cellStyle name="CALC Currency Total [2] 3 3" xfId="13213"/>
    <cellStyle name="CALC Currency Total [2] 3 4" xfId="13214"/>
    <cellStyle name="CALC Currency Total [2] 4" xfId="13215"/>
    <cellStyle name="CALC Currency Total [2] 5" xfId="13216"/>
    <cellStyle name="CALC Currency Total [2] 6" xfId="13217"/>
    <cellStyle name="CALC Currency Total 10" xfId="13218"/>
    <cellStyle name="CALC Currency Total 10 2" xfId="13219"/>
    <cellStyle name="CALC Currency Total 10 3" xfId="13220"/>
    <cellStyle name="CALC Currency Total 11" xfId="13221"/>
    <cellStyle name="CALC Currency Total 11 2" xfId="13222"/>
    <cellStyle name="CALC Currency Total 11 3" xfId="13223"/>
    <cellStyle name="CALC Currency Total 12" xfId="13224"/>
    <cellStyle name="CALC Currency Total 12 2" xfId="13225"/>
    <cellStyle name="CALC Currency Total 12 3" xfId="13226"/>
    <cellStyle name="CALC Currency Total 13" xfId="13227"/>
    <cellStyle name="CALC Currency Total 13 2" xfId="13228"/>
    <cellStyle name="CALC Currency Total 13 3" xfId="13229"/>
    <cellStyle name="CALC Currency Total 14" xfId="13230"/>
    <cellStyle name="CALC Currency Total 14 2" xfId="13231"/>
    <cellStyle name="CALC Currency Total 14 3" xfId="13232"/>
    <cellStyle name="CALC Currency Total 15" xfId="13233"/>
    <cellStyle name="CALC Currency Total 15 2" xfId="13234"/>
    <cellStyle name="CALC Currency Total 15 3" xfId="13235"/>
    <cellStyle name="CALC Currency Total 16" xfId="13236"/>
    <cellStyle name="CALC Currency Total 16 2" xfId="13237"/>
    <cellStyle name="CALC Currency Total 16 3" xfId="13238"/>
    <cellStyle name="CALC Currency Total 17" xfId="13239"/>
    <cellStyle name="CALC Currency Total 17 2" xfId="13240"/>
    <cellStyle name="CALC Currency Total 17 3" xfId="13241"/>
    <cellStyle name="CALC Currency Total 18" xfId="13242"/>
    <cellStyle name="CALC Currency Total 18 2" xfId="13243"/>
    <cellStyle name="CALC Currency Total 18 3" xfId="13244"/>
    <cellStyle name="CALC Currency Total 19" xfId="13245"/>
    <cellStyle name="CALC Currency Total 19 2" xfId="13246"/>
    <cellStyle name="CALC Currency Total 19 3" xfId="13247"/>
    <cellStyle name="CALC Currency Total 2" xfId="13248"/>
    <cellStyle name="CALC Currency Total 2 2" xfId="13249"/>
    <cellStyle name="CALC Currency Total 2 2 2" xfId="13250"/>
    <cellStyle name="CALC Currency Total 2 2 2 2" xfId="13251"/>
    <cellStyle name="CALC Currency Total 2 2 3" xfId="13252"/>
    <cellStyle name="CALC Currency Total 2 2 4" xfId="13253"/>
    <cellStyle name="CALC Currency Total 2 3" xfId="13254"/>
    <cellStyle name="CALC Currency Total 2 3 2" xfId="13255"/>
    <cellStyle name="CALC Currency Total 2 3 3" xfId="13256"/>
    <cellStyle name="CALC Currency Total 2 4" xfId="13257"/>
    <cellStyle name="CALC Currency Total 2 4 2" xfId="13258"/>
    <cellStyle name="CALC Currency Total 2 5" xfId="13259"/>
    <cellStyle name="CALC Currency Total 2 6" xfId="13260"/>
    <cellStyle name="CALC Currency Total 2 7" xfId="13261"/>
    <cellStyle name="CALC Currency Total 20" xfId="13262"/>
    <cellStyle name="CALC Currency Total 21" xfId="13263"/>
    <cellStyle name="CALC Currency Total 22" xfId="13264"/>
    <cellStyle name="CALC Currency Total 23" xfId="13265"/>
    <cellStyle name="CALC Currency Total 24" xfId="13266"/>
    <cellStyle name="CALC Currency Total 25" xfId="13267"/>
    <cellStyle name="CALC Currency Total 26" xfId="13268"/>
    <cellStyle name="CALC Currency Total 3" xfId="13269"/>
    <cellStyle name="CALC Currency Total 3 2" xfId="13270"/>
    <cellStyle name="CALC Currency Total 3 2 2" xfId="13271"/>
    <cellStyle name="CALC Currency Total 3 3" xfId="13272"/>
    <cellStyle name="CALC Currency Total 3 4" xfId="13273"/>
    <cellStyle name="CALC Currency Total 3 5" xfId="13274"/>
    <cellStyle name="CALC Currency Total 4" xfId="13275"/>
    <cellStyle name="CALC Currency Total 4 2" xfId="13276"/>
    <cellStyle name="CALC Currency Total 4 3" xfId="13277"/>
    <cellStyle name="CALC Currency Total 4 4" xfId="13278"/>
    <cellStyle name="CALC Currency Total 5" xfId="13279"/>
    <cellStyle name="CALC Currency Total 5 2" xfId="13280"/>
    <cellStyle name="CALC Currency Total 5 3" xfId="13281"/>
    <cellStyle name="CALC Currency Total 6" xfId="13282"/>
    <cellStyle name="CALC Currency Total 6 2" xfId="13283"/>
    <cellStyle name="CALC Currency Total 6 3" xfId="13284"/>
    <cellStyle name="CALC Currency Total 7" xfId="13285"/>
    <cellStyle name="CALC Currency Total 7 2" xfId="13286"/>
    <cellStyle name="CALC Currency Total 7 3" xfId="13287"/>
    <cellStyle name="CALC Currency Total 8" xfId="13288"/>
    <cellStyle name="CALC Currency Total 8 2" xfId="13289"/>
    <cellStyle name="CALC Currency Total 8 3" xfId="13290"/>
    <cellStyle name="CALC Currency Total 9" xfId="13291"/>
    <cellStyle name="CALC Currency Total 9 2" xfId="13292"/>
    <cellStyle name="CALC Currency Total 9 3" xfId="13293"/>
    <cellStyle name="CALC Date Long" xfId="13294"/>
    <cellStyle name="CALC Date Short" xfId="13295"/>
    <cellStyle name="CALC Percent" xfId="13296"/>
    <cellStyle name="Calc Percent (0)" xfId="13297"/>
    <cellStyle name="Calc Percent (0) 2" xfId="13298"/>
    <cellStyle name="Calc Percent (0) 3" xfId="13299"/>
    <cellStyle name="Calc Percent (1)" xfId="13300"/>
    <cellStyle name="Calc Percent (1) 2" xfId="13301"/>
    <cellStyle name="Calc Percent (1) 3" xfId="13302"/>
    <cellStyle name="Calc Percent (1) 4" xfId="13303"/>
    <cellStyle name="Calc Percent (1) 5" xfId="13304"/>
    <cellStyle name="Calc Percent (2)" xfId="13305"/>
    <cellStyle name="Calc Percent (2) 2" xfId="13306"/>
    <cellStyle name="Calc Percent (2) 3" xfId="13307"/>
    <cellStyle name="Calc Percent (2) 4" xfId="13308"/>
    <cellStyle name="Calc Percent (2) 5" xfId="13309"/>
    <cellStyle name="CALC Percent [1]" xfId="13310"/>
    <cellStyle name="CALC Percent [2]" xfId="13311"/>
    <cellStyle name="CALC Percent [2] 2" xfId="13312"/>
    <cellStyle name="CALC Percent Total" xfId="13313"/>
    <cellStyle name="CALC Percent Total [1]" xfId="13314"/>
    <cellStyle name="CALC Percent Total [1] 2" xfId="13315"/>
    <cellStyle name="CALC Percent Total [1] 2 2" xfId="13316"/>
    <cellStyle name="CALC Percent Total [1] 2 2 2" xfId="13317"/>
    <cellStyle name="CALC Percent Total [1] 2 2 2 2" xfId="13318"/>
    <cellStyle name="CALC Percent Total [1] 2 2 3" xfId="13319"/>
    <cellStyle name="CALC Percent Total [1] 2 2 4" xfId="13320"/>
    <cellStyle name="CALC Percent Total [1] 2 3" xfId="13321"/>
    <cellStyle name="CALC Percent Total [1] 2 3 2" xfId="13322"/>
    <cellStyle name="CALC Percent Total [1] 2 3 3" xfId="13323"/>
    <cellStyle name="CALC Percent Total [1] 2 4" xfId="13324"/>
    <cellStyle name="CALC Percent Total [1] 2 4 2" xfId="13325"/>
    <cellStyle name="CALC Percent Total [1] 2 5" xfId="13326"/>
    <cellStyle name="CALC Percent Total [1] 2 6" xfId="13327"/>
    <cellStyle name="CALC Percent Total [1] 2 7" xfId="13328"/>
    <cellStyle name="CALC Percent Total [1] 3" xfId="13329"/>
    <cellStyle name="CALC Percent Total [1] 3 2" xfId="13330"/>
    <cellStyle name="CALC Percent Total [1] 3 2 2" xfId="13331"/>
    <cellStyle name="CALC Percent Total [1] 3 3" xfId="13332"/>
    <cellStyle name="CALC Percent Total [1] 3 4" xfId="13333"/>
    <cellStyle name="CALC Percent Total [1] 4" xfId="13334"/>
    <cellStyle name="CALC Percent Total [1] 5" xfId="13335"/>
    <cellStyle name="CALC Percent Total [1] 6" xfId="13336"/>
    <cellStyle name="CALC Percent Total [2]" xfId="13337"/>
    <cellStyle name="CALC Percent Total [2] 2" xfId="13338"/>
    <cellStyle name="CALC Percent Total [2] 2 2" xfId="13339"/>
    <cellStyle name="CALC Percent Total [2] 2 2 2" xfId="13340"/>
    <cellStyle name="CALC Percent Total [2] 2 2 2 2" xfId="13341"/>
    <cellStyle name="CALC Percent Total [2] 2 2 3" xfId="13342"/>
    <cellStyle name="CALC Percent Total [2] 2 2 4" xfId="13343"/>
    <cellStyle name="CALC Percent Total [2] 2 3" xfId="13344"/>
    <cellStyle name="CALC Percent Total [2] 2 3 2" xfId="13345"/>
    <cellStyle name="CALC Percent Total [2] 2 3 3" xfId="13346"/>
    <cellStyle name="CALC Percent Total [2] 2 4" xfId="13347"/>
    <cellStyle name="CALC Percent Total [2] 2 4 2" xfId="13348"/>
    <cellStyle name="CALC Percent Total [2] 2 5" xfId="13349"/>
    <cellStyle name="CALC Percent Total [2] 2 6" xfId="13350"/>
    <cellStyle name="CALC Percent Total [2] 2 7" xfId="13351"/>
    <cellStyle name="CALC Percent Total [2] 3" xfId="13352"/>
    <cellStyle name="CALC Percent Total [2] 3 2" xfId="13353"/>
    <cellStyle name="CALC Percent Total [2] 3 2 2" xfId="13354"/>
    <cellStyle name="CALC Percent Total [2] 3 3" xfId="13355"/>
    <cellStyle name="CALC Percent Total [2] 3 4" xfId="13356"/>
    <cellStyle name="CALC Percent Total [2] 4" xfId="13357"/>
    <cellStyle name="CALC Percent Total [2] 5" xfId="13358"/>
    <cellStyle name="CALC Percent Total [2] 6" xfId="13359"/>
    <cellStyle name="CALC Percent Total 10" xfId="13360"/>
    <cellStyle name="CALC Percent Total 10 2" xfId="13361"/>
    <cellStyle name="CALC Percent Total 10 3" xfId="13362"/>
    <cellStyle name="CALC Percent Total 11" xfId="13363"/>
    <cellStyle name="CALC Percent Total 11 2" xfId="13364"/>
    <cellStyle name="CALC Percent Total 11 3" xfId="13365"/>
    <cellStyle name="CALC Percent Total 12" xfId="13366"/>
    <cellStyle name="CALC Percent Total 12 2" xfId="13367"/>
    <cellStyle name="CALC Percent Total 12 3" xfId="13368"/>
    <cellStyle name="CALC Percent Total 13" xfId="13369"/>
    <cellStyle name="CALC Percent Total 13 2" xfId="13370"/>
    <cellStyle name="CALC Percent Total 13 3" xfId="13371"/>
    <cellStyle name="CALC Percent Total 14" xfId="13372"/>
    <cellStyle name="CALC Percent Total 14 2" xfId="13373"/>
    <cellStyle name="CALC Percent Total 14 3" xfId="13374"/>
    <cellStyle name="CALC Percent Total 15" xfId="13375"/>
    <cellStyle name="CALC Percent Total 15 2" xfId="13376"/>
    <cellStyle name="CALC Percent Total 15 3" xfId="13377"/>
    <cellStyle name="CALC Percent Total 16" xfId="13378"/>
    <cellStyle name="CALC Percent Total 16 2" xfId="13379"/>
    <cellStyle name="CALC Percent Total 16 3" xfId="13380"/>
    <cellStyle name="CALC Percent Total 17" xfId="13381"/>
    <cellStyle name="CALC Percent Total 17 2" xfId="13382"/>
    <cellStyle name="CALC Percent Total 17 3" xfId="13383"/>
    <cellStyle name="CALC Percent Total 18" xfId="13384"/>
    <cellStyle name="CALC Percent Total 18 2" xfId="13385"/>
    <cellStyle name="CALC Percent Total 18 3" xfId="13386"/>
    <cellStyle name="CALC Percent Total 19" xfId="13387"/>
    <cellStyle name="CALC Percent Total 19 2" xfId="13388"/>
    <cellStyle name="CALC Percent Total 19 3" xfId="13389"/>
    <cellStyle name="CALC Percent Total 2" xfId="13390"/>
    <cellStyle name="CALC Percent Total 2 2" xfId="13391"/>
    <cellStyle name="CALC Percent Total 2 2 2" xfId="13392"/>
    <cellStyle name="CALC Percent Total 2 2 2 2" xfId="13393"/>
    <cellStyle name="CALC Percent Total 2 2 3" xfId="13394"/>
    <cellStyle name="CALC Percent Total 2 2 4" xfId="13395"/>
    <cellStyle name="CALC Percent Total 2 3" xfId="13396"/>
    <cellStyle name="CALC Percent Total 2 3 2" xfId="13397"/>
    <cellStyle name="CALC Percent Total 2 3 3" xfId="13398"/>
    <cellStyle name="CALC Percent Total 2 4" xfId="13399"/>
    <cellStyle name="CALC Percent Total 2 4 2" xfId="13400"/>
    <cellStyle name="CALC Percent Total 2 5" xfId="13401"/>
    <cellStyle name="CALC Percent Total 2 6" xfId="13402"/>
    <cellStyle name="CALC Percent Total 2 7" xfId="13403"/>
    <cellStyle name="CALC Percent Total 20" xfId="13404"/>
    <cellStyle name="CALC Percent Total 21" xfId="13405"/>
    <cellStyle name="CALC Percent Total 22" xfId="13406"/>
    <cellStyle name="CALC Percent Total 23" xfId="13407"/>
    <cellStyle name="CALC Percent Total 24" xfId="13408"/>
    <cellStyle name="CALC Percent Total 25" xfId="13409"/>
    <cellStyle name="CALC Percent Total 26" xfId="13410"/>
    <cellStyle name="CALC Percent Total 3" xfId="13411"/>
    <cellStyle name="CALC Percent Total 3 2" xfId="13412"/>
    <cellStyle name="CALC Percent Total 3 2 2" xfId="13413"/>
    <cellStyle name="CALC Percent Total 3 3" xfId="13414"/>
    <cellStyle name="CALC Percent Total 3 4" xfId="13415"/>
    <cellStyle name="CALC Percent Total 3 5" xfId="13416"/>
    <cellStyle name="CALC Percent Total 4" xfId="13417"/>
    <cellStyle name="CALC Percent Total 4 2" xfId="13418"/>
    <cellStyle name="CALC Percent Total 4 3" xfId="13419"/>
    <cellStyle name="CALC Percent Total 4 4" xfId="13420"/>
    <cellStyle name="CALC Percent Total 5" xfId="13421"/>
    <cellStyle name="CALC Percent Total 5 2" xfId="13422"/>
    <cellStyle name="CALC Percent Total 5 3" xfId="13423"/>
    <cellStyle name="CALC Percent Total 6" xfId="13424"/>
    <cellStyle name="CALC Percent Total 6 2" xfId="13425"/>
    <cellStyle name="CALC Percent Total 6 3" xfId="13426"/>
    <cellStyle name="CALC Percent Total 7" xfId="13427"/>
    <cellStyle name="CALC Percent Total 7 2" xfId="13428"/>
    <cellStyle name="CALC Percent Total 7 3" xfId="13429"/>
    <cellStyle name="CALC Percent Total 8" xfId="13430"/>
    <cellStyle name="CALC Percent Total 8 2" xfId="13431"/>
    <cellStyle name="CALC Percent Total 8 3" xfId="13432"/>
    <cellStyle name="CALC Percent Total 9" xfId="13433"/>
    <cellStyle name="CALC Percent Total 9 2" xfId="13434"/>
    <cellStyle name="CALC Percent Total 9 3" xfId="13435"/>
    <cellStyle name="Calc Units (0)" xfId="13436"/>
    <cellStyle name="Calc Units (0) 2" xfId="13437"/>
    <cellStyle name="Calc Units (0) 3" xfId="13438"/>
    <cellStyle name="Calc Units (0) 4" xfId="13439"/>
    <cellStyle name="Calc Units (0) 5" xfId="13440"/>
    <cellStyle name="Calc Units (1)" xfId="13441"/>
    <cellStyle name="Calc Units (1) 2" xfId="13442"/>
    <cellStyle name="Calc Units (1) 3" xfId="13443"/>
    <cellStyle name="Calc Units (1) 4" xfId="13444"/>
    <cellStyle name="Calc Units (1) 5" xfId="13445"/>
    <cellStyle name="Calc Units (2)" xfId="13446"/>
    <cellStyle name="Calc Units (2) 2" xfId="13447"/>
    <cellStyle name="Calc Units (2) 3" xfId="13448"/>
    <cellStyle name="Calculation" xfId="13449"/>
    <cellStyle name="Calculation 10" xfId="13450"/>
    <cellStyle name="Calculation 10 10" xfId="13451"/>
    <cellStyle name="Calculation 10 11" xfId="13452"/>
    <cellStyle name="Calculation 10 12" xfId="13453"/>
    <cellStyle name="Calculation 10 13" xfId="13454"/>
    <cellStyle name="Calculation 10 14" xfId="13455"/>
    <cellStyle name="Calculation 10 15" xfId="13456"/>
    <cellStyle name="Calculation 10 16" xfId="13457"/>
    <cellStyle name="Calculation 10 17" xfId="13458"/>
    <cellStyle name="Calculation 10 2" xfId="13459"/>
    <cellStyle name="Calculation 10 2 2" xfId="13460"/>
    <cellStyle name="Calculation 10 2 2 2" xfId="13461"/>
    <cellStyle name="Calculation 10 2 3" xfId="13462"/>
    <cellStyle name="Calculation 10 2 4" xfId="13463"/>
    <cellStyle name="Calculation 10 3" xfId="13464"/>
    <cellStyle name="Calculation 10 3 2" xfId="13465"/>
    <cellStyle name="Calculation 10 4" xfId="13466"/>
    <cellStyle name="Calculation 10 5" xfId="13467"/>
    <cellStyle name="Calculation 10 6" xfId="13468"/>
    <cellStyle name="Calculation 10 7" xfId="13469"/>
    <cellStyle name="Calculation 10 8" xfId="13470"/>
    <cellStyle name="Calculation 10 9" xfId="13471"/>
    <cellStyle name="Calculation 11" xfId="13472"/>
    <cellStyle name="Calculation 11 2" xfId="13473"/>
    <cellStyle name="Calculation 11 2 2" xfId="13474"/>
    <cellStyle name="Calculation 11 2 2 2" xfId="13475"/>
    <cellStyle name="Calculation 11 2 3" xfId="13476"/>
    <cellStyle name="Calculation 11 2 4" xfId="13477"/>
    <cellStyle name="Calculation 11 3" xfId="13478"/>
    <cellStyle name="Calculation 11 3 2" xfId="13479"/>
    <cellStyle name="Calculation 11 3 3" xfId="13480"/>
    <cellStyle name="Calculation 11 4" xfId="13481"/>
    <cellStyle name="Calculation 11 4 2" xfId="13482"/>
    <cellStyle name="Calculation 11 5" xfId="13483"/>
    <cellStyle name="Calculation 11 6" xfId="13484"/>
    <cellStyle name="Calculation 12" xfId="13485"/>
    <cellStyle name="Calculation 12 2" xfId="13486"/>
    <cellStyle name="Calculation 12 2 2" xfId="13487"/>
    <cellStyle name="Calculation 12 3" xfId="13488"/>
    <cellStyle name="Calculation 12 4" xfId="13489"/>
    <cellStyle name="Calculation 13" xfId="13490"/>
    <cellStyle name="Calculation 14" xfId="13491"/>
    <cellStyle name="Calculation 15" xfId="13492"/>
    <cellStyle name="Calculation 16" xfId="13493"/>
    <cellStyle name="Calculation 17" xfId="13494"/>
    <cellStyle name="Calculation 18" xfId="13495"/>
    <cellStyle name="Calculation 19" xfId="13496"/>
    <cellStyle name="Calculation 2" xfId="13497"/>
    <cellStyle name="Calculation 2 10" xfId="13498"/>
    <cellStyle name="Calculation 2 11" xfId="13499"/>
    <cellStyle name="Calculation 2 12" xfId="13500"/>
    <cellStyle name="Calculation 2 13" xfId="13501"/>
    <cellStyle name="Calculation 2 14" xfId="13502"/>
    <cellStyle name="Calculation 2 15" xfId="13503"/>
    <cellStyle name="Calculation 2 16" xfId="13504"/>
    <cellStyle name="Calculation 2 17" xfId="13505"/>
    <cellStyle name="Calculation 2 18" xfId="13506"/>
    <cellStyle name="Calculation 2 19" xfId="13507"/>
    <cellStyle name="Calculation 2 2" xfId="13508"/>
    <cellStyle name="Calculation 2 2 10" xfId="13509"/>
    <cellStyle name="Calculation 2 2 11" xfId="13510"/>
    <cellStyle name="Calculation 2 2 12" xfId="13511"/>
    <cellStyle name="Calculation 2 2 13" xfId="13512"/>
    <cellStyle name="Calculation 2 2 14" xfId="13513"/>
    <cellStyle name="Calculation 2 2 15" xfId="13514"/>
    <cellStyle name="Calculation 2 2 16" xfId="13515"/>
    <cellStyle name="Calculation 2 2 17" xfId="13516"/>
    <cellStyle name="Calculation 2 2 18" xfId="13517"/>
    <cellStyle name="Calculation 2 2 19" xfId="13518"/>
    <cellStyle name="Calculation 2 2 2" xfId="13519"/>
    <cellStyle name="Calculation 2 2 2 10" xfId="13520"/>
    <cellStyle name="Calculation 2 2 2 11" xfId="13521"/>
    <cellStyle name="Calculation 2 2 2 12" xfId="13522"/>
    <cellStyle name="Calculation 2 2 2 13" xfId="13523"/>
    <cellStyle name="Calculation 2 2 2 14" xfId="13524"/>
    <cellStyle name="Calculation 2 2 2 15" xfId="13525"/>
    <cellStyle name="Calculation 2 2 2 16" xfId="13526"/>
    <cellStyle name="Calculation 2 2 2 17" xfId="13527"/>
    <cellStyle name="Calculation 2 2 2 18" xfId="13528"/>
    <cellStyle name="Calculation 2 2 2 2" xfId="13529"/>
    <cellStyle name="Calculation 2 2 2 2 2" xfId="13530"/>
    <cellStyle name="Calculation 2 2 2 2 2 2" xfId="13531"/>
    <cellStyle name="Calculation 2 2 2 2 3" xfId="13532"/>
    <cellStyle name="Calculation 2 2 2 2 4" xfId="13533"/>
    <cellStyle name="Calculation 2 2 2 3" xfId="13534"/>
    <cellStyle name="Calculation 2 2 2 3 2" xfId="13535"/>
    <cellStyle name="Calculation 2 2 2 3 3" xfId="13536"/>
    <cellStyle name="Calculation 2 2 2 4" xfId="13537"/>
    <cellStyle name="Calculation 2 2 2 4 2" xfId="13538"/>
    <cellStyle name="Calculation 2 2 2 5" xfId="13539"/>
    <cellStyle name="Calculation 2 2 2 6" xfId="13540"/>
    <cellStyle name="Calculation 2 2 2 7" xfId="13541"/>
    <cellStyle name="Calculation 2 2 2 8" xfId="13542"/>
    <cellStyle name="Calculation 2 2 2 9" xfId="13543"/>
    <cellStyle name="Calculation 2 2 20" xfId="13544"/>
    <cellStyle name="Calculation 2 2 21" xfId="13545"/>
    <cellStyle name="Calculation 2 2 3" xfId="13546"/>
    <cellStyle name="Calculation 2 2 3 10" xfId="13547"/>
    <cellStyle name="Calculation 2 2 3 11" xfId="13548"/>
    <cellStyle name="Calculation 2 2 3 12" xfId="13549"/>
    <cellStyle name="Calculation 2 2 3 13" xfId="13550"/>
    <cellStyle name="Calculation 2 2 3 14" xfId="13551"/>
    <cellStyle name="Calculation 2 2 3 15" xfId="13552"/>
    <cellStyle name="Calculation 2 2 3 16" xfId="13553"/>
    <cellStyle name="Calculation 2 2 3 17" xfId="13554"/>
    <cellStyle name="Calculation 2 2 3 18" xfId="13555"/>
    <cellStyle name="Calculation 2 2 3 2" xfId="13556"/>
    <cellStyle name="Calculation 2 2 3 2 2" xfId="13557"/>
    <cellStyle name="Calculation 2 2 3 2 2 2" xfId="13558"/>
    <cellStyle name="Calculation 2 2 3 2 3" xfId="13559"/>
    <cellStyle name="Calculation 2 2 3 2 4" xfId="13560"/>
    <cellStyle name="Calculation 2 2 3 3" xfId="13561"/>
    <cellStyle name="Calculation 2 2 3 3 2" xfId="13562"/>
    <cellStyle name="Calculation 2 2 3 3 3" xfId="13563"/>
    <cellStyle name="Calculation 2 2 3 4" xfId="13564"/>
    <cellStyle name="Calculation 2 2 3 4 2" xfId="13565"/>
    <cellStyle name="Calculation 2 2 3 5" xfId="13566"/>
    <cellStyle name="Calculation 2 2 3 6" xfId="13567"/>
    <cellStyle name="Calculation 2 2 3 7" xfId="13568"/>
    <cellStyle name="Calculation 2 2 3 8" xfId="13569"/>
    <cellStyle name="Calculation 2 2 3 9" xfId="13570"/>
    <cellStyle name="Calculation 2 2 4" xfId="13571"/>
    <cellStyle name="Calculation 2 2 4 2" xfId="13572"/>
    <cellStyle name="Calculation 2 2 4 2 2" xfId="13573"/>
    <cellStyle name="Calculation 2 2 4 2 3" xfId="13574"/>
    <cellStyle name="Calculation 2 2 4 3" xfId="13575"/>
    <cellStyle name="Calculation 2 2 4 3 2" xfId="13576"/>
    <cellStyle name="Calculation 2 2 4 4" xfId="13577"/>
    <cellStyle name="Calculation 2 2 4 5" xfId="13578"/>
    <cellStyle name="Calculation 2 2 5" xfId="13579"/>
    <cellStyle name="Calculation 2 2 5 2" xfId="13580"/>
    <cellStyle name="Calculation 2 2 5 2 2" xfId="13581"/>
    <cellStyle name="Calculation 2 2 5 3" xfId="13582"/>
    <cellStyle name="Calculation 2 2 5 4" xfId="13583"/>
    <cellStyle name="Calculation 2 2 6" xfId="13584"/>
    <cellStyle name="Calculation 2 2 6 2" xfId="13585"/>
    <cellStyle name="Calculation 2 2 7" xfId="13586"/>
    <cellStyle name="Calculation 2 2 8" xfId="13587"/>
    <cellStyle name="Calculation 2 2 9" xfId="13588"/>
    <cellStyle name="Calculation 2 20" xfId="13589"/>
    <cellStyle name="Calculation 2 21" xfId="13590"/>
    <cellStyle name="Calculation 2 22" xfId="13591"/>
    <cellStyle name="Calculation 2 23" xfId="13592"/>
    <cellStyle name="Calculation 2 24" xfId="13593"/>
    <cellStyle name="Calculation 2 25" xfId="13594"/>
    <cellStyle name="Calculation 2 3" xfId="13595"/>
    <cellStyle name="Calculation 2 3 10" xfId="13596"/>
    <cellStyle name="Calculation 2 3 11" xfId="13597"/>
    <cellStyle name="Calculation 2 3 12" xfId="13598"/>
    <cellStyle name="Calculation 2 3 13" xfId="13599"/>
    <cellStyle name="Calculation 2 3 14" xfId="13600"/>
    <cellStyle name="Calculation 2 3 15" xfId="13601"/>
    <cellStyle name="Calculation 2 3 16" xfId="13602"/>
    <cellStyle name="Calculation 2 3 17" xfId="13603"/>
    <cellStyle name="Calculation 2 3 18" xfId="13604"/>
    <cellStyle name="Calculation 2 3 19" xfId="13605"/>
    <cellStyle name="Calculation 2 3 2" xfId="13606"/>
    <cellStyle name="Calculation 2 3 2 10" xfId="13607"/>
    <cellStyle name="Calculation 2 3 2 11" xfId="13608"/>
    <cellStyle name="Calculation 2 3 2 12" xfId="13609"/>
    <cellStyle name="Calculation 2 3 2 13" xfId="13610"/>
    <cellStyle name="Calculation 2 3 2 14" xfId="13611"/>
    <cellStyle name="Calculation 2 3 2 15" xfId="13612"/>
    <cellStyle name="Calculation 2 3 2 16" xfId="13613"/>
    <cellStyle name="Calculation 2 3 2 17" xfId="13614"/>
    <cellStyle name="Calculation 2 3 2 18" xfId="13615"/>
    <cellStyle name="Calculation 2 3 2 2" xfId="13616"/>
    <cellStyle name="Calculation 2 3 2 2 2" xfId="13617"/>
    <cellStyle name="Calculation 2 3 2 2 2 2" xfId="13618"/>
    <cellStyle name="Calculation 2 3 2 2 3" xfId="13619"/>
    <cellStyle name="Calculation 2 3 2 2 4" xfId="13620"/>
    <cellStyle name="Calculation 2 3 2 3" xfId="13621"/>
    <cellStyle name="Calculation 2 3 2 3 2" xfId="13622"/>
    <cellStyle name="Calculation 2 3 2 3 3" xfId="13623"/>
    <cellStyle name="Calculation 2 3 2 4" xfId="13624"/>
    <cellStyle name="Calculation 2 3 2 4 2" xfId="13625"/>
    <cellStyle name="Calculation 2 3 2 5" xfId="13626"/>
    <cellStyle name="Calculation 2 3 2 6" xfId="13627"/>
    <cellStyle name="Calculation 2 3 2 7" xfId="13628"/>
    <cellStyle name="Calculation 2 3 2 8" xfId="13629"/>
    <cellStyle name="Calculation 2 3 2 9" xfId="13630"/>
    <cellStyle name="Calculation 2 3 20" xfId="13631"/>
    <cellStyle name="Calculation 2 3 21" xfId="13632"/>
    <cellStyle name="Calculation 2 3 3" xfId="13633"/>
    <cellStyle name="Calculation 2 3 3 10" xfId="13634"/>
    <cellStyle name="Calculation 2 3 3 11" xfId="13635"/>
    <cellStyle name="Calculation 2 3 3 12" xfId="13636"/>
    <cellStyle name="Calculation 2 3 3 13" xfId="13637"/>
    <cellStyle name="Calculation 2 3 3 14" xfId="13638"/>
    <cellStyle name="Calculation 2 3 3 15" xfId="13639"/>
    <cellStyle name="Calculation 2 3 3 16" xfId="13640"/>
    <cellStyle name="Calculation 2 3 3 17" xfId="13641"/>
    <cellStyle name="Calculation 2 3 3 18" xfId="13642"/>
    <cellStyle name="Calculation 2 3 3 2" xfId="13643"/>
    <cellStyle name="Calculation 2 3 3 2 2" xfId="13644"/>
    <cellStyle name="Calculation 2 3 3 2 2 2" xfId="13645"/>
    <cellStyle name="Calculation 2 3 3 2 3" xfId="13646"/>
    <cellStyle name="Calculation 2 3 3 2 4" xfId="13647"/>
    <cellStyle name="Calculation 2 3 3 3" xfId="13648"/>
    <cellStyle name="Calculation 2 3 3 3 2" xfId="13649"/>
    <cellStyle name="Calculation 2 3 3 3 3" xfId="13650"/>
    <cellStyle name="Calculation 2 3 3 4" xfId="13651"/>
    <cellStyle name="Calculation 2 3 3 4 2" xfId="13652"/>
    <cellStyle name="Calculation 2 3 3 5" xfId="13653"/>
    <cellStyle name="Calculation 2 3 3 6" xfId="13654"/>
    <cellStyle name="Calculation 2 3 3 7" xfId="13655"/>
    <cellStyle name="Calculation 2 3 3 8" xfId="13656"/>
    <cellStyle name="Calculation 2 3 3 9" xfId="13657"/>
    <cellStyle name="Calculation 2 3 4" xfId="13658"/>
    <cellStyle name="Calculation 2 3 4 2" xfId="13659"/>
    <cellStyle name="Calculation 2 3 4 2 2" xfId="13660"/>
    <cellStyle name="Calculation 2 3 4 2 3" xfId="13661"/>
    <cellStyle name="Calculation 2 3 4 3" xfId="13662"/>
    <cellStyle name="Calculation 2 3 4 3 2" xfId="13663"/>
    <cellStyle name="Calculation 2 3 4 4" xfId="13664"/>
    <cellStyle name="Calculation 2 3 4 5" xfId="13665"/>
    <cellStyle name="Calculation 2 3 5" xfId="13666"/>
    <cellStyle name="Calculation 2 3 5 2" xfId="13667"/>
    <cellStyle name="Calculation 2 3 5 2 2" xfId="13668"/>
    <cellStyle name="Calculation 2 3 5 3" xfId="13669"/>
    <cellStyle name="Calculation 2 3 5 4" xfId="13670"/>
    <cellStyle name="Calculation 2 3 6" xfId="13671"/>
    <cellStyle name="Calculation 2 3 6 2" xfId="13672"/>
    <cellStyle name="Calculation 2 3 7" xfId="13673"/>
    <cellStyle name="Calculation 2 3 8" xfId="13674"/>
    <cellStyle name="Calculation 2 3 9" xfId="13675"/>
    <cellStyle name="Calculation 2 4" xfId="13676"/>
    <cellStyle name="Calculation 2 4 10" xfId="13677"/>
    <cellStyle name="Calculation 2 4 11" xfId="13678"/>
    <cellStyle name="Calculation 2 4 12" xfId="13679"/>
    <cellStyle name="Calculation 2 4 13" xfId="13680"/>
    <cellStyle name="Calculation 2 4 14" xfId="13681"/>
    <cellStyle name="Calculation 2 4 15" xfId="13682"/>
    <cellStyle name="Calculation 2 4 16" xfId="13683"/>
    <cellStyle name="Calculation 2 4 17" xfId="13684"/>
    <cellStyle name="Calculation 2 4 18" xfId="13685"/>
    <cellStyle name="Calculation 2 4 19" xfId="13686"/>
    <cellStyle name="Calculation 2 4 2" xfId="13687"/>
    <cellStyle name="Calculation 2 4 2 10" xfId="13688"/>
    <cellStyle name="Calculation 2 4 2 11" xfId="13689"/>
    <cellStyle name="Calculation 2 4 2 12" xfId="13690"/>
    <cellStyle name="Calculation 2 4 2 13" xfId="13691"/>
    <cellStyle name="Calculation 2 4 2 14" xfId="13692"/>
    <cellStyle name="Calculation 2 4 2 15" xfId="13693"/>
    <cellStyle name="Calculation 2 4 2 16" xfId="13694"/>
    <cellStyle name="Calculation 2 4 2 17" xfId="13695"/>
    <cellStyle name="Calculation 2 4 2 18" xfId="13696"/>
    <cellStyle name="Calculation 2 4 2 2" xfId="13697"/>
    <cellStyle name="Calculation 2 4 2 2 2" xfId="13698"/>
    <cellStyle name="Calculation 2 4 2 2 2 2" xfId="13699"/>
    <cellStyle name="Calculation 2 4 2 2 3" xfId="13700"/>
    <cellStyle name="Calculation 2 4 2 2 4" xfId="13701"/>
    <cellStyle name="Calculation 2 4 2 3" xfId="13702"/>
    <cellStyle name="Calculation 2 4 2 3 2" xfId="13703"/>
    <cellStyle name="Calculation 2 4 2 3 3" xfId="13704"/>
    <cellStyle name="Calculation 2 4 2 4" xfId="13705"/>
    <cellStyle name="Calculation 2 4 2 4 2" xfId="13706"/>
    <cellStyle name="Calculation 2 4 2 5" xfId="13707"/>
    <cellStyle name="Calculation 2 4 2 6" xfId="13708"/>
    <cellStyle name="Calculation 2 4 2 7" xfId="13709"/>
    <cellStyle name="Calculation 2 4 2 8" xfId="13710"/>
    <cellStyle name="Calculation 2 4 2 9" xfId="13711"/>
    <cellStyle name="Calculation 2 4 20" xfId="13712"/>
    <cellStyle name="Calculation 2 4 21" xfId="13713"/>
    <cellStyle name="Calculation 2 4 3" xfId="13714"/>
    <cellStyle name="Calculation 2 4 3 10" xfId="13715"/>
    <cellStyle name="Calculation 2 4 3 11" xfId="13716"/>
    <cellStyle name="Calculation 2 4 3 12" xfId="13717"/>
    <cellStyle name="Calculation 2 4 3 13" xfId="13718"/>
    <cellStyle name="Calculation 2 4 3 14" xfId="13719"/>
    <cellStyle name="Calculation 2 4 3 15" xfId="13720"/>
    <cellStyle name="Calculation 2 4 3 16" xfId="13721"/>
    <cellStyle name="Calculation 2 4 3 17" xfId="13722"/>
    <cellStyle name="Calculation 2 4 3 18" xfId="13723"/>
    <cellStyle name="Calculation 2 4 3 2" xfId="13724"/>
    <cellStyle name="Calculation 2 4 3 2 2" xfId="13725"/>
    <cellStyle name="Calculation 2 4 3 2 2 2" xfId="13726"/>
    <cellStyle name="Calculation 2 4 3 2 3" xfId="13727"/>
    <cellStyle name="Calculation 2 4 3 2 4" xfId="13728"/>
    <cellStyle name="Calculation 2 4 3 3" xfId="13729"/>
    <cellStyle name="Calculation 2 4 3 3 2" xfId="13730"/>
    <cellStyle name="Calculation 2 4 3 3 3" xfId="13731"/>
    <cellStyle name="Calculation 2 4 3 4" xfId="13732"/>
    <cellStyle name="Calculation 2 4 3 4 2" xfId="13733"/>
    <cellStyle name="Calculation 2 4 3 5" xfId="13734"/>
    <cellStyle name="Calculation 2 4 3 6" xfId="13735"/>
    <cellStyle name="Calculation 2 4 3 7" xfId="13736"/>
    <cellStyle name="Calculation 2 4 3 8" xfId="13737"/>
    <cellStyle name="Calculation 2 4 3 9" xfId="13738"/>
    <cellStyle name="Calculation 2 4 4" xfId="13739"/>
    <cellStyle name="Calculation 2 4 4 2" xfId="13740"/>
    <cellStyle name="Calculation 2 4 4 2 2" xfId="13741"/>
    <cellStyle name="Calculation 2 4 4 2 3" xfId="13742"/>
    <cellStyle name="Calculation 2 4 4 3" xfId="13743"/>
    <cellStyle name="Calculation 2 4 4 3 2" xfId="13744"/>
    <cellStyle name="Calculation 2 4 4 4" xfId="13745"/>
    <cellStyle name="Calculation 2 4 4 5" xfId="13746"/>
    <cellStyle name="Calculation 2 4 5" xfId="13747"/>
    <cellStyle name="Calculation 2 4 5 2" xfId="13748"/>
    <cellStyle name="Calculation 2 4 5 2 2" xfId="13749"/>
    <cellStyle name="Calculation 2 4 5 3" xfId="13750"/>
    <cellStyle name="Calculation 2 4 5 4" xfId="13751"/>
    <cellStyle name="Calculation 2 4 6" xfId="13752"/>
    <cellStyle name="Calculation 2 4 6 2" xfId="13753"/>
    <cellStyle name="Calculation 2 4 7" xfId="13754"/>
    <cellStyle name="Calculation 2 4 8" xfId="13755"/>
    <cellStyle name="Calculation 2 4 9" xfId="13756"/>
    <cellStyle name="Calculation 2 5" xfId="13757"/>
    <cellStyle name="Calculation 2 5 10" xfId="13758"/>
    <cellStyle name="Calculation 2 5 11" xfId="13759"/>
    <cellStyle name="Calculation 2 5 12" xfId="13760"/>
    <cellStyle name="Calculation 2 5 13" xfId="13761"/>
    <cellStyle name="Calculation 2 5 14" xfId="13762"/>
    <cellStyle name="Calculation 2 5 15" xfId="13763"/>
    <cellStyle name="Calculation 2 5 16" xfId="13764"/>
    <cellStyle name="Calculation 2 5 17" xfId="13765"/>
    <cellStyle name="Calculation 2 5 18" xfId="13766"/>
    <cellStyle name="Calculation 2 5 19" xfId="13767"/>
    <cellStyle name="Calculation 2 5 2" xfId="13768"/>
    <cellStyle name="Calculation 2 5 2 10" xfId="13769"/>
    <cellStyle name="Calculation 2 5 2 11" xfId="13770"/>
    <cellStyle name="Calculation 2 5 2 12" xfId="13771"/>
    <cellStyle name="Calculation 2 5 2 13" xfId="13772"/>
    <cellStyle name="Calculation 2 5 2 14" xfId="13773"/>
    <cellStyle name="Calculation 2 5 2 15" xfId="13774"/>
    <cellStyle name="Calculation 2 5 2 16" xfId="13775"/>
    <cellStyle name="Calculation 2 5 2 17" xfId="13776"/>
    <cellStyle name="Calculation 2 5 2 18" xfId="13777"/>
    <cellStyle name="Calculation 2 5 2 2" xfId="13778"/>
    <cellStyle name="Calculation 2 5 2 2 2" xfId="13779"/>
    <cellStyle name="Calculation 2 5 2 2 2 2" xfId="13780"/>
    <cellStyle name="Calculation 2 5 2 2 3" xfId="13781"/>
    <cellStyle name="Calculation 2 5 2 2 4" xfId="13782"/>
    <cellStyle name="Calculation 2 5 2 3" xfId="13783"/>
    <cellStyle name="Calculation 2 5 2 3 2" xfId="13784"/>
    <cellStyle name="Calculation 2 5 2 3 3" xfId="13785"/>
    <cellStyle name="Calculation 2 5 2 4" xfId="13786"/>
    <cellStyle name="Calculation 2 5 2 4 2" xfId="13787"/>
    <cellStyle name="Calculation 2 5 2 5" xfId="13788"/>
    <cellStyle name="Calculation 2 5 2 6" xfId="13789"/>
    <cellStyle name="Calculation 2 5 2 7" xfId="13790"/>
    <cellStyle name="Calculation 2 5 2 8" xfId="13791"/>
    <cellStyle name="Calculation 2 5 2 9" xfId="13792"/>
    <cellStyle name="Calculation 2 5 3" xfId="13793"/>
    <cellStyle name="Calculation 2 5 3 10" xfId="13794"/>
    <cellStyle name="Calculation 2 5 3 11" xfId="13795"/>
    <cellStyle name="Calculation 2 5 3 12" xfId="13796"/>
    <cellStyle name="Calculation 2 5 3 13" xfId="13797"/>
    <cellStyle name="Calculation 2 5 3 14" xfId="13798"/>
    <cellStyle name="Calculation 2 5 3 15" xfId="13799"/>
    <cellStyle name="Calculation 2 5 3 16" xfId="13800"/>
    <cellStyle name="Calculation 2 5 3 17" xfId="13801"/>
    <cellStyle name="Calculation 2 5 3 18" xfId="13802"/>
    <cellStyle name="Calculation 2 5 3 2" xfId="13803"/>
    <cellStyle name="Calculation 2 5 3 2 2" xfId="13804"/>
    <cellStyle name="Calculation 2 5 3 2 2 2" xfId="13805"/>
    <cellStyle name="Calculation 2 5 3 2 3" xfId="13806"/>
    <cellStyle name="Calculation 2 5 3 2 4" xfId="13807"/>
    <cellStyle name="Calculation 2 5 3 3" xfId="13808"/>
    <cellStyle name="Calculation 2 5 3 3 2" xfId="13809"/>
    <cellStyle name="Calculation 2 5 3 3 3" xfId="13810"/>
    <cellStyle name="Calculation 2 5 3 4" xfId="13811"/>
    <cellStyle name="Calculation 2 5 3 4 2" xfId="13812"/>
    <cellStyle name="Calculation 2 5 3 5" xfId="13813"/>
    <cellStyle name="Calculation 2 5 3 6" xfId="13814"/>
    <cellStyle name="Calculation 2 5 3 7" xfId="13815"/>
    <cellStyle name="Calculation 2 5 3 8" xfId="13816"/>
    <cellStyle name="Calculation 2 5 3 9" xfId="13817"/>
    <cellStyle name="Calculation 2 5 4" xfId="13818"/>
    <cellStyle name="Calculation 2 5 4 2" xfId="13819"/>
    <cellStyle name="Calculation 2 5 4 2 2" xfId="13820"/>
    <cellStyle name="Calculation 2 5 4 2 3" xfId="13821"/>
    <cellStyle name="Calculation 2 5 4 3" xfId="13822"/>
    <cellStyle name="Calculation 2 5 4 3 2" xfId="13823"/>
    <cellStyle name="Calculation 2 5 4 4" xfId="13824"/>
    <cellStyle name="Calculation 2 5 4 5" xfId="13825"/>
    <cellStyle name="Calculation 2 5 5" xfId="13826"/>
    <cellStyle name="Calculation 2 5 5 2" xfId="13827"/>
    <cellStyle name="Calculation 2 5 5 2 2" xfId="13828"/>
    <cellStyle name="Calculation 2 5 5 3" xfId="13829"/>
    <cellStyle name="Calculation 2 5 5 4" xfId="13830"/>
    <cellStyle name="Calculation 2 5 6" xfId="13831"/>
    <cellStyle name="Calculation 2 5 6 2" xfId="13832"/>
    <cellStyle name="Calculation 2 5 7" xfId="13833"/>
    <cellStyle name="Calculation 2 5 8" xfId="13834"/>
    <cellStyle name="Calculation 2 5 9" xfId="13835"/>
    <cellStyle name="Calculation 2 6" xfId="13836"/>
    <cellStyle name="Calculation 2 6 10" xfId="13837"/>
    <cellStyle name="Calculation 2 6 11" xfId="13838"/>
    <cellStyle name="Calculation 2 6 12" xfId="13839"/>
    <cellStyle name="Calculation 2 6 13" xfId="13840"/>
    <cellStyle name="Calculation 2 6 14" xfId="13841"/>
    <cellStyle name="Calculation 2 6 15" xfId="13842"/>
    <cellStyle name="Calculation 2 6 16" xfId="13843"/>
    <cellStyle name="Calculation 2 6 17" xfId="13844"/>
    <cellStyle name="Calculation 2 6 18" xfId="13845"/>
    <cellStyle name="Calculation 2 6 19" xfId="13846"/>
    <cellStyle name="Calculation 2 6 2" xfId="13847"/>
    <cellStyle name="Calculation 2 6 2 10" xfId="13848"/>
    <cellStyle name="Calculation 2 6 2 11" xfId="13849"/>
    <cellStyle name="Calculation 2 6 2 12" xfId="13850"/>
    <cellStyle name="Calculation 2 6 2 13" xfId="13851"/>
    <cellStyle name="Calculation 2 6 2 14" xfId="13852"/>
    <cellStyle name="Calculation 2 6 2 15" xfId="13853"/>
    <cellStyle name="Calculation 2 6 2 16" xfId="13854"/>
    <cellStyle name="Calculation 2 6 2 17" xfId="13855"/>
    <cellStyle name="Calculation 2 6 2 18" xfId="13856"/>
    <cellStyle name="Calculation 2 6 2 2" xfId="13857"/>
    <cellStyle name="Calculation 2 6 2 2 2" xfId="13858"/>
    <cellStyle name="Calculation 2 6 2 2 2 2" xfId="13859"/>
    <cellStyle name="Calculation 2 6 2 2 3" xfId="13860"/>
    <cellStyle name="Calculation 2 6 2 2 4" xfId="13861"/>
    <cellStyle name="Calculation 2 6 2 3" xfId="13862"/>
    <cellStyle name="Calculation 2 6 2 3 2" xfId="13863"/>
    <cellStyle name="Calculation 2 6 2 3 3" xfId="13864"/>
    <cellStyle name="Calculation 2 6 2 4" xfId="13865"/>
    <cellStyle name="Calculation 2 6 2 4 2" xfId="13866"/>
    <cellStyle name="Calculation 2 6 2 5" xfId="13867"/>
    <cellStyle name="Calculation 2 6 2 6" xfId="13868"/>
    <cellStyle name="Calculation 2 6 2 7" xfId="13869"/>
    <cellStyle name="Calculation 2 6 2 8" xfId="13870"/>
    <cellStyle name="Calculation 2 6 2 9" xfId="13871"/>
    <cellStyle name="Calculation 2 6 20" xfId="13872"/>
    <cellStyle name="Calculation 2 6 3" xfId="13873"/>
    <cellStyle name="Calculation 2 6 3 10" xfId="13874"/>
    <cellStyle name="Calculation 2 6 3 11" xfId="13875"/>
    <cellStyle name="Calculation 2 6 3 12" xfId="13876"/>
    <cellStyle name="Calculation 2 6 3 13" xfId="13877"/>
    <cellStyle name="Calculation 2 6 3 14" xfId="13878"/>
    <cellStyle name="Calculation 2 6 3 15" xfId="13879"/>
    <cellStyle name="Calculation 2 6 3 16" xfId="13880"/>
    <cellStyle name="Calculation 2 6 3 17" xfId="13881"/>
    <cellStyle name="Calculation 2 6 3 18" xfId="13882"/>
    <cellStyle name="Calculation 2 6 3 2" xfId="13883"/>
    <cellStyle name="Calculation 2 6 3 2 2" xfId="13884"/>
    <cellStyle name="Calculation 2 6 3 2 2 2" xfId="13885"/>
    <cellStyle name="Calculation 2 6 3 2 3" xfId="13886"/>
    <cellStyle name="Calculation 2 6 3 2 4" xfId="13887"/>
    <cellStyle name="Calculation 2 6 3 3" xfId="13888"/>
    <cellStyle name="Calculation 2 6 3 3 2" xfId="13889"/>
    <cellStyle name="Calculation 2 6 3 3 3" xfId="13890"/>
    <cellStyle name="Calculation 2 6 3 4" xfId="13891"/>
    <cellStyle name="Calculation 2 6 3 4 2" xfId="13892"/>
    <cellStyle name="Calculation 2 6 3 5" xfId="13893"/>
    <cellStyle name="Calculation 2 6 3 6" xfId="13894"/>
    <cellStyle name="Calculation 2 6 3 7" xfId="13895"/>
    <cellStyle name="Calculation 2 6 3 8" xfId="13896"/>
    <cellStyle name="Calculation 2 6 3 9" xfId="13897"/>
    <cellStyle name="Calculation 2 6 4" xfId="13898"/>
    <cellStyle name="Calculation 2 6 4 2" xfId="13899"/>
    <cellStyle name="Calculation 2 6 4 2 2" xfId="13900"/>
    <cellStyle name="Calculation 2 6 4 2 3" xfId="13901"/>
    <cellStyle name="Calculation 2 6 4 3" xfId="13902"/>
    <cellStyle name="Calculation 2 6 4 3 2" xfId="13903"/>
    <cellStyle name="Calculation 2 6 4 4" xfId="13904"/>
    <cellStyle name="Calculation 2 6 4 5" xfId="13905"/>
    <cellStyle name="Calculation 2 6 5" xfId="13906"/>
    <cellStyle name="Calculation 2 6 5 2" xfId="13907"/>
    <cellStyle name="Calculation 2 6 5 2 2" xfId="13908"/>
    <cellStyle name="Calculation 2 6 5 3" xfId="13909"/>
    <cellStyle name="Calculation 2 6 5 4" xfId="13910"/>
    <cellStyle name="Calculation 2 6 6" xfId="13911"/>
    <cellStyle name="Calculation 2 6 6 2" xfId="13912"/>
    <cellStyle name="Calculation 2 6 7" xfId="13913"/>
    <cellStyle name="Calculation 2 6 8" xfId="13914"/>
    <cellStyle name="Calculation 2 6 9" xfId="13915"/>
    <cellStyle name="Calculation 2 7" xfId="13916"/>
    <cellStyle name="Calculation 2 7 10" xfId="13917"/>
    <cellStyle name="Calculation 2 7 11" xfId="13918"/>
    <cellStyle name="Calculation 2 7 12" xfId="13919"/>
    <cellStyle name="Calculation 2 7 13" xfId="13920"/>
    <cellStyle name="Calculation 2 7 14" xfId="13921"/>
    <cellStyle name="Calculation 2 7 15" xfId="13922"/>
    <cellStyle name="Calculation 2 7 16" xfId="13923"/>
    <cellStyle name="Calculation 2 7 17" xfId="13924"/>
    <cellStyle name="Calculation 2 7 2" xfId="13925"/>
    <cellStyle name="Calculation 2 7 2 2" xfId="13926"/>
    <cellStyle name="Calculation 2 7 2 2 2" xfId="13927"/>
    <cellStyle name="Calculation 2 7 2 3" xfId="13928"/>
    <cellStyle name="Calculation 2 7 2 4" xfId="13929"/>
    <cellStyle name="Calculation 2 7 3" xfId="13930"/>
    <cellStyle name="Calculation 2 7 3 2" xfId="13931"/>
    <cellStyle name="Calculation 2 7 4" xfId="13932"/>
    <cellStyle name="Calculation 2 7 5" xfId="13933"/>
    <cellStyle name="Calculation 2 7 6" xfId="13934"/>
    <cellStyle name="Calculation 2 7 7" xfId="13935"/>
    <cellStyle name="Calculation 2 7 8" xfId="13936"/>
    <cellStyle name="Calculation 2 7 9" xfId="13937"/>
    <cellStyle name="Calculation 2 8" xfId="13938"/>
    <cellStyle name="Calculation 2 8 2" xfId="13939"/>
    <cellStyle name="Calculation 2 8 2 2" xfId="13940"/>
    <cellStyle name="Calculation 2 8 2 2 2" xfId="13941"/>
    <cellStyle name="Calculation 2 8 2 3" xfId="13942"/>
    <cellStyle name="Calculation 2 8 2 4" xfId="13943"/>
    <cellStyle name="Calculation 2 8 3" xfId="13944"/>
    <cellStyle name="Calculation 2 8 3 2" xfId="13945"/>
    <cellStyle name="Calculation 2 8 3 3" xfId="13946"/>
    <cellStyle name="Calculation 2 8 4" xfId="13947"/>
    <cellStyle name="Calculation 2 8 4 2" xfId="13948"/>
    <cellStyle name="Calculation 2 8 5" xfId="13949"/>
    <cellStyle name="Calculation 2 8 6" xfId="13950"/>
    <cellStyle name="Calculation 2 9" xfId="13951"/>
    <cellStyle name="Calculation 2 9 2" xfId="13952"/>
    <cellStyle name="Calculation 2 9 2 2" xfId="13953"/>
    <cellStyle name="Calculation 2 9 3" xfId="13954"/>
    <cellStyle name="Calculation 2 9 4" xfId="13955"/>
    <cellStyle name="Calculation 20" xfId="13956"/>
    <cellStyle name="Calculation 21" xfId="13957"/>
    <cellStyle name="Calculation 22" xfId="13958"/>
    <cellStyle name="Calculation 23" xfId="13959"/>
    <cellStyle name="Calculation 24" xfId="13960"/>
    <cellStyle name="Calculation 25" xfId="13961"/>
    <cellStyle name="Calculation 26" xfId="13962"/>
    <cellStyle name="Calculation 27" xfId="13963"/>
    <cellStyle name="Calculation 28" xfId="13964"/>
    <cellStyle name="Calculation 3" xfId="13965"/>
    <cellStyle name="Calculation 3 10" xfId="13966"/>
    <cellStyle name="Calculation 3 11" xfId="13967"/>
    <cellStyle name="Calculation 3 12" xfId="13968"/>
    <cellStyle name="Calculation 3 13" xfId="13969"/>
    <cellStyle name="Calculation 3 14" xfId="13970"/>
    <cellStyle name="Calculation 3 15" xfId="13971"/>
    <cellStyle name="Calculation 3 16" xfId="13972"/>
    <cellStyle name="Calculation 3 17" xfId="13973"/>
    <cellStyle name="Calculation 3 18" xfId="13974"/>
    <cellStyle name="Calculation 3 19" xfId="13975"/>
    <cellStyle name="Calculation 3 2" xfId="13976"/>
    <cellStyle name="Calculation 3 2 10" xfId="13977"/>
    <cellStyle name="Calculation 3 2 11" xfId="13978"/>
    <cellStyle name="Calculation 3 2 12" xfId="13979"/>
    <cellStyle name="Calculation 3 2 13" xfId="13980"/>
    <cellStyle name="Calculation 3 2 14" xfId="13981"/>
    <cellStyle name="Calculation 3 2 15" xfId="13982"/>
    <cellStyle name="Calculation 3 2 16" xfId="13983"/>
    <cellStyle name="Calculation 3 2 17" xfId="13984"/>
    <cellStyle name="Calculation 3 2 18" xfId="13985"/>
    <cellStyle name="Calculation 3 2 19" xfId="13986"/>
    <cellStyle name="Calculation 3 2 2" xfId="13987"/>
    <cellStyle name="Calculation 3 2 2 10" xfId="13988"/>
    <cellStyle name="Calculation 3 2 2 11" xfId="13989"/>
    <cellStyle name="Calculation 3 2 2 12" xfId="13990"/>
    <cellStyle name="Calculation 3 2 2 13" xfId="13991"/>
    <cellStyle name="Calculation 3 2 2 14" xfId="13992"/>
    <cellStyle name="Calculation 3 2 2 15" xfId="13993"/>
    <cellStyle name="Calculation 3 2 2 16" xfId="13994"/>
    <cellStyle name="Calculation 3 2 2 17" xfId="13995"/>
    <cellStyle name="Calculation 3 2 2 18" xfId="13996"/>
    <cellStyle name="Calculation 3 2 2 2" xfId="13997"/>
    <cellStyle name="Calculation 3 2 2 2 2" xfId="13998"/>
    <cellStyle name="Calculation 3 2 2 2 2 2" xfId="13999"/>
    <cellStyle name="Calculation 3 2 2 2 3" xfId="14000"/>
    <cellStyle name="Calculation 3 2 2 2 4" xfId="14001"/>
    <cellStyle name="Calculation 3 2 2 3" xfId="14002"/>
    <cellStyle name="Calculation 3 2 2 3 2" xfId="14003"/>
    <cellStyle name="Calculation 3 2 2 3 3" xfId="14004"/>
    <cellStyle name="Calculation 3 2 2 4" xfId="14005"/>
    <cellStyle name="Calculation 3 2 2 4 2" xfId="14006"/>
    <cellStyle name="Calculation 3 2 2 5" xfId="14007"/>
    <cellStyle name="Calculation 3 2 2 6" xfId="14008"/>
    <cellStyle name="Calculation 3 2 2 7" xfId="14009"/>
    <cellStyle name="Calculation 3 2 2 8" xfId="14010"/>
    <cellStyle name="Calculation 3 2 2 9" xfId="14011"/>
    <cellStyle name="Calculation 3 2 20" xfId="14012"/>
    <cellStyle name="Calculation 3 2 21" xfId="14013"/>
    <cellStyle name="Calculation 3 2 3" xfId="14014"/>
    <cellStyle name="Calculation 3 2 3 10" xfId="14015"/>
    <cellStyle name="Calculation 3 2 3 11" xfId="14016"/>
    <cellStyle name="Calculation 3 2 3 12" xfId="14017"/>
    <cellStyle name="Calculation 3 2 3 13" xfId="14018"/>
    <cellStyle name="Calculation 3 2 3 14" xfId="14019"/>
    <cellStyle name="Calculation 3 2 3 15" xfId="14020"/>
    <cellStyle name="Calculation 3 2 3 16" xfId="14021"/>
    <cellStyle name="Calculation 3 2 3 17" xfId="14022"/>
    <cellStyle name="Calculation 3 2 3 18" xfId="14023"/>
    <cellStyle name="Calculation 3 2 3 2" xfId="14024"/>
    <cellStyle name="Calculation 3 2 3 2 2" xfId="14025"/>
    <cellStyle name="Calculation 3 2 3 2 2 2" xfId="14026"/>
    <cellStyle name="Calculation 3 2 3 2 3" xfId="14027"/>
    <cellStyle name="Calculation 3 2 3 2 4" xfId="14028"/>
    <cellStyle name="Calculation 3 2 3 3" xfId="14029"/>
    <cellStyle name="Calculation 3 2 3 3 2" xfId="14030"/>
    <cellStyle name="Calculation 3 2 3 3 3" xfId="14031"/>
    <cellStyle name="Calculation 3 2 3 4" xfId="14032"/>
    <cellStyle name="Calculation 3 2 3 4 2" xfId="14033"/>
    <cellStyle name="Calculation 3 2 3 5" xfId="14034"/>
    <cellStyle name="Calculation 3 2 3 6" xfId="14035"/>
    <cellStyle name="Calculation 3 2 3 7" xfId="14036"/>
    <cellStyle name="Calculation 3 2 3 8" xfId="14037"/>
    <cellStyle name="Calculation 3 2 3 9" xfId="14038"/>
    <cellStyle name="Calculation 3 2 4" xfId="14039"/>
    <cellStyle name="Calculation 3 2 4 2" xfId="14040"/>
    <cellStyle name="Calculation 3 2 4 2 2" xfId="14041"/>
    <cellStyle name="Calculation 3 2 4 2 3" xfId="14042"/>
    <cellStyle name="Calculation 3 2 4 3" xfId="14043"/>
    <cellStyle name="Calculation 3 2 4 3 2" xfId="14044"/>
    <cellStyle name="Calculation 3 2 4 4" xfId="14045"/>
    <cellStyle name="Calculation 3 2 4 5" xfId="14046"/>
    <cellStyle name="Calculation 3 2 5" xfId="14047"/>
    <cellStyle name="Calculation 3 2 5 2" xfId="14048"/>
    <cellStyle name="Calculation 3 2 5 2 2" xfId="14049"/>
    <cellStyle name="Calculation 3 2 5 3" xfId="14050"/>
    <cellStyle name="Calculation 3 2 5 4" xfId="14051"/>
    <cellStyle name="Calculation 3 2 6" xfId="14052"/>
    <cellStyle name="Calculation 3 2 6 2" xfId="14053"/>
    <cellStyle name="Calculation 3 2 7" xfId="14054"/>
    <cellStyle name="Calculation 3 2 8" xfId="14055"/>
    <cellStyle name="Calculation 3 2 9" xfId="14056"/>
    <cellStyle name="Calculation 3 20" xfId="14057"/>
    <cellStyle name="Calculation 3 21" xfId="14058"/>
    <cellStyle name="Calculation 3 22" xfId="14059"/>
    <cellStyle name="Calculation 3 23" xfId="14060"/>
    <cellStyle name="Calculation 3 24" xfId="14061"/>
    <cellStyle name="Calculation 3 25" xfId="14062"/>
    <cellStyle name="Calculation 3 3" xfId="14063"/>
    <cellStyle name="Calculation 3 3 10" xfId="14064"/>
    <cellStyle name="Calculation 3 3 11" xfId="14065"/>
    <cellStyle name="Calculation 3 3 12" xfId="14066"/>
    <cellStyle name="Calculation 3 3 13" xfId="14067"/>
    <cellStyle name="Calculation 3 3 14" xfId="14068"/>
    <cellStyle name="Calculation 3 3 15" xfId="14069"/>
    <cellStyle name="Calculation 3 3 16" xfId="14070"/>
    <cellStyle name="Calculation 3 3 17" xfId="14071"/>
    <cellStyle name="Calculation 3 3 18" xfId="14072"/>
    <cellStyle name="Calculation 3 3 19" xfId="14073"/>
    <cellStyle name="Calculation 3 3 2" xfId="14074"/>
    <cellStyle name="Calculation 3 3 2 10" xfId="14075"/>
    <cellStyle name="Calculation 3 3 2 11" xfId="14076"/>
    <cellStyle name="Calculation 3 3 2 12" xfId="14077"/>
    <cellStyle name="Calculation 3 3 2 13" xfId="14078"/>
    <cellStyle name="Calculation 3 3 2 14" xfId="14079"/>
    <cellStyle name="Calculation 3 3 2 15" xfId="14080"/>
    <cellStyle name="Calculation 3 3 2 16" xfId="14081"/>
    <cellStyle name="Calculation 3 3 2 17" xfId="14082"/>
    <cellStyle name="Calculation 3 3 2 18" xfId="14083"/>
    <cellStyle name="Calculation 3 3 2 2" xfId="14084"/>
    <cellStyle name="Calculation 3 3 2 2 2" xfId="14085"/>
    <cellStyle name="Calculation 3 3 2 2 2 2" xfId="14086"/>
    <cellStyle name="Calculation 3 3 2 2 3" xfId="14087"/>
    <cellStyle name="Calculation 3 3 2 2 4" xfId="14088"/>
    <cellStyle name="Calculation 3 3 2 3" xfId="14089"/>
    <cellStyle name="Calculation 3 3 2 3 2" xfId="14090"/>
    <cellStyle name="Calculation 3 3 2 3 3" xfId="14091"/>
    <cellStyle name="Calculation 3 3 2 4" xfId="14092"/>
    <cellStyle name="Calculation 3 3 2 4 2" xfId="14093"/>
    <cellStyle name="Calculation 3 3 2 5" xfId="14094"/>
    <cellStyle name="Calculation 3 3 2 6" xfId="14095"/>
    <cellStyle name="Calculation 3 3 2 7" xfId="14096"/>
    <cellStyle name="Calculation 3 3 2 8" xfId="14097"/>
    <cellStyle name="Calculation 3 3 2 9" xfId="14098"/>
    <cellStyle name="Calculation 3 3 20" xfId="14099"/>
    <cellStyle name="Calculation 3 3 21" xfId="14100"/>
    <cellStyle name="Calculation 3 3 3" xfId="14101"/>
    <cellStyle name="Calculation 3 3 3 10" xfId="14102"/>
    <cellStyle name="Calculation 3 3 3 11" xfId="14103"/>
    <cellStyle name="Calculation 3 3 3 12" xfId="14104"/>
    <cellStyle name="Calculation 3 3 3 13" xfId="14105"/>
    <cellStyle name="Calculation 3 3 3 14" xfId="14106"/>
    <cellStyle name="Calculation 3 3 3 15" xfId="14107"/>
    <cellStyle name="Calculation 3 3 3 16" xfId="14108"/>
    <cellStyle name="Calculation 3 3 3 17" xfId="14109"/>
    <cellStyle name="Calculation 3 3 3 18" xfId="14110"/>
    <cellStyle name="Calculation 3 3 3 2" xfId="14111"/>
    <cellStyle name="Calculation 3 3 3 2 2" xfId="14112"/>
    <cellStyle name="Calculation 3 3 3 2 2 2" xfId="14113"/>
    <cellStyle name="Calculation 3 3 3 2 3" xfId="14114"/>
    <cellStyle name="Calculation 3 3 3 2 4" xfId="14115"/>
    <cellStyle name="Calculation 3 3 3 3" xfId="14116"/>
    <cellStyle name="Calculation 3 3 3 3 2" xfId="14117"/>
    <cellStyle name="Calculation 3 3 3 3 3" xfId="14118"/>
    <cellStyle name="Calculation 3 3 3 4" xfId="14119"/>
    <cellStyle name="Calculation 3 3 3 4 2" xfId="14120"/>
    <cellStyle name="Calculation 3 3 3 5" xfId="14121"/>
    <cellStyle name="Calculation 3 3 3 6" xfId="14122"/>
    <cellStyle name="Calculation 3 3 3 7" xfId="14123"/>
    <cellStyle name="Calculation 3 3 3 8" xfId="14124"/>
    <cellStyle name="Calculation 3 3 3 9" xfId="14125"/>
    <cellStyle name="Calculation 3 3 4" xfId="14126"/>
    <cellStyle name="Calculation 3 3 4 2" xfId="14127"/>
    <cellStyle name="Calculation 3 3 4 2 2" xfId="14128"/>
    <cellStyle name="Calculation 3 3 4 2 3" xfId="14129"/>
    <cellStyle name="Calculation 3 3 4 3" xfId="14130"/>
    <cellStyle name="Calculation 3 3 4 3 2" xfId="14131"/>
    <cellStyle name="Calculation 3 3 4 4" xfId="14132"/>
    <cellStyle name="Calculation 3 3 4 5" xfId="14133"/>
    <cellStyle name="Calculation 3 3 5" xfId="14134"/>
    <cellStyle name="Calculation 3 3 5 2" xfId="14135"/>
    <cellStyle name="Calculation 3 3 5 2 2" xfId="14136"/>
    <cellStyle name="Calculation 3 3 5 3" xfId="14137"/>
    <cellStyle name="Calculation 3 3 5 4" xfId="14138"/>
    <cellStyle name="Calculation 3 3 6" xfId="14139"/>
    <cellStyle name="Calculation 3 3 6 2" xfId="14140"/>
    <cellStyle name="Calculation 3 3 7" xfId="14141"/>
    <cellStyle name="Calculation 3 3 8" xfId="14142"/>
    <cellStyle name="Calculation 3 3 9" xfId="14143"/>
    <cellStyle name="Calculation 3 4" xfId="14144"/>
    <cellStyle name="Calculation 3 4 10" xfId="14145"/>
    <cellStyle name="Calculation 3 4 11" xfId="14146"/>
    <cellStyle name="Calculation 3 4 12" xfId="14147"/>
    <cellStyle name="Calculation 3 4 13" xfId="14148"/>
    <cellStyle name="Calculation 3 4 14" xfId="14149"/>
    <cellStyle name="Calculation 3 4 15" xfId="14150"/>
    <cellStyle name="Calculation 3 4 16" xfId="14151"/>
    <cellStyle name="Calculation 3 4 17" xfId="14152"/>
    <cellStyle name="Calculation 3 4 18" xfId="14153"/>
    <cellStyle name="Calculation 3 4 19" xfId="14154"/>
    <cellStyle name="Calculation 3 4 2" xfId="14155"/>
    <cellStyle name="Calculation 3 4 2 10" xfId="14156"/>
    <cellStyle name="Calculation 3 4 2 11" xfId="14157"/>
    <cellStyle name="Calculation 3 4 2 12" xfId="14158"/>
    <cellStyle name="Calculation 3 4 2 13" xfId="14159"/>
    <cellStyle name="Calculation 3 4 2 14" xfId="14160"/>
    <cellStyle name="Calculation 3 4 2 15" xfId="14161"/>
    <cellStyle name="Calculation 3 4 2 16" xfId="14162"/>
    <cellStyle name="Calculation 3 4 2 17" xfId="14163"/>
    <cellStyle name="Calculation 3 4 2 18" xfId="14164"/>
    <cellStyle name="Calculation 3 4 2 2" xfId="14165"/>
    <cellStyle name="Calculation 3 4 2 2 2" xfId="14166"/>
    <cellStyle name="Calculation 3 4 2 2 2 2" xfId="14167"/>
    <cellStyle name="Calculation 3 4 2 2 3" xfId="14168"/>
    <cellStyle name="Calculation 3 4 2 2 4" xfId="14169"/>
    <cellStyle name="Calculation 3 4 2 3" xfId="14170"/>
    <cellStyle name="Calculation 3 4 2 3 2" xfId="14171"/>
    <cellStyle name="Calculation 3 4 2 3 3" xfId="14172"/>
    <cellStyle name="Calculation 3 4 2 4" xfId="14173"/>
    <cellStyle name="Calculation 3 4 2 4 2" xfId="14174"/>
    <cellStyle name="Calculation 3 4 2 5" xfId="14175"/>
    <cellStyle name="Calculation 3 4 2 6" xfId="14176"/>
    <cellStyle name="Calculation 3 4 2 7" xfId="14177"/>
    <cellStyle name="Calculation 3 4 2 8" xfId="14178"/>
    <cellStyle name="Calculation 3 4 2 9" xfId="14179"/>
    <cellStyle name="Calculation 3 4 20" xfId="14180"/>
    <cellStyle name="Calculation 3 4 21" xfId="14181"/>
    <cellStyle name="Calculation 3 4 3" xfId="14182"/>
    <cellStyle name="Calculation 3 4 3 10" xfId="14183"/>
    <cellStyle name="Calculation 3 4 3 11" xfId="14184"/>
    <cellStyle name="Calculation 3 4 3 12" xfId="14185"/>
    <cellStyle name="Calculation 3 4 3 13" xfId="14186"/>
    <cellStyle name="Calculation 3 4 3 14" xfId="14187"/>
    <cellStyle name="Calculation 3 4 3 15" xfId="14188"/>
    <cellStyle name="Calculation 3 4 3 16" xfId="14189"/>
    <cellStyle name="Calculation 3 4 3 17" xfId="14190"/>
    <cellStyle name="Calculation 3 4 3 18" xfId="14191"/>
    <cellStyle name="Calculation 3 4 3 2" xfId="14192"/>
    <cellStyle name="Calculation 3 4 3 2 2" xfId="14193"/>
    <cellStyle name="Calculation 3 4 3 2 2 2" xfId="14194"/>
    <cellStyle name="Calculation 3 4 3 2 3" xfId="14195"/>
    <cellStyle name="Calculation 3 4 3 2 4" xfId="14196"/>
    <cellStyle name="Calculation 3 4 3 3" xfId="14197"/>
    <cellStyle name="Calculation 3 4 3 3 2" xfId="14198"/>
    <cellStyle name="Calculation 3 4 3 3 3" xfId="14199"/>
    <cellStyle name="Calculation 3 4 3 4" xfId="14200"/>
    <cellStyle name="Calculation 3 4 3 4 2" xfId="14201"/>
    <cellStyle name="Calculation 3 4 3 5" xfId="14202"/>
    <cellStyle name="Calculation 3 4 3 6" xfId="14203"/>
    <cellStyle name="Calculation 3 4 3 7" xfId="14204"/>
    <cellStyle name="Calculation 3 4 3 8" xfId="14205"/>
    <cellStyle name="Calculation 3 4 3 9" xfId="14206"/>
    <cellStyle name="Calculation 3 4 4" xfId="14207"/>
    <cellStyle name="Calculation 3 4 4 2" xfId="14208"/>
    <cellStyle name="Calculation 3 4 4 2 2" xfId="14209"/>
    <cellStyle name="Calculation 3 4 4 2 3" xfId="14210"/>
    <cellStyle name="Calculation 3 4 4 3" xfId="14211"/>
    <cellStyle name="Calculation 3 4 4 3 2" xfId="14212"/>
    <cellStyle name="Calculation 3 4 4 4" xfId="14213"/>
    <cellStyle name="Calculation 3 4 4 5" xfId="14214"/>
    <cellStyle name="Calculation 3 4 5" xfId="14215"/>
    <cellStyle name="Calculation 3 4 5 2" xfId="14216"/>
    <cellStyle name="Calculation 3 4 5 2 2" xfId="14217"/>
    <cellStyle name="Calculation 3 4 5 3" xfId="14218"/>
    <cellStyle name="Calculation 3 4 5 4" xfId="14219"/>
    <cellStyle name="Calculation 3 4 6" xfId="14220"/>
    <cellStyle name="Calculation 3 4 6 2" xfId="14221"/>
    <cellStyle name="Calculation 3 4 7" xfId="14222"/>
    <cellStyle name="Calculation 3 4 8" xfId="14223"/>
    <cellStyle name="Calculation 3 4 9" xfId="14224"/>
    <cellStyle name="Calculation 3 5" xfId="14225"/>
    <cellStyle name="Calculation 3 5 10" xfId="14226"/>
    <cellStyle name="Calculation 3 5 11" xfId="14227"/>
    <cellStyle name="Calculation 3 5 12" xfId="14228"/>
    <cellStyle name="Calculation 3 5 13" xfId="14229"/>
    <cellStyle name="Calculation 3 5 14" xfId="14230"/>
    <cellStyle name="Calculation 3 5 15" xfId="14231"/>
    <cellStyle name="Calculation 3 5 16" xfId="14232"/>
    <cellStyle name="Calculation 3 5 17" xfId="14233"/>
    <cellStyle name="Calculation 3 5 18" xfId="14234"/>
    <cellStyle name="Calculation 3 5 19" xfId="14235"/>
    <cellStyle name="Calculation 3 5 2" xfId="14236"/>
    <cellStyle name="Calculation 3 5 2 10" xfId="14237"/>
    <cellStyle name="Calculation 3 5 2 11" xfId="14238"/>
    <cellStyle name="Calculation 3 5 2 12" xfId="14239"/>
    <cellStyle name="Calculation 3 5 2 13" xfId="14240"/>
    <cellStyle name="Calculation 3 5 2 14" xfId="14241"/>
    <cellStyle name="Calculation 3 5 2 15" xfId="14242"/>
    <cellStyle name="Calculation 3 5 2 16" xfId="14243"/>
    <cellStyle name="Calculation 3 5 2 17" xfId="14244"/>
    <cellStyle name="Calculation 3 5 2 18" xfId="14245"/>
    <cellStyle name="Calculation 3 5 2 2" xfId="14246"/>
    <cellStyle name="Calculation 3 5 2 2 2" xfId="14247"/>
    <cellStyle name="Calculation 3 5 2 2 2 2" xfId="14248"/>
    <cellStyle name="Calculation 3 5 2 2 3" xfId="14249"/>
    <cellStyle name="Calculation 3 5 2 2 4" xfId="14250"/>
    <cellStyle name="Calculation 3 5 2 3" xfId="14251"/>
    <cellStyle name="Calculation 3 5 2 3 2" xfId="14252"/>
    <cellStyle name="Calculation 3 5 2 3 3" xfId="14253"/>
    <cellStyle name="Calculation 3 5 2 4" xfId="14254"/>
    <cellStyle name="Calculation 3 5 2 4 2" xfId="14255"/>
    <cellStyle name="Calculation 3 5 2 5" xfId="14256"/>
    <cellStyle name="Calculation 3 5 2 6" xfId="14257"/>
    <cellStyle name="Calculation 3 5 2 7" xfId="14258"/>
    <cellStyle name="Calculation 3 5 2 8" xfId="14259"/>
    <cellStyle name="Calculation 3 5 2 9" xfId="14260"/>
    <cellStyle name="Calculation 3 5 3" xfId="14261"/>
    <cellStyle name="Calculation 3 5 3 10" xfId="14262"/>
    <cellStyle name="Calculation 3 5 3 11" xfId="14263"/>
    <cellStyle name="Calculation 3 5 3 12" xfId="14264"/>
    <cellStyle name="Calculation 3 5 3 13" xfId="14265"/>
    <cellStyle name="Calculation 3 5 3 14" xfId="14266"/>
    <cellStyle name="Calculation 3 5 3 15" xfId="14267"/>
    <cellStyle name="Calculation 3 5 3 16" xfId="14268"/>
    <cellStyle name="Calculation 3 5 3 17" xfId="14269"/>
    <cellStyle name="Calculation 3 5 3 18" xfId="14270"/>
    <cellStyle name="Calculation 3 5 3 2" xfId="14271"/>
    <cellStyle name="Calculation 3 5 3 2 2" xfId="14272"/>
    <cellStyle name="Calculation 3 5 3 2 2 2" xfId="14273"/>
    <cellStyle name="Calculation 3 5 3 2 3" xfId="14274"/>
    <cellStyle name="Calculation 3 5 3 2 4" xfId="14275"/>
    <cellStyle name="Calculation 3 5 3 3" xfId="14276"/>
    <cellStyle name="Calculation 3 5 3 3 2" xfId="14277"/>
    <cellStyle name="Calculation 3 5 3 3 3" xfId="14278"/>
    <cellStyle name="Calculation 3 5 3 4" xfId="14279"/>
    <cellStyle name="Calculation 3 5 3 4 2" xfId="14280"/>
    <cellStyle name="Calculation 3 5 3 5" xfId="14281"/>
    <cellStyle name="Calculation 3 5 3 6" xfId="14282"/>
    <cellStyle name="Calculation 3 5 3 7" xfId="14283"/>
    <cellStyle name="Calculation 3 5 3 8" xfId="14284"/>
    <cellStyle name="Calculation 3 5 3 9" xfId="14285"/>
    <cellStyle name="Calculation 3 5 4" xfId="14286"/>
    <cellStyle name="Calculation 3 5 4 2" xfId="14287"/>
    <cellStyle name="Calculation 3 5 4 2 2" xfId="14288"/>
    <cellStyle name="Calculation 3 5 4 2 3" xfId="14289"/>
    <cellStyle name="Calculation 3 5 4 3" xfId="14290"/>
    <cellStyle name="Calculation 3 5 4 3 2" xfId="14291"/>
    <cellStyle name="Calculation 3 5 4 4" xfId="14292"/>
    <cellStyle name="Calculation 3 5 4 5" xfId="14293"/>
    <cellStyle name="Calculation 3 5 5" xfId="14294"/>
    <cellStyle name="Calculation 3 5 5 2" xfId="14295"/>
    <cellStyle name="Calculation 3 5 5 2 2" xfId="14296"/>
    <cellStyle name="Calculation 3 5 5 3" xfId="14297"/>
    <cellStyle name="Calculation 3 5 5 4" xfId="14298"/>
    <cellStyle name="Calculation 3 5 6" xfId="14299"/>
    <cellStyle name="Calculation 3 5 6 2" xfId="14300"/>
    <cellStyle name="Calculation 3 5 7" xfId="14301"/>
    <cellStyle name="Calculation 3 5 8" xfId="14302"/>
    <cellStyle name="Calculation 3 5 9" xfId="14303"/>
    <cellStyle name="Calculation 3 6" xfId="14304"/>
    <cellStyle name="Calculation 3 6 10" xfId="14305"/>
    <cellStyle name="Calculation 3 6 11" xfId="14306"/>
    <cellStyle name="Calculation 3 6 12" xfId="14307"/>
    <cellStyle name="Calculation 3 6 13" xfId="14308"/>
    <cellStyle name="Calculation 3 6 14" xfId="14309"/>
    <cellStyle name="Calculation 3 6 15" xfId="14310"/>
    <cellStyle name="Calculation 3 6 16" xfId="14311"/>
    <cellStyle name="Calculation 3 6 17" xfId="14312"/>
    <cellStyle name="Calculation 3 6 18" xfId="14313"/>
    <cellStyle name="Calculation 3 6 19" xfId="14314"/>
    <cellStyle name="Calculation 3 6 2" xfId="14315"/>
    <cellStyle name="Calculation 3 6 2 10" xfId="14316"/>
    <cellStyle name="Calculation 3 6 2 11" xfId="14317"/>
    <cellStyle name="Calculation 3 6 2 12" xfId="14318"/>
    <cellStyle name="Calculation 3 6 2 13" xfId="14319"/>
    <cellStyle name="Calculation 3 6 2 14" xfId="14320"/>
    <cellStyle name="Calculation 3 6 2 15" xfId="14321"/>
    <cellStyle name="Calculation 3 6 2 16" xfId="14322"/>
    <cellStyle name="Calculation 3 6 2 17" xfId="14323"/>
    <cellStyle name="Calculation 3 6 2 18" xfId="14324"/>
    <cellStyle name="Calculation 3 6 2 2" xfId="14325"/>
    <cellStyle name="Calculation 3 6 2 2 2" xfId="14326"/>
    <cellStyle name="Calculation 3 6 2 2 2 2" xfId="14327"/>
    <cellStyle name="Calculation 3 6 2 2 3" xfId="14328"/>
    <cellStyle name="Calculation 3 6 2 2 4" xfId="14329"/>
    <cellStyle name="Calculation 3 6 2 3" xfId="14330"/>
    <cellStyle name="Calculation 3 6 2 3 2" xfId="14331"/>
    <cellStyle name="Calculation 3 6 2 3 3" xfId="14332"/>
    <cellStyle name="Calculation 3 6 2 4" xfId="14333"/>
    <cellStyle name="Calculation 3 6 2 4 2" xfId="14334"/>
    <cellStyle name="Calculation 3 6 2 5" xfId="14335"/>
    <cellStyle name="Calculation 3 6 2 6" xfId="14336"/>
    <cellStyle name="Calculation 3 6 2 7" xfId="14337"/>
    <cellStyle name="Calculation 3 6 2 8" xfId="14338"/>
    <cellStyle name="Calculation 3 6 2 9" xfId="14339"/>
    <cellStyle name="Calculation 3 6 20" xfId="14340"/>
    <cellStyle name="Calculation 3 6 3" xfId="14341"/>
    <cellStyle name="Calculation 3 6 3 10" xfId="14342"/>
    <cellStyle name="Calculation 3 6 3 11" xfId="14343"/>
    <cellStyle name="Calculation 3 6 3 12" xfId="14344"/>
    <cellStyle name="Calculation 3 6 3 13" xfId="14345"/>
    <cellStyle name="Calculation 3 6 3 14" xfId="14346"/>
    <cellStyle name="Calculation 3 6 3 15" xfId="14347"/>
    <cellStyle name="Calculation 3 6 3 16" xfId="14348"/>
    <cellStyle name="Calculation 3 6 3 17" xfId="14349"/>
    <cellStyle name="Calculation 3 6 3 18" xfId="14350"/>
    <cellStyle name="Calculation 3 6 3 2" xfId="14351"/>
    <cellStyle name="Calculation 3 6 3 2 2" xfId="14352"/>
    <cellStyle name="Calculation 3 6 3 2 2 2" xfId="14353"/>
    <cellStyle name="Calculation 3 6 3 2 3" xfId="14354"/>
    <cellStyle name="Calculation 3 6 3 2 4" xfId="14355"/>
    <cellStyle name="Calculation 3 6 3 3" xfId="14356"/>
    <cellStyle name="Calculation 3 6 3 3 2" xfId="14357"/>
    <cellStyle name="Calculation 3 6 3 3 3" xfId="14358"/>
    <cellStyle name="Calculation 3 6 3 4" xfId="14359"/>
    <cellStyle name="Calculation 3 6 3 4 2" xfId="14360"/>
    <cellStyle name="Calculation 3 6 3 5" xfId="14361"/>
    <cellStyle name="Calculation 3 6 3 6" xfId="14362"/>
    <cellStyle name="Calculation 3 6 3 7" xfId="14363"/>
    <cellStyle name="Calculation 3 6 3 8" xfId="14364"/>
    <cellStyle name="Calculation 3 6 3 9" xfId="14365"/>
    <cellStyle name="Calculation 3 6 4" xfId="14366"/>
    <cellStyle name="Calculation 3 6 4 2" xfId="14367"/>
    <cellStyle name="Calculation 3 6 4 2 2" xfId="14368"/>
    <cellStyle name="Calculation 3 6 4 2 3" xfId="14369"/>
    <cellStyle name="Calculation 3 6 4 3" xfId="14370"/>
    <cellStyle name="Calculation 3 6 4 3 2" xfId="14371"/>
    <cellStyle name="Calculation 3 6 4 4" xfId="14372"/>
    <cellStyle name="Calculation 3 6 4 5" xfId="14373"/>
    <cellStyle name="Calculation 3 6 5" xfId="14374"/>
    <cellStyle name="Calculation 3 6 5 2" xfId="14375"/>
    <cellStyle name="Calculation 3 6 5 2 2" xfId="14376"/>
    <cellStyle name="Calculation 3 6 5 3" xfId="14377"/>
    <cellStyle name="Calculation 3 6 5 4" xfId="14378"/>
    <cellStyle name="Calculation 3 6 6" xfId="14379"/>
    <cellStyle name="Calculation 3 6 6 2" xfId="14380"/>
    <cellStyle name="Calculation 3 6 7" xfId="14381"/>
    <cellStyle name="Calculation 3 6 8" xfId="14382"/>
    <cellStyle name="Calculation 3 6 9" xfId="14383"/>
    <cellStyle name="Calculation 3 7" xfId="14384"/>
    <cellStyle name="Calculation 3 7 10" xfId="14385"/>
    <cellStyle name="Calculation 3 7 11" xfId="14386"/>
    <cellStyle name="Calculation 3 7 12" xfId="14387"/>
    <cellStyle name="Calculation 3 7 13" xfId="14388"/>
    <cellStyle name="Calculation 3 7 14" xfId="14389"/>
    <cellStyle name="Calculation 3 7 15" xfId="14390"/>
    <cellStyle name="Calculation 3 7 16" xfId="14391"/>
    <cellStyle name="Calculation 3 7 17" xfId="14392"/>
    <cellStyle name="Calculation 3 7 2" xfId="14393"/>
    <cellStyle name="Calculation 3 7 2 2" xfId="14394"/>
    <cellStyle name="Calculation 3 7 2 2 2" xfId="14395"/>
    <cellStyle name="Calculation 3 7 2 3" xfId="14396"/>
    <cellStyle name="Calculation 3 7 2 4" xfId="14397"/>
    <cellStyle name="Calculation 3 7 3" xfId="14398"/>
    <cellStyle name="Calculation 3 7 3 2" xfId="14399"/>
    <cellStyle name="Calculation 3 7 4" xfId="14400"/>
    <cellStyle name="Calculation 3 7 5" xfId="14401"/>
    <cellStyle name="Calculation 3 7 6" xfId="14402"/>
    <cellStyle name="Calculation 3 7 7" xfId="14403"/>
    <cellStyle name="Calculation 3 7 8" xfId="14404"/>
    <cellStyle name="Calculation 3 7 9" xfId="14405"/>
    <cellStyle name="Calculation 3 8" xfId="14406"/>
    <cellStyle name="Calculation 3 8 2" xfId="14407"/>
    <cellStyle name="Calculation 3 8 2 2" xfId="14408"/>
    <cellStyle name="Calculation 3 8 2 2 2" xfId="14409"/>
    <cellStyle name="Calculation 3 8 2 3" xfId="14410"/>
    <cellStyle name="Calculation 3 8 2 4" xfId="14411"/>
    <cellStyle name="Calculation 3 8 3" xfId="14412"/>
    <cellStyle name="Calculation 3 8 3 2" xfId="14413"/>
    <cellStyle name="Calculation 3 8 3 3" xfId="14414"/>
    <cellStyle name="Calculation 3 8 4" xfId="14415"/>
    <cellStyle name="Calculation 3 8 4 2" xfId="14416"/>
    <cellStyle name="Calculation 3 8 5" xfId="14417"/>
    <cellStyle name="Calculation 3 8 6" xfId="14418"/>
    <cellStyle name="Calculation 3 9" xfId="14419"/>
    <cellStyle name="Calculation 3 9 2" xfId="14420"/>
    <cellStyle name="Calculation 3 9 2 2" xfId="14421"/>
    <cellStyle name="Calculation 3 9 3" xfId="14422"/>
    <cellStyle name="Calculation 3 9 4" xfId="14423"/>
    <cellStyle name="Calculation 4" xfId="14424"/>
    <cellStyle name="Calculation 4 10" xfId="14425"/>
    <cellStyle name="Calculation 4 11" xfId="14426"/>
    <cellStyle name="Calculation 4 12" xfId="14427"/>
    <cellStyle name="Calculation 4 13" xfId="14428"/>
    <cellStyle name="Calculation 4 14" xfId="14429"/>
    <cellStyle name="Calculation 4 15" xfId="14430"/>
    <cellStyle name="Calculation 4 16" xfId="14431"/>
    <cellStyle name="Calculation 4 17" xfId="14432"/>
    <cellStyle name="Calculation 4 18" xfId="14433"/>
    <cellStyle name="Calculation 4 19" xfId="14434"/>
    <cellStyle name="Calculation 4 2" xfId="14435"/>
    <cellStyle name="Calculation 4 2 10" xfId="14436"/>
    <cellStyle name="Calculation 4 2 11" xfId="14437"/>
    <cellStyle name="Calculation 4 2 12" xfId="14438"/>
    <cellStyle name="Calculation 4 2 13" xfId="14439"/>
    <cellStyle name="Calculation 4 2 14" xfId="14440"/>
    <cellStyle name="Calculation 4 2 15" xfId="14441"/>
    <cellStyle name="Calculation 4 2 16" xfId="14442"/>
    <cellStyle name="Calculation 4 2 17" xfId="14443"/>
    <cellStyle name="Calculation 4 2 18" xfId="14444"/>
    <cellStyle name="Calculation 4 2 19" xfId="14445"/>
    <cellStyle name="Calculation 4 2 2" xfId="14446"/>
    <cellStyle name="Calculation 4 2 2 10" xfId="14447"/>
    <cellStyle name="Calculation 4 2 2 11" xfId="14448"/>
    <cellStyle name="Calculation 4 2 2 12" xfId="14449"/>
    <cellStyle name="Calculation 4 2 2 13" xfId="14450"/>
    <cellStyle name="Calculation 4 2 2 14" xfId="14451"/>
    <cellStyle name="Calculation 4 2 2 15" xfId="14452"/>
    <cellStyle name="Calculation 4 2 2 16" xfId="14453"/>
    <cellStyle name="Calculation 4 2 2 17" xfId="14454"/>
    <cellStyle name="Calculation 4 2 2 18" xfId="14455"/>
    <cellStyle name="Calculation 4 2 2 2" xfId="14456"/>
    <cellStyle name="Calculation 4 2 2 2 2" xfId="14457"/>
    <cellStyle name="Calculation 4 2 2 2 2 2" xfId="14458"/>
    <cellStyle name="Calculation 4 2 2 2 3" xfId="14459"/>
    <cellStyle name="Calculation 4 2 2 2 4" xfId="14460"/>
    <cellStyle name="Calculation 4 2 2 3" xfId="14461"/>
    <cellStyle name="Calculation 4 2 2 3 2" xfId="14462"/>
    <cellStyle name="Calculation 4 2 2 3 3" xfId="14463"/>
    <cellStyle name="Calculation 4 2 2 4" xfId="14464"/>
    <cellStyle name="Calculation 4 2 2 4 2" xfId="14465"/>
    <cellStyle name="Calculation 4 2 2 5" xfId="14466"/>
    <cellStyle name="Calculation 4 2 2 6" xfId="14467"/>
    <cellStyle name="Calculation 4 2 2 7" xfId="14468"/>
    <cellStyle name="Calculation 4 2 2 8" xfId="14469"/>
    <cellStyle name="Calculation 4 2 2 9" xfId="14470"/>
    <cellStyle name="Calculation 4 2 20" xfId="14471"/>
    <cellStyle name="Calculation 4 2 21" xfId="14472"/>
    <cellStyle name="Calculation 4 2 3" xfId="14473"/>
    <cellStyle name="Calculation 4 2 3 10" xfId="14474"/>
    <cellStyle name="Calculation 4 2 3 11" xfId="14475"/>
    <cellStyle name="Calculation 4 2 3 12" xfId="14476"/>
    <cellStyle name="Calculation 4 2 3 13" xfId="14477"/>
    <cellStyle name="Calculation 4 2 3 14" xfId="14478"/>
    <cellStyle name="Calculation 4 2 3 15" xfId="14479"/>
    <cellStyle name="Calculation 4 2 3 16" xfId="14480"/>
    <cellStyle name="Calculation 4 2 3 17" xfId="14481"/>
    <cellStyle name="Calculation 4 2 3 18" xfId="14482"/>
    <cellStyle name="Calculation 4 2 3 2" xfId="14483"/>
    <cellStyle name="Calculation 4 2 3 2 2" xfId="14484"/>
    <cellStyle name="Calculation 4 2 3 2 2 2" xfId="14485"/>
    <cellStyle name="Calculation 4 2 3 2 3" xfId="14486"/>
    <cellStyle name="Calculation 4 2 3 2 4" xfId="14487"/>
    <cellStyle name="Calculation 4 2 3 3" xfId="14488"/>
    <cellStyle name="Calculation 4 2 3 3 2" xfId="14489"/>
    <cellStyle name="Calculation 4 2 3 3 3" xfId="14490"/>
    <cellStyle name="Calculation 4 2 3 4" xfId="14491"/>
    <cellStyle name="Calculation 4 2 3 4 2" xfId="14492"/>
    <cellStyle name="Calculation 4 2 3 5" xfId="14493"/>
    <cellStyle name="Calculation 4 2 3 6" xfId="14494"/>
    <cellStyle name="Calculation 4 2 3 7" xfId="14495"/>
    <cellStyle name="Calculation 4 2 3 8" xfId="14496"/>
    <cellStyle name="Calculation 4 2 3 9" xfId="14497"/>
    <cellStyle name="Calculation 4 2 4" xfId="14498"/>
    <cellStyle name="Calculation 4 2 4 2" xfId="14499"/>
    <cellStyle name="Calculation 4 2 4 2 2" xfId="14500"/>
    <cellStyle name="Calculation 4 2 4 2 3" xfId="14501"/>
    <cellStyle name="Calculation 4 2 4 3" xfId="14502"/>
    <cellStyle name="Calculation 4 2 4 3 2" xfId="14503"/>
    <cellStyle name="Calculation 4 2 4 4" xfId="14504"/>
    <cellStyle name="Calculation 4 2 4 5" xfId="14505"/>
    <cellStyle name="Calculation 4 2 5" xfId="14506"/>
    <cellStyle name="Calculation 4 2 5 2" xfId="14507"/>
    <cellStyle name="Calculation 4 2 5 2 2" xfId="14508"/>
    <cellStyle name="Calculation 4 2 5 3" xfId="14509"/>
    <cellStyle name="Calculation 4 2 5 4" xfId="14510"/>
    <cellStyle name="Calculation 4 2 6" xfId="14511"/>
    <cellStyle name="Calculation 4 2 6 2" xfId="14512"/>
    <cellStyle name="Calculation 4 2 7" xfId="14513"/>
    <cellStyle name="Calculation 4 2 8" xfId="14514"/>
    <cellStyle name="Calculation 4 2 9" xfId="14515"/>
    <cellStyle name="Calculation 4 20" xfId="14516"/>
    <cellStyle name="Calculation 4 21" xfId="14517"/>
    <cellStyle name="Calculation 4 22" xfId="14518"/>
    <cellStyle name="Calculation 4 23" xfId="14519"/>
    <cellStyle name="Calculation 4 24" xfId="14520"/>
    <cellStyle name="Calculation 4 25" xfId="14521"/>
    <cellStyle name="Calculation 4 3" xfId="14522"/>
    <cellStyle name="Calculation 4 3 10" xfId="14523"/>
    <cellStyle name="Calculation 4 3 11" xfId="14524"/>
    <cellStyle name="Calculation 4 3 12" xfId="14525"/>
    <cellStyle name="Calculation 4 3 13" xfId="14526"/>
    <cellStyle name="Calculation 4 3 14" xfId="14527"/>
    <cellStyle name="Calculation 4 3 15" xfId="14528"/>
    <cellStyle name="Calculation 4 3 16" xfId="14529"/>
    <cellStyle name="Calculation 4 3 17" xfId="14530"/>
    <cellStyle name="Calculation 4 3 18" xfId="14531"/>
    <cellStyle name="Calculation 4 3 19" xfId="14532"/>
    <cellStyle name="Calculation 4 3 2" xfId="14533"/>
    <cellStyle name="Calculation 4 3 2 10" xfId="14534"/>
    <cellStyle name="Calculation 4 3 2 11" xfId="14535"/>
    <cellStyle name="Calculation 4 3 2 12" xfId="14536"/>
    <cellStyle name="Calculation 4 3 2 13" xfId="14537"/>
    <cellStyle name="Calculation 4 3 2 14" xfId="14538"/>
    <cellStyle name="Calculation 4 3 2 15" xfId="14539"/>
    <cellStyle name="Calculation 4 3 2 16" xfId="14540"/>
    <cellStyle name="Calculation 4 3 2 17" xfId="14541"/>
    <cellStyle name="Calculation 4 3 2 18" xfId="14542"/>
    <cellStyle name="Calculation 4 3 2 2" xfId="14543"/>
    <cellStyle name="Calculation 4 3 2 2 2" xfId="14544"/>
    <cellStyle name="Calculation 4 3 2 2 2 2" xfId="14545"/>
    <cellStyle name="Calculation 4 3 2 2 3" xfId="14546"/>
    <cellStyle name="Calculation 4 3 2 2 4" xfId="14547"/>
    <cellStyle name="Calculation 4 3 2 3" xfId="14548"/>
    <cellStyle name="Calculation 4 3 2 3 2" xfId="14549"/>
    <cellStyle name="Calculation 4 3 2 3 3" xfId="14550"/>
    <cellStyle name="Calculation 4 3 2 4" xfId="14551"/>
    <cellStyle name="Calculation 4 3 2 4 2" xfId="14552"/>
    <cellStyle name="Calculation 4 3 2 5" xfId="14553"/>
    <cellStyle name="Calculation 4 3 2 6" xfId="14554"/>
    <cellStyle name="Calculation 4 3 2 7" xfId="14555"/>
    <cellStyle name="Calculation 4 3 2 8" xfId="14556"/>
    <cellStyle name="Calculation 4 3 2 9" xfId="14557"/>
    <cellStyle name="Calculation 4 3 20" xfId="14558"/>
    <cellStyle name="Calculation 4 3 21" xfId="14559"/>
    <cellStyle name="Calculation 4 3 3" xfId="14560"/>
    <cellStyle name="Calculation 4 3 3 10" xfId="14561"/>
    <cellStyle name="Calculation 4 3 3 11" xfId="14562"/>
    <cellStyle name="Calculation 4 3 3 12" xfId="14563"/>
    <cellStyle name="Calculation 4 3 3 13" xfId="14564"/>
    <cellStyle name="Calculation 4 3 3 14" xfId="14565"/>
    <cellStyle name="Calculation 4 3 3 15" xfId="14566"/>
    <cellStyle name="Calculation 4 3 3 16" xfId="14567"/>
    <cellStyle name="Calculation 4 3 3 17" xfId="14568"/>
    <cellStyle name="Calculation 4 3 3 18" xfId="14569"/>
    <cellStyle name="Calculation 4 3 3 2" xfId="14570"/>
    <cellStyle name="Calculation 4 3 3 2 2" xfId="14571"/>
    <cellStyle name="Calculation 4 3 3 2 2 2" xfId="14572"/>
    <cellStyle name="Calculation 4 3 3 2 3" xfId="14573"/>
    <cellStyle name="Calculation 4 3 3 2 4" xfId="14574"/>
    <cellStyle name="Calculation 4 3 3 3" xfId="14575"/>
    <cellStyle name="Calculation 4 3 3 3 2" xfId="14576"/>
    <cellStyle name="Calculation 4 3 3 3 3" xfId="14577"/>
    <cellStyle name="Calculation 4 3 3 4" xfId="14578"/>
    <cellStyle name="Calculation 4 3 3 4 2" xfId="14579"/>
    <cellStyle name="Calculation 4 3 3 5" xfId="14580"/>
    <cellStyle name="Calculation 4 3 3 6" xfId="14581"/>
    <cellStyle name="Calculation 4 3 3 7" xfId="14582"/>
    <cellStyle name="Calculation 4 3 3 8" xfId="14583"/>
    <cellStyle name="Calculation 4 3 3 9" xfId="14584"/>
    <cellStyle name="Calculation 4 3 4" xfId="14585"/>
    <cellStyle name="Calculation 4 3 4 2" xfId="14586"/>
    <cellStyle name="Calculation 4 3 4 2 2" xfId="14587"/>
    <cellStyle name="Calculation 4 3 4 2 3" xfId="14588"/>
    <cellStyle name="Calculation 4 3 4 3" xfId="14589"/>
    <cellStyle name="Calculation 4 3 4 3 2" xfId="14590"/>
    <cellStyle name="Calculation 4 3 4 4" xfId="14591"/>
    <cellStyle name="Calculation 4 3 4 5" xfId="14592"/>
    <cellStyle name="Calculation 4 3 5" xfId="14593"/>
    <cellStyle name="Calculation 4 3 5 2" xfId="14594"/>
    <cellStyle name="Calculation 4 3 5 2 2" xfId="14595"/>
    <cellStyle name="Calculation 4 3 5 3" xfId="14596"/>
    <cellStyle name="Calculation 4 3 5 4" xfId="14597"/>
    <cellStyle name="Calculation 4 3 6" xfId="14598"/>
    <cellStyle name="Calculation 4 3 6 2" xfId="14599"/>
    <cellStyle name="Calculation 4 3 7" xfId="14600"/>
    <cellStyle name="Calculation 4 3 8" xfId="14601"/>
    <cellStyle name="Calculation 4 3 9" xfId="14602"/>
    <cellStyle name="Calculation 4 4" xfId="14603"/>
    <cellStyle name="Calculation 4 4 10" xfId="14604"/>
    <cellStyle name="Calculation 4 4 11" xfId="14605"/>
    <cellStyle name="Calculation 4 4 12" xfId="14606"/>
    <cellStyle name="Calculation 4 4 13" xfId="14607"/>
    <cellStyle name="Calculation 4 4 14" xfId="14608"/>
    <cellStyle name="Calculation 4 4 15" xfId="14609"/>
    <cellStyle name="Calculation 4 4 16" xfId="14610"/>
    <cellStyle name="Calculation 4 4 17" xfId="14611"/>
    <cellStyle name="Calculation 4 4 18" xfId="14612"/>
    <cellStyle name="Calculation 4 4 19" xfId="14613"/>
    <cellStyle name="Calculation 4 4 2" xfId="14614"/>
    <cellStyle name="Calculation 4 4 2 10" xfId="14615"/>
    <cellStyle name="Calculation 4 4 2 11" xfId="14616"/>
    <cellStyle name="Calculation 4 4 2 12" xfId="14617"/>
    <cellStyle name="Calculation 4 4 2 13" xfId="14618"/>
    <cellStyle name="Calculation 4 4 2 14" xfId="14619"/>
    <cellStyle name="Calculation 4 4 2 15" xfId="14620"/>
    <cellStyle name="Calculation 4 4 2 16" xfId="14621"/>
    <cellStyle name="Calculation 4 4 2 17" xfId="14622"/>
    <cellStyle name="Calculation 4 4 2 18" xfId="14623"/>
    <cellStyle name="Calculation 4 4 2 2" xfId="14624"/>
    <cellStyle name="Calculation 4 4 2 2 2" xfId="14625"/>
    <cellStyle name="Calculation 4 4 2 2 2 2" xfId="14626"/>
    <cellStyle name="Calculation 4 4 2 2 3" xfId="14627"/>
    <cellStyle name="Calculation 4 4 2 2 4" xfId="14628"/>
    <cellStyle name="Calculation 4 4 2 3" xfId="14629"/>
    <cellStyle name="Calculation 4 4 2 3 2" xfId="14630"/>
    <cellStyle name="Calculation 4 4 2 3 3" xfId="14631"/>
    <cellStyle name="Calculation 4 4 2 4" xfId="14632"/>
    <cellStyle name="Calculation 4 4 2 4 2" xfId="14633"/>
    <cellStyle name="Calculation 4 4 2 5" xfId="14634"/>
    <cellStyle name="Calculation 4 4 2 6" xfId="14635"/>
    <cellStyle name="Calculation 4 4 2 7" xfId="14636"/>
    <cellStyle name="Calculation 4 4 2 8" xfId="14637"/>
    <cellStyle name="Calculation 4 4 2 9" xfId="14638"/>
    <cellStyle name="Calculation 4 4 20" xfId="14639"/>
    <cellStyle name="Calculation 4 4 21" xfId="14640"/>
    <cellStyle name="Calculation 4 4 3" xfId="14641"/>
    <cellStyle name="Calculation 4 4 3 10" xfId="14642"/>
    <cellStyle name="Calculation 4 4 3 11" xfId="14643"/>
    <cellStyle name="Calculation 4 4 3 12" xfId="14644"/>
    <cellStyle name="Calculation 4 4 3 13" xfId="14645"/>
    <cellStyle name="Calculation 4 4 3 14" xfId="14646"/>
    <cellStyle name="Calculation 4 4 3 15" xfId="14647"/>
    <cellStyle name="Calculation 4 4 3 16" xfId="14648"/>
    <cellStyle name="Calculation 4 4 3 17" xfId="14649"/>
    <cellStyle name="Calculation 4 4 3 18" xfId="14650"/>
    <cellStyle name="Calculation 4 4 3 2" xfId="14651"/>
    <cellStyle name="Calculation 4 4 3 2 2" xfId="14652"/>
    <cellStyle name="Calculation 4 4 3 2 2 2" xfId="14653"/>
    <cellStyle name="Calculation 4 4 3 2 3" xfId="14654"/>
    <cellStyle name="Calculation 4 4 3 2 4" xfId="14655"/>
    <cellStyle name="Calculation 4 4 3 3" xfId="14656"/>
    <cellStyle name="Calculation 4 4 3 3 2" xfId="14657"/>
    <cellStyle name="Calculation 4 4 3 3 3" xfId="14658"/>
    <cellStyle name="Calculation 4 4 3 4" xfId="14659"/>
    <cellStyle name="Calculation 4 4 3 4 2" xfId="14660"/>
    <cellStyle name="Calculation 4 4 3 5" xfId="14661"/>
    <cellStyle name="Calculation 4 4 3 6" xfId="14662"/>
    <cellStyle name="Calculation 4 4 3 7" xfId="14663"/>
    <cellStyle name="Calculation 4 4 3 8" xfId="14664"/>
    <cellStyle name="Calculation 4 4 3 9" xfId="14665"/>
    <cellStyle name="Calculation 4 4 4" xfId="14666"/>
    <cellStyle name="Calculation 4 4 4 2" xfId="14667"/>
    <cellStyle name="Calculation 4 4 4 2 2" xfId="14668"/>
    <cellStyle name="Calculation 4 4 4 2 3" xfId="14669"/>
    <cellStyle name="Calculation 4 4 4 3" xfId="14670"/>
    <cellStyle name="Calculation 4 4 4 3 2" xfId="14671"/>
    <cellStyle name="Calculation 4 4 4 4" xfId="14672"/>
    <cellStyle name="Calculation 4 4 4 5" xfId="14673"/>
    <cellStyle name="Calculation 4 4 5" xfId="14674"/>
    <cellStyle name="Calculation 4 4 5 2" xfId="14675"/>
    <cellStyle name="Calculation 4 4 5 2 2" xfId="14676"/>
    <cellStyle name="Calculation 4 4 5 3" xfId="14677"/>
    <cellStyle name="Calculation 4 4 5 4" xfId="14678"/>
    <cellStyle name="Calculation 4 4 6" xfId="14679"/>
    <cellStyle name="Calculation 4 4 6 2" xfId="14680"/>
    <cellStyle name="Calculation 4 4 7" xfId="14681"/>
    <cellStyle name="Calculation 4 4 8" xfId="14682"/>
    <cellStyle name="Calculation 4 4 9" xfId="14683"/>
    <cellStyle name="Calculation 4 5" xfId="14684"/>
    <cellStyle name="Calculation 4 5 10" xfId="14685"/>
    <cellStyle name="Calculation 4 5 11" xfId="14686"/>
    <cellStyle name="Calculation 4 5 12" xfId="14687"/>
    <cellStyle name="Calculation 4 5 13" xfId="14688"/>
    <cellStyle name="Calculation 4 5 14" xfId="14689"/>
    <cellStyle name="Calculation 4 5 15" xfId="14690"/>
    <cellStyle name="Calculation 4 5 16" xfId="14691"/>
    <cellStyle name="Calculation 4 5 17" xfId="14692"/>
    <cellStyle name="Calculation 4 5 18" xfId="14693"/>
    <cellStyle name="Calculation 4 5 19" xfId="14694"/>
    <cellStyle name="Calculation 4 5 2" xfId="14695"/>
    <cellStyle name="Calculation 4 5 2 10" xfId="14696"/>
    <cellStyle name="Calculation 4 5 2 11" xfId="14697"/>
    <cellStyle name="Calculation 4 5 2 12" xfId="14698"/>
    <cellStyle name="Calculation 4 5 2 13" xfId="14699"/>
    <cellStyle name="Calculation 4 5 2 14" xfId="14700"/>
    <cellStyle name="Calculation 4 5 2 15" xfId="14701"/>
    <cellStyle name="Calculation 4 5 2 16" xfId="14702"/>
    <cellStyle name="Calculation 4 5 2 17" xfId="14703"/>
    <cellStyle name="Calculation 4 5 2 18" xfId="14704"/>
    <cellStyle name="Calculation 4 5 2 2" xfId="14705"/>
    <cellStyle name="Calculation 4 5 2 2 2" xfId="14706"/>
    <cellStyle name="Calculation 4 5 2 2 2 2" xfId="14707"/>
    <cellStyle name="Calculation 4 5 2 2 3" xfId="14708"/>
    <cellStyle name="Calculation 4 5 2 2 4" xfId="14709"/>
    <cellStyle name="Calculation 4 5 2 3" xfId="14710"/>
    <cellStyle name="Calculation 4 5 2 3 2" xfId="14711"/>
    <cellStyle name="Calculation 4 5 2 3 3" xfId="14712"/>
    <cellStyle name="Calculation 4 5 2 4" xfId="14713"/>
    <cellStyle name="Calculation 4 5 2 4 2" xfId="14714"/>
    <cellStyle name="Calculation 4 5 2 5" xfId="14715"/>
    <cellStyle name="Calculation 4 5 2 6" xfId="14716"/>
    <cellStyle name="Calculation 4 5 2 7" xfId="14717"/>
    <cellStyle name="Calculation 4 5 2 8" xfId="14718"/>
    <cellStyle name="Calculation 4 5 2 9" xfId="14719"/>
    <cellStyle name="Calculation 4 5 3" xfId="14720"/>
    <cellStyle name="Calculation 4 5 3 10" xfId="14721"/>
    <cellStyle name="Calculation 4 5 3 11" xfId="14722"/>
    <cellStyle name="Calculation 4 5 3 12" xfId="14723"/>
    <cellStyle name="Calculation 4 5 3 13" xfId="14724"/>
    <cellStyle name="Calculation 4 5 3 14" xfId="14725"/>
    <cellStyle name="Calculation 4 5 3 15" xfId="14726"/>
    <cellStyle name="Calculation 4 5 3 16" xfId="14727"/>
    <cellStyle name="Calculation 4 5 3 17" xfId="14728"/>
    <cellStyle name="Calculation 4 5 3 18" xfId="14729"/>
    <cellStyle name="Calculation 4 5 3 2" xfId="14730"/>
    <cellStyle name="Calculation 4 5 3 2 2" xfId="14731"/>
    <cellStyle name="Calculation 4 5 3 2 2 2" xfId="14732"/>
    <cellStyle name="Calculation 4 5 3 2 3" xfId="14733"/>
    <cellStyle name="Calculation 4 5 3 2 4" xfId="14734"/>
    <cellStyle name="Calculation 4 5 3 3" xfId="14735"/>
    <cellStyle name="Calculation 4 5 3 3 2" xfId="14736"/>
    <cellStyle name="Calculation 4 5 3 3 3" xfId="14737"/>
    <cellStyle name="Calculation 4 5 3 4" xfId="14738"/>
    <cellStyle name="Calculation 4 5 3 4 2" xfId="14739"/>
    <cellStyle name="Calculation 4 5 3 5" xfId="14740"/>
    <cellStyle name="Calculation 4 5 3 6" xfId="14741"/>
    <cellStyle name="Calculation 4 5 3 7" xfId="14742"/>
    <cellStyle name="Calculation 4 5 3 8" xfId="14743"/>
    <cellStyle name="Calculation 4 5 3 9" xfId="14744"/>
    <cellStyle name="Calculation 4 5 4" xfId="14745"/>
    <cellStyle name="Calculation 4 5 4 2" xfId="14746"/>
    <cellStyle name="Calculation 4 5 4 2 2" xfId="14747"/>
    <cellStyle name="Calculation 4 5 4 2 3" xfId="14748"/>
    <cellStyle name="Calculation 4 5 4 3" xfId="14749"/>
    <cellStyle name="Calculation 4 5 4 3 2" xfId="14750"/>
    <cellStyle name="Calculation 4 5 4 4" xfId="14751"/>
    <cellStyle name="Calculation 4 5 4 5" xfId="14752"/>
    <cellStyle name="Calculation 4 5 5" xfId="14753"/>
    <cellStyle name="Calculation 4 5 5 2" xfId="14754"/>
    <cellStyle name="Calculation 4 5 5 2 2" xfId="14755"/>
    <cellStyle name="Calculation 4 5 5 3" xfId="14756"/>
    <cellStyle name="Calculation 4 5 5 4" xfId="14757"/>
    <cellStyle name="Calculation 4 5 6" xfId="14758"/>
    <cellStyle name="Calculation 4 5 6 2" xfId="14759"/>
    <cellStyle name="Calculation 4 5 7" xfId="14760"/>
    <cellStyle name="Calculation 4 5 8" xfId="14761"/>
    <cellStyle name="Calculation 4 5 9" xfId="14762"/>
    <cellStyle name="Calculation 4 6" xfId="14763"/>
    <cellStyle name="Calculation 4 6 10" xfId="14764"/>
    <cellStyle name="Calculation 4 6 11" xfId="14765"/>
    <cellStyle name="Calculation 4 6 12" xfId="14766"/>
    <cellStyle name="Calculation 4 6 13" xfId="14767"/>
    <cellStyle name="Calculation 4 6 14" xfId="14768"/>
    <cellStyle name="Calculation 4 6 15" xfId="14769"/>
    <cellStyle name="Calculation 4 6 16" xfId="14770"/>
    <cellStyle name="Calculation 4 6 17" xfId="14771"/>
    <cellStyle name="Calculation 4 6 18" xfId="14772"/>
    <cellStyle name="Calculation 4 6 19" xfId="14773"/>
    <cellStyle name="Calculation 4 6 2" xfId="14774"/>
    <cellStyle name="Calculation 4 6 2 10" xfId="14775"/>
    <cellStyle name="Calculation 4 6 2 11" xfId="14776"/>
    <cellStyle name="Calculation 4 6 2 12" xfId="14777"/>
    <cellStyle name="Calculation 4 6 2 13" xfId="14778"/>
    <cellStyle name="Calculation 4 6 2 14" xfId="14779"/>
    <cellStyle name="Calculation 4 6 2 15" xfId="14780"/>
    <cellStyle name="Calculation 4 6 2 16" xfId="14781"/>
    <cellStyle name="Calculation 4 6 2 17" xfId="14782"/>
    <cellStyle name="Calculation 4 6 2 18" xfId="14783"/>
    <cellStyle name="Calculation 4 6 2 2" xfId="14784"/>
    <cellStyle name="Calculation 4 6 2 2 2" xfId="14785"/>
    <cellStyle name="Calculation 4 6 2 2 2 2" xfId="14786"/>
    <cellStyle name="Calculation 4 6 2 2 3" xfId="14787"/>
    <cellStyle name="Calculation 4 6 2 2 4" xfId="14788"/>
    <cellStyle name="Calculation 4 6 2 3" xfId="14789"/>
    <cellStyle name="Calculation 4 6 2 3 2" xfId="14790"/>
    <cellStyle name="Calculation 4 6 2 3 3" xfId="14791"/>
    <cellStyle name="Calculation 4 6 2 4" xfId="14792"/>
    <cellStyle name="Calculation 4 6 2 4 2" xfId="14793"/>
    <cellStyle name="Calculation 4 6 2 5" xfId="14794"/>
    <cellStyle name="Calculation 4 6 2 6" xfId="14795"/>
    <cellStyle name="Calculation 4 6 2 7" xfId="14796"/>
    <cellStyle name="Calculation 4 6 2 8" xfId="14797"/>
    <cellStyle name="Calculation 4 6 2 9" xfId="14798"/>
    <cellStyle name="Calculation 4 6 20" xfId="14799"/>
    <cellStyle name="Calculation 4 6 3" xfId="14800"/>
    <cellStyle name="Calculation 4 6 3 10" xfId="14801"/>
    <cellStyle name="Calculation 4 6 3 11" xfId="14802"/>
    <cellStyle name="Calculation 4 6 3 12" xfId="14803"/>
    <cellStyle name="Calculation 4 6 3 13" xfId="14804"/>
    <cellStyle name="Calculation 4 6 3 14" xfId="14805"/>
    <cellStyle name="Calculation 4 6 3 15" xfId="14806"/>
    <cellStyle name="Calculation 4 6 3 16" xfId="14807"/>
    <cellStyle name="Calculation 4 6 3 17" xfId="14808"/>
    <cellStyle name="Calculation 4 6 3 18" xfId="14809"/>
    <cellStyle name="Calculation 4 6 3 2" xfId="14810"/>
    <cellStyle name="Calculation 4 6 3 2 2" xfId="14811"/>
    <cellStyle name="Calculation 4 6 3 2 2 2" xfId="14812"/>
    <cellStyle name="Calculation 4 6 3 2 3" xfId="14813"/>
    <cellStyle name="Calculation 4 6 3 2 4" xfId="14814"/>
    <cellStyle name="Calculation 4 6 3 3" xfId="14815"/>
    <cellStyle name="Calculation 4 6 3 3 2" xfId="14816"/>
    <cellStyle name="Calculation 4 6 3 3 3" xfId="14817"/>
    <cellStyle name="Calculation 4 6 3 4" xfId="14818"/>
    <cellStyle name="Calculation 4 6 3 4 2" xfId="14819"/>
    <cellStyle name="Calculation 4 6 3 5" xfId="14820"/>
    <cellStyle name="Calculation 4 6 3 6" xfId="14821"/>
    <cellStyle name="Calculation 4 6 3 7" xfId="14822"/>
    <cellStyle name="Calculation 4 6 3 8" xfId="14823"/>
    <cellStyle name="Calculation 4 6 3 9" xfId="14824"/>
    <cellStyle name="Calculation 4 6 4" xfId="14825"/>
    <cellStyle name="Calculation 4 6 4 2" xfId="14826"/>
    <cellStyle name="Calculation 4 6 4 2 2" xfId="14827"/>
    <cellStyle name="Calculation 4 6 4 2 3" xfId="14828"/>
    <cellStyle name="Calculation 4 6 4 3" xfId="14829"/>
    <cellStyle name="Calculation 4 6 4 3 2" xfId="14830"/>
    <cellStyle name="Calculation 4 6 4 4" xfId="14831"/>
    <cellStyle name="Calculation 4 6 4 5" xfId="14832"/>
    <cellStyle name="Calculation 4 6 5" xfId="14833"/>
    <cellStyle name="Calculation 4 6 5 2" xfId="14834"/>
    <cellStyle name="Calculation 4 6 5 2 2" xfId="14835"/>
    <cellStyle name="Calculation 4 6 5 3" xfId="14836"/>
    <cellStyle name="Calculation 4 6 5 4" xfId="14837"/>
    <cellStyle name="Calculation 4 6 6" xfId="14838"/>
    <cellStyle name="Calculation 4 6 6 2" xfId="14839"/>
    <cellStyle name="Calculation 4 6 7" xfId="14840"/>
    <cellStyle name="Calculation 4 6 8" xfId="14841"/>
    <cellStyle name="Calculation 4 6 9" xfId="14842"/>
    <cellStyle name="Calculation 4 7" xfId="14843"/>
    <cellStyle name="Calculation 4 7 10" xfId="14844"/>
    <cellStyle name="Calculation 4 7 11" xfId="14845"/>
    <cellStyle name="Calculation 4 7 12" xfId="14846"/>
    <cellStyle name="Calculation 4 7 13" xfId="14847"/>
    <cellStyle name="Calculation 4 7 14" xfId="14848"/>
    <cellStyle name="Calculation 4 7 15" xfId="14849"/>
    <cellStyle name="Calculation 4 7 16" xfId="14850"/>
    <cellStyle name="Calculation 4 7 17" xfId="14851"/>
    <cellStyle name="Calculation 4 7 2" xfId="14852"/>
    <cellStyle name="Calculation 4 7 2 2" xfId="14853"/>
    <cellStyle name="Calculation 4 7 2 2 2" xfId="14854"/>
    <cellStyle name="Calculation 4 7 2 3" xfId="14855"/>
    <cellStyle name="Calculation 4 7 2 4" xfId="14856"/>
    <cellStyle name="Calculation 4 7 3" xfId="14857"/>
    <cellStyle name="Calculation 4 7 3 2" xfId="14858"/>
    <cellStyle name="Calculation 4 7 4" xfId="14859"/>
    <cellStyle name="Calculation 4 7 5" xfId="14860"/>
    <cellStyle name="Calculation 4 7 6" xfId="14861"/>
    <cellStyle name="Calculation 4 7 7" xfId="14862"/>
    <cellStyle name="Calculation 4 7 8" xfId="14863"/>
    <cellStyle name="Calculation 4 7 9" xfId="14864"/>
    <cellStyle name="Calculation 4 8" xfId="14865"/>
    <cellStyle name="Calculation 4 8 2" xfId="14866"/>
    <cellStyle name="Calculation 4 8 2 2" xfId="14867"/>
    <cellStyle name="Calculation 4 8 2 2 2" xfId="14868"/>
    <cellStyle name="Calculation 4 8 2 3" xfId="14869"/>
    <cellStyle name="Calculation 4 8 2 4" xfId="14870"/>
    <cellStyle name="Calculation 4 8 3" xfId="14871"/>
    <cellStyle name="Calculation 4 8 3 2" xfId="14872"/>
    <cellStyle name="Calculation 4 8 3 3" xfId="14873"/>
    <cellStyle name="Calculation 4 8 4" xfId="14874"/>
    <cellStyle name="Calculation 4 8 4 2" xfId="14875"/>
    <cellStyle name="Calculation 4 8 5" xfId="14876"/>
    <cellStyle name="Calculation 4 8 6" xfId="14877"/>
    <cellStyle name="Calculation 4 9" xfId="14878"/>
    <cellStyle name="Calculation 4 9 2" xfId="14879"/>
    <cellStyle name="Calculation 4 9 2 2" xfId="14880"/>
    <cellStyle name="Calculation 4 9 3" xfId="14881"/>
    <cellStyle name="Calculation 4 9 4" xfId="14882"/>
    <cellStyle name="Calculation 5" xfId="14883"/>
    <cellStyle name="Calculation 5 10" xfId="14884"/>
    <cellStyle name="Calculation 5 11" xfId="14885"/>
    <cellStyle name="Calculation 5 12" xfId="14886"/>
    <cellStyle name="Calculation 5 13" xfId="14887"/>
    <cellStyle name="Calculation 5 14" xfId="14888"/>
    <cellStyle name="Calculation 5 15" xfId="14889"/>
    <cellStyle name="Calculation 5 16" xfId="14890"/>
    <cellStyle name="Calculation 5 17" xfId="14891"/>
    <cellStyle name="Calculation 5 18" xfId="14892"/>
    <cellStyle name="Calculation 5 19" xfId="14893"/>
    <cellStyle name="Calculation 5 2" xfId="14894"/>
    <cellStyle name="Calculation 5 2 10" xfId="14895"/>
    <cellStyle name="Calculation 5 2 11" xfId="14896"/>
    <cellStyle name="Calculation 5 2 12" xfId="14897"/>
    <cellStyle name="Calculation 5 2 13" xfId="14898"/>
    <cellStyle name="Calculation 5 2 14" xfId="14899"/>
    <cellStyle name="Calculation 5 2 15" xfId="14900"/>
    <cellStyle name="Calculation 5 2 16" xfId="14901"/>
    <cellStyle name="Calculation 5 2 17" xfId="14902"/>
    <cellStyle name="Calculation 5 2 18" xfId="14903"/>
    <cellStyle name="Calculation 5 2 2" xfId="14904"/>
    <cellStyle name="Calculation 5 2 2 2" xfId="14905"/>
    <cellStyle name="Calculation 5 2 2 2 2" xfId="14906"/>
    <cellStyle name="Calculation 5 2 2 3" xfId="14907"/>
    <cellStyle name="Calculation 5 2 2 4" xfId="14908"/>
    <cellStyle name="Calculation 5 2 3" xfId="14909"/>
    <cellStyle name="Calculation 5 2 3 2" xfId="14910"/>
    <cellStyle name="Calculation 5 2 3 3" xfId="14911"/>
    <cellStyle name="Calculation 5 2 4" xfId="14912"/>
    <cellStyle name="Calculation 5 2 4 2" xfId="14913"/>
    <cellStyle name="Calculation 5 2 5" xfId="14914"/>
    <cellStyle name="Calculation 5 2 6" xfId="14915"/>
    <cellStyle name="Calculation 5 2 7" xfId="14916"/>
    <cellStyle name="Calculation 5 2 8" xfId="14917"/>
    <cellStyle name="Calculation 5 2 9" xfId="14918"/>
    <cellStyle name="Calculation 5 20" xfId="14919"/>
    <cellStyle name="Calculation 5 21" xfId="14920"/>
    <cellStyle name="Calculation 5 3" xfId="14921"/>
    <cellStyle name="Calculation 5 3 10" xfId="14922"/>
    <cellStyle name="Calculation 5 3 11" xfId="14923"/>
    <cellStyle name="Calculation 5 3 12" xfId="14924"/>
    <cellStyle name="Calculation 5 3 13" xfId="14925"/>
    <cellStyle name="Calculation 5 3 14" xfId="14926"/>
    <cellStyle name="Calculation 5 3 15" xfId="14927"/>
    <cellStyle name="Calculation 5 3 16" xfId="14928"/>
    <cellStyle name="Calculation 5 3 17" xfId="14929"/>
    <cellStyle name="Calculation 5 3 18" xfId="14930"/>
    <cellStyle name="Calculation 5 3 2" xfId="14931"/>
    <cellStyle name="Calculation 5 3 2 2" xfId="14932"/>
    <cellStyle name="Calculation 5 3 2 2 2" xfId="14933"/>
    <cellStyle name="Calculation 5 3 2 3" xfId="14934"/>
    <cellStyle name="Calculation 5 3 2 4" xfId="14935"/>
    <cellStyle name="Calculation 5 3 3" xfId="14936"/>
    <cellStyle name="Calculation 5 3 3 2" xfId="14937"/>
    <cellStyle name="Calculation 5 3 3 3" xfId="14938"/>
    <cellStyle name="Calculation 5 3 4" xfId="14939"/>
    <cellStyle name="Calculation 5 3 4 2" xfId="14940"/>
    <cellStyle name="Calculation 5 3 5" xfId="14941"/>
    <cellStyle name="Calculation 5 3 6" xfId="14942"/>
    <cellStyle name="Calculation 5 3 7" xfId="14943"/>
    <cellStyle name="Calculation 5 3 8" xfId="14944"/>
    <cellStyle name="Calculation 5 3 9" xfId="14945"/>
    <cellStyle name="Calculation 5 4" xfId="14946"/>
    <cellStyle name="Calculation 5 4 2" xfId="14947"/>
    <cellStyle name="Calculation 5 4 2 2" xfId="14948"/>
    <cellStyle name="Calculation 5 4 2 3" xfId="14949"/>
    <cellStyle name="Calculation 5 4 3" xfId="14950"/>
    <cellStyle name="Calculation 5 4 3 2" xfId="14951"/>
    <cellStyle name="Calculation 5 4 4" xfId="14952"/>
    <cellStyle name="Calculation 5 4 5" xfId="14953"/>
    <cellStyle name="Calculation 5 5" xfId="14954"/>
    <cellStyle name="Calculation 5 5 2" xfId="14955"/>
    <cellStyle name="Calculation 5 5 2 2" xfId="14956"/>
    <cellStyle name="Calculation 5 5 3" xfId="14957"/>
    <cellStyle name="Calculation 5 5 4" xfId="14958"/>
    <cellStyle name="Calculation 5 6" xfId="14959"/>
    <cellStyle name="Calculation 5 6 2" xfId="14960"/>
    <cellStyle name="Calculation 5 7" xfId="14961"/>
    <cellStyle name="Calculation 5 8" xfId="14962"/>
    <cellStyle name="Calculation 5 9" xfId="14963"/>
    <cellStyle name="Calculation 6" xfId="14964"/>
    <cellStyle name="Calculation 6 10" xfId="14965"/>
    <cellStyle name="Calculation 6 11" xfId="14966"/>
    <cellStyle name="Calculation 6 12" xfId="14967"/>
    <cellStyle name="Calculation 6 13" xfId="14968"/>
    <cellStyle name="Calculation 6 14" xfId="14969"/>
    <cellStyle name="Calculation 6 15" xfId="14970"/>
    <cellStyle name="Calculation 6 16" xfId="14971"/>
    <cellStyle name="Calculation 6 17" xfId="14972"/>
    <cellStyle name="Calculation 6 18" xfId="14973"/>
    <cellStyle name="Calculation 6 19" xfId="14974"/>
    <cellStyle name="Calculation 6 2" xfId="14975"/>
    <cellStyle name="Calculation 6 2 10" xfId="14976"/>
    <cellStyle name="Calculation 6 2 11" xfId="14977"/>
    <cellStyle name="Calculation 6 2 12" xfId="14978"/>
    <cellStyle name="Calculation 6 2 13" xfId="14979"/>
    <cellStyle name="Calculation 6 2 14" xfId="14980"/>
    <cellStyle name="Calculation 6 2 15" xfId="14981"/>
    <cellStyle name="Calculation 6 2 16" xfId="14982"/>
    <cellStyle name="Calculation 6 2 17" xfId="14983"/>
    <cellStyle name="Calculation 6 2 18" xfId="14984"/>
    <cellStyle name="Calculation 6 2 2" xfId="14985"/>
    <cellStyle name="Calculation 6 2 2 2" xfId="14986"/>
    <cellStyle name="Calculation 6 2 2 2 2" xfId="14987"/>
    <cellStyle name="Calculation 6 2 2 3" xfId="14988"/>
    <cellStyle name="Calculation 6 2 2 4" xfId="14989"/>
    <cellStyle name="Calculation 6 2 3" xfId="14990"/>
    <cellStyle name="Calculation 6 2 3 2" xfId="14991"/>
    <cellStyle name="Calculation 6 2 3 3" xfId="14992"/>
    <cellStyle name="Calculation 6 2 4" xfId="14993"/>
    <cellStyle name="Calculation 6 2 4 2" xfId="14994"/>
    <cellStyle name="Calculation 6 2 5" xfId="14995"/>
    <cellStyle name="Calculation 6 2 6" xfId="14996"/>
    <cellStyle name="Calculation 6 2 7" xfId="14997"/>
    <cellStyle name="Calculation 6 2 8" xfId="14998"/>
    <cellStyle name="Calculation 6 2 9" xfId="14999"/>
    <cellStyle name="Calculation 6 20" xfId="15000"/>
    <cellStyle name="Calculation 6 21" xfId="15001"/>
    <cellStyle name="Calculation 6 3" xfId="15002"/>
    <cellStyle name="Calculation 6 3 10" xfId="15003"/>
    <cellStyle name="Calculation 6 3 11" xfId="15004"/>
    <cellStyle name="Calculation 6 3 12" xfId="15005"/>
    <cellStyle name="Calculation 6 3 13" xfId="15006"/>
    <cellStyle name="Calculation 6 3 14" xfId="15007"/>
    <cellStyle name="Calculation 6 3 15" xfId="15008"/>
    <cellStyle name="Calculation 6 3 16" xfId="15009"/>
    <cellStyle name="Calculation 6 3 17" xfId="15010"/>
    <cellStyle name="Calculation 6 3 18" xfId="15011"/>
    <cellStyle name="Calculation 6 3 2" xfId="15012"/>
    <cellStyle name="Calculation 6 3 2 2" xfId="15013"/>
    <cellStyle name="Calculation 6 3 2 2 2" xfId="15014"/>
    <cellStyle name="Calculation 6 3 2 3" xfId="15015"/>
    <cellStyle name="Calculation 6 3 2 4" xfId="15016"/>
    <cellStyle name="Calculation 6 3 3" xfId="15017"/>
    <cellStyle name="Calculation 6 3 3 2" xfId="15018"/>
    <cellStyle name="Calculation 6 3 3 3" xfId="15019"/>
    <cellStyle name="Calculation 6 3 4" xfId="15020"/>
    <cellStyle name="Calculation 6 3 4 2" xfId="15021"/>
    <cellStyle name="Calculation 6 3 5" xfId="15022"/>
    <cellStyle name="Calculation 6 3 6" xfId="15023"/>
    <cellStyle name="Calculation 6 3 7" xfId="15024"/>
    <cellStyle name="Calculation 6 3 8" xfId="15025"/>
    <cellStyle name="Calculation 6 3 9" xfId="15026"/>
    <cellStyle name="Calculation 6 4" xfId="15027"/>
    <cellStyle name="Calculation 6 4 2" xfId="15028"/>
    <cellStyle name="Calculation 6 4 2 2" xfId="15029"/>
    <cellStyle name="Calculation 6 4 2 3" xfId="15030"/>
    <cellStyle name="Calculation 6 4 3" xfId="15031"/>
    <cellStyle name="Calculation 6 4 3 2" xfId="15032"/>
    <cellStyle name="Calculation 6 4 4" xfId="15033"/>
    <cellStyle name="Calculation 6 4 5" xfId="15034"/>
    <cellStyle name="Calculation 6 5" xfId="15035"/>
    <cellStyle name="Calculation 6 5 2" xfId="15036"/>
    <cellStyle name="Calculation 6 5 2 2" xfId="15037"/>
    <cellStyle name="Calculation 6 5 3" xfId="15038"/>
    <cellStyle name="Calculation 6 5 4" xfId="15039"/>
    <cellStyle name="Calculation 6 6" xfId="15040"/>
    <cellStyle name="Calculation 6 6 2" xfId="15041"/>
    <cellStyle name="Calculation 6 7" xfId="15042"/>
    <cellStyle name="Calculation 6 8" xfId="15043"/>
    <cellStyle name="Calculation 6 9" xfId="15044"/>
    <cellStyle name="Calculation 7" xfId="15045"/>
    <cellStyle name="Calculation 7 10" xfId="15046"/>
    <cellStyle name="Calculation 7 11" xfId="15047"/>
    <cellStyle name="Calculation 7 12" xfId="15048"/>
    <cellStyle name="Calculation 7 13" xfId="15049"/>
    <cellStyle name="Calculation 7 14" xfId="15050"/>
    <cellStyle name="Calculation 7 15" xfId="15051"/>
    <cellStyle name="Calculation 7 16" xfId="15052"/>
    <cellStyle name="Calculation 7 17" xfId="15053"/>
    <cellStyle name="Calculation 7 18" xfId="15054"/>
    <cellStyle name="Calculation 7 19" xfId="15055"/>
    <cellStyle name="Calculation 7 2" xfId="15056"/>
    <cellStyle name="Calculation 7 2 10" xfId="15057"/>
    <cellStyle name="Calculation 7 2 11" xfId="15058"/>
    <cellStyle name="Calculation 7 2 12" xfId="15059"/>
    <cellStyle name="Calculation 7 2 13" xfId="15060"/>
    <cellStyle name="Calculation 7 2 14" xfId="15061"/>
    <cellStyle name="Calculation 7 2 15" xfId="15062"/>
    <cellStyle name="Calculation 7 2 16" xfId="15063"/>
    <cellStyle name="Calculation 7 2 17" xfId="15064"/>
    <cellStyle name="Calculation 7 2 18" xfId="15065"/>
    <cellStyle name="Calculation 7 2 2" xfId="15066"/>
    <cellStyle name="Calculation 7 2 2 2" xfId="15067"/>
    <cellStyle name="Calculation 7 2 2 2 2" xfId="15068"/>
    <cellStyle name="Calculation 7 2 2 3" xfId="15069"/>
    <cellStyle name="Calculation 7 2 2 4" xfId="15070"/>
    <cellStyle name="Calculation 7 2 3" xfId="15071"/>
    <cellStyle name="Calculation 7 2 3 2" xfId="15072"/>
    <cellStyle name="Calculation 7 2 3 3" xfId="15073"/>
    <cellStyle name="Calculation 7 2 4" xfId="15074"/>
    <cellStyle name="Calculation 7 2 4 2" xfId="15075"/>
    <cellStyle name="Calculation 7 2 5" xfId="15076"/>
    <cellStyle name="Calculation 7 2 6" xfId="15077"/>
    <cellStyle name="Calculation 7 2 7" xfId="15078"/>
    <cellStyle name="Calculation 7 2 8" xfId="15079"/>
    <cellStyle name="Calculation 7 2 9" xfId="15080"/>
    <cellStyle name="Calculation 7 20" xfId="15081"/>
    <cellStyle name="Calculation 7 21" xfId="15082"/>
    <cellStyle name="Calculation 7 3" xfId="15083"/>
    <cellStyle name="Calculation 7 3 10" xfId="15084"/>
    <cellStyle name="Calculation 7 3 11" xfId="15085"/>
    <cellStyle name="Calculation 7 3 12" xfId="15086"/>
    <cellStyle name="Calculation 7 3 13" xfId="15087"/>
    <cellStyle name="Calculation 7 3 14" xfId="15088"/>
    <cellStyle name="Calculation 7 3 15" xfId="15089"/>
    <cellStyle name="Calculation 7 3 16" xfId="15090"/>
    <cellStyle name="Calculation 7 3 17" xfId="15091"/>
    <cellStyle name="Calculation 7 3 18" xfId="15092"/>
    <cellStyle name="Calculation 7 3 2" xfId="15093"/>
    <cellStyle name="Calculation 7 3 2 2" xfId="15094"/>
    <cellStyle name="Calculation 7 3 2 2 2" xfId="15095"/>
    <cellStyle name="Calculation 7 3 2 3" xfId="15096"/>
    <cellStyle name="Calculation 7 3 2 4" xfId="15097"/>
    <cellStyle name="Calculation 7 3 3" xfId="15098"/>
    <cellStyle name="Calculation 7 3 3 2" xfId="15099"/>
    <cellStyle name="Calculation 7 3 3 3" xfId="15100"/>
    <cellStyle name="Calculation 7 3 4" xfId="15101"/>
    <cellStyle name="Calculation 7 3 4 2" xfId="15102"/>
    <cellStyle name="Calculation 7 3 5" xfId="15103"/>
    <cellStyle name="Calculation 7 3 6" xfId="15104"/>
    <cellStyle name="Calculation 7 3 7" xfId="15105"/>
    <cellStyle name="Calculation 7 3 8" xfId="15106"/>
    <cellStyle name="Calculation 7 3 9" xfId="15107"/>
    <cellStyle name="Calculation 7 4" xfId="15108"/>
    <cellStyle name="Calculation 7 4 2" xfId="15109"/>
    <cellStyle name="Calculation 7 4 2 2" xfId="15110"/>
    <cellStyle name="Calculation 7 4 2 3" xfId="15111"/>
    <cellStyle name="Calculation 7 4 3" xfId="15112"/>
    <cellStyle name="Calculation 7 4 3 2" xfId="15113"/>
    <cellStyle name="Calculation 7 4 4" xfId="15114"/>
    <cellStyle name="Calculation 7 4 5" xfId="15115"/>
    <cellStyle name="Calculation 7 5" xfId="15116"/>
    <cellStyle name="Calculation 7 5 2" xfId="15117"/>
    <cellStyle name="Calculation 7 5 2 2" xfId="15118"/>
    <cellStyle name="Calculation 7 5 3" xfId="15119"/>
    <cellStyle name="Calculation 7 5 4" xfId="15120"/>
    <cellStyle name="Calculation 7 6" xfId="15121"/>
    <cellStyle name="Calculation 7 6 2" xfId="15122"/>
    <cellStyle name="Calculation 7 7" xfId="15123"/>
    <cellStyle name="Calculation 7 8" xfId="15124"/>
    <cellStyle name="Calculation 7 9" xfId="15125"/>
    <cellStyle name="Calculation 8" xfId="15126"/>
    <cellStyle name="Calculation 8 10" xfId="15127"/>
    <cellStyle name="Calculation 8 11" xfId="15128"/>
    <cellStyle name="Calculation 8 12" xfId="15129"/>
    <cellStyle name="Calculation 8 13" xfId="15130"/>
    <cellStyle name="Calculation 8 14" xfId="15131"/>
    <cellStyle name="Calculation 8 15" xfId="15132"/>
    <cellStyle name="Calculation 8 16" xfId="15133"/>
    <cellStyle name="Calculation 8 17" xfId="15134"/>
    <cellStyle name="Calculation 8 18" xfId="15135"/>
    <cellStyle name="Calculation 8 19" xfId="15136"/>
    <cellStyle name="Calculation 8 2" xfId="15137"/>
    <cellStyle name="Calculation 8 2 10" xfId="15138"/>
    <cellStyle name="Calculation 8 2 11" xfId="15139"/>
    <cellStyle name="Calculation 8 2 12" xfId="15140"/>
    <cellStyle name="Calculation 8 2 13" xfId="15141"/>
    <cellStyle name="Calculation 8 2 14" xfId="15142"/>
    <cellStyle name="Calculation 8 2 15" xfId="15143"/>
    <cellStyle name="Calculation 8 2 16" xfId="15144"/>
    <cellStyle name="Calculation 8 2 17" xfId="15145"/>
    <cellStyle name="Calculation 8 2 18" xfId="15146"/>
    <cellStyle name="Calculation 8 2 2" xfId="15147"/>
    <cellStyle name="Calculation 8 2 2 2" xfId="15148"/>
    <cellStyle name="Calculation 8 2 2 2 2" xfId="15149"/>
    <cellStyle name="Calculation 8 2 2 3" xfId="15150"/>
    <cellStyle name="Calculation 8 2 2 4" xfId="15151"/>
    <cellStyle name="Calculation 8 2 3" xfId="15152"/>
    <cellStyle name="Calculation 8 2 3 2" xfId="15153"/>
    <cellStyle name="Calculation 8 2 3 3" xfId="15154"/>
    <cellStyle name="Calculation 8 2 4" xfId="15155"/>
    <cellStyle name="Calculation 8 2 4 2" xfId="15156"/>
    <cellStyle name="Calculation 8 2 5" xfId="15157"/>
    <cellStyle name="Calculation 8 2 6" xfId="15158"/>
    <cellStyle name="Calculation 8 2 7" xfId="15159"/>
    <cellStyle name="Calculation 8 2 8" xfId="15160"/>
    <cellStyle name="Calculation 8 2 9" xfId="15161"/>
    <cellStyle name="Calculation 8 3" xfId="15162"/>
    <cellStyle name="Calculation 8 3 10" xfId="15163"/>
    <cellStyle name="Calculation 8 3 11" xfId="15164"/>
    <cellStyle name="Calculation 8 3 12" xfId="15165"/>
    <cellStyle name="Calculation 8 3 13" xfId="15166"/>
    <cellStyle name="Calculation 8 3 14" xfId="15167"/>
    <cellStyle name="Calculation 8 3 15" xfId="15168"/>
    <cellStyle name="Calculation 8 3 16" xfId="15169"/>
    <cellStyle name="Calculation 8 3 17" xfId="15170"/>
    <cellStyle name="Calculation 8 3 18" xfId="15171"/>
    <cellStyle name="Calculation 8 3 2" xfId="15172"/>
    <cellStyle name="Calculation 8 3 2 2" xfId="15173"/>
    <cellStyle name="Calculation 8 3 2 2 2" xfId="15174"/>
    <cellStyle name="Calculation 8 3 2 3" xfId="15175"/>
    <cellStyle name="Calculation 8 3 2 4" xfId="15176"/>
    <cellStyle name="Calculation 8 3 3" xfId="15177"/>
    <cellStyle name="Calculation 8 3 3 2" xfId="15178"/>
    <cellStyle name="Calculation 8 3 3 3" xfId="15179"/>
    <cellStyle name="Calculation 8 3 4" xfId="15180"/>
    <cellStyle name="Calculation 8 3 4 2" xfId="15181"/>
    <cellStyle name="Calculation 8 3 5" xfId="15182"/>
    <cellStyle name="Calculation 8 3 6" xfId="15183"/>
    <cellStyle name="Calculation 8 3 7" xfId="15184"/>
    <cellStyle name="Calculation 8 3 8" xfId="15185"/>
    <cellStyle name="Calculation 8 3 9" xfId="15186"/>
    <cellStyle name="Calculation 8 4" xfId="15187"/>
    <cellStyle name="Calculation 8 4 2" xfId="15188"/>
    <cellStyle name="Calculation 8 4 2 2" xfId="15189"/>
    <cellStyle name="Calculation 8 4 2 3" xfId="15190"/>
    <cellStyle name="Calculation 8 4 3" xfId="15191"/>
    <cellStyle name="Calculation 8 4 3 2" xfId="15192"/>
    <cellStyle name="Calculation 8 4 4" xfId="15193"/>
    <cellStyle name="Calculation 8 4 5" xfId="15194"/>
    <cellStyle name="Calculation 8 5" xfId="15195"/>
    <cellStyle name="Calculation 8 5 2" xfId="15196"/>
    <cellStyle name="Calculation 8 5 2 2" xfId="15197"/>
    <cellStyle name="Calculation 8 5 3" xfId="15198"/>
    <cellStyle name="Calculation 8 5 4" xfId="15199"/>
    <cellStyle name="Calculation 8 6" xfId="15200"/>
    <cellStyle name="Calculation 8 6 2" xfId="15201"/>
    <cellStyle name="Calculation 8 7" xfId="15202"/>
    <cellStyle name="Calculation 8 8" xfId="15203"/>
    <cellStyle name="Calculation 8 9" xfId="15204"/>
    <cellStyle name="Calculation 9" xfId="15205"/>
    <cellStyle name="Calculation 9 10" xfId="15206"/>
    <cellStyle name="Calculation 9 11" xfId="15207"/>
    <cellStyle name="Calculation 9 12" xfId="15208"/>
    <cellStyle name="Calculation 9 13" xfId="15209"/>
    <cellStyle name="Calculation 9 14" xfId="15210"/>
    <cellStyle name="Calculation 9 15" xfId="15211"/>
    <cellStyle name="Calculation 9 16" xfId="15212"/>
    <cellStyle name="Calculation 9 17" xfId="15213"/>
    <cellStyle name="Calculation 9 18" xfId="15214"/>
    <cellStyle name="Calculation 9 19" xfId="15215"/>
    <cellStyle name="Calculation 9 2" xfId="15216"/>
    <cellStyle name="Calculation 9 2 10" xfId="15217"/>
    <cellStyle name="Calculation 9 2 11" xfId="15218"/>
    <cellStyle name="Calculation 9 2 12" xfId="15219"/>
    <cellStyle name="Calculation 9 2 13" xfId="15220"/>
    <cellStyle name="Calculation 9 2 14" xfId="15221"/>
    <cellStyle name="Calculation 9 2 15" xfId="15222"/>
    <cellStyle name="Calculation 9 2 16" xfId="15223"/>
    <cellStyle name="Calculation 9 2 17" xfId="15224"/>
    <cellStyle name="Calculation 9 2 18" xfId="15225"/>
    <cellStyle name="Calculation 9 2 2" xfId="15226"/>
    <cellStyle name="Calculation 9 2 2 2" xfId="15227"/>
    <cellStyle name="Calculation 9 2 2 2 2" xfId="15228"/>
    <cellStyle name="Calculation 9 2 2 3" xfId="15229"/>
    <cellStyle name="Calculation 9 2 2 4" xfId="15230"/>
    <cellStyle name="Calculation 9 2 3" xfId="15231"/>
    <cellStyle name="Calculation 9 2 3 2" xfId="15232"/>
    <cellStyle name="Calculation 9 2 3 3" xfId="15233"/>
    <cellStyle name="Calculation 9 2 4" xfId="15234"/>
    <cellStyle name="Calculation 9 2 4 2" xfId="15235"/>
    <cellStyle name="Calculation 9 2 5" xfId="15236"/>
    <cellStyle name="Calculation 9 2 6" xfId="15237"/>
    <cellStyle name="Calculation 9 2 7" xfId="15238"/>
    <cellStyle name="Calculation 9 2 8" xfId="15239"/>
    <cellStyle name="Calculation 9 2 9" xfId="15240"/>
    <cellStyle name="Calculation 9 20" xfId="15241"/>
    <cellStyle name="Calculation 9 3" xfId="15242"/>
    <cellStyle name="Calculation 9 3 10" xfId="15243"/>
    <cellStyle name="Calculation 9 3 11" xfId="15244"/>
    <cellStyle name="Calculation 9 3 12" xfId="15245"/>
    <cellStyle name="Calculation 9 3 13" xfId="15246"/>
    <cellStyle name="Calculation 9 3 14" xfId="15247"/>
    <cellStyle name="Calculation 9 3 15" xfId="15248"/>
    <cellStyle name="Calculation 9 3 16" xfId="15249"/>
    <cellStyle name="Calculation 9 3 17" xfId="15250"/>
    <cellStyle name="Calculation 9 3 18" xfId="15251"/>
    <cellStyle name="Calculation 9 3 2" xfId="15252"/>
    <cellStyle name="Calculation 9 3 2 2" xfId="15253"/>
    <cellStyle name="Calculation 9 3 2 2 2" xfId="15254"/>
    <cellStyle name="Calculation 9 3 2 3" xfId="15255"/>
    <cellStyle name="Calculation 9 3 2 4" xfId="15256"/>
    <cellStyle name="Calculation 9 3 3" xfId="15257"/>
    <cellStyle name="Calculation 9 3 3 2" xfId="15258"/>
    <cellStyle name="Calculation 9 3 3 3" xfId="15259"/>
    <cellStyle name="Calculation 9 3 4" xfId="15260"/>
    <cellStyle name="Calculation 9 3 4 2" xfId="15261"/>
    <cellStyle name="Calculation 9 3 5" xfId="15262"/>
    <cellStyle name="Calculation 9 3 6" xfId="15263"/>
    <cellStyle name="Calculation 9 3 7" xfId="15264"/>
    <cellStyle name="Calculation 9 3 8" xfId="15265"/>
    <cellStyle name="Calculation 9 3 9" xfId="15266"/>
    <cellStyle name="Calculation 9 4" xfId="15267"/>
    <cellStyle name="Calculation 9 4 2" xfId="15268"/>
    <cellStyle name="Calculation 9 4 2 2" xfId="15269"/>
    <cellStyle name="Calculation 9 4 2 3" xfId="15270"/>
    <cellStyle name="Calculation 9 4 3" xfId="15271"/>
    <cellStyle name="Calculation 9 4 3 2" xfId="15272"/>
    <cellStyle name="Calculation 9 4 4" xfId="15273"/>
    <cellStyle name="Calculation 9 4 5" xfId="15274"/>
    <cellStyle name="Calculation 9 5" xfId="15275"/>
    <cellStyle name="Calculation 9 5 2" xfId="15276"/>
    <cellStyle name="Calculation 9 5 2 2" xfId="15277"/>
    <cellStyle name="Calculation 9 5 3" xfId="15278"/>
    <cellStyle name="Calculation 9 5 4" xfId="15279"/>
    <cellStyle name="Calculation 9 6" xfId="15280"/>
    <cellStyle name="Calculation 9 6 2" xfId="15281"/>
    <cellStyle name="Calculation 9 7" xfId="15282"/>
    <cellStyle name="Calculation 9 8" xfId="15283"/>
    <cellStyle name="Calculation 9 9" xfId="15284"/>
    <cellStyle name="Case" xfId="15285"/>
    <cellStyle name="Case 2" xfId="15286"/>
    <cellStyle name="Case 2 2" xfId="15287"/>
    <cellStyle name="Case 2 3" xfId="15288"/>
    <cellStyle name="Case 3" xfId="15289"/>
    <cellStyle name="Case 3 2" xfId="15290"/>
    <cellStyle name="Case 3 3" xfId="15291"/>
    <cellStyle name="Case 4" xfId="15292"/>
    <cellStyle name="Case 4 2" xfId="15293"/>
    <cellStyle name="Case 4 3" xfId="15294"/>
    <cellStyle name="Case 5" xfId="15295"/>
    <cellStyle name="Case 6" xfId="15296"/>
    <cellStyle name="Cents" xfId="15297"/>
    <cellStyle name="Cents 2" xfId="15298"/>
    <cellStyle name="Cents 3" xfId="15299"/>
    <cellStyle name="Cents 4" xfId="15300"/>
    <cellStyle name="Cents 5" xfId="15301"/>
    <cellStyle name="Cents 6" xfId="15302"/>
    <cellStyle name="Check" xfId="15303"/>
    <cellStyle name="Check 10" xfId="15304"/>
    <cellStyle name="Check 11" xfId="15305"/>
    <cellStyle name="Check 12" xfId="15306"/>
    <cellStyle name="Check 13" xfId="15307"/>
    <cellStyle name="Check 14" xfId="15308"/>
    <cellStyle name="Check 15" xfId="15309"/>
    <cellStyle name="Check 16" xfId="15310"/>
    <cellStyle name="Check 17" xfId="15311"/>
    <cellStyle name="Check 18" xfId="15312"/>
    <cellStyle name="Check 19" xfId="15313"/>
    <cellStyle name="Check 2" xfId="15314"/>
    <cellStyle name="Check 2 10" xfId="15315"/>
    <cellStyle name="Check 2 11" xfId="15316"/>
    <cellStyle name="Check 2 12" xfId="15317"/>
    <cellStyle name="Check 2 13" xfId="15318"/>
    <cellStyle name="Check 2 14" xfId="15319"/>
    <cellStyle name="Check 2 15" xfId="15320"/>
    <cellStyle name="Check 2 16" xfId="15321"/>
    <cellStyle name="Check 2 17" xfId="15322"/>
    <cellStyle name="Check 2 18" xfId="15323"/>
    <cellStyle name="Check 2 19" xfId="15324"/>
    <cellStyle name="Check 2 2" xfId="15325"/>
    <cellStyle name="Check 2 2 10" xfId="15326"/>
    <cellStyle name="Check 2 2 11" xfId="15327"/>
    <cellStyle name="Check 2 2 12" xfId="15328"/>
    <cellStyle name="Check 2 2 13" xfId="15329"/>
    <cellStyle name="Check 2 2 14" xfId="15330"/>
    <cellStyle name="Check 2 2 15" xfId="15331"/>
    <cellStyle name="Check 2 2 16" xfId="15332"/>
    <cellStyle name="Check 2 2 17" xfId="15333"/>
    <cellStyle name="Check 2 2 18" xfId="15334"/>
    <cellStyle name="Check 2 2 2" xfId="15335"/>
    <cellStyle name="Check 2 2 2 2" xfId="15336"/>
    <cellStyle name="Check 2 2 2 2 2" xfId="15337"/>
    <cellStyle name="Check 2 2 2 3" xfId="15338"/>
    <cellStyle name="Check 2 2 2 4" xfId="15339"/>
    <cellStyle name="Check 2 2 3" xfId="15340"/>
    <cellStyle name="Check 2 2 3 2" xfId="15341"/>
    <cellStyle name="Check 2 2 3 3" xfId="15342"/>
    <cellStyle name="Check 2 2 4" xfId="15343"/>
    <cellStyle name="Check 2 2 4 2" xfId="15344"/>
    <cellStyle name="Check 2 2 5" xfId="15345"/>
    <cellStyle name="Check 2 2 6" xfId="15346"/>
    <cellStyle name="Check 2 2 7" xfId="15347"/>
    <cellStyle name="Check 2 2 8" xfId="15348"/>
    <cellStyle name="Check 2 2 9" xfId="15349"/>
    <cellStyle name="Check 2 20" xfId="15350"/>
    <cellStyle name="Check 2 21" xfId="15351"/>
    <cellStyle name="Check 2 3" xfId="15352"/>
    <cellStyle name="Check 2 3 10" xfId="15353"/>
    <cellStyle name="Check 2 3 11" xfId="15354"/>
    <cellStyle name="Check 2 3 12" xfId="15355"/>
    <cellStyle name="Check 2 3 13" xfId="15356"/>
    <cellStyle name="Check 2 3 14" xfId="15357"/>
    <cellStyle name="Check 2 3 15" xfId="15358"/>
    <cellStyle name="Check 2 3 16" xfId="15359"/>
    <cellStyle name="Check 2 3 17" xfId="15360"/>
    <cellStyle name="Check 2 3 18" xfId="15361"/>
    <cellStyle name="Check 2 3 2" xfId="15362"/>
    <cellStyle name="Check 2 3 2 2" xfId="15363"/>
    <cellStyle name="Check 2 3 2 2 2" xfId="15364"/>
    <cellStyle name="Check 2 3 2 3" xfId="15365"/>
    <cellStyle name="Check 2 3 2 4" xfId="15366"/>
    <cellStyle name="Check 2 3 3" xfId="15367"/>
    <cellStyle name="Check 2 3 3 2" xfId="15368"/>
    <cellStyle name="Check 2 3 3 3" xfId="15369"/>
    <cellStyle name="Check 2 3 4" xfId="15370"/>
    <cellStyle name="Check 2 3 4 2" xfId="15371"/>
    <cellStyle name="Check 2 3 5" xfId="15372"/>
    <cellStyle name="Check 2 3 6" xfId="15373"/>
    <cellStyle name="Check 2 3 7" xfId="15374"/>
    <cellStyle name="Check 2 3 8" xfId="15375"/>
    <cellStyle name="Check 2 3 9" xfId="15376"/>
    <cellStyle name="Check 2 4" xfId="15377"/>
    <cellStyle name="Check 2 4 2" xfId="15378"/>
    <cellStyle name="Check 2 4 2 2" xfId="15379"/>
    <cellStyle name="Check 2 4 2 3" xfId="15380"/>
    <cellStyle name="Check 2 4 3" xfId="15381"/>
    <cellStyle name="Check 2 4 3 2" xfId="15382"/>
    <cellStyle name="Check 2 4 4" xfId="15383"/>
    <cellStyle name="Check 2 4 5" xfId="15384"/>
    <cellStyle name="Check 2 5" xfId="15385"/>
    <cellStyle name="Check 2 5 2" xfId="15386"/>
    <cellStyle name="Check 2 5 2 2" xfId="15387"/>
    <cellStyle name="Check 2 5 3" xfId="15388"/>
    <cellStyle name="Check 2 5 4" xfId="15389"/>
    <cellStyle name="Check 2 6" xfId="15390"/>
    <cellStyle name="Check 2 6 2" xfId="15391"/>
    <cellStyle name="Check 2 7" xfId="15392"/>
    <cellStyle name="Check 2 8" xfId="15393"/>
    <cellStyle name="Check 2 9" xfId="15394"/>
    <cellStyle name="Check 20" xfId="15395"/>
    <cellStyle name="Check 21" xfId="15396"/>
    <cellStyle name="Check 22" xfId="15397"/>
    <cellStyle name="Check 23" xfId="15398"/>
    <cellStyle name="Check 24" xfId="15399"/>
    <cellStyle name="Check 25" xfId="15400"/>
    <cellStyle name="Check 26" xfId="15401"/>
    <cellStyle name="Check 3" xfId="15402"/>
    <cellStyle name="Check 3 10" xfId="15403"/>
    <cellStyle name="Check 3 11" xfId="15404"/>
    <cellStyle name="Check 3 12" xfId="15405"/>
    <cellStyle name="Check 3 13" xfId="15406"/>
    <cellStyle name="Check 3 14" xfId="15407"/>
    <cellStyle name="Check 3 15" xfId="15408"/>
    <cellStyle name="Check 3 16" xfId="15409"/>
    <cellStyle name="Check 3 17" xfId="15410"/>
    <cellStyle name="Check 3 18" xfId="15411"/>
    <cellStyle name="Check 3 19" xfId="15412"/>
    <cellStyle name="Check 3 2" xfId="15413"/>
    <cellStyle name="Check 3 2 10" xfId="15414"/>
    <cellStyle name="Check 3 2 11" xfId="15415"/>
    <cellStyle name="Check 3 2 12" xfId="15416"/>
    <cellStyle name="Check 3 2 13" xfId="15417"/>
    <cellStyle name="Check 3 2 14" xfId="15418"/>
    <cellStyle name="Check 3 2 15" xfId="15419"/>
    <cellStyle name="Check 3 2 16" xfId="15420"/>
    <cellStyle name="Check 3 2 17" xfId="15421"/>
    <cellStyle name="Check 3 2 18" xfId="15422"/>
    <cellStyle name="Check 3 2 2" xfId="15423"/>
    <cellStyle name="Check 3 2 2 2" xfId="15424"/>
    <cellStyle name="Check 3 2 2 2 2" xfId="15425"/>
    <cellStyle name="Check 3 2 2 3" xfId="15426"/>
    <cellStyle name="Check 3 2 2 4" xfId="15427"/>
    <cellStyle name="Check 3 2 3" xfId="15428"/>
    <cellStyle name="Check 3 2 3 2" xfId="15429"/>
    <cellStyle name="Check 3 2 3 3" xfId="15430"/>
    <cellStyle name="Check 3 2 4" xfId="15431"/>
    <cellStyle name="Check 3 2 4 2" xfId="15432"/>
    <cellStyle name="Check 3 2 5" xfId="15433"/>
    <cellStyle name="Check 3 2 6" xfId="15434"/>
    <cellStyle name="Check 3 2 7" xfId="15435"/>
    <cellStyle name="Check 3 2 8" xfId="15436"/>
    <cellStyle name="Check 3 2 9" xfId="15437"/>
    <cellStyle name="Check 3 20" xfId="15438"/>
    <cellStyle name="Check 3 21" xfId="15439"/>
    <cellStyle name="Check 3 3" xfId="15440"/>
    <cellStyle name="Check 3 3 10" xfId="15441"/>
    <cellStyle name="Check 3 3 11" xfId="15442"/>
    <cellStyle name="Check 3 3 12" xfId="15443"/>
    <cellStyle name="Check 3 3 13" xfId="15444"/>
    <cellStyle name="Check 3 3 14" xfId="15445"/>
    <cellStyle name="Check 3 3 15" xfId="15446"/>
    <cellStyle name="Check 3 3 16" xfId="15447"/>
    <cellStyle name="Check 3 3 17" xfId="15448"/>
    <cellStyle name="Check 3 3 18" xfId="15449"/>
    <cellStyle name="Check 3 3 2" xfId="15450"/>
    <cellStyle name="Check 3 3 2 2" xfId="15451"/>
    <cellStyle name="Check 3 3 2 2 2" xfId="15452"/>
    <cellStyle name="Check 3 3 2 3" xfId="15453"/>
    <cellStyle name="Check 3 3 2 4" xfId="15454"/>
    <cellStyle name="Check 3 3 3" xfId="15455"/>
    <cellStyle name="Check 3 3 3 2" xfId="15456"/>
    <cellStyle name="Check 3 3 3 3" xfId="15457"/>
    <cellStyle name="Check 3 3 4" xfId="15458"/>
    <cellStyle name="Check 3 3 4 2" xfId="15459"/>
    <cellStyle name="Check 3 3 5" xfId="15460"/>
    <cellStyle name="Check 3 3 6" xfId="15461"/>
    <cellStyle name="Check 3 3 7" xfId="15462"/>
    <cellStyle name="Check 3 3 8" xfId="15463"/>
    <cellStyle name="Check 3 3 9" xfId="15464"/>
    <cellStyle name="Check 3 4" xfId="15465"/>
    <cellStyle name="Check 3 4 2" xfId="15466"/>
    <cellStyle name="Check 3 4 2 2" xfId="15467"/>
    <cellStyle name="Check 3 4 2 3" xfId="15468"/>
    <cellStyle name="Check 3 4 3" xfId="15469"/>
    <cellStyle name="Check 3 4 3 2" xfId="15470"/>
    <cellStyle name="Check 3 4 4" xfId="15471"/>
    <cellStyle name="Check 3 4 5" xfId="15472"/>
    <cellStyle name="Check 3 5" xfId="15473"/>
    <cellStyle name="Check 3 5 2" xfId="15474"/>
    <cellStyle name="Check 3 5 2 2" xfId="15475"/>
    <cellStyle name="Check 3 5 3" xfId="15476"/>
    <cellStyle name="Check 3 5 4" xfId="15477"/>
    <cellStyle name="Check 3 6" xfId="15478"/>
    <cellStyle name="Check 3 6 2" xfId="15479"/>
    <cellStyle name="Check 3 7" xfId="15480"/>
    <cellStyle name="Check 3 8" xfId="15481"/>
    <cellStyle name="Check 3 9" xfId="15482"/>
    <cellStyle name="Check 4" xfId="15483"/>
    <cellStyle name="Check 4 10" xfId="15484"/>
    <cellStyle name="Check 4 11" xfId="15485"/>
    <cellStyle name="Check 4 12" xfId="15486"/>
    <cellStyle name="Check 4 13" xfId="15487"/>
    <cellStyle name="Check 4 14" xfId="15488"/>
    <cellStyle name="Check 4 15" xfId="15489"/>
    <cellStyle name="Check 4 16" xfId="15490"/>
    <cellStyle name="Check 4 17" xfId="15491"/>
    <cellStyle name="Check 4 18" xfId="15492"/>
    <cellStyle name="Check 4 19" xfId="15493"/>
    <cellStyle name="Check 4 2" xfId="15494"/>
    <cellStyle name="Check 4 2 10" xfId="15495"/>
    <cellStyle name="Check 4 2 11" xfId="15496"/>
    <cellStyle name="Check 4 2 12" xfId="15497"/>
    <cellStyle name="Check 4 2 13" xfId="15498"/>
    <cellStyle name="Check 4 2 14" xfId="15499"/>
    <cellStyle name="Check 4 2 15" xfId="15500"/>
    <cellStyle name="Check 4 2 16" xfId="15501"/>
    <cellStyle name="Check 4 2 17" xfId="15502"/>
    <cellStyle name="Check 4 2 18" xfId="15503"/>
    <cellStyle name="Check 4 2 2" xfId="15504"/>
    <cellStyle name="Check 4 2 2 2" xfId="15505"/>
    <cellStyle name="Check 4 2 2 2 2" xfId="15506"/>
    <cellStyle name="Check 4 2 2 3" xfId="15507"/>
    <cellStyle name="Check 4 2 2 4" xfId="15508"/>
    <cellStyle name="Check 4 2 3" xfId="15509"/>
    <cellStyle name="Check 4 2 3 2" xfId="15510"/>
    <cellStyle name="Check 4 2 3 3" xfId="15511"/>
    <cellStyle name="Check 4 2 4" xfId="15512"/>
    <cellStyle name="Check 4 2 4 2" xfId="15513"/>
    <cellStyle name="Check 4 2 5" xfId="15514"/>
    <cellStyle name="Check 4 2 6" xfId="15515"/>
    <cellStyle name="Check 4 2 7" xfId="15516"/>
    <cellStyle name="Check 4 2 8" xfId="15517"/>
    <cellStyle name="Check 4 2 9" xfId="15518"/>
    <cellStyle name="Check 4 20" xfId="15519"/>
    <cellStyle name="Check 4 21" xfId="15520"/>
    <cellStyle name="Check 4 3" xfId="15521"/>
    <cellStyle name="Check 4 3 10" xfId="15522"/>
    <cellStyle name="Check 4 3 11" xfId="15523"/>
    <cellStyle name="Check 4 3 12" xfId="15524"/>
    <cellStyle name="Check 4 3 13" xfId="15525"/>
    <cellStyle name="Check 4 3 14" xfId="15526"/>
    <cellStyle name="Check 4 3 15" xfId="15527"/>
    <cellStyle name="Check 4 3 16" xfId="15528"/>
    <cellStyle name="Check 4 3 17" xfId="15529"/>
    <cellStyle name="Check 4 3 18" xfId="15530"/>
    <cellStyle name="Check 4 3 2" xfId="15531"/>
    <cellStyle name="Check 4 3 2 2" xfId="15532"/>
    <cellStyle name="Check 4 3 2 2 2" xfId="15533"/>
    <cellStyle name="Check 4 3 2 3" xfId="15534"/>
    <cellStyle name="Check 4 3 2 4" xfId="15535"/>
    <cellStyle name="Check 4 3 3" xfId="15536"/>
    <cellStyle name="Check 4 3 3 2" xfId="15537"/>
    <cellStyle name="Check 4 3 3 3" xfId="15538"/>
    <cellStyle name="Check 4 3 4" xfId="15539"/>
    <cellStyle name="Check 4 3 4 2" xfId="15540"/>
    <cellStyle name="Check 4 3 5" xfId="15541"/>
    <cellStyle name="Check 4 3 6" xfId="15542"/>
    <cellStyle name="Check 4 3 7" xfId="15543"/>
    <cellStyle name="Check 4 3 8" xfId="15544"/>
    <cellStyle name="Check 4 3 9" xfId="15545"/>
    <cellStyle name="Check 4 4" xfId="15546"/>
    <cellStyle name="Check 4 4 2" xfId="15547"/>
    <cellStyle name="Check 4 4 2 2" xfId="15548"/>
    <cellStyle name="Check 4 4 2 3" xfId="15549"/>
    <cellStyle name="Check 4 4 3" xfId="15550"/>
    <cellStyle name="Check 4 4 3 2" xfId="15551"/>
    <cellStyle name="Check 4 4 4" xfId="15552"/>
    <cellStyle name="Check 4 4 5" xfId="15553"/>
    <cellStyle name="Check 4 5" xfId="15554"/>
    <cellStyle name="Check 4 5 2" xfId="15555"/>
    <cellStyle name="Check 4 5 2 2" xfId="15556"/>
    <cellStyle name="Check 4 5 3" xfId="15557"/>
    <cellStyle name="Check 4 5 4" xfId="15558"/>
    <cellStyle name="Check 4 6" xfId="15559"/>
    <cellStyle name="Check 4 6 2" xfId="15560"/>
    <cellStyle name="Check 4 7" xfId="15561"/>
    <cellStyle name="Check 4 8" xfId="15562"/>
    <cellStyle name="Check 4 9" xfId="15563"/>
    <cellStyle name="Check 5" xfId="15564"/>
    <cellStyle name="Check 5 10" xfId="15565"/>
    <cellStyle name="Check 5 11" xfId="15566"/>
    <cellStyle name="Check 5 12" xfId="15567"/>
    <cellStyle name="Check 5 13" xfId="15568"/>
    <cellStyle name="Check 5 14" xfId="15569"/>
    <cellStyle name="Check 5 15" xfId="15570"/>
    <cellStyle name="Check 5 16" xfId="15571"/>
    <cellStyle name="Check 5 17" xfId="15572"/>
    <cellStyle name="Check 5 18" xfId="15573"/>
    <cellStyle name="Check 5 19" xfId="15574"/>
    <cellStyle name="Check 5 2" xfId="15575"/>
    <cellStyle name="Check 5 2 10" xfId="15576"/>
    <cellStyle name="Check 5 2 11" xfId="15577"/>
    <cellStyle name="Check 5 2 12" xfId="15578"/>
    <cellStyle name="Check 5 2 13" xfId="15579"/>
    <cellStyle name="Check 5 2 14" xfId="15580"/>
    <cellStyle name="Check 5 2 15" xfId="15581"/>
    <cellStyle name="Check 5 2 16" xfId="15582"/>
    <cellStyle name="Check 5 2 17" xfId="15583"/>
    <cellStyle name="Check 5 2 18" xfId="15584"/>
    <cellStyle name="Check 5 2 2" xfId="15585"/>
    <cellStyle name="Check 5 2 2 2" xfId="15586"/>
    <cellStyle name="Check 5 2 2 2 2" xfId="15587"/>
    <cellStyle name="Check 5 2 2 3" xfId="15588"/>
    <cellStyle name="Check 5 2 2 4" xfId="15589"/>
    <cellStyle name="Check 5 2 3" xfId="15590"/>
    <cellStyle name="Check 5 2 3 2" xfId="15591"/>
    <cellStyle name="Check 5 2 3 3" xfId="15592"/>
    <cellStyle name="Check 5 2 4" xfId="15593"/>
    <cellStyle name="Check 5 2 4 2" xfId="15594"/>
    <cellStyle name="Check 5 2 5" xfId="15595"/>
    <cellStyle name="Check 5 2 6" xfId="15596"/>
    <cellStyle name="Check 5 2 7" xfId="15597"/>
    <cellStyle name="Check 5 2 8" xfId="15598"/>
    <cellStyle name="Check 5 2 9" xfId="15599"/>
    <cellStyle name="Check 5 3" xfId="15600"/>
    <cellStyle name="Check 5 3 10" xfId="15601"/>
    <cellStyle name="Check 5 3 11" xfId="15602"/>
    <cellStyle name="Check 5 3 12" xfId="15603"/>
    <cellStyle name="Check 5 3 13" xfId="15604"/>
    <cellStyle name="Check 5 3 14" xfId="15605"/>
    <cellStyle name="Check 5 3 15" xfId="15606"/>
    <cellStyle name="Check 5 3 16" xfId="15607"/>
    <cellStyle name="Check 5 3 17" xfId="15608"/>
    <cellStyle name="Check 5 3 18" xfId="15609"/>
    <cellStyle name="Check 5 3 2" xfId="15610"/>
    <cellStyle name="Check 5 3 2 2" xfId="15611"/>
    <cellStyle name="Check 5 3 2 2 2" xfId="15612"/>
    <cellStyle name="Check 5 3 2 3" xfId="15613"/>
    <cellStyle name="Check 5 3 2 4" xfId="15614"/>
    <cellStyle name="Check 5 3 3" xfId="15615"/>
    <cellStyle name="Check 5 3 3 2" xfId="15616"/>
    <cellStyle name="Check 5 3 3 3" xfId="15617"/>
    <cellStyle name="Check 5 3 4" xfId="15618"/>
    <cellStyle name="Check 5 3 4 2" xfId="15619"/>
    <cellStyle name="Check 5 3 5" xfId="15620"/>
    <cellStyle name="Check 5 3 6" xfId="15621"/>
    <cellStyle name="Check 5 3 7" xfId="15622"/>
    <cellStyle name="Check 5 3 8" xfId="15623"/>
    <cellStyle name="Check 5 3 9" xfId="15624"/>
    <cellStyle name="Check 5 4" xfId="15625"/>
    <cellStyle name="Check 5 4 2" xfId="15626"/>
    <cellStyle name="Check 5 4 2 2" xfId="15627"/>
    <cellStyle name="Check 5 4 2 3" xfId="15628"/>
    <cellStyle name="Check 5 4 3" xfId="15629"/>
    <cellStyle name="Check 5 4 3 2" xfId="15630"/>
    <cellStyle name="Check 5 4 4" xfId="15631"/>
    <cellStyle name="Check 5 4 5" xfId="15632"/>
    <cellStyle name="Check 5 5" xfId="15633"/>
    <cellStyle name="Check 5 5 2" xfId="15634"/>
    <cellStyle name="Check 5 5 2 2" xfId="15635"/>
    <cellStyle name="Check 5 5 3" xfId="15636"/>
    <cellStyle name="Check 5 5 4" xfId="15637"/>
    <cellStyle name="Check 5 6" xfId="15638"/>
    <cellStyle name="Check 5 6 2" xfId="15639"/>
    <cellStyle name="Check 5 7" xfId="15640"/>
    <cellStyle name="Check 5 8" xfId="15641"/>
    <cellStyle name="Check 5 9" xfId="15642"/>
    <cellStyle name="Check 6" xfId="15643"/>
    <cellStyle name="Check 6 10" xfId="15644"/>
    <cellStyle name="Check 6 11" xfId="15645"/>
    <cellStyle name="Check 6 12" xfId="15646"/>
    <cellStyle name="Check 6 13" xfId="15647"/>
    <cellStyle name="Check 6 14" xfId="15648"/>
    <cellStyle name="Check 6 15" xfId="15649"/>
    <cellStyle name="Check 6 16" xfId="15650"/>
    <cellStyle name="Check 6 17" xfId="15651"/>
    <cellStyle name="Check 6 18" xfId="15652"/>
    <cellStyle name="Check 6 19" xfId="15653"/>
    <cellStyle name="Check 6 2" xfId="15654"/>
    <cellStyle name="Check 6 2 10" xfId="15655"/>
    <cellStyle name="Check 6 2 11" xfId="15656"/>
    <cellStyle name="Check 6 2 12" xfId="15657"/>
    <cellStyle name="Check 6 2 13" xfId="15658"/>
    <cellStyle name="Check 6 2 14" xfId="15659"/>
    <cellStyle name="Check 6 2 15" xfId="15660"/>
    <cellStyle name="Check 6 2 16" xfId="15661"/>
    <cellStyle name="Check 6 2 17" xfId="15662"/>
    <cellStyle name="Check 6 2 18" xfId="15663"/>
    <cellStyle name="Check 6 2 2" xfId="15664"/>
    <cellStyle name="Check 6 2 2 2" xfId="15665"/>
    <cellStyle name="Check 6 2 2 2 2" xfId="15666"/>
    <cellStyle name="Check 6 2 2 3" xfId="15667"/>
    <cellStyle name="Check 6 2 2 4" xfId="15668"/>
    <cellStyle name="Check 6 2 3" xfId="15669"/>
    <cellStyle name="Check 6 2 3 2" xfId="15670"/>
    <cellStyle name="Check 6 2 3 3" xfId="15671"/>
    <cellStyle name="Check 6 2 4" xfId="15672"/>
    <cellStyle name="Check 6 2 4 2" xfId="15673"/>
    <cellStyle name="Check 6 2 5" xfId="15674"/>
    <cellStyle name="Check 6 2 6" xfId="15675"/>
    <cellStyle name="Check 6 2 7" xfId="15676"/>
    <cellStyle name="Check 6 2 8" xfId="15677"/>
    <cellStyle name="Check 6 2 9" xfId="15678"/>
    <cellStyle name="Check 6 20" xfId="15679"/>
    <cellStyle name="Check 6 3" xfId="15680"/>
    <cellStyle name="Check 6 3 10" xfId="15681"/>
    <cellStyle name="Check 6 3 11" xfId="15682"/>
    <cellStyle name="Check 6 3 12" xfId="15683"/>
    <cellStyle name="Check 6 3 13" xfId="15684"/>
    <cellStyle name="Check 6 3 14" xfId="15685"/>
    <cellStyle name="Check 6 3 15" xfId="15686"/>
    <cellStyle name="Check 6 3 16" xfId="15687"/>
    <cellStyle name="Check 6 3 17" xfId="15688"/>
    <cellStyle name="Check 6 3 18" xfId="15689"/>
    <cellStyle name="Check 6 3 2" xfId="15690"/>
    <cellStyle name="Check 6 3 2 2" xfId="15691"/>
    <cellStyle name="Check 6 3 2 2 2" xfId="15692"/>
    <cellStyle name="Check 6 3 2 3" xfId="15693"/>
    <cellStyle name="Check 6 3 2 4" xfId="15694"/>
    <cellStyle name="Check 6 3 3" xfId="15695"/>
    <cellStyle name="Check 6 3 3 2" xfId="15696"/>
    <cellStyle name="Check 6 3 3 3" xfId="15697"/>
    <cellStyle name="Check 6 3 4" xfId="15698"/>
    <cellStyle name="Check 6 3 4 2" xfId="15699"/>
    <cellStyle name="Check 6 3 5" xfId="15700"/>
    <cellStyle name="Check 6 3 6" xfId="15701"/>
    <cellStyle name="Check 6 3 7" xfId="15702"/>
    <cellStyle name="Check 6 3 8" xfId="15703"/>
    <cellStyle name="Check 6 3 9" xfId="15704"/>
    <cellStyle name="Check 6 4" xfId="15705"/>
    <cellStyle name="Check 6 4 2" xfId="15706"/>
    <cellStyle name="Check 6 4 2 2" xfId="15707"/>
    <cellStyle name="Check 6 4 2 3" xfId="15708"/>
    <cellStyle name="Check 6 4 3" xfId="15709"/>
    <cellStyle name="Check 6 4 3 2" xfId="15710"/>
    <cellStyle name="Check 6 4 4" xfId="15711"/>
    <cellStyle name="Check 6 4 5" xfId="15712"/>
    <cellStyle name="Check 6 5" xfId="15713"/>
    <cellStyle name="Check 6 5 2" xfId="15714"/>
    <cellStyle name="Check 6 5 2 2" xfId="15715"/>
    <cellStyle name="Check 6 5 3" xfId="15716"/>
    <cellStyle name="Check 6 5 4" xfId="15717"/>
    <cellStyle name="Check 6 6" xfId="15718"/>
    <cellStyle name="Check 6 6 2" xfId="15719"/>
    <cellStyle name="Check 6 7" xfId="15720"/>
    <cellStyle name="Check 6 8" xfId="15721"/>
    <cellStyle name="Check 6 9" xfId="15722"/>
    <cellStyle name="Check 7" xfId="15723"/>
    <cellStyle name="Check 7 10" xfId="15724"/>
    <cellStyle name="Check 7 11" xfId="15725"/>
    <cellStyle name="Check 7 12" xfId="15726"/>
    <cellStyle name="Check 7 13" xfId="15727"/>
    <cellStyle name="Check 7 14" xfId="15728"/>
    <cellStyle name="Check 7 15" xfId="15729"/>
    <cellStyle name="Check 7 16" xfId="15730"/>
    <cellStyle name="Check 7 17" xfId="15731"/>
    <cellStyle name="Check 7 2" xfId="15732"/>
    <cellStyle name="Check 7 2 2" xfId="15733"/>
    <cellStyle name="Check 7 2 2 2" xfId="15734"/>
    <cellStyle name="Check 7 2 3" xfId="15735"/>
    <cellStyle name="Check 7 2 4" xfId="15736"/>
    <cellStyle name="Check 7 3" xfId="15737"/>
    <cellStyle name="Check 7 3 2" xfId="15738"/>
    <cellStyle name="Check 7 4" xfId="15739"/>
    <cellStyle name="Check 7 5" xfId="15740"/>
    <cellStyle name="Check 7 6" xfId="15741"/>
    <cellStyle name="Check 7 7" xfId="15742"/>
    <cellStyle name="Check 7 8" xfId="15743"/>
    <cellStyle name="Check 7 9" xfId="15744"/>
    <cellStyle name="Check 8" xfId="15745"/>
    <cellStyle name="Check 8 2" xfId="15746"/>
    <cellStyle name="Check 8 2 2" xfId="15747"/>
    <cellStyle name="Check 8 2 2 2" xfId="15748"/>
    <cellStyle name="Check 8 2 3" xfId="15749"/>
    <cellStyle name="Check 8 2 4" xfId="15750"/>
    <cellStyle name="Check 8 3" xfId="15751"/>
    <cellStyle name="Check 8 3 2" xfId="15752"/>
    <cellStyle name="Check 8 3 3" xfId="15753"/>
    <cellStyle name="Check 8 4" xfId="15754"/>
    <cellStyle name="Check 8 4 2" xfId="15755"/>
    <cellStyle name="Check 8 5" xfId="15756"/>
    <cellStyle name="Check 8 6" xfId="15757"/>
    <cellStyle name="Check 9" xfId="15758"/>
    <cellStyle name="Check 9 2" xfId="15759"/>
    <cellStyle name="Check 9 2 2" xfId="15760"/>
    <cellStyle name="Check 9 3" xfId="15761"/>
    <cellStyle name="Check 9 4" xfId="15762"/>
    <cellStyle name="Check Cell" xfId="15763"/>
    <cellStyle name="Check Cell 2" xfId="15764"/>
    <cellStyle name="Check Cell 3" xfId="15765"/>
    <cellStyle name="ChooseAccount" xfId="15766"/>
    <cellStyle name="ChooseAccount 2" xfId="15767"/>
    <cellStyle name="ChooseAccount 3" xfId="15768"/>
    <cellStyle name="ChooseAccount 4" xfId="15769"/>
    <cellStyle name="ChooseAccount 5" xfId="15770"/>
    <cellStyle name="Code" xfId="15771"/>
    <cellStyle name="Code 2" xfId="15772"/>
    <cellStyle name="Code 3" xfId="15773"/>
    <cellStyle name="Code 4" xfId="15774"/>
    <cellStyle name="Code Section" xfId="15775"/>
    <cellStyle name="Code Section 2" xfId="15776"/>
    <cellStyle name="Code Section 2 2" xfId="15777"/>
    <cellStyle name="Code Section 2 2 2" xfId="15778"/>
    <cellStyle name="Code Section 2 2 2 2" xfId="15779"/>
    <cellStyle name="Code Section 2 2 3" xfId="15780"/>
    <cellStyle name="Code Section 2 2 4" xfId="15781"/>
    <cellStyle name="Code Section 2 2 5" xfId="15782"/>
    <cellStyle name="Code Section 2 3" xfId="15783"/>
    <cellStyle name="Code Section 2 3 2" xfId="15784"/>
    <cellStyle name="Code Section 2 4" xfId="15785"/>
    <cellStyle name="Code Section 2 5" xfId="15786"/>
    <cellStyle name="Code Section 3" xfId="15787"/>
    <cellStyle name="Code Section 3 2" xfId="15788"/>
    <cellStyle name="Code Section 3 2 2" xfId="15789"/>
    <cellStyle name="Code Section 3 2 2 2" xfId="15790"/>
    <cellStyle name="Code Section 3 2 3" xfId="15791"/>
    <cellStyle name="Code Section 3 2 4" xfId="15792"/>
    <cellStyle name="Code Section 3 2 5" xfId="15793"/>
    <cellStyle name="Code Section 3 3" xfId="15794"/>
    <cellStyle name="Code Section 3 3 2" xfId="15795"/>
    <cellStyle name="Code Section 3 4" xfId="15796"/>
    <cellStyle name="Code Section 3 5" xfId="15797"/>
    <cellStyle name="Code Section 4" xfId="15798"/>
    <cellStyle name="Code Section 4 2" xfId="15799"/>
    <cellStyle name="Code Section 4 2 2" xfId="15800"/>
    <cellStyle name="Code Section 4 2 2 2" xfId="15801"/>
    <cellStyle name="Code Section 4 2 3" xfId="15802"/>
    <cellStyle name="Code Section 4 2 4" xfId="15803"/>
    <cellStyle name="Code Section 4 2 5" xfId="15804"/>
    <cellStyle name="Code Section 4 3" xfId="15805"/>
    <cellStyle name="Code Section 4 3 2" xfId="15806"/>
    <cellStyle name="Code Section 4 4" xfId="15807"/>
    <cellStyle name="Code Section 4 5" xfId="15808"/>
    <cellStyle name="Code Section 5" xfId="15809"/>
    <cellStyle name="Code Section 5 2" xfId="15810"/>
    <cellStyle name="Code Section 5 2 2" xfId="15811"/>
    <cellStyle name="Code Section 5 3" xfId="15812"/>
    <cellStyle name="Code Section 5 4" xfId="15813"/>
    <cellStyle name="Code Section 5 5" xfId="15814"/>
    <cellStyle name="Code Section 6" xfId="15815"/>
    <cellStyle name="Code Section 6 2" xfId="15816"/>
    <cellStyle name="Code Section 7" xfId="15817"/>
    <cellStyle name="Code Section 8" xfId="15818"/>
    <cellStyle name="Code_Appendixes_Rolf Esteit_final" xfId="15819"/>
    <cellStyle name="ColHeading" xfId="15820"/>
    <cellStyle name="Column Title" xfId="15821"/>
    <cellStyle name="Column Title 2" xfId="15822"/>
    <cellStyle name="Comma [0]" xfId="15823"/>
    <cellStyle name="Comma [0] 2" xfId="15824"/>
    <cellStyle name="Comma [0] 2 2" xfId="15825"/>
    <cellStyle name="Comma [0] 3" xfId="15826"/>
    <cellStyle name="Comma [0] 4" xfId="15827"/>
    <cellStyle name="Comma [00]" xfId="15828"/>
    <cellStyle name="Comma [00] 2" xfId="15829"/>
    <cellStyle name="Comma [00] 3" xfId="15830"/>
    <cellStyle name="Comma [1]" xfId="15831"/>
    <cellStyle name="Comma [1] 2" xfId="15832"/>
    <cellStyle name="Comma [2]" xfId="15833"/>
    <cellStyle name="Comma [2] 2" xfId="15834"/>
    <cellStyle name="Comma [3]" xfId="15835"/>
    <cellStyle name="Comma [3] 2" xfId="15836"/>
    <cellStyle name="Comma 0" xfId="15837"/>
    <cellStyle name="Comma 0*" xfId="15838"/>
    <cellStyle name="Comma 2" xfId="15839"/>
    <cellStyle name="Comma 2 2" xfId="15840"/>
    <cellStyle name="Comma 3" xfId="15841"/>
    <cellStyle name="Comma Cents" xfId="15842"/>
    <cellStyle name="Comma Cents 2" xfId="15843"/>
    <cellStyle name="Comma(1)" xfId="15844"/>
    <cellStyle name="Comma0" xfId="15845"/>
    <cellStyle name="Comma0 - Style3" xfId="15846"/>
    <cellStyle name="Comma0 2" xfId="15847"/>
    <cellStyle name="Company" xfId="15848"/>
    <cellStyle name="Company 2" xfId="15849"/>
    <cellStyle name="Coname" xfId="15850"/>
    <cellStyle name="Coname 2" xfId="15851"/>
    <cellStyle name="Coname 3" xfId="15852"/>
    <cellStyle name="Coname 4" xfId="15853"/>
    <cellStyle name="Coname 5" xfId="15854"/>
    <cellStyle name="Coname 6" xfId="15855"/>
    <cellStyle name="Credit" xfId="15856"/>
    <cellStyle name="Credit 2" xfId="15857"/>
    <cellStyle name="Credit subtotal" xfId="15858"/>
    <cellStyle name="Credit subtotal 2" xfId="15859"/>
    <cellStyle name="Credit subtotal 2 2" xfId="15860"/>
    <cellStyle name="Credit subtotal 2 2 2" xfId="15861"/>
    <cellStyle name="Credit subtotal 2 2 2 2" xfId="15862"/>
    <cellStyle name="Credit subtotal 2 2 3" xfId="15863"/>
    <cellStyle name="Credit subtotal 2 2 4" xfId="15864"/>
    <cellStyle name="Credit subtotal 2 2 5" xfId="15865"/>
    <cellStyle name="Credit subtotal 2 3" xfId="15866"/>
    <cellStyle name="Credit subtotal 2 3 2" xfId="15867"/>
    <cellStyle name="Credit subtotal 2 3 3" xfId="15868"/>
    <cellStyle name="Credit subtotal 2 4" xfId="15869"/>
    <cellStyle name="Credit subtotal 2 4 2" xfId="15870"/>
    <cellStyle name="Credit subtotal 2 5" xfId="15871"/>
    <cellStyle name="Credit subtotal 2 6" xfId="15872"/>
    <cellStyle name="Credit subtotal 2 7" xfId="15873"/>
    <cellStyle name="Credit subtotal 3" xfId="15874"/>
    <cellStyle name="Credit subtotal 3 2" xfId="15875"/>
    <cellStyle name="Credit subtotal 3 2 2" xfId="15876"/>
    <cellStyle name="Credit subtotal 3 3" xfId="15877"/>
    <cellStyle name="Credit subtotal 3 4" xfId="15878"/>
    <cellStyle name="Credit subtotal 3 5" xfId="15879"/>
    <cellStyle name="Credit subtotal 4" xfId="15880"/>
    <cellStyle name="Credit subtotal 5" xfId="15881"/>
    <cellStyle name="Credit subtotal 6" xfId="15882"/>
    <cellStyle name="Credit subtotal 7" xfId="15883"/>
    <cellStyle name="Credit Total" xfId="15884"/>
    <cellStyle name="Credit Total 10" xfId="15885"/>
    <cellStyle name="Credit Total 11" xfId="15886"/>
    <cellStyle name="Credit Total 12" xfId="15887"/>
    <cellStyle name="Credit Total 13" xfId="15888"/>
    <cellStyle name="Credit Total 14" xfId="15889"/>
    <cellStyle name="Credit Total 15" xfId="15890"/>
    <cellStyle name="Credit Total 16" xfId="15891"/>
    <cellStyle name="Credit Total 17" xfId="15892"/>
    <cellStyle name="Credit Total 2" xfId="15893"/>
    <cellStyle name="Credit Total 2 10" xfId="15894"/>
    <cellStyle name="Credit Total 2 11" xfId="15895"/>
    <cellStyle name="Credit Total 2 12" xfId="15896"/>
    <cellStyle name="Credit Total 2 13" xfId="15897"/>
    <cellStyle name="Credit Total 2 14" xfId="15898"/>
    <cellStyle name="Credit Total 2 15" xfId="15899"/>
    <cellStyle name="Credit Total 2 16" xfId="15900"/>
    <cellStyle name="Credit Total 2 17" xfId="15901"/>
    <cellStyle name="Credit Total 2 18" xfId="15902"/>
    <cellStyle name="Credit Total 2 19" xfId="15903"/>
    <cellStyle name="Credit Total 2 2" xfId="15904"/>
    <cellStyle name="Credit Total 2 2 10" xfId="15905"/>
    <cellStyle name="Credit Total 2 2 11" xfId="15906"/>
    <cellStyle name="Credit Total 2 2 12" xfId="15907"/>
    <cellStyle name="Credit Total 2 2 13" xfId="15908"/>
    <cellStyle name="Credit Total 2 2 14" xfId="15909"/>
    <cellStyle name="Credit Total 2 2 15" xfId="15910"/>
    <cellStyle name="Credit Total 2 2 16" xfId="15911"/>
    <cellStyle name="Credit Total 2 2 17" xfId="15912"/>
    <cellStyle name="Credit Total 2 2 18" xfId="15913"/>
    <cellStyle name="Credit Total 2 2 2" xfId="15914"/>
    <cellStyle name="Credit Total 2 2 2 2" xfId="15915"/>
    <cellStyle name="Credit Total 2 2 2 2 2" xfId="15916"/>
    <cellStyle name="Credit Total 2 2 2 3" xfId="15917"/>
    <cellStyle name="Credit Total 2 2 2 4" xfId="15918"/>
    <cellStyle name="Credit Total 2 2 3" xfId="15919"/>
    <cellStyle name="Credit Total 2 2 3 2" xfId="15920"/>
    <cellStyle name="Credit Total 2 2 3 3" xfId="15921"/>
    <cellStyle name="Credit Total 2 2 4" xfId="15922"/>
    <cellStyle name="Credit Total 2 2 4 2" xfId="15923"/>
    <cellStyle name="Credit Total 2 2 5" xfId="15924"/>
    <cellStyle name="Credit Total 2 2 6" xfId="15925"/>
    <cellStyle name="Credit Total 2 2 7" xfId="15926"/>
    <cellStyle name="Credit Total 2 2 8" xfId="15927"/>
    <cellStyle name="Credit Total 2 2 9" xfId="15928"/>
    <cellStyle name="Credit Total 2 20" xfId="15929"/>
    <cellStyle name="Credit Total 2 21" xfId="15930"/>
    <cellStyle name="Credit Total 2 22" xfId="15931"/>
    <cellStyle name="Credit Total 2 3" xfId="15932"/>
    <cellStyle name="Credit Total 2 3 10" xfId="15933"/>
    <cellStyle name="Credit Total 2 3 11" xfId="15934"/>
    <cellStyle name="Credit Total 2 3 12" xfId="15935"/>
    <cellStyle name="Credit Total 2 3 13" xfId="15936"/>
    <cellStyle name="Credit Total 2 3 14" xfId="15937"/>
    <cellStyle name="Credit Total 2 3 15" xfId="15938"/>
    <cellStyle name="Credit Total 2 3 16" xfId="15939"/>
    <cellStyle name="Credit Total 2 3 17" xfId="15940"/>
    <cellStyle name="Credit Total 2 3 18" xfId="15941"/>
    <cellStyle name="Credit Total 2 3 2" xfId="15942"/>
    <cellStyle name="Credit Total 2 3 2 2" xfId="15943"/>
    <cellStyle name="Credit Total 2 3 2 2 2" xfId="15944"/>
    <cellStyle name="Credit Total 2 3 2 3" xfId="15945"/>
    <cellStyle name="Credit Total 2 3 2 4" xfId="15946"/>
    <cellStyle name="Credit Total 2 3 3" xfId="15947"/>
    <cellStyle name="Credit Total 2 3 3 2" xfId="15948"/>
    <cellStyle name="Credit Total 2 3 3 3" xfId="15949"/>
    <cellStyle name="Credit Total 2 3 4" xfId="15950"/>
    <cellStyle name="Credit Total 2 3 4 2" xfId="15951"/>
    <cellStyle name="Credit Total 2 3 5" xfId="15952"/>
    <cellStyle name="Credit Total 2 3 6" xfId="15953"/>
    <cellStyle name="Credit Total 2 3 7" xfId="15954"/>
    <cellStyle name="Credit Total 2 3 8" xfId="15955"/>
    <cellStyle name="Credit Total 2 3 9" xfId="15956"/>
    <cellStyle name="Credit Total 2 4" xfId="15957"/>
    <cellStyle name="Credit Total 2 4 2" xfId="15958"/>
    <cellStyle name="Credit Total 2 4 2 2" xfId="15959"/>
    <cellStyle name="Credit Total 2 4 2 3" xfId="15960"/>
    <cellStyle name="Credit Total 2 4 3" xfId="15961"/>
    <cellStyle name="Credit Total 2 4 3 2" xfId="15962"/>
    <cellStyle name="Credit Total 2 4 4" xfId="15963"/>
    <cellStyle name="Credit Total 2 4 5" xfId="15964"/>
    <cellStyle name="Credit Total 2 5" xfId="15965"/>
    <cellStyle name="Credit Total 2 5 2" xfId="15966"/>
    <cellStyle name="Credit Total 2 5 2 2" xfId="15967"/>
    <cellStyle name="Credit Total 2 5 3" xfId="15968"/>
    <cellStyle name="Credit Total 2 5 4" xfId="15969"/>
    <cellStyle name="Credit Total 2 6" xfId="15970"/>
    <cellStyle name="Credit Total 2 6 2" xfId="15971"/>
    <cellStyle name="Credit Total 2 6 3" xfId="15972"/>
    <cellStyle name="Credit Total 2 7" xfId="15973"/>
    <cellStyle name="Credit Total 2 7 2" xfId="15974"/>
    <cellStyle name="Credit Total 2 8" xfId="15975"/>
    <cellStyle name="Credit Total 2 9" xfId="15976"/>
    <cellStyle name="Credit Total 3" xfId="15977"/>
    <cellStyle name="Credit Total 3 10" xfId="15978"/>
    <cellStyle name="Credit Total 3 11" xfId="15979"/>
    <cellStyle name="Credit Total 3 12" xfId="15980"/>
    <cellStyle name="Credit Total 3 13" xfId="15981"/>
    <cellStyle name="Credit Total 3 14" xfId="15982"/>
    <cellStyle name="Credit Total 3 15" xfId="15983"/>
    <cellStyle name="Credit Total 3 16" xfId="15984"/>
    <cellStyle name="Credit Total 3 17" xfId="15985"/>
    <cellStyle name="Credit Total 3 18" xfId="15986"/>
    <cellStyle name="Credit Total 3 19" xfId="15987"/>
    <cellStyle name="Credit Total 3 2" xfId="15988"/>
    <cellStyle name="Credit Total 3 2 10" xfId="15989"/>
    <cellStyle name="Credit Total 3 2 11" xfId="15990"/>
    <cellStyle name="Credit Total 3 2 12" xfId="15991"/>
    <cellStyle name="Credit Total 3 2 13" xfId="15992"/>
    <cellStyle name="Credit Total 3 2 14" xfId="15993"/>
    <cellStyle name="Credit Total 3 2 15" xfId="15994"/>
    <cellStyle name="Credit Total 3 2 16" xfId="15995"/>
    <cellStyle name="Credit Total 3 2 17" xfId="15996"/>
    <cellStyle name="Credit Total 3 2 18" xfId="15997"/>
    <cellStyle name="Credit Total 3 2 2" xfId="15998"/>
    <cellStyle name="Credit Total 3 2 2 2" xfId="15999"/>
    <cellStyle name="Credit Total 3 2 2 2 2" xfId="16000"/>
    <cellStyle name="Credit Total 3 2 2 3" xfId="16001"/>
    <cellStyle name="Credit Total 3 2 2 4" xfId="16002"/>
    <cellStyle name="Credit Total 3 2 3" xfId="16003"/>
    <cellStyle name="Credit Total 3 2 3 2" xfId="16004"/>
    <cellStyle name="Credit Total 3 2 3 3" xfId="16005"/>
    <cellStyle name="Credit Total 3 2 4" xfId="16006"/>
    <cellStyle name="Credit Total 3 2 4 2" xfId="16007"/>
    <cellStyle name="Credit Total 3 2 5" xfId="16008"/>
    <cellStyle name="Credit Total 3 2 6" xfId="16009"/>
    <cellStyle name="Credit Total 3 2 7" xfId="16010"/>
    <cellStyle name="Credit Total 3 2 8" xfId="16011"/>
    <cellStyle name="Credit Total 3 2 9" xfId="16012"/>
    <cellStyle name="Credit Total 3 3" xfId="16013"/>
    <cellStyle name="Credit Total 3 3 10" xfId="16014"/>
    <cellStyle name="Credit Total 3 3 11" xfId="16015"/>
    <cellStyle name="Credit Total 3 3 12" xfId="16016"/>
    <cellStyle name="Credit Total 3 3 13" xfId="16017"/>
    <cellStyle name="Credit Total 3 3 14" xfId="16018"/>
    <cellStyle name="Credit Total 3 3 15" xfId="16019"/>
    <cellStyle name="Credit Total 3 3 16" xfId="16020"/>
    <cellStyle name="Credit Total 3 3 17" xfId="16021"/>
    <cellStyle name="Credit Total 3 3 18" xfId="16022"/>
    <cellStyle name="Credit Total 3 3 2" xfId="16023"/>
    <cellStyle name="Credit Total 3 3 2 2" xfId="16024"/>
    <cellStyle name="Credit Total 3 3 2 2 2" xfId="16025"/>
    <cellStyle name="Credit Total 3 3 2 3" xfId="16026"/>
    <cellStyle name="Credit Total 3 3 2 4" xfId="16027"/>
    <cellStyle name="Credit Total 3 3 3" xfId="16028"/>
    <cellStyle name="Credit Total 3 3 3 2" xfId="16029"/>
    <cellStyle name="Credit Total 3 3 3 3" xfId="16030"/>
    <cellStyle name="Credit Total 3 3 4" xfId="16031"/>
    <cellStyle name="Credit Total 3 3 4 2" xfId="16032"/>
    <cellStyle name="Credit Total 3 3 5" xfId="16033"/>
    <cellStyle name="Credit Total 3 3 6" xfId="16034"/>
    <cellStyle name="Credit Total 3 3 7" xfId="16035"/>
    <cellStyle name="Credit Total 3 3 8" xfId="16036"/>
    <cellStyle name="Credit Total 3 3 9" xfId="16037"/>
    <cellStyle name="Credit Total 3 4" xfId="16038"/>
    <cellStyle name="Credit Total 3 4 2" xfId="16039"/>
    <cellStyle name="Credit Total 3 4 2 2" xfId="16040"/>
    <cellStyle name="Credit Total 3 4 2 3" xfId="16041"/>
    <cellStyle name="Credit Total 3 4 3" xfId="16042"/>
    <cellStyle name="Credit Total 3 4 3 2" xfId="16043"/>
    <cellStyle name="Credit Total 3 4 4" xfId="16044"/>
    <cellStyle name="Credit Total 3 4 5" xfId="16045"/>
    <cellStyle name="Credit Total 3 5" xfId="16046"/>
    <cellStyle name="Credit Total 3 5 2" xfId="16047"/>
    <cellStyle name="Credit Total 3 5 2 2" xfId="16048"/>
    <cellStyle name="Credit Total 3 5 3" xfId="16049"/>
    <cellStyle name="Credit Total 3 5 4" xfId="16050"/>
    <cellStyle name="Credit Total 3 6" xfId="16051"/>
    <cellStyle name="Credit Total 3 6 2" xfId="16052"/>
    <cellStyle name="Credit Total 3 6 3" xfId="16053"/>
    <cellStyle name="Credit Total 3 7" xfId="16054"/>
    <cellStyle name="Credit Total 3 7 2" xfId="16055"/>
    <cellStyle name="Credit Total 3 8" xfId="16056"/>
    <cellStyle name="Credit Total 3 9" xfId="16057"/>
    <cellStyle name="Credit Total 4" xfId="16058"/>
    <cellStyle name="Credit Total 4 10" xfId="16059"/>
    <cellStyle name="Credit Total 4 11" xfId="16060"/>
    <cellStyle name="Credit Total 4 12" xfId="16061"/>
    <cellStyle name="Credit Total 4 13" xfId="16062"/>
    <cellStyle name="Credit Total 4 14" xfId="16063"/>
    <cellStyle name="Credit Total 4 15" xfId="16064"/>
    <cellStyle name="Credit Total 4 16" xfId="16065"/>
    <cellStyle name="Credit Total 4 17" xfId="16066"/>
    <cellStyle name="Credit Total 4 18" xfId="16067"/>
    <cellStyle name="Credit Total 4 19" xfId="16068"/>
    <cellStyle name="Credit Total 4 2" xfId="16069"/>
    <cellStyle name="Credit Total 4 2 10" xfId="16070"/>
    <cellStyle name="Credit Total 4 2 11" xfId="16071"/>
    <cellStyle name="Credit Total 4 2 12" xfId="16072"/>
    <cellStyle name="Credit Total 4 2 13" xfId="16073"/>
    <cellStyle name="Credit Total 4 2 14" xfId="16074"/>
    <cellStyle name="Credit Total 4 2 15" xfId="16075"/>
    <cellStyle name="Credit Total 4 2 16" xfId="16076"/>
    <cellStyle name="Credit Total 4 2 17" xfId="16077"/>
    <cellStyle name="Credit Total 4 2 18" xfId="16078"/>
    <cellStyle name="Credit Total 4 2 2" xfId="16079"/>
    <cellStyle name="Credit Total 4 2 2 2" xfId="16080"/>
    <cellStyle name="Credit Total 4 2 2 2 2" xfId="16081"/>
    <cellStyle name="Credit Total 4 2 2 3" xfId="16082"/>
    <cellStyle name="Credit Total 4 2 2 4" xfId="16083"/>
    <cellStyle name="Credit Total 4 2 3" xfId="16084"/>
    <cellStyle name="Credit Total 4 2 3 2" xfId="16085"/>
    <cellStyle name="Credit Total 4 2 3 3" xfId="16086"/>
    <cellStyle name="Credit Total 4 2 4" xfId="16087"/>
    <cellStyle name="Credit Total 4 2 4 2" xfId="16088"/>
    <cellStyle name="Credit Total 4 2 5" xfId="16089"/>
    <cellStyle name="Credit Total 4 2 6" xfId="16090"/>
    <cellStyle name="Credit Total 4 2 7" xfId="16091"/>
    <cellStyle name="Credit Total 4 2 8" xfId="16092"/>
    <cellStyle name="Credit Total 4 2 9" xfId="16093"/>
    <cellStyle name="Credit Total 4 3" xfId="16094"/>
    <cellStyle name="Credit Total 4 3 10" xfId="16095"/>
    <cellStyle name="Credit Total 4 3 11" xfId="16096"/>
    <cellStyle name="Credit Total 4 3 12" xfId="16097"/>
    <cellStyle name="Credit Total 4 3 13" xfId="16098"/>
    <cellStyle name="Credit Total 4 3 14" xfId="16099"/>
    <cellStyle name="Credit Total 4 3 15" xfId="16100"/>
    <cellStyle name="Credit Total 4 3 16" xfId="16101"/>
    <cellStyle name="Credit Total 4 3 17" xfId="16102"/>
    <cellStyle name="Credit Total 4 3 18" xfId="16103"/>
    <cellStyle name="Credit Total 4 3 2" xfId="16104"/>
    <cellStyle name="Credit Total 4 3 2 2" xfId="16105"/>
    <cellStyle name="Credit Total 4 3 2 2 2" xfId="16106"/>
    <cellStyle name="Credit Total 4 3 2 3" xfId="16107"/>
    <cellStyle name="Credit Total 4 3 2 4" xfId="16108"/>
    <cellStyle name="Credit Total 4 3 3" xfId="16109"/>
    <cellStyle name="Credit Total 4 3 3 2" xfId="16110"/>
    <cellStyle name="Credit Total 4 3 3 3" xfId="16111"/>
    <cellStyle name="Credit Total 4 3 4" xfId="16112"/>
    <cellStyle name="Credit Total 4 3 4 2" xfId="16113"/>
    <cellStyle name="Credit Total 4 3 5" xfId="16114"/>
    <cellStyle name="Credit Total 4 3 6" xfId="16115"/>
    <cellStyle name="Credit Total 4 3 7" xfId="16116"/>
    <cellStyle name="Credit Total 4 3 8" xfId="16117"/>
    <cellStyle name="Credit Total 4 3 9" xfId="16118"/>
    <cellStyle name="Credit Total 4 4" xfId="16119"/>
    <cellStyle name="Credit Total 4 4 2" xfId="16120"/>
    <cellStyle name="Credit Total 4 4 2 2" xfId="16121"/>
    <cellStyle name="Credit Total 4 4 2 3" xfId="16122"/>
    <cellStyle name="Credit Total 4 4 3" xfId="16123"/>
    <cellStyle name="Credit Total 4 4 3 2" xfId="16124"/>
    <cellStyle name="Credit Total 4 4 4" xfId="16125"/>
    <cellStyle name="Credit Total 4 4 5" xfId="16126"/>
    <cellStyle name="Credit Total 4 5" xfId="16127"/>
    <cellStyle name="Credit Total 4 5 2" xfId="16128"/>
    <cellStyle name="Credit Total 4 5 2 2" xfId="16129"/>
    <cellStyle name="Credit Total 4 5 3" xfId="16130"/>
    <cellStyle name="Credit Total 4 5 4" xfId="16131"/>
    <cellStyle name="Credit Total 4 6" xfId="16132"/>
    <cellStyle name="Credit Total 4 6 2" xfId="16133"/>
    <cellStyle name="Credit Total 4 6 3" xfId="16134"/>
    <cellStyle name="Credit Total 4 7" xfId="16135"/>
    <cellStyle name="Credit Total 4 7 2" xfId="16136"/>
    <cellStyle name="Credit Total 4 8" xfId="16137"/>
    <cellStyle name="Credit Total 4 9" xfId="16138"/>
    <cellStyle name="Credit Total 5" xfId="16139"/>
    <cellStyle name="Credit Total 5 10" xfId="16140"/>
    <cellStyle name="Credit Total 5 11" xfId="16141"/>
    <cellStyle name="Credit Total 5 12" xfId="16142"/>
    <cellStyle name="Credit Total 5 13" xfId="16143"/>
    <cellStyle name="Credit Total 5 14" xfId="16144"/>
    <cellStyle name="Credit Total 5 15" xfId="16145"/>
    <cellStyle name="Credit Total 5 16" xfId="16146"/>
    <cellStyle name="Credit Total 5 2" xfId="16147"/>
    <cellStyle name="Credit Total 5 2 10" xfId="16148"/>
    <cellStyle name="Credit Total 5 2 11" xfId="16149"/>
    <cellStyle name="Credit Total 5 2 12" xfId="16150"/>
    <cellStyle name="Credit Total 5 2 13" xfId="16151"/>
    <cellStyle name="Credit Total 5 2 14" xfId="16152"/>
    <cellStyle name="Credit Total 5 2 15" xfId="16153"/>
    <cellStyle name="Credit Total 5 2 16" xfId="16154"/>
    <cellStyle name="Credit Total 5 2 17" xfId="16155"/>
    <cellStyle name="Credit Total 5 2 18" xfId="16156"/>
    <cellStyle name="Credit Total 5 2 2" xfId="16157"/>
    <cellStyle name="Credit Total 5 2 2 2" xfId="16158"/>
    <cellStyle name="Credit Total 5 2 2 2 2" xfId="16159"/>
    <cellStyle name="Credit Total 5 2 2 3" xfId="16160"/>
    <cellStyle name="Credit Total 5 2 2 4" xfId="16161"/>
    <cellStyle name="Credit Total 5 2 3" xfId="16162"/>
    <cellStyle name="Credit Total 5 2 3 2" xfId="16163"/>
    <cellStyle name="Credit Total 5 2 3 3" xfId="16164"/>
    <cellStyle name="Credit Total 5 2 4" xfId="16165"/>
    <cellStyle name="Credit Total 5 2 4 2" xfId="16166"/>
    <cellStyle name="Credit Total 5 2 5" xfId="16167"/>
    <cellStyle name="Credit Total 5 2 6" xfId="16168"/>
    <cellStyle name="Credit Total 5 2 7" xfId="16169"/>
    <cellStyle name="Credit Total 5 2 8" xfId="16170"/>
    <cellStyle name="Credit Total 5 2 9" xfId="16171"/>
    <cellStyle name="Credit Total 5 3" xfId="16172"/>
    <cellStyle name="Credit Total 5 3 10" xfId="16173"/>
    <cellStyle name="Credit Total 5 3 11" xfId="16174"/>
    <cellStyle name="Credit Total 5 3 12" xfId="16175"/>
    <cellStyle name="Credit Total 5 3 13" xfId="16176"/>
    <cellStyle name="Credit Total 5 3 14" xfId="16177"/>
    <cellStyle name="Credit Total 5 3 15" xfId="16178"/>
    <cellStyle name="Credit Total 5 3 16" xfId="16179"/>
    <cellStyle name="Credit Total 5 3 17" xfId="16180"/>
    <cellStyle name="Credit Total 5 3 18" xfId="16181"/>
    <cellStyle name="Credit Total 5 3 2" xfId="16182"/>
    <cellStyle name="Credit Total 5 3 2 2" xfId="16183"/>
    <cellStyle name="Credit Total 5 3 2 2 2" xfId="16184"/>
    <cellStyle name="Credit Total 5 3 2 3" xfId="16185"/>
    <cellStyle name="Credit Total 5 3 2 4" xfId="16186"/>
    <cellStyle name="Credit Total 5 3 3" xfId="16187"/>
    <cellStyle name="Credit Total 5 3 3 2" xfId="16188"/>
    <cellStyle name="Credit Total 5 3 3 3" xfId="16189"/>
    <cellStyle name="Credit Total 5 3 4" xfId="16190"/>
    <cellStyle name="Credit Total 5 3 4 2" xfId="16191"/>
    <cellStyle name="Credit Total 5 3 5" xfId="16192"/>
    <cellStyle name="Credit Total 5 3 6" xfId="16193"/>
    <cellStyle name="Credit Total 5 3 7" xfId="16194"/>
    <cellStyle name="Credit Total 5 3 8" xfId="16195"/>
    <cellStyle name="Credit Total 5 3 9" xfId="16196"/>
    <cellStyle name="Credit Total 5 4" xfId="16197"/>
    <cellStyle name="Credit Total 5 4 2" xfId="16198"/>
    <cellStyle name="Credit Total 5 4 2 2" xfId="16199"/>
    <cellStyle name="Credit Total 5 4 3" xfId="16200"/>
    <cellStyle name="Credit Total 5 4 4" xfId="16201"/>
    <cellStyle name="Credit Total 5 5" xfId="16202"/>
    <cellStyle name="Credit Total 5 5 2" xfId="16203"/>
    <cellStyle name="Credit Total 5 5 3" xfId="16204"/>
    <cellStyle name="Credit Total 5 6" xfId="16205"/>
    <cellStyle name="Credit Total 5 6 2" xfId="16206"/>
    <cellStyle name="Credit Total 5 7" xfId="16207"/>
    <cellStyle name="Credit Total 5 8" xfId="16208"/>
    <cellStyle name="Credit Total 5 9" xfId="16209"/>
    <cellStyle name="Credit Total 6" xfId="16210"/>
    <cellStyle name="Credit Total 6 10" xfId="16211"/>
    <cellStyle name="Credit Total 6 11" xfId="16212"/>
    <cellStyle name="Credit Total 6 12" xfId="16213"/>
    <cellStyle name="Credit Total 6 13" xfId="16214"/>
    <cellStyle name="Credit Total 6 14" xfId="16215"/>
    <cellStyle name="Credit Total 6 15" xfId="16216"/>
    <cellStyle name="Credit Total 6 2" xfId="16217"/>
    <cellStyle name="Credit Total 6 2 10" xfId="16218"/>
    <cellStyle name="Credit Total 6 2 11" xfId="16219"/>
    <cellStyle name="Credit Total 6 2 12" xfId="16220"/>
    <cellStyle name="Credit Total 6 2 13" xfId="16221"/>
    <cellStyle name="Credit Total 6 2 14" xfId="16222"/>
    <cellStyle name="Credit Total 6 2 15" xfId="16223"/>
    <cellStyle name="Credit Total 6 2 16" xfId="16224"/>
    <cellStyle name="Credit Total 6 2 17" xfId="16225"/>
    <cellStyle name="Credit Total 6 2 18" xfId="16226"/>
    <cellStyle name="Credit Total 6 2 2" xfId="16227"/>
    <cellStyle name="Credit Total 6 2 2 2" xfId="16228"/>
    <cellStyle name="Credit Total 6 2 2 2 2" xfId="16229"/>
    <cellStyle name="Credit Total 6 2 2 3" xfId="16230"/>
    <cellStyle name="Credit Total 6 2 2 4" xfId="16231"/>
    <cellStyle name="Credit Total 6 2 3" xfId="16232"/>
    <cellStyle name="Credit Total 6 2 3 2" xfId="16233"/>
    <cellStyle name="Credit Total 6 2 3 3" xfId="16234"/>
    <cellStyle name="Credit Total 6 2 4" xfId="16235"/>
    <cellStyle name="Credit Total 6 2 4 2" xfId="16236"/>
    <cellStyle name="Credit Total 6 2 5" xfId="16237"/>
    <cellStyle name="Credit Total 6 2 6" xfId="16238"/>
    <cellStyle name="Credit Total 6 2 7" xfId="16239"/>
    <cellStyle name="Credit Total 6 2 8" xfId="16240"/>
    <cellStyle name="Credit Total 6 2 9" xfId="16241"/>
    <cellStyle name="Credit Total 6 3" xfId="16242"/>
    <cellStyle name="Credit Total 6 3 10" xfId="16243"/>
    <cellStyle name="Credit Total 6 3 11" xfId="16244"/>
    <cellStyle name="Credit Total 6 3 12" xfId="16245"/>
    <cellStyle name="Credit Total 6 3 13" xfId="16246"/>
    <cellStyle name="Credit Total 6 3 14" xfId="16247"/>
    <cellStyle name="Credit Total 6 3 15" xfId="16248"/>
    <cellStyle name="Credit Total 6 3 16" xfId="16249"/>
    <cellStyle name="Credit Total 6 3 17" xfId="16250"/>
    <cellStyle name="Credit Total 6 3 18" xfId="16251"/>
    <cellStyle name="Credit Total 6 3 2" xfId="16252"/>
    <cellStyle name="Credit Total 6 3 2 2" xfId="16253"/>
    <cellStyle name="Credit Total 6 3 2 2 2" xfId="16254"/>
    <cellStyle name="Credit Total 6 3 2 3" xfId="16255"/>
    <cellStyle name="Credit Total 6 3 2 4" xfId="16256"/>
    <cellStyle name="Credit Total 6 3 3" xfId="16257"/>
    <cellStyle name="Credit Total 6 3 3 2" xfId="16258"/>
    <cellStyle name="Credit Total 6 3 3 3" xfId="16259"/>
    <cellStyle name="Credit Total 6 3 4" xfId="16260"/>
    <cellStyle name="Credit Total 6 3 4 2" xfId="16261"/>
    <cellStyle name="Credit Total 6 3 5" xfId="16262"/>
    <cellStyle name="Credit Total 6 3 6" xfId="16263"/>
    <cellStyle name="Credit Total 6 3 7" xfId="16264"/>
    <cellStyle name="Credit Total 6 3 8" xfId="16265"/>
    <cellStyle name="Credit Total 6 3 9" xfId="16266"/>
    <cellStyle name="Credit Total 6 4" xfId="16267"/>
    <cellStyle name="Credit Total 6 4 2" xfId="16268"/>
    <cellStyle name="Credit Total 6 4 2 2" xfId="16269"/>
    <cellStyle name="Credit Total 6 4 2 3" xfId="16270"/>
    <cellStyle name="Credit Total 6 4 3" xfId="16271"/>
    <cellStyle name="Credit Total 6 4 3 2" xfId="16272"/>
    <cellStyle name="Credit Total 6 4 4" xfId="16273"/>
    <cellStyle name="Credit Total 6 4 5" xfId="16274"/>
    <cellStyle name="Credit Total 6 5" xfId="16275"/>
    <cellStyle name="Credit Total 6 5 2" xfId="16276"/>
    <cellStyle name="Credit Total 6 5 2 2" xfId="16277"/>
    <cellStyle name="Credit Total 6 5 3" xfId="16278"/>
    <cellStyle name="Credit Total 6 5 4" xfId="16279"/>
    <cellStyle name="Credit Total 6 6" xfId="16280"/>
    <cellStyle name="Credit Total 6 6 2" xfId="16281"/>
    <cellStyle name="Credit Total 6 7" xfId="16282"/>
    <cellStyle name="Credit Total 6 8" xfId="16283"/>
    <cellStyle name="Credit Total 6 9" xfId="16284"/>
    <cellStyle name="Credit Total 7" xfId="16285"/>
    <cellStyle name="Credit Total 7 10" xfId="16286"/>
    <cellStyle name="Credit Total 7 11" xfId="16287"/>
    <cellStyle name="Credit Total 7 12" xfId="16288"/>
    <cellStyle name="Credit Total 7 13" xfId="16289"/>
    <cellStyle name="Credit Total 7 14" xfId="16290"/>
    <cellStyle name="Credit Total 7 15" xfId="16291"/>
    <cellStyle name="Credit Total 7 16" xfId="16292"/>
    <cellStyle name="Credit Total 7 17" xfId="16293"/>
    <cellStyle name="Credit Total 7 18" xfId="16294"/>
    <cellStyle name="Credit Total 7 2" xfId="16295"/>
    <cellStyle name="Credit Total 7 2 2" xfId="16296"/>
    <cellStyle name="Credit Total 7 2 2 2" xfId="16297"/>
    <cellStyle name="Credit Total 7 2 3" xfId="16298"/>
    <cellStyle name="Credit Total 7 2 4" xfId="16299"/>
    <cellStyle name="Credit Total 7 3" xfId="16300"/>
    <cellStyle name="Credit Total 7 3 2" xfId="16301"/>
    <cellStyle name="Credit Total 7 3 3" xfId="16302"/>
    <cellStyle name="Credit Total 7 4" xfId="16303"/>
    <cellStyle name="Credit Total 7 4 2" xfId="16304"/>
    <cellStyle name="Credit Total 7 5" xfId="16305"/>
    <cellStyle name="Credit Total 7 6" xfId="16306"/>
    <cellStyle name="Credit Total 7 7" xfId="16307"/>
    <cellStyle name="Credit Total 7 8" xfId="16308"/>
    <cellStyle name="Credit Total 7 9" xfId="16309"/>
    <cellStyle name="Credit Total 8" xfId="16310"/>
    <cellStyle name="Credit Total 8 10" xfId="16311"/>
    <cellStyle name="Credit Total 8 11" xfId="16312"/>
    <cellStyle name="Credit Total 8 12" xfId="16313"/>
    <cellStyle name="Credit Total 8 13" xfId="16314"/>
    <cellStyle name="Credit Total 8 14" xfId="16315"/>
    <cellStyle name="Credit Total 8 15" xfId="16316"/>
    <cellStyle name="Credit Total 8 16" xfId="16317"/>
    <cellStyle name="Credit Total 8 17" xfId="16318"/>
    <cellStyle name="Credit Total 8 18" xfId="16319"/>
    <cellStyle name="Credit Total 8 2" xfId="16320"/>
    <cellStyle name="Credit Total 8 2 2" xfId="16321"/>
    <cellStyle name="Credit Total 8 3" xfId="16322"/>
    <cellStyle name="Credit Total 8 4" xfId="16323"/>
    <cellStyle name="Credit Total 8 5" xfId="16324"/>
    <cellStyle name="Credit Total 8 6" xfId="16325"/>
    <cellStyle name="Credit Total 8 7" xfId="16326"/>
    <cellStyle name="Credit Total 8 8" xfId="16327"/>
    <cellStyle name="Credit Total 8 9" xfId="16328"/>
    <cellStyle name="Credit Total 9" xfId="16329"/>
    <cellStyle name="Credit_Tickmarks" xfId="16330"/>
    <cellStyle name="CurRatio" xfId="16331"/>
    <cellStyle name="Currency [0]" xfId="16332"/>
    <cellStyle name="Currency [0] 2" xfId="16333"/>
    <cellStyle name="Currency [0] 3" xfId="16334"/>
    <cellStyle name="Currency [00]" xfId="16335"/>
    <cellStyle name="Currency [00] 2" xfId="16336"/>
    <cellStyle name="Currency [00] 3" xfId="16337"/>
    <cellStyle name="Currency [1]" xfId="16338"/>
    <cellStyle name="Currency [1] 2" xfId="16339"/>
    <cellStyle name="Currency [2]" xfId="16340"/>
    <cellStyle name="Currency [2] 2" xfId="16341"/>
    <cellStyle name="Currency [3]" xfId="16342"/>
    <cellStyle name="Currency [3] 2" xfId="16343"/>
    <cellStyle name="Currency 0" xfId="16344"/>
    <cellStyle name="Currency 2" xfId="16345"/>
    <cellStyle name="Currency EN" xfId="16346"/>
    <cellStyle name="Currency EN 10" xfId="16347"/>
    <cellStyle name="Currency EN 10 10" xfId="16348"/>
    <cellStyle name="Currency EN 10 11" xfId="16349"/>
    <cellStyle name="Currency EN 10 12" xfId="16350"/>
    <cellStyle name="Currency EN 10 13" xfId="16351"/>
    <cellStyle name="Currency EN 10 14" xfId="16352"/>
    <cellStyle name="Currency EN 10 15" xfId="16353"/>
    <cellStyle name="Currency EN 10 16" xfId="16354"/>
    <cellStyle name="Currency EN 10 17" xfId="16355"/>
    <cellStyle name="Currency EN 10 18" xfId="16356"/>
    <cellStyle name="Currency EN 10 2" xfId="16357"/>
    <cellStyle name="Currency EN 10 2 2" xfId="16358"/>
    <cellStyle name="Currency EN 10 2 3" xfId="16359"/>
    <cellStyle name="Currency EN 10 3" xfId="16360"/>
    <cellStyle name="Currency EN 10 3 2" xfId="16361"/>
    <cellStyle name="Currency EN 10 4" xfId="16362"/>
    <cellStyle name="Currency EN 10 5" xfId="16363"/>
    <cellStyle name="Currency EN 10 6" xfId="16364"/>
    <cellStyle name="Currency EN 10 7" xfId="16365"/>
    <cellStyle name="Currency EN 10 8" xfId="16366"/>
    <cellStyle name="Currency EN 10 9" xfId="16367"/>
    <cellStyle name="Currency EN 11" xfId="16368"/>
    <cellStyle name="Currency EN 11 2" xfId="16369"/>
    <cellStyle name="Currency EN 11 2 2" xfId="16370"/>
    <cellStyle name="Currency EN 11 3" xfId="16371"/>
    <cellStyle name="Currency EN 11 4" xfId="16372"/>
    <cellStyle name="Currency EN 12" xfId="16373"/>
    <cellStyle name="Currency EN 13" xfId="16374"/>
    <cellStyle name="Currency EN 14" xfId="16375"/>
    <cellStyle name="Currency EN 15" xfId="16376"/>
    <cellStyle name="Currency EN 16" xfId="16377"/>
    <cellStyle name="Currency EN 17" xfId="16378"/>
    <cellStyle name="Currency EN 18" xfId="16379"/>
    <cellStyle name="Currency EN 19" xfId="16380"/>
    <cellStyle name="Currency EN 2" xfId="16381"/>
    <cellStyle name="Currency EN 2 10" xfId="16382"/>
    <cellStyle name="Currency EN 2 11" xfId="16383"/>
    <cellStyle name="Currency EN 2 12" xfId="16384"/>
    <cellStyle name="Currency EN 2 13" xfId="16385"/>
    <cellStyle name="Currency EN 2 14" xfId="16386"/>
    <cellStyle name="Currency EN 2 15" xfId="16387"/>
    <cellStyle name="Currency EN 2 16" xfId="16388"/>
    <cellStyle name="Currency EN 2 17" xfId="16389"/>
    <cellStyle name="Currency EN 2 2" xfId="16390"/>
    <cellStyle name="Currency EN 2 2 10" xfId="16391"/>
    <cellStyle name="Currency EN 2 2 11" xfId="16392"/>
    <cellStyle name="Currency EN 2 2 12" xfId="16393"/>
    <cellStyle name="Currency EN 2 2 13" xfId="16394"/>
    <cellStyle name="Currency EN 2 2 14" xfId="16395"/>
    <cellStyle name="Currency EN 2 2 15" xfId="16396"/>
    <cellStyle name="Currency EN 2 2 16" xfId="16397"/>
    <cellStyle name="Currency EN 2 2 17" xfId="16398"/>
    <cellStyle name="Currency EN 2 2 18" xfId="16399"/>
    <cellStyle name="Currency EN 2 2 19" xfId="16400"/>
    <cellStyle name="Currency EN 2 2 2" xfId="16401"/>
    <cellStyle name="Currency EN 2 2 2 10" xfId="16402"/>
    <cellStyle name="Currency EN 2 2 2 11" xfId="16403"/>
    <cellStyle name="Currency EN 2 2 2 12" xfId="16404"/>
    <cellStyle name="Currency EN 2 2 2 13" xfId="16405"/>
    <cellStyle name="Currency EN 2 2 2 14" xfId="16406"/>
    <cellStyle name="Currency EN 2 2 2 15" xfId="16407"/>
    <cellStyle name="Currency EN 2 2 2 16" xfId="16408"/>
    <cellStyle name="Currency EN 2 2 2 17" xfId="16409"/>
    <cellStyle name="Currency EN 2 2 2 18" xfId="16410"/>
    <cellStyle name="Currency EN 2 2 2 2" xfId="16411"/>
    <cellStyle name="Currency EN 2 2 2 2 2" xfId="16412"/>
    <cellStyle name="Currency EN 2 2 2 2 2 2" xfId="16413"/>
    <cellStyle name="Currency EN 2 2 2 2 3" xfId="16414"/>
    <cellStyle name="Currency EN 2 2 2 2 4" xfId="16415"/>
    <cellStyle name="Currency EN 2 2 2 3" xfId="16416"/>
    <cellStyle name="Currency EN 2 2 2 3 2" xfId="16417"/>
    <cellStyle name="Currency EN 2 2 2 3 3" xfId="16418"/>
    <cellStyle name="Currency EN 2 2 2 4" xfId="16419"/>
    <cellStyle name="Currency EN 2 2 2 4 2" xfId="16420"/>
    <cellStyle name="Currency EN 2 2 2 5" xfId="16421"/>
    <cellStyle name="Currency EN 2 2 2 6" xfId="16422"/>
    <cellStyle name="Currency EN 2 2 2 7" xfId="16423"/>
    <cellStyle name="Currency EN 2 2 2 8" xfId="16424"/>
    <cellStyle name="Currency EN 2 2 2 9" xfId="16425"/>
    <cellStyle name="Currency EN 2 2 20" xfId="16426"/>
    <cellStyle name="Currency EN 2 2 3" xfId="16427"/>
    <cellStyle name="Currency EN 2 2 3 10" xfId="16428"/>
    <cellStyle name="Currency EN 2 2 3 11" xfId="16429"/>
    <cellStyle name="Currency EN 2 2 3 12" xfId="16430"/>
    <cellStyle name="Currency EN 2 2 3 13" xfId="16431"/>
    <cellStyle name="Currency EN 2 2 3 14" xfId="16432"/>
    <cellStyle name="Currency EN 2 2 3 15" xfId="16433"/>
    <cellStyle name="Currency EN 2 2 3 16" xfId="16434"/>
    <cellStyle name="Currency EN 2 2 3 17" xfId="16435"/>
    <cellStyle name="Currency EN 2 2 3 18" xfId="16436"/>
    <cellStyle name="Currency EN 2 2 3 2" xfId="16437"/>
    <cellStyle name="Currency EN 2 2 3 2 2" xfId="16438"/>
    <cellStyle name="Currency EN 2 2 3 2 2 2" xfId="16439"/>
    <cellStyle name="Currency EN 2 2 3 2 3" xfId="16440"/>
    <cellStyle name="Currency EN 2 2 3 2 4" xfId="16441"/>
    <cellStyle name="Currency EN 2 2 3 3" xfId="16442"/>
    <cellStyle name="Currency EN 2 2 3 3 2" xfId="16443"/>
    <cellStyle name="Currency EN 2 2 3 3 3" xfId="16444"/>
    <cellStyle name="Currency EN 2 2 3 4" xfId="16445"/>
    <cellStyle name="Currency EN 2 2 3 4 2" xfId="16446"/>
    <cellStyle name="Currency EN 2 2 3 5" xfId="16447"/>
    <cellStyle name="Currency EN 2 2 3 6" xfId="16448"/>
    <cellStyle name="Currency EN 2 2 3 7" xfId="16449"/>
    <cellStyle name="Currency EN 2 2 3 8" xfId="16450"/>
    <cellStyle name="Currency EN 2 2 3 9" xfId="16451"/>
    <cellStyle name="Currency EN 2 2 4" xfId="16452"/>
    <cellStyle name="Currency EN 2 2 4 2" xfId="16453"/>
    <cellStyle name="Currency EN 2 2 4 2 2" xfId="16454"/>
    <cellStyle name="Currency EN 2 2 4 2 3" xfId="16455"/>
    <cellStyle name="Currency EN 2 2 4 3" xfId="16456"/>
    <cellStyle name="Currency EN 2 2 4 3 2" xfId="16457"/>
    <cellStyle name="Currency EN 2 2 4 4" xfId="16458"/>
    <cellStyle name="Currency EN 2 2 4 5" xfId="16459"/>
    <cellStyle name="Currency EN 2 2 5" xfId="16460"/>
    <cellStyle name="Currency EN 2 2 5 2" xfId="16461"/>
    <cellStyle name="Currency EN 2 2 5 2 2" xfId="16462"/>
    <cellStyle name="Currency EN 2 2 5 3" xfId="16463"/>
    <cellStyle name="Currency EN 2 2 5 4" xfId="16464"/>
    <cellStyle name="Currency EN 2 2 6" xfId="16465"/>
    <cellStyle name="Currency EN 2 2 6 2" xfId="16466"/>
    <cellStyle name="Currency EN 2 2 6 3" xfId="16467"/>
    <cellStyle name="Currency EN 2 2 7" xfId="16468"/>
    <cellStyle name="Currency EN 2 2 7 2" xfId="16469"/>
    <cellStyle name="Currency EN 2 2 8" xfId="16470"/>
    <cellStyle name="Currency EN 2 2 9" xfId="16471"/>
    <cellStyle name="Currency EN 2 3" xfId="16472"/>
    <cellStyle name="Currency EN 2 3 10" xfId="16473"/>
    <cellStyle name="Currency EN 2 3 11" xfId="16474"/>
    <cellStyle name="Currency EN 2 3 12" xfId="16475"/>
    <cellStyle name="Currency EN 2 3 13" xfId="16476"/>
    <cellStyle name="Currency EN 2 3 14" xfId="16477"/>
    <cellStyle name="Currency EN 2 3 15" xfId="16478"/>
    <cellStyle name="Currency EN 2 3 16" xfId="16479"/>
    <cellStyle name="Currency EN 2 3 17" xfId="16480"/>
    <cellStyle name="Currency EN 2 3 18" xfId="16481"/>
    <cellStyle name="Currency EN 2 3 19" xfId="16482"/>
    <cellStyle name="Currency EN 2 3 2" xfId="16483"/>
    <cellStyle name="Currency EN 2 3 2 10" xfId="16484"/>
    <cellStyle name="Currency EN 2 3 2 11" xfId="16485"/>
    <cellStyle name="Currency EN 2 3 2 12" xfId="16486"/>
    <cellStyle name="Currency EN 2 3 2 13" xfId="16487"/>
    <cellStyle name="Currency EN 2 3 2 14" xfId="16488"/>
    <cellStyle name="Currency EN 2 3 2 15" xfId="16489"/>
    <cellStyle name="Currency EN 2 3 2 16" xfId="16490"/>
    <cellStyle name="Currency EN 2 3 2 17" xfId="16491"/>
    <cellStyle name="Currency EN 2 3 2 18" xfId="16492"/>
    <cellStyle name="Currency EN 2 3 2 2" xfId="16493"/>
    <cellStyle name="Currency EN 2 3 2 2 2" xfId="16494"/>
    <cellStyle name="Currency EN 2 3 2 2 2 2" xfId="16495"/>
    <cellStyle name="Currency EN 2 3 2 2 3" xfId="16496"/>
    <cellStyle name="Currency EN 2 3 2 2 4" xfId="16497"/>
    <cellStyle name="Currency EN 2 3 2 3" xfId="16498"/>
    <cellStyle name="Currency EN 2 3 2 3 2" xfId="16499"/>
    <cellStyle name="Currency EN 2 3 2 3 3" xfId="16500"/>
    <cellStyle name="Currency EN 2 3 2 4" xfId="16501"/>
    <cellStyle name="Currency EN 2 3 2 4 2" xfId="16502"/>
    <cellStyle name="Currency EN 2 3 2 5" xfId="16503"/>
    <cellStyle name="Currency EN 2 3 2 6" xfId="16504"/>
    <cellStyle name="Currency EN 2 3 2 7" xfId="16505"/>
    <cellStyle name="Currency EN 2 3 2 8" xfId="16506"/>
    <cellStyle name="Currency EN 2 3 2 9" xfId="16507"/>
    <cellStyle name="Currency EN 2 3 3" xfId="16508"/>
    <cellStyle name="Currency EN 2 3 3 10" xfId="16509"/>
    <cellStyle name="Currency EN 2 3 3 11" xfId="16510"/>
    <cellStyle name="Currency EN 2 3 3 12" xfId="16511"/>
    <cellStyle name="Currency EN 2 3 3 13" xfId="16512"/>
    <cellStyle name="Currency EN 2 3 3 14" xfId="16513"/>
    <cellStyle name="Currency EN 2 3 3 15" xfId="16514"/>
    <cellStyle name="Currency EN 2 3 3 16" xfId="16515"/>
    <cellStyle name="Currency EN 2 3 3 17" xfId="16516"/>
    <cellStyle name="Currency EN 2 3 3 18" xfId="16517"/>
    <cellStyle name="Currency EN 2 3 3 2" xfId="16518"/>
    <cellStyle name="Currency EN 2 3 3 2 2" xfId="16519"/>
    <cellStyle name="Currency EN 2 3 3 2 2 2" xfId="16520"/>
    <cellStyle name="Currency EN 2 3 3 2 3" xfId="16521"/>
    <cellStyle name="Currency EN 2 3 3 2 4" xfId="16522"/>
    <cellStyle name="Currency EN 2 3 3 3" xfId="16523"/>
    <cellStyle name="Currency EN 2 3 3 3 2" xfId="16524"/>
    <cellStyle name="Currency EN 2 3 3 3 3" xfId="16525"/>
    <cellStyle name="Currency EN 2 3 3 4" xfId="16526"/>
    <cellStyle name="Currency EN 2 3 3 4 2" xfId="16527"/>
    <cellStyle name="Currency EN 2 3 3 5" xfId="16528"/>
    <cellStyle name="Currency EN 2 3 3 6" xfId="16529"/>
    <cellStyle name="Currency EN 2 3 3 7" xfId="16530"/>
    <cellStyle name="Currency EN 2 3 3 8" xfId="16531"/>
    <cellStyle name="Currency EN 2 3 3 9" xfId="16532"/>
    <cellStyle name="Currency EN 2 3 4" xfId="16533"/>
    <cellStyle name="Currency EN 2 3 4 2" xfId="16534"/>
    <cellStyle name="Currency EN 2 3 4 2 2" xfId="16535"/>
    <cellStyle name="Currency EN 2 3 4 2 3" xfId="16536"/>
    <cellStyle name="Currency EN 2 3 4 3" xfId="16537"/>
    <cellStyle name="Currency EN 2 3 4 3 2" xfId="16538"/>
    <cellStyle name="Currency EN 2 3 4 4" xfId="16539"/>
    <cellStyle name="Currency EN 2 3 4 5" xfId="16540"/>
    <cellStyle name="Currency EN 2 3 5" xfId="16541"/>
    <cellStyle name="Currency EN 2 3 5 2" xfId="16542"/>
    <cellStyle name="Currency EN 2 3 5 2 2" xfId="16543"/>
    <cellStyle name="Currency EN 2 3 5 3" xfId="16544"/>
    <cellStyle name="Currency EN 2 3 5 4" xfId="16545"/>
    <cellStyle name="Currency EN 2 3 6" xfId="16546"/>
    <cellStyle name="Currency EN 2 3 6 2" xfId="16547"/>
    <cellStyle name="Currency EN 2 3 6 3" xfId="16548"/>
    <cellStyle name="Currency EN 2 3 7" xfId="16549"/>
    <cellStyle name="Currency EN 2 3 7 2" xfId="16550"/>
    <cellStyle name="Currency EN 2 3 8" xfId="16551"/>
    <cellStyle name="Currency EN 2 3 9" xfId="16552"/>
    <cellStyle name="Currency EN 2 4" xfId="16553"/>
    <cellStyle name="Currency EN 2 4 10" xfId="16554"/>
    <cellStyle name="Currency EN 2 4 11" xfId="16555"/>
    <cellStyle name="Currency EN 2 4 12" xfId="16556"/>
    <cellStyle name="Currency EN 2 4 13" xfId="16557"/>
    <cellStyle name="Currency EN 2 4 14" xfId="16558"/>
    <cellStyle name="Currency EN 2 4 15" xfId="16559"/>
    <cellStyle name="Currency EN 2 4 16" xfId="16560"/>
    <cellStyle name="Currency EN 2 4 17" xfId="16561"/>
    <cellStyle name="Currency EN 2 4 2" xfId="16562"/>
    <cellStyle name="Currency EN 2 4 2 10" xfId="16563"/>
    <cellStyle name="Currency EN 2 4 2 11" xfId="16564"/>
    <cellStyle name="Currency EN 2 4 2 12" xfId="16565"/>
    <cellStyle name="Currency EN 2 4 2 13" xfId="16566"/>
    <cellStyle name="Currency EN 2 4 2 14" xfId="16567"/>
    <cellStyle name="Currency EN 2 4 2 15" xfId="16568"/>
    <cellStyle name="Currency EN 2 4 2 16" xfId="16569"/>
    <cellStyle name="Currency EN 2 4 2 17" xfId="16570"/>
    <cellStyle name="Currency EN 2 4 2 18" xfId="16571"/>
    <cellStyle name="Currency EN 2 4 2 2" xfId="16572"/>
    <cellStyle name="Currency EN 2 4 2 2 2" xfId="16573"/>
    <cellStyle name="Currency EN 2 4 2 2 2 2" xfId="16574"/>
    <cellStyle name="Currency EN 2 4 2 2 3" xfId="16575"/>
    <cellStyle name="Currency EN 2 4 2 2 4" xfId="16576"/>
    <cellStyle name="Currency EN 2 4 2 3" xfId="16577"/>
    <cellStyle name="Currency EN 2 4 2 3 2" xfId="16578"/>
    <cellStyle name="Currency EN 2 4 2 3 3" xfId="16579"/>
    <cellStyle name="Currency EN 2 4 2 4" xfId="16580"/>
    <cellStyle name="Currency EN 2 4 2 4 2" xfId="16581"/>
    <cellStyle name="Currency EN 2 4 2 5" xfId="16582"/>
    <cellStyle name="Currency EN 2 4 2 6" xfId="16583"/>
    <cellStyle name="Currency EN 2 4 2 7" xfId="16584"/>
    <cellStyle name="Currency EN 2 4 2 8" xfId="16585"/>
    <cellStyle name="Currency EN 2 4 2 9" xfId="16586"/>
    <cellStyle name="Currency EN 2 4 3" xfId="16587"/>
    <cellStyle name="Currency EN 2 4 3 10" xfId="16588"/>
    <cellStyle name="Currency EN 2 4 3 11" xfId="16589"/>
    <cellStyle name="Currency EN 2 4 3 12" xfId="16590"/>
    <cellStyle name="Currency EN 2 4 3 13" xfId="16591"/>
    <cellStyle name="Currency EN 2 4 3 14" xfId="16592"/>
    <cellStyle name="Currency EN 2 4 3 15" xfId="16593"/>
    <cellStyle name="Currency EN 2 4 3 16" xfId="16594"/>
    <cellStyle name="Currency EN 2 4 3 17" xfId="16595"/>
    <cellStyle name="Currency EN 2 4 3 18" xfId="16596"/>
    <cellStyle name="Currency EN 2 4 3 2" xfId="16597"/>
    <cellStyle name="Currency EN 2 4 3 2 2" xfId="16598"/>
    <cellStyle name="Currency EN 2 4 3 2 2 2" xfId="16599"/>
    <cellStyle name="Currency EN 2 4 3 2 3" xfId="16600"/>
    <cellStyle name="Currency EN 2 4 3 2 4" xfId="16601"/>
    <cellStyle name="Currency EN 2 4 3 3" xfId="16602"/>
    <cellStyle name="Currency EN 2 4 3 3 2" xfId="16603"/>
    <cellStyle name="Currency EN 2 4 3 3 3" xfId="16604"/>
    <cellStyle name="Currency EN 2 4 3 4" xfId="16605"/>
    <cellStyle name="Currency EN 2 4 3 4 2" xfId="16606"/>
    <cellStyle name="Currency EN 2 4 3 5" xfId="16607"/>
    <cellStyle name="Currency EN 2 4 3 6" xfId="16608"/>
    <cellStyle name="Currency EN 2 4 3 7" xfId="16609"/>
    <cellStyle name="Currency EN 2 4 3 8" xfId="16610"/>
    <cellStyle name="Currency EN 2 4 3 9" xfId="16611"/>
    <cellStyle name="Currency EN 2 4 4" xfId="16612"/>
    <cellStyle name="Currency EN 2 4 4 2" xfId="16613"/>
    <cellStyle name="Currency EN 2 4 4 2 2" xfId="16614"/>
    <cellStyle name="Currency EN 2 4 4 2 3" xfId="16615"/>
    <cellStyle name="Currency EN 2 4 4 3" xfId="16616"/>
    <cellStyle name="Currency EN 2 4 4 3 2" xfId="16617"/>
    <cellStyle name="Currency EN 2 4 4 4" xfId="16618"/>
    <cellStyle name="Currency EN 2 4 4 5" xfId="16619"/>
    <cellStyle name="Currency EN 2 4 5" xfId="16620"/>
    <cellStyle name="Currency EN 2 4 5 2" xfId="16621"/>
    <cellStyle name="Currency EN 2 4 5 2 2" xfId="16622"/>
    <cellStyle name="Currency EN 2 4 5 3" xfId="16623"/>
    <cellStyle name="Currency EN 2 4 5 4" xfId="16624"/>
    <cellStyle name="Currency EN 2 4 6" xfId="16625"/>
    <cellStyle name="Currency EN 2 4 6 2" xfId="16626"/>
    <cellStyle name="Currency EN 2 4 6 3" xfId="16627"/>
    <cellStyle name="Currency EN 2 4 7" xfId="16628"/>
    <cellStyle name="Currency EN 2 4 7 2" xfId="16629"/>
    <cellStyle name="Currency EN 2 4 8" xfId="16630"/>
    <cellStyle name="Currency EN 2 4 9" xfId="16631"/>
    <cellStyle name="Currency EN 2 5" xfId="16632"/>
    <cellStyle name="Currency EN 2 5 10" xfId="16633"/>
    <cellStyle name="Currency EN 2 5 11" xfId="16634"/>
    <cellStyle name="Currency EN 2 5 12" xfId="16635"/>
    <cellStyle name="Currency EN 2 5 13" xfId="16636"/>
    <cellStyle name="Currency EN 2 5 14" xfId="16637"/>
    <cellStyle name="Currency EN 2 5 15" xfId="16638"/>
    <cellStyle name="Currency EN 2 5 2" xfId="16639"/>
    <cellStyle name="Currency EN 2 5 2 10" xfId="16640"/>
    <cellStyle name="Currency EN 2 5 2 11" xfId="16641"/>
    <cellStyle name="Currency EN 2 5 2 12" xfId="16642"/>
    <cellStyle name="Currency EN 2 5 2 13" xfId="16643"/>
    <cellStyle name="Currency EN 2 5 2 14" xfId="16644"/>
    <cellStyle name="Currency EN 2 5 2 15" xfId="16645"/>
    <cellStyle name="Currency EN 2 5 2 16" xfId="16646"/>
    <cellStyle name="Currency EN 2 5 2 17" xfId="16647"/>
    <cellStyle name="Currency EN 2 5 2 18" xfId="16648"/>
    <cellStyle name="Currency EN 2 5 2 2" xfId="16649"/>
    <cellStyle name="Currency EN 2 5 2 2 2" xfId="16650"/>
    <cellStyle name="Currency EN 2 5 2 2 2 2" xfId="16651"/>
    <cellStyle name="Currency EN 2 5 2 2 3" xfId="16652"/>
    <cellStyle name="Currency EN 2 5 2 2 4" xfId="16653"/>
    <cellStyle name="Currency EN 2 5 2 3" xfId="16654"/>
    <cellStyle name="Currency EN 2 5 2 3 2" xfId="16655"/>
    <cellStyle name="Currency EN 2 5 2 3 3" xfId="16656"/>
    <cellStyle name="Currency EN 2 5 2 4" xfId="16657"/>
    <cellStyle name="Currency EN 2 5 2 4 2" xfId="16658"/>
    <cellStyle name="Currency EN 2 5 2 5" xfId="16659"/>
    <cellStyle name="Currency EN 2 5 2 6" xfId="16660"/>
    <cellStyle name="Currency EN 2 5 2 7" xfId="16661"/>
    <cellStyle name="Currency EN 2 5 2 8" xfId="16662"/>
    <cellStyle name="Currency EN 2 5 2 9" xfId="16663"/>
    <cellStyle name="Currency EN 2 5 3" xfId="16664"/>
    <cellStyle name="Currency EN 2 5 3 10" xfId="16665"/>
    <cellStyle name="Currency EN 2 5 3 11" xfId="16666"/>
    <cellStyle name="Currency EN 2 5 3 12" xfId="16667"/>
    <cellStyle name="Currency EN 2 5 3 13" xfId="16668"/>
    <cellStyle name="Currency EN 2 5 3 14" xfId="16669"/>
    <cellStyle name="Currency EN 2 5 3 15" xfId="16670"/>
    <cellStyle name="Currency EN 2 5 3 16" xfId="16671"/>
    <cellStyle name="Currency EN 2 5 3 17" xfId="16672"/>
    <cellStyle name="Currency EN 2 5 3 18" xfId="16673"/>
    <cellStyle name="Currency EN 2 5 3 2" xfId="16674"/>
    <cellStyle name="Currency EN 2 5 3 2 2" xfId="16675"/>
    <cellStyle name="Currency EN 2 5 3 2 2 2" xfId="16676"/>
    <cellStyle name="Currency EN 2 5 3 2 3" xfId="16677"/>
    <cellStyle name="Currency EN 2 5 3 2 4" xfId="16678"/>
    <cellStyle name="Currency EN 2 5 3 3" xfId="16679"/>
    <cellStyle name="Currency EN 2 5 3 3 2" xfId="16680"/>
    <cellStyle name="Currency EN 2 5 3 3 3" xfId="16681"/>
    <cellStyle name="Currency EN 2 5 3 4" xfId="16682"/>
    <cellStyle name="Currency EN 2 5 3 4 2" xfId="16683"/>
    <cellStyle name="Currency EN 2 5 3 5" xfId="16684"/>
    <cellStyle name="Currency EN 2 5 3 6" xfId="16685"/>
    <cellStyle name="Currency EN 2 5 3 7" xfId="16686"/>
    <cellStyle name="Currency EN 2 5 3 8" xfId="16687"/>
    <cellStyle name="Currency EN 2 5 3 9" xfId="16688"/>
    <cellStyle name="Currency EN 2 5 4" xfId="16689"/>
    <cellStyle name="Currency EN 2 5 4 2" xfId="16690"/>
    <cellStyle name="Currency EN 2 5 4 2 2" xfId="16691"/>
    <cellStyle name="Currency EN 2 5 4 2 3" xfId="16692"/>
    <cellStyle name="Currency EN 2 5 4 3" xfId="16693"/>
    <cellStyle name="Currency EN 2 5 4 3 2" xfId="16694"/>
    <cellStyle name="Currency EN 2 5 4 4" xfId="16695"/>
    <cellStyle name="Currency EN 2 5 4 5" xfId="16696"/>
    <cellStyle name="Currency EN 2 5 5" xfId="16697"/>
    <cellStyle name="Currency EN 2 5 5 2" xfId="16698"/>
    <cellStyle name="Currency EN 2 5 5 2 2" xfId="16699"/>
    <cellStyle name="Currency EN 2 5 5 3" xfId="16700"/>
    <cellStyle name="Currency EN 2 5 5 4" xfId="16701"/>
    <cellStyle name="Currency EN 2 5 6" xfId="16702"/>
    <cellStyle name="Currency EN 2 5 6 2" xfId="16703"/>
    <cellStyle name="Currency EN 2 5 7" xfId="16704"/>
    <cellStyle name="Currency EN 2 5 8" xfId="16705"/>
    <cellStyle name="Currency EN 2 5 9" xfId="16706"/>
    <cellStyle name="Currency EN 2 6" xfId="16707"/>
    <cellStyle name="Currency EN 2 6 10" xfId="16708"/>
    <cellStyle name="Currency EN 2 6 11" xfId="16709"/>
    <cellStyle name="Currency EN 2 6 12" xfId="16710"/>
    <cellStyle name="Currency EN 2 6 13" xfId="16711"/>
    <cellStyle name="Currency EN 2 6 14" xfId="16712"/>
    <cellStyle name="Currency EN 2 6 15" xfId="16713"/>
    <cellStyle name="Currency EN 2 6 16" xfId="16714"/>
    <cellStyle name="Currency EN 2 6 17" xfId="16715"/>
    <cellStyle name="Currency EN 2 6 18" xfId="16716"/>
    <cellStyle name="Currency EN 2 6 2" xfId="16717"/>
    <cellStyle name="Currency EN 2 6 2 2" xfId="16718"/>
    <cellStyle name="Currency EN 2 6 2 2 2" xfId="16719"/>
    <cellStyle name="Currency EN 2 6 2 3" xfId="16720"/>
    <cellStyle name="Currency EN 2 6 2 4" xfId="16721"/>
    <cellStyle name="Currency EN 2 6 3" xfId="16722"/>
    <cellStyle name="Currency EN 2 6 3 2" xfId="16723"/>
    <cellStyle name="Currency EN 2 6 3 3" xfId="16724"/>
    <cellStyle name="Currency EN 2 6 4" xfId="16725"/>
    <cellStyle name="Currency EN 2 6 4 2" xfId="16726"/>
    <cellStyle name="Currency EN 2 6 5" xfId="16727"/>
    <cellStyle name="Currency EN 2 6 6" xfId="16728"/>
    <cellStyle name="Currency EN 2 6 7" xfId="16729"/>
    <cellStyle name="Currency EN 2 6 8" xfId="16730"/>
    <cellStyle name="Currency EN 2 6 9" xfId="16731"/>
    <cellStyle name="Currency EN 2 7" xfId="16732"/>
    <cellStyle name="Currency EN 2 7 10" xfId="16733"/>
    <cellStyle name="Currency EN 2 7 11" xfId="16734"/>
    <cellStyle name="Currency EN 2 7 12" xfId="16735"/>
    <cellStyle name="Currency EN 2 7 13" xfId="16736"/>
    <cellStyle name="Currency EN 2 7 14" xfId="16737"/>
    <cellStyle name="Currency EN 2 7 15" xfId="16738"/>
    <cellStyle name="Currency EN 2 7 16" xfId="16739"/>
    <cellStyle name="Currency EN 2 7 17" xfId="16740"/>
    <cellStyle name="Currency EN 2 7 18" xfId="16741"/>
    <cellStyle name="Currency EN 2 7 2" xfId="16742"/>
    <cellStyle name="Currency EN 2 7 2 2" xfId="16743"/>
    <cellStyle name="Currency EN 2 7 2 3" xfId="16744"/>
    <cellStyle name="Currency EN 2 7 3" xfId="16745"/>
    <cellStyle name="Currency EN 2 7 3 2" xfId="16746"/>
    <cellStyle name="Currency EN 2 7 4" xfId="16747"/>
    <cellStyle name="Currency EN 2 7 5" xfId="16748"/>
    <cellStyle name="Currency EN 2 7 6" xfId="16749"/>
    <cellStyle name="Currency EN 2 7 7" xfId="16750"/>
    <cellStyle name="Currency EN 2 7 8" xfId="16751"/>
    <cellStyle name="Currency EN 2 7 9" xfId="16752"/>
    <cellStyle name="Currency EN 2 8" xfId="16753"/>
    <cellStyle name="Currency EN 2 8 2" xfId="16754"/>
    <cellStyle name="Currency EN 2 8 2 2" xfId="16755"/>
    <cellStyle name="Currency EN 2 8 3" xfId="16756"/>
    <cellStyle name="Currency EN 2 8 4" xfId="16757"/>
    <cellStyle name="Currency EN 2 9" xfId="16758"/>
    <cellStyle name="Currency EN 20" xfId="16759"/>
    <cellStyle name="Currency EN 3" xfId="16760"/>
    <cellStyle name="Currency EN 3 10" xfId="16761"/>
    <cellStyle name="Currency EN 3 11" xfId="16762"/>
    <cellStyle name="Currency EN 3 12" xfId="16763"/>
    <cellStyle name="Currency EN 3 13" xfId="16764"/>
    <cellStyle name="Currency EN 3 14" xfId="16765"/>
    <cellStyle name="Currency EN 3 15" xfId="16766"/>
    <cellStyle name="Currency EN 3 16" xfId="16767"/>
    <cellStyle name="Currency EN 3 17" xfId="16768"/>
    <cellStyle name="Currency EN 3 2" xfId="16769"/>
    <cellStyle name="Currency EN 3 2 10" xfId="16770"/>
    <cellStyle name="Currency EN 3 2 11" xfId="16771"/>
    <cellStyle name="Currency EN 3 2 12" xfId="16772"/>
    <cellStyle name="Currency EN 3 2 13" xfId="16773"/>
    <cellStyle name="Currency EN 3 2 14" xfId="16774"/>
    <cellStyle name="Currency EN 3 2 15" xfId="16775"/>
    <cellStyle name="Currency EN 3 2 16" xfId="16776"/>
    <cellStyle name="Currency EN 3 2 17" xfId="16777"/>
    <cellStyle name="Currency EN 3 2 18" xfId="16778"/>
    <cellStyle name="Currency EN 3 2 19" xfId="16779"/>
    <cellStyle name="Currency EN 3 2 2" xfId="16780"/>
    <cellStyle name="Currency EN 3 2 2 10" xfId="16781"/>
    <cellStyle name="Currency EN 3 2 2 11" xfId="16782"/>
    <cellStyle name="Currency EN 3 2 2 12" xfId="16783"/>
    <cellStyle name="Currency EN 3 2 2 13" xfId="16784"/>
    <cellStyle name="Currency EN 3 2 2 14" xfId="16785"/>
    <cellStyle name="Currency EN 3 2 2 15" xfId="16786"/>
    <cellStyle name="Currency EN 3 2 2 16" xfId="16787"/>
    <cellStyle name="Currency EN 3 2 2 17" xfId="16788"/>
    <cellStyle name="Currency EN 3 2 2 18" xfId="16789"/>
    <cellStyle name="Currency EN 3 2 2 2" xfId="16790"/>
    <cellStyle name="Currency EN 3 2 2 2 2" xfId="16791"/>
    <cellStyle name="Currency EN 3 2 2 2 2 2" xfId="16792"/>
    <cellStyle name="Currency EN 3 2 2 2 3" xfId="16793"/>
    <cellStyle name="Currency EN 3 2 2 2 4" xfId="16794"/>
    <cellStyle name="Currency EN 3 2 2 3" xfId="16795"/>
    <cellStyle name="Currency EN 3 2 2 3 2" xfId="16796"/>
    <cellStyle name="Currency EN 3 2 2 3 3" xfId="16797"/>
    <cellStyle name="Currency EN 3 2 2 4" xfId="16798"/>
    <cellStyle name="Currency EN 3 2 2 4 2" xfId="16799"/>
    <cellStyle name="Currency EN 3 2 2 5" xfId="16800"/>
    <cellStyle name="Currency EN 3 2 2 6" xfId="16801"/>
    <cellStyle name="Currency EN 3 2 2 7" xfId="16802"/>
    <cellStyle name="Currency EN 3 2 2 8" xfId="16803"/>
    <cellStyle name="Currency EN 3 2 2 9" xfId="16804"/>
    <cellStyle name="Currency EN 3 2 20" xfId="16805"/>
    <cellStyle name="Currency EN 3 2 3" xfId="16806"/>
    <cellStyle name="Currency EN 3 2 3 10" xfId="16807"/>
    <cellStyle name="Currency EN 3 2 3 11" xfId="16808"/>
    <cellStyle name="Currency EN 3 2 3 12" xfId="16809"/>
    <cellStyle name="Currency EN 3 2 3 13" xfId="16810"/>
    <cellStyle name="Currency EN 3 2 3 14" xfId="16811"/>
    <cellStyle name="Currency EN 3 2 3 15" xfId="16812"/>
    <cellStyle name="Currency EN 3 2 3 16" xfId="16813"/>
    <cellStyle name="Currency EN 3 2 3 17" xfId="16814"/>
    <cellStyle name="Currency EN 3 2 3 18" xfId="16815"/>
    <cellStyle name="Currency EN 3 2 3 2" xfId="16816"/>
    <cellStyle name="Currency EN 3 2 3 2 2" xfId="16817"/>
    <cellStyle name="Currency EN 3 2 3 2 2 2" xfId="16818"/>
    <cellStyle name="Currency EN 3 2 3 2 3" xfId="16819"/>
    <cellStyle name="Currency EN 3 2 3 2 4" xfId="16820"/>
    <cellStyle name="Currency EN 3 2 3 3" xfId="16821"/>
    <cellStyle name="Currency EN 3 2 3 3 2" xfId="16822"/>
    <cellStyle name="Currency EN 3 2 3 3 3" xfId="16823"/>
    <cellStyle name="Currency EN 3 2 3 4" xfId="16824"/>
    <cellStyle name="Currency EN 3 2 3 4 2" xfId="16825"/>
    <cellStyle name="Currency EN 3 2 3 5" xfId="16826"/>
    <cellStyle name="Currency EN 3 2 3 6" xfId="16827"/>
    <cellStyle name="Currency EN 3 2 3 7" xfId="16828"/>
    <cellStyle name="Currency EN 3 2 3 8" xfId="16829"/>
    <cellStyle name="Currency EN 3 2 3 9" xfId="16830"/>
    <cellStyle name="Currency EN 3 2 4" xfId="16831"/>
    <cellStyle name="Currency EN 3 2 4 2" xfId="16832"/>
    <cellStyle name="Currency EN 3 2 4 2 2" xfId="16833"/>
    <cellStyle name="Currency EN 3 2 4 2 3" xfId="16834"/>
    <cellStyle name="Currency EN 3 2 4 3" xfId="16835"/>
    <cellStyle name="Currency EN 3 2 4 3 2" xfId="16836"/>
    <cellStyle name="Currency EN 3 2 4 4" xfId="16837"/>
    <cellStyle name="Currency EN 3 2 4 5" xfId="16838"/>
    <cellStyle name="Currency EN 3 2 5" xfId="16839"/>
    <cellStyle name="Currency EN 3 2 5 2" xfId="16840"/>
    <cellStyle name="Currency EN 3 2 5 2 2" xfId="16841"/>
    <cellStyle name="Currency EN 3 2 5 3" xfId="16842"/>
    <cellStyle name="Currency EN 3 2 5 4" xfId="16843"/>
    <cellStyle name="Currency EN 3 2 6" xfId="16844"/>
    <cellStyle name="Currency EN 3 2 6 2" xfId="16845"/>
    <cellStyle name="Currency EN 3 2 6 3" xfId="16846"/>
    <cellStyle name="Currency EN 3 2 7" xfId="16847"/>
    <cellStyle name="Currency EN 3 2 7 2" xfId="16848"/>
    <cellStyle name="Currency EN 3 2 8" xfId="16849"/>
    <cellStyle name="Currency EN 3 2 9" xfId="16850"/>
    <cellStyle name="Currency EN 3 3" xfId="16851"/>
    <cellStyle name="Currency EN 3 3 10" xfId="16852"/>
    <cellStyle name="Currency EN 3 3 11" xfId="16853"/>
    <cellStyle name="Currency EN 3 3 12" xfId="16854"/>
    <cellStyle name="Currency EN 3 3 13" xfId="16855"/>
    <cellStyle name="Currency EN 3 3 14" xfId="16856"/>
    <cellStyle name="Currency EN 3 3 15" xfId="16857"/>
    <cellStyle name="Currency EN 3 3 16" xfId="16858"/>
    <cellStyle name="Currency EN 3 3 17" xfId="16859"/>
    <cellStyle name="Currency EN 3 3 18" xfId="16860"/>
    <cellStyle name="Currency EN 3 3 19" xfId="16861"/>
    <cellStyle name="Currency EN 3 3 2" xfId="16862"/>
    <cellStyle name="Currency EN 3 3 2 10" xfId="16863"/>
    <cellStyle name="Currency EN 3 3 2 11" xfId="16864"/>
    <cellStyle name="Currency EN 3 3 2 12" xfId="16865"/>
    <cellStyle name="Currency EN 3 3 2 13" xfId="16866"/>
    <cellStyle name="Currency EN 3 3 2 14" xfId="16867"/>
    <cellStyle name="Currency EN 3 3 2 15" xfId="16868"/>
    <cellStyle name="Currency EN 3 3 2 16" xfId="16869"/>
    <cellStyle name="Currency EN 3 3 2 17" xfId="16870"/>
    <cellStyle name="Currency EN 3 3 2 18" xfId="16871"/>
    <cellStyle name="Currency EN 3 3 2 2" xfId="16872"/>
    <cellStyle name="Currency EN 3 3 2 2 2" xfId="16873"/>
    <cellStyle name="Currency EN 3 3 2 2 2 2" xfId="16874"/>
    <cellStyle name="Currency EN 3 3 2 2 3" xfId="16875"/>
    <cellStyle name="Currency EN 3 3 2 2 4" xfId="16876"/>
    <cellStyle name="Currency EN 3 3 2 3" xfId="16877"/>
    <cellStyle name="Currency EN 3 3 2 3 2" xfId="16878"/>
    <cellStyle name="Currency EN 3 3 2 3 3" xfId="16879"/>
    <cellStyle name="Currency EN 3 3 2 4" xfId="16880"/>
    <cellStyle name="Currency EN 3 3 2 4 2" xfId="16881"/>
    <cellStyle name="Currency EN 3 3 2 5" xfId="16882"/>
    <cellStyle name="Currency EN 3 3 2 6" xfId="16883"/>
    <cellStyle name="Currency EN 3 3 2 7" xfId="16884"/>
    <cellStyle name="Currency EN 3 3 2 8" xfId="16885"/>
    <cellStyle name="Currency EN 3 3 2 9" xfId="16886"/>
    <cellStyle name="Currency EN 3 3 3" xfId="16887"/>
    <cellStyle name="Currency EN 3 3 3 10" xfId="16888"/>
    <cellStyle name="Currency EN 3 3 3 11" xfId="16889"/>
    <cellStyle name="Currency EN 3 3 3 12" xfId="16890"/>
    <cellStyle name="Currency EN 3 3 3 13" xfId="16891"/>
    <cellStyle name="Currency EN 3 3 3 14" xfId="16892"/>
    <cellStyle name="Currency EN 3 3 3 15" xfId="16893"/>
    <cellStyle name="Currency EN 3 3 3 16" xfId="16894"/>
    <cellStyle name="Currency EN 3 3 3 17" xfId="16895"/>
    <cellStyle name="Currency EN 3 3 3 18" xfId="16896"/>
    <cellStyle name="Currency EN 3 3 3 2" xfId="16897"/>
    <cellStyle name="Currency EN 3 3 3 2 2" xfId="16898"/>
    <cellStyle name="Currency EN 3 3 3 2 2 2" xfId="16899"/>
    <cellStyle name="Currency EN 3 3 3 2 3" xfId="16900"/>
    <cellStyle name="Currency EN 3 3 3 2 4" xfId="16901"/>
    <cellStyle name="Currency EN 3 3 3 3" xfId="16902"/>
    <cellStyle name="Currency EN 3 3 3 3 2" xfId="16903"/>
    <cellStyle name="Currency EN 3 3 3 3 3" xfId="16904"/>
    <cellStyle name="Currency EN 3 3 3 4" xfId="16905"/>
    <cellStyle name="Currency EN 3 3 3 4 2" xfId="16906"/>
    <cellStyle name="Currency EN 3 3 3 5" xfId="16907"/>
    <cellStyle name="Currency EN 3 3 3 6" xfId="16908"/>
    <cellStyle name="Currency EN 3 3 3 7" xfId="16909"/>
    <cellStyle name="Currency EN 3 3 3 8" xfId="16910"/>
    <cellStyle name="Currency EN 3 3 3 9" xfId="16911"/>
    <cellStyle name="Currency EN 3 3 4" xfId="16912"/>
    <cellStyle name="Currency EN 3 3 4 2" xfId="16913"/>
    <cellStyle name="Currency EN 3 3 4 2 2" xfId="16914"/>
    <cellStyle name="Currency EN 3 3 4 2 3" xfId="16915"/>
    <cellStyle name="Currency EN 3 3 4 3" xfId="16916"/>
    <cellStyle name="Currency EN 3 3 4 3 2" xfId="16917"/>
    <cellStyle name="Currency EN 3 3 4 4" xfId="16918"/>
    <cellStyle name="Currency EN 3 3 4 5" xfId="16919"/>
    <cellStyle name="Currency EN 3 3 5" xfId="16920"/>
    <cellStyle name="Currency EN 3 3 5 2" xfId="16921"/>
    <cellStyle name="Currency EN 3 3 5 2 2" xfId="16922"/>
    <cellStyle name="Currency EN 3 3 5 3" xfId="16923"/>
    <cellStyle name="Currency EN 3 3 5 4" xfId="16924"/>
    <cellStyle name="Currency EN 3 3 6" xfId="16925"/>
    <cellStyle name="Currency EN 3 3 6 2" xfId="16926"/>
    <cellStyle name="Currency EN 3 3 6 3" xfId="16927"/>
    <cellStyle name="Currency EN 3 3 7" xfId="16928"/>
    <cellStyle name="Currency EN 3 3 7 2" xfId="16929"/>
    <cellStyle name="Currency EN 3 3 8" xfId="16930"/>
    <cellStyle name="Currency EN 3 3 9" xfId="16931"/>
    <cellStyle name="Currency EN 3 4" xfId="16932"/>
    <cellStyle name="Currency EN 3 4 10" xfId="16933"/>
    <cellStyle name="Currency EN 3 4 11" xfId="16934"/>
    <cellStyle name="Currency EN 3 4 12" xfId="16935"/>
    <cellStyle name="Currency EN 3 4 13" xfId="16936"/>
    <cellStyle name="Currency EN 3 4 14" xfId="16937"/>
    <cellStyle name="Currency EN 3 4 15" xfId="16938"/>
    <cellStyle name="Currency EN 3 4 16" xfId="16939"/>
    <cellStyle name="Currency EN 3 4 17" xfId="16940"/>
    <cellStyle name="Currency EN 3 4 2" xfId="16941"/>
    <cellStyle name="Currency EN 3 4 2 10" xfId="16942"/>
    <cellStyle name="Currency EN 3 4 2 11" xfId="16943"/>
    <cellStyle name="Currency EN 3 4 2 12" xfId="16944"/>
    <cellStyle name="Currency EN 3 4 2 13" xfId="16945"/>
    <cellStyle name="Currency EN 3 4 2 14" xfId="16946"/>
    <cellStyle name="Currency EN 3 4 2 15" xfId="16947"/>
    <cellStyle name="Currency EN 3 4 2 16" xfId="16948"/>
    <cellStyle name="Currency EN 3 4 2 17" xfId="16949"/>
    <cellStyle name="Currency EN 3 4 2 18" xfId="16950"/>
    <cellStyle name="Currency EN 3 4 2 2" xfId="16951"/>
    <cellStyle name="Currency EN 3 4 2 2 2" xfId="16952"/>
    <cellStyle name="Currency EN 3 4 2 2 2 2" xfId="16953"/>
    <cellStyle name="Currency EN 3 4 2 2 3" xfId="16954"/>
    <cellStyle name="Currency EN 3 4 2 2 4" xfId="16955"/>
    <cellStyle name="Currency EN 3 4 2 3" xfId="16956"/>
    <cellStyle name="Currency EN 3 4 2 3 2" xfId="16957"/>
    <cellStyle name="Currency EN 3 4 2 3 3" xfId="16958"/>
    <cellStyle name="Currency EN 3 4 2 4" xfId="16959"/>
    <cellStyle name="Currency EN 3 4 2 4 2" xfId="16960"/>
    <cellStyle name="Currency EN 3 4 2 5" xfId="16961"/>
    <cellStyle name="Currency EN 3 4 2 6" xfId="16962"/>
    <cellStyle name="Currency EN 3 4 2 7" xfId="16963"/>
    <cellStyle name="Currency EN 3 4 2 8" xfId="16964"/>
    <cellStyle name="Currency EN 3 4 2 9" xfId="16965"/>
    <cellStyle name="Currency EN 3 4 3" xfId="16966"/>
    <cellStyle name="Currency EN 3 4 3 10" xfId="16967"/>
    <cellStyle name="Currency EN 3 4 3 11" xfId="16968"/>
    <cellStyle name="Currency EN 3 4 3 12" xfId="16969"/>
    <cellStyle name="Currency EN 3 4 3 13" xfId="16970"/>
    <cellStyle name="Currency EN 3 4 3 14" xfId="16971"/>
    <cellStyle name="Currency EN 3 4 3 15" xfId="16972"/>
    <cellStyle name="Currency EN 3 4 3 16" xfId="16973"/>
    <cellStyle name="Currency EN 3 4 3 17" xfId="16974"/>
    <cellStyle name="Currency EN 3 4 3 18" xfId="16975"/>
    <cellStyle name="Currency EN 3 4 3 2" xfId="16976"/>
    <cellStyle name="Currency EN 3 4 3 2 2" xfId="16977"/>
    <cellStyle name="Currency EN 3 4 3 2 2 2" xfId="16978"/>
    <cellStyle name="Currency EN 3 4 3 2 3" xfId="16979"/>
    <cellStyle name="Currency EN 3 4 3 2 4" xfId="16980"/>
    <cellStyle name="Currency EN 3 4 3 3" xfId="16981"/>
    <cellStyle name="Currency EN 3 4 3 3 2" xfId="16982"/>
    <cellStyle name="Currency EN 3 4 3 3 3" xfId="16983"/>
    <cellStyle name="Currency EN 3 4 3 4" xfId="16984"/>
    <cellStyle name="Currency EN 3 4 3 4 2" xfId="16985"/>
    <cellStyle name="Currency EN 3 4 3 5" xfId="16986"/>
    <cellStyle name="Currency EN 3 4 3 6" xfId="16987"/>
    <cellStyle name="Currency EN 3 4 3 7" xfId="16988"/>
    <cellStyle name="Currency EN 3 4 3 8" xfId="16989"/>
    <cellStyle name="Currency EN 3 4 3 9" xfId="16990"/>
    <cellStyle name="Currency EN 3 4 4" xfId="16991"/>
    <cellStyle name="Currency EN 3 4 4 2" xfId="16992"/>
    <cellStyle name="Currency EN 3 4 4 2 2" xfId="16993"/>
    <cellStyle name="Currency EN 3 4 4 2 3" xfId="16994"/>
    <cellStyle name="Currency EN 3 4 4 3" xfId="16995"/>
    <cellStyle name="Currency EN 3 4 4 3 2" xfId="16996"/>
    <cellStyle name="Currency EN 3 4 4 4" xfId="16997"/>
    <cellStyle name="Currency EN 3 4 4 5" xfId="16998"/>
    <cellStyle name="Currency EN 3 4 5" xfId="16999"/>
    <cellStyle name="Currency EN 3 4 5 2" xfId="17000"/>
    <cellStyle name="Currency EN 3 4 5 2 2" xfId="17001"/>
    <cellStyle name="Currency EN 3 4 5 3" xfId="17002"/>
    <cellStyle name="Currency EN 3 4 5 4" xfId="17003"/>
    <cellStyle name="Currency EN 3 4 6" xfId="17004"/>
    <cellStyle name="Currency EN 3 4 6 2" xfId="17005"/>
    <cellStyle name="Currency EN 3 4 6 3" xfId="17006"/>
    <cellStyle name="Currency EN 3 4 7" xfId="17007"/>
    <cellStyle name="Currency EN 3 4 7 2" xfId="17008"/>
    <cellStyle name="Currency EN 3 4 8" xfId="17009"/>
    <cellStyle name="Currency EN 3 4 9" xfId="17010"/>
    <cellStyle name="Currency EN 3 5" xfId="17011"/>
    <cellStyle name="Currency EN 3 5 10" xfId="17012"/>
    <cellStyle name="Currency EN 3 5 11" xfId="17013"/>
    <cellStyle name="Currency EN 3 5 12" xfId="17014"/>
    <cellStyle name="Currency EN 3 5 13" xfId="17015"/>
    <cellStyle name="Currency EN 3 5 14" xfId="17016"/>
    <cellStyle name="Currency EN 3 5 15" xfId="17017"/>
    <cellStyle name="Currency EN 3 5 2" xfId="17018"/>
    <cellStyle name="Currency EN 3 5 2 10" xfId="17019"/>
    <cellStyle name="Currency EN 3 5 2 11" xfId="17020"/>
    <cellStyle name="Currency EN 3 5 2 12" xfId="17021"/>
    <cellStyle name="Currency EN 3 5 2 13" xfId="17022"/>
    <cellStyle name="Currency EN 3 5 2 14" xfId="17023"/>
    <cellStyle name="Currency EN 3 5 2 15" xfId="17024"/>
    <cellStyle name="Currency EN 3 5 2 16" xfId="17025"/>
    <cellStyle name="Currency EN 3 5 2 17" xfId="17026"/>
    <cellStyle name="Currency EN 3 5 2 18" xfId="17027"/>
    <cellStyle name="Currency EN 3 5 2 2" xfId="17028"/>
    <cellStyle name="Currency EN 3 5 2 2 2" xfId="17029"/>
    <cellStyle name="Currency EN 3 5 2 2 2 2" xfId="17030"/>
    <cellStyle name="Currency EN 3 5 2 2 3" xfId="17031"/>
    <cellStyle name="Currency EN 3 5 2 2 4" xfId="17032"/>
    <cellStyle name="Currency EN 3 5 2 3" xfId="17033"/>
    <cellStyle name="Currency EN 3 5 2 3 2" xfId="17034"/>
    <cellStyle name="Currency EN 3 5 2 3 3" xfId="17035"/>
    <cellStyle name="Currency EN 3 5 2 4" xfId="17036"/>
    <cellStyle name="Currency EN 3 5 2 4 2" xfId="17037"/>
    <cellStyle name="Currency EN 3 5 2 5" xfId="17038"/>
    <cellStyle name="Currency EN 3 5 2 6" xfId="17039"/>
    <cellStyle name="Currency EN 3 5 2 7" xfId="17040"/>
    <cellStyle name="Currency EN 3 5 2 8" xfId="17041"/>
    <cellStyle name="Currency EN 3 5 2 9" xfId="17042"/>
    <cellStyle name="Currency EN 3 5 3" xfId="17043"/>
    <cellStyle name="Currency EN 3 5 3 10" xfId="17044"/>
    <cellStyle name="Currency EN 3 5 3 11" xfId="17045"/>
    <cellStyle name="Currency EN 3 5 3 12" xfId="17046"/>
    <cellStyle name="Currency EN 3 5 3 13" xfId="17047"/>
    <cellStyle name="Currency EN 3 5 3 14" xfId="17048"/>
    <cellStyle name="Currency EN 3 5 3 15" xfId="17049"/>
    <cellStyle name="Currency EN 3 5 3 16" xfId="17050"/>
    <cellStyle name="Currency EN 3 5 3 17" xfId="17051"/>
    <cellStyle name="Currency EN 3 5 3 18" xfId="17052"/>
    <cellStyle name="Currency EN 3 5 3 2" xfId="17053"/>
    <cellStyle name="Currency EN 3 5 3 2 2" xfId="17054"/>
    <cellStyle name="Currency EN 3 5 3 2 2 2" xfId="17055"/>
    <cellStyle name="Currency EN 3 5 3 2 3" xfId="17056"/>
    <cellStyle name="Currency EN 3 5 3 2 4" xfId="17057"/>
    <cellStyle name="Currency EN 3 5 3 3" xfId="17058"/>
    <cellStyle name="Currency EN 3 5 3 3 2" xfId="17059"/>
    <cellStyle name="Currency EN 3 5 3 3 3" xfId="17060"/>
    <cellStyle name="Currency EN 3 5 3 4" xfId="17061"/>
    <cellStyle name="Currency EN 3 5 3 4 2" xfId="17062"/>
    <cellStyle name="Currency EN 3 5 3 5" xfId="17063"/>
    <cellStyle name="Currency EN 3 5 3 6" xfId="17064"/>
    <cellStyle name="Currency EN 3 5 3 7" xfId="17065"/>
    <cellStyle name="Currency EN 3 5 3 8" xfId="17066"/>
    <cellStyle name="Currency EN 3 5 3 9" xfId="17067"/>
    <cellStyle name="Currency EN 3 5 4" xfId="17068"/>
    <cellStyle name="Currency EN 3 5 4 2" xfId="17069"/>
    <cellStyle name="Currency EN 3 5 4 2 2" xfId="17070"/>
    <cellStyle name="Currency EN 3 5 4 2 3" xfId="17071"/>
    <cellStyle name="Currency EN 3 5 4 3" xfId="17072"/>
    <cellStyle name="Currency EN 3 5 4 3 2" xfId="17073"/>
    <cellStyle name="Currency EN 3 5 4 4" xfId="17074"/>
    <cellStyle name="Currency EN 3 5 4 5" xfId="17075"/>
    <cellStyle name="Currency EN 3 5 5" xfId="17076"/>
    <cellStyle name="Currency EN 3 5 5 2" xfId="17077"/>
    <cellStyle name="Currency EN 3 5 5 2 2" xfId="17078"/>
    <cellStyle name="Currency EN 3 5 5 3" xfId="17079"/>
    <cellStyle name="Currency EN 3 5 5 4" xfId="17080"/>
    <cellStyle name="Currency EN 3 5 6" xfId="17081"/>
    <cellStyle name="Currency EN 3 5 6 2" xfId="17082"/>
    <cellStyle name="Currency EN 3 5 7" xfId="17083"/>
    <cellStyle name="Currency EN 3 5 8" xfId="17084"/>
    <cellStyle name="Currency EN 3 5 9" xfId="17085"/>
    <cellStyle name="Currency EN 3 6" xfId="17086"/>
    <cellStyle name="Currency EN 3 6 10" xfId="17087"/>
    <cellStyle name="Currency EN 3 6 11" xfId="17088"/>
    <cellStyle name="Currency EN 3 6 12" xfId="17089"/>
    <cellStyle name="Currency EN 3 6 13" xfId="17090"/>
    <cellStyle name="Currency EN 3 6 14" xfId="17091"/>
    <cellStyle name="Currency EN 3 6 15" xfId="17092"/>
    <cellStyle name="Currency EN 3 6 16" xfId="17093"/>
    <cellStyle name="Currency EN 3 6 17" xfId="17094"/>
    <cellStyle name="Currency EN 3 6 18" xfId="17095"/>
    <cellStyle name="Currency EN 3 6 2" xfId="17096"/>
    <cellStyle name="Currency EN 3 6 2 2" xfId="17097"/>
    <cellStyle name="Currency EN 3 6 2 2 2" xfId="17098"/>
    <cellStyle name="Currency EN 3 6 2 3" xfId="17099"/>
    <cellStyle name="Currency EN 3 6 2 4" xfId="17100"/>
    <cellStyle name="Currency EN 3 6 3" xfId="17101"/>
    <cellStyle name="Currency EN 3 6 3 2" xfId="17102"/>
    <cellStyle name="Currency EN 3 6 3 3" xfId="17103"/>
    <cellStyle name="Currency EN 3 6 4" xfId="17104"/>
    <cellStyle name="Currency EN 3 6 4 2" xfId="17105"/>
    <cellStyle name="Currency EN 3 6 5" xfId="17106"/>
    <cellStyle name="Currency EN 3 6 6" xfId="17107"/>
    <cellStyle name="Currency EN 3 6 7" xfId="17108"/>
    <cellStyle name="Currency EN 3 6 8" xfId="17109"/>
    <cellStyle name="Currency EN 3 6 9" xfId="17110"/>
    <cellStyle name="Currency EN 3 7" xfId="17111"/>
    <cellStyle name="Currency EN 3 7 10" xfId="17112"/>
    <cellStyle name="Currency EN 3 7 11" xfId="17113"/>
    <cellStyle name="Currency EN 3 7 12" xfId="17114"/>
    <cellStyle name="Currency EN 3 7 13" xfId="17115"/>
    <cellStyle name="Currency EN 3 7 14" xfId="17116"/>
    <cellStyle name="Currency EN 3 7 15" xfId="17117"/>
    <cellStyle name="Currency EN 3 7 16" xfId="17118"/>
    <cellStyle name="Currency EN 3 7 17" xfId="17119"/>
    <cellStyle name="Currency EN 3 7 18" xfId="17120"/>
    <cellStyle name="Currency EN 3 7 2" xfId="17121"/>
    <cellStyle name="Currency EN 3 7 2 2" xfId="17122"/>
    <cellStyle name="Currency EN 3 7 2 3" xfId="17123"/>
    <cellStyle name="Currency EN 3 7 3" xfId="17124"/>
    <cellStyle name="Currency EN 3 7 3 2" xfId="17125"/>
    <cellStyle name="Currency EN 3 7 4" xfId="17126"/>
    <cellStyle name="Currency EN 3 7 5" xfId="17127"/>
    <cellStyle name="Currency EN 3 7 6" xfId="17128"/>
    <cellStyle name="Currency EN 3 7 7" xfId="17129"/>
    <cellStyle name="Currency EN 3 7 8" xfId="17130"/>
    <cellStyle name="Currency EN 3 7 9" xfId="17131"/>
    <cellStyle name="Currency EN 3 8" xfId="17132"/>
    <cellStyle name="Currency EN 3 8 2" xfId="17133"/>
    <cellStyle name="Currency EN 3 8 2 2" xfId="17134"/>
    <cellStyle name="Currency EN 3 8 3" xfId="17135"/>
    <cellStyle name="Currency EN 3 8 4" xfId="17136"/>
    <cellStyle name="Currency EN 3 9" xfId="17137"/>
    <cellStyle name="Currency EN 4" xfId="17138"/>
    <cellStyle name="Currency EN 4 10" xfId="17139"/>
    <cellStyle name="Currency EN 4 11" xfId="17140"/>
    <cellStyle name="Currency EN 4 12" xfId="17141"/>
    <cellStyle name="Currency EN 4 13" xfId="17142"/>
    <cellStyle name="Currency EN 4 14" xfId="17143"/>
    <cellStyle name="Currency EN 4 15" xfId="17144"/>
    <cellStyle name="Currency EN 4 16" xfId="17145"/>
    <cellStyle name="Currency EN 4 17" xfId="17146"/>
    <cellStyle name="Currency EN 4 2" xfId="17147"/>
    <cellStyle name="Currency EN 4 2 10" xfId="17148"/>
    <cellStyle name="Currency EN 4 2 11" xfId="17149"/>
    <cellStyle name="Currency EN 4 2 12" xfId="17150"/>
    <cellStyle name="Currency EN 4 2 13" xfId="17151"/>
    <cellStyle name="Currency EN 4 2 14" xfId="17152"/>
    <cellStyle name="Currency EN 4 2 15" xfId="17153"/>
    <cellStyle name="Currency EN 4 2 16" xfId="17154"/>
    <cellStyle name="Currency EN 4 2 17" xfId="17155"/>
    <cellStyle name="Currency EN 4 2 18" xfId="17156"/>
    <cellStyle name="Currency EN 4 2 19" xfId="17157"/>
    <cellStyle name="Currency EN 4 2 2" xfId="17158"/>
    <cellStyle name="Currency EN 4 2 2 10" xfId="17159"/>
    <cellStyle name="Currency EN 4 2 2 11" xfId="17160"/>
    <cellStyle name="Currency EN 4 2 2 12" xfId="17161"/>
    <cellStyle name="Currency EN 4 2 2 13" xfId="17162"/>
    <cellStyle name="Currency EN 4 2 2 14" xfId="17163"/>
    <cellStyle name="Currency EN 4 2 2 15" xfId="17164"/>
    <cellStyle name="Currency EN 4 2 2 16" xfId="17165"/>
    <cellStyle name="Currency EN 4 2 2 17" xfId="17166"/>
    <cellStyle name="Currency EN 4 2 2 18" xfId="17167"/>
    <cellStyle name="Currency EN 4 2 2 2" xfId="17168"/>
    <cellStyle name="Currency EN 4 2 2 2 2" xfId="17169"/>
    <cellStyle name="Currency EN 4 2 2 2 2 2" xfId="17170"/>
    <cellStyle name="Currency EN 4 2 2 2 3" xfId="17171"/>
    <cellStyle name="Currency EN 4 2 2 2 4" xfId="17172"/>
    <cellStyle name="Currency EN 4 2 2 3" xfId="17173"/>
    <cellStyle name="Currency EN 4 2 2 3 2" xfId="17174"/>
    <cellStyle name="Currency EN 4 2 2 3 3" xfId="17175"/>
    <cellStyle name="Currency EN 4 2 2 4" xfId="17176"/>
    <cellStyle name="Currency EN 4 2 2 4 2" xfId="17177"/>
    <cellStyle name="Currency EN 4 2 2 5" xfId="17178"/>
    <cellStyle name="Currency EN 4 2 2 6" xfId="17179"/>
    <cellStyle name="Currency EN 4 2 2 7" xfId="17180"/>
    <cellStyle name="Currency EN 4 2 2 8" xfId="17181"/>
    <cellStyle name="Currency EN 4 2 2 9" xfId="17182"/>
    <cellStyle name="Currency EN 4 2 20" xfId="17183"/>
    <cellStyle name="Currency EN 4 2 3" xfId="17184"/>
    <cellStyle name="Currency EN 4 2 3 10" xfId="17185"/>
    <cellStyle name="Currency EN 4 2 3 11" xfId="17186"/>
    <cellStyle name="Currency EN 4 2 3 12" xfId="17187"/>
    <cellStyle name="Currency EN 4 2 3 13" xfId="17188"/>
    <cellStyle name="Currency EN 4 2 3 14" xfId="17189"/>
    <cellStyle name="Currency EN 4 2 3 15" xfId="17190"/>
    <cellStyle name="Currency EN 4 2 3 16" xfId="17191"/>
    <cellStyle name="Currency EN 4 2 3 17" xfId="17192"/>
    <cellStyle name="Currency EN 4 2 3 18" xfId="17193"/>
    <cellStyle name="Currency EN 4 2 3 2" xfId="17194"/>
    <cellStyle name="Currency EN 4 2 3 2 2" xfId="17195"/>
    <cellStyle name="Currency EN 4 2 3 2 2 2" xfId="17196"/>
    <cellStyle name="Currency EN 4 2 3 2 3" xfId="17197"/>
    <cellStyle name="Currency EN 4 2 3 2 4" xfId="17198"/>
    <cellStyle name="Currency EN 4 2 3 3" xfId="17199"/>
    <cellStyle name="Currency EN 4 2 3 3 2" xfId="17200"/>
    <cellStyle name="Currency EN 4 2 3 3 3" xfId="17201"/>
    <cellStyle name="Currency EN 4 2 3 4" xfId="17202"/>
    <cellStyle name="Currency EN 4 2 3 4 2" xfId="17203"/>
    <cellStyle name="Currency EN 4 2 3 5" xfId="17204"/>
    <cellStyle name="Currency EN 4 2 3 6" xfId="17205"/>
    <cellStyle name="Currency EN 4 2 3 7" xfId="17206"/>
    <cellStyle name="Currency EN 4 2 3 8" xfId="17207"/>
    <cellStyle name="Currency EN 4 2 3 9" xfId="17208"/>
    <cellStyle name="Currency EN 4 2 4" xfId="17209"/>
    <cellStyle name="Currency EN 4 2 4 2" xfId="17210"/>
    <cellStyle name="Currency EN 4 2 4 2 2" xfId="17211"/>
    <cellStyle name="Currency EN 4 2 4 2 3" xfId="17212"/>
    <cellStyle name="Currency EN 4 2 4 3" xfId="17213"/>
    <cellStyle name="Currency EN 4 2 4 3 2" xfId="17214"/>
    <cellStyle name="Currency EN 4 2 4 4" xfId="17215"/>
    <cellStyle name="Currency EN 4 2 4 5" xfId="17216"/>
    <cellStyle name="Currency EN 4 2 5" xfId="17217"/>
    <cellStyle name="Currency EN 4 2 5 2" xfId="17218"/>
    <cellStyle name="Currency EN 4 2 5 2 2" xfId="17219"/>
    <cellStyle name="Currency EN 4 2 5 3" xfId="17220"/>
    <cellStyle name="Currency EN 4 2 5 4" xfId="17221"/>
    <cellStyle name="Currency EN 4 2 6" xfId="17222"/>
    <cellStyle name="Currency EN 4 2 6 2" xfId="17223"/>
    <cellStyle name="Currency EN 4 2 6 3" xfId="17224"/>
    <cellStyle name="Currency EN 4 2 7" xfId="17225"/>
    <cellStyle name="Currency EN 4 2 7 2" xfId="17226"/>
    <cellStyle name="Currency EN 4 2 8" xfId="17227"/>
    <cellStyle name="Currency EN 4 2 9" xfId="17228"/>
    <cellStyle name="Currency EN 4 3" xfId="17229"/>
    <cellStyle name="Currency EN 4 3 10" xfId="17230"/>
    <cellStyle name="Currency EN 4 3 11" xfId="17231"/>
    <cellStyle name="Currency EN 4 3 12" xfId="17232"/>
    <cellStyle name="Currency EN 4 3 13" xfId="17233"/>
    <cellStyle name="Currency EN 4 3 14" xfId="17234"/>
    <cellStyle name="Currency EN 4 3 15" xfId="17235"/>
    <cellStyle name="Currency EN 4 3 16" xfId="17236"/>
    <cellStyle name="Currency EN 4 3 17" xfId="17237"/>
    <cellStyle name="Currency EN 4 3 18" xfId="17238"/>
    <cellStyle name="Currency EN 4 3 19" xfId="17239"/>
    <cellStyle name="Currency EN 4 3 2" xfId="17240"/>
    <cellStyle name="Currency EN 4 3 2 10" xfId="17241"/>
    <cellStyle name="Currency EN 4 3 2 11" xfId="17242"/>
    <cellStyle name="Currency EN 4 3 2 12" xfId="17243"/>
    <cellStyle name="Currency EN 4 3 2 13" xfId="17244"/>
    <cellStyle name="Currency EN 4 3 2 14" xfId="17245"/>
    <cellStyle name="Currency EN 4 3 2 15" xfId="17246"/>
    <cellStyle name="Currency EN 4 3 2 16" xfId="17247"/>
    <cellStyle name="Currency EN 4 3 2 17" xfId="17248"/>
    <cellStyle name="Currency EN 4 3 2 18" xfId="17249"/>
    <cellStyle name="Currency EN 4 3 2 2" xfId="17250"/>
    <cellStyle name="Currency EN 4 3 2 2 2" xfId="17251"/>
    <cellStyle name="Currency EN 4 3 2 2 2 2" xfId="17252"/>
    <cellStyle name="Currency EN 4 3 2 2 3" xfId="17253"/>
    <cellStyle name="Currency EN 4 3 2 2 4" xfId="17254"/>
    <cellStyle name="Currency EN 4 3 2 3" xfId="17255"/>
    <cellStyle name="Currency EN 4 3 2 3 2" xfId="17256"/>
    <cellStyle name="Currency EN 4 3 2 3 3" xfId="17257"/>
    <cellStyle name="Currency EN 4 3 2 4" xfId="17258"/>
    <cellStyle name="Currency EN 4 3 2 4 2" xfId="17259"/>
    <cellStyle name="Currency EN 4 3 2 5" xfId="17260"/>
    <cellStyle name="Currency EN 4 3 2 6" xfId="17261"/>
    <cellStyle name="Currency EN 4 3 2 7" xfId="17262"/>
    <cellStyle name="Currency EN 4 3 2 8" xfId="17263"/>
    <cellStyle name="Currency EN 4 3 2 9" xfId="17264"/>
    <cellStyle name="Currency EN 4 3 3" xfId="17265"/>
    <cellStyle name="Currency EN 4 3 3 10" xfId="17266"/>
    <cellStyle name="Currency EN 4 3 3 11" xfId="17267"/>
    <cellStyle name="Currency EN 4 3 3 12" xfId="17268"/>
    <cellStyle name="Currency EN 4 3 3 13" xfId="17269"/>
    <cellStyle name="Currency EN 4 3 3 14" xfId="17270"/>
    <cellStyle name="Currency EN 4 3 3 15" xfId="17271"/>
    <cellStyle name="Currency EN 4 3 3 16" xfId="17272"/>
    <cellStyle name="Currency EN 4 3 3 17" xfId="17273"/>
    <cellStyle name="Currency EN 4 3 3 18" xfId="17274"/>
    <cellStyle name="Currency EN 4 3 3 2" xfId="17275"/>
    <cellStyle name="Currency EN 4 3 3 2 2" xfId="17276"/>
    <cellStyle name="Currency EN 4 3 3 2 2 2" xfId="17277"/>
    <cellStyle name="Currency EN 4 3 3 2 3" xfId="17278"/>
    <cellStyle name="Currency EN 4 3 3 2 4" xfId="17279"/>
    <cellStyle name="Currency EN 4 3 3 3" xfId="17280"/>
    <cellStyle name="Currency EN 4 3 3 3 2" xfId="17281"/>
    <cellStyle name="Currency EN 4 3 3 3 3" xfId="17282"/>
    <cellStyle name="Currency EN 4 3 3 4" xfId="17283"/>
    <cellStyle name="Currency EN 4 3 3 4 2" xfId="17284"/>
    <cellStyle name="Currency EN 4 3 3 5" xfId="17285"/>
    <cellStyle name="Currency EN 4 3 3 6" xfId="17286"/>
    <cellStyle name="Currency EN 4 3 3 7" xfId="17287"/>
    <cellStyle name="Currency EN 4 3 3 8" xfId="17288"/>
    <cellStyle name="Currency EN 4 3 3 9" xfId="17289"/>
    <cellStyle name="Currency EN 4 3 4" xfId="17290"/>
    <cellStyle name="Currency EN 4 3 4 2" xfId="17291"/>
    <cellStyle name="Currency EN 4 3 4 2 2" xfId="17292"/>
    <cellStyle name="Currency EN 4 3 4 2 3" xfId="17293"/>
    <cellStyle name="Currency EN 4 3 4 3" xfId="17294"/>
    <cellStyle name="Currency EN 4 3 4 3 2" xfId="17295"/>
    <cellStyle name="Currency EN 4 3 4 4" xfId="17296"/>
    <cellStyle name="Currency EN 4 3 4 5" xfId="17297"/>
    <cellStyle name="Currency EN 4 3 5" xfId="17298"/>
    <cellStyle name="Currency EN 4 3 5 2" xfId="17299"/>
    <cellStyle name="Currency EN 4 3 5 2 2" xfId="17300"/>
    <cellStyle name="Currency EN 4 3 5 3" xfId="17301"/>
    <cellStyle name="Currency EN 4 3 5 4" xfId="17302"/>
    <cellStyle name="Currency EN 4 3 6" xfId="17303"/>
    <cellStyle name="Currency EN 4 3 6 2" xfId="17304"/>
    <cellStyle name="Currency EN 4 3 6 3" xfId="17305"/>
    <cellStyle name="Currency EN 4 3 7" xfId="17306"/>
    <cellStyle name="Currency EN 4 3 7 2" xfId="17307"/>
    <cellStyle name="Currency EN 4 3 8" xfId="17308"/>
    <cellStyle name="Currency EN 4 3 9" xfId="17309"/>
    <cellStyle name="Currency EN 4 4" xfId="17310"/>
    <cellStyle name="Currency EN 4 4 10" xfId="17311"/>
    <cellStyle name="Currency EN 4 4 11" xfId="17312"/>
    <cellStyle name="Currency EN 4 4 12" xfId="17313"/>
    <cellStyle name="Currency EN 4 4 13" xfId="17314"/>
    <cellStyle name="Currency EN 4 4 14" xfId="17315"/>
    <cellStyle name="Currency EN 4 4 15" xfId="17316"/>
    <cellStyle name="Currency EN 4 4 16" xfId="17317"/>
    <cellStyle name="Currency EN 4 4 17" xfId="17318"/>
    <cellStyle name="Currency EN 4 4 2" xfId="17319"/>
    <cellStyle name="Currency EN 4 4 2 10" xfId="17320"/>
    <cellStyle name="Currency EN 4 4 2 11" xfId="17321"/>
    <cellStyle name="Currency EN 4 4 2 12" xfId="17322"/>
    <cellStyle name="Currency EN 4 4 2 13" xfId="17323"/>
    <cellStyle name="Currency EN 4 4 2 14" xfId="17324"/>
    <cellStyle name="Currency EN 4 4 2 15" xfId="17325"/>
    <cellStyle name="Currency EN 4 4 2 16" xfId="17326"/>
    <cellStyle name="Currency EN 4 4 2 17" xfId="17327"/>
    <cellStyle name="Currency EN 4 4 2 18" xfId="17328"/>
    <cellStyle name="Currency EN 4 4 2 2" xfId="17329"/>
    <cellStyle name="Currency EN 4 4 2 2 2" xfId="17330"/>
    <cellStyle name="Currency EN 4 4 2 2 2 2" xfId="17331"/>
    <cellStyle name="Currency EN 4 4 2 2 3" xfId="17332"/>
    <cellStyle name="Currency EN 4 4 2 2 4" xfId="17333"/>
    <cellStyle name="Currency EN 4 4 2 3" xfId="17334"/>
    <cellStyle name="Currency EN 4 4 2 3 2" xfId="17335"/>
    <cellStyle name="Currency EN 4 4 2 3 3" xfId="17336"/>
    <cellStyle name="Currency EN 4 4 2 4" xfId="17337"/>
    <cellStyle name="Currency EN 4 4 2 4 2" xfId="17338"/>
    <cellStyle name="Currency EN 4 4 2 5" xfId="17339"/>
    <cellStyle name="Currency EN 4 4 2 6" xfId="17340"/>
    <cellStyle name="Currency EN 4 4 2 7" xfId="17341"/>
    <cellStyle name="Currency EN 4 4 2 8" xfId="17342"/>
    <cellStyle name="Currency EN 4 4 2 9" xfId="17343"/>
    <cellStyle name="Currency EN 4 4 3" xfId="17344"/>
    <cellStyle name="Currency EN 4 4 3 10" xfId="17345"/>
    <cellStyle name="Currency EN 4 4 3 11" xfId="17346"/>
    <cellStyle name="Currency EN 4 4 3 12" xfId="17347"/>
    <cellStyle name="Currency EN 4 4 3 13" xfId="17348"/>
    <cellStyle name="Currency EN 4 4 3 14" xfId="17349"/>
    <cellStyle name="Currency EN 4 4 3 15" xfId="17350"/>
    <cellStyle name="Currency EN 4 4 3 16" xfId="17351"/>
    <cellStyle name="Currency EN 4 4 3 17" xfId="17352"/>
    <cellStyle name="Currency EN 4 4 3 18" xfId="17353"/>
    <cellStyle name="Currency EN 4 4 3 2" xfId="17354"/>
    <cellStyle name="Currency EN 4 4 3 2 2" xfId="17355"/>
    <cellStyle name="Currency EN 4 4 3 2 2 2" xfId="17356"/>
    <cellStyle name="Currency EN 4 4 3 2 3" xfId="17357"/>
    <cellStyle name="Currency EN 4 4 3 2 4" xfId="17358"/>
    <cellStyle name="Currency EN 4 4 3 3" xfId="17359"/>
    <cellStyle name="Currency EN 4 4 3 3 2" xfId="17360"/>
    <cellStyle name="Currency EN 4 4 3 3 3" xfId="17361"/>
    <cellStyle name="Currency EN 4 4 3 4" xfId="17362"/>
    <cellStyle name="Currency EN 4 4 3 4 2" xfId="17363"/>
    <cellStyle name="Currency EN 4 4 3 5" xfId="17364"/>
    <cellStyle name="Currency EN 4 4 3 6" xfId="17365"/>
    <cellStyle name="Currency EN 4 4 3 7" xfId="17366"/>
    <cellStyle name="Currency EN 4 4 3 8" xfId="17367"/>
    <cellStyle name="Currency EN 4 4 3 9" xfId="17368"/>
    <cellStyle name="Currency EN 4 4 4" xfId="17369"/>
    <cellStyle name="Currency EN 4 4 4 2" xfId="17370"/>
    <cellStyle name="Currency EN 4 4 4 2 2" xfId="17371"/>
    <cellStyle name="Currency EN 4 4 4 2 3" xfId="17372"/>
    <cellStyle name="Currency EN 4 4 4 3" xfId="17373"/>
    <cellStyle name="Currency EN 4 4 4 3 2" xfId="17374"/>
    <cellStyle name="Currency EN 4 4 4 4" xfId="17375"/>
    <cellStyle name="Currency EN 4 4 4 5" xfId="17376"/>
    <cellStyle name="Currency EN 4 4 5" xfId="17377"/>
    <cellStyle name="Currency EN 4 4 5 2" xfId="17378"/>
    <cellStyle name="Currency EN 4 4 5 2 2" xfId="17379"/>
    <cellStyle name="Currency EN 4 4 5 3" xfId="17380"/>
    <cellStyle name="Currency EN 4 4 5 4" xfId="17381"/>
    <cellStyle name="Currency EN 4 4 6" xfId="17382"/>
    <cellStyle name="Currency EN 4 4 6 2" xfId="17383"/>
    <cellStyle name="Currency EN 4 4 6 3" xfId="17384"/>
    <cellStyle name="Currency EN 4 4 7" xfId="17385"/>
    <cellStyle name="Currency EN 4 4 7 2" xfId="17386"/>
    <cellStyle name="Currency EN 4 4 8" xfId="17387"/>
    <cellStyle name="Currency EN 4 4 9" xfId="17388"/>
    <cellStyle name="Currency EN 4 5" xfId="17389"/>
    <cellStyle name="Currency EN 4 5 10" xfId="17390"/>
    <cellStyle name="Currency EN 4 5 11" xfId="17391"/>
    <cellStyle name="Currency EN 4 5 12" xfId="17392"/>
    <cellStyle name="Currency EN 4 5 13" xfId="17393"/>
    <cellStyle name="Currency EN 4 5 14" xfId="17394"/>
    <cellStyle name="Currency EN 4 5 15" xfId="17395"/>
    <cellStyle name="Currency EN 4 5 2" xfId="17396"/>
    <cellStyle name="Currency EN 4 5 2 10" xfId="17397"/>
    <cellStyle name="Currency EN 4 5 2 11" xfId="17398"/>
    <cellStyle name="Currency EN 4 5 2 12" xfId="17399"/>
    <cellStyle name="Currency EN 4 5 2 13" xfId="17400"/>
    <cellStyle name="Currency EN 4 5 2 14" xfId="17401"/>
    <cellStyle name="Currency EN 4 5 2 15" xfId="17402"/>
    <cellStyle name="Currency EN 4 5 2 16" xfId="17403"/>
    <cellStyle name="Currency EN 4 5 2 17" xfId="17404"/>
    <cellStyle name="Currency EN 4 5 2 18" xfId="17405"/>
    <cellStyle name="Currency EN 4 5 2 2" xfId="17406"/>
    <cellStyle name="Currency EN 4 5 2 2 2" xfId="17407"/>
    <cellStyle name="Currency EN 4 5 2 2 2 2" xfId="17408"/>
    <cellStyle name="Currency EN 4 5 2 2 3" xfId="17409"/>
    <cellStyle name="Currency EN 4 5 2 2 4" xfId="17410"/>
    <cellStyle name="Currency EN 4 5 2 3" xfId="17411"/>
    <cellStyle name="Currency EN 4 5 2 3 2" xfId="17412"/>
    <cellStyle name="Currency EN 4 5 2 3 3" xfId="17413"/>
    <cellStyle name="Currency EN 4 5 2 4" xfId="17414"/>
    <cellStyle name="Currency EN 4 5 2 4 2" xfId="17415"/>
    <cellStyle name="Currency EN 4 5 2 5" xfId="17416"/>
    <cellStyle name="Currency EN 4 5 2 6" xfId="17417"/>
    <cellStyle name="Currency EN 4 5 2 7" xfId="17418"/>
    <cellStyle name="Currency EN 4 5 2 8" xfId="17419"/>
    <cellStyle name="Currency EN 4 5 2 9" xfId="17420"/>
    <cellStyle name="Currency EN 4 5 3" xfId="17421"/>
    <cellStyle name="Currency EN 4 5 3 10" xfId="17422"/>
    <cellStyle name="Currency EN 4 5 3 11" xfId="17423"/>
    <cellStyle name="Currency EN 4 5 3 12" xfId="17424"/>
    <cellStyle name="Currency EN 4 5 3 13" xfId="17425"/>
    <cellStyle name="Currency EN 4 5 3 14" xfId="17426"/>
    <cellStyle name="Currency EN 4 5 3 15" xfId="17427"/>
    <cellStyle name="Currency EN 4 5 3 16" xfId="17428"/>
    <cellStyle name="Currency EN 4 5 3 17" xfId="17429"/>
    <cellStyle name="Currency EN 4 5 3 18" xfId="17430"/>
    <cellStyle name="Currency EN 4 5 3 2" xfId="17431"/>
    <cellStyle name="Currency EN 4 5 3 2 2" xfId="17432"/>
    <cellStyle name="Currency EN 4 5 3 2 2 2" xfId="17433"/>
    <cellStyle name="Currency EN 4 5 3 2 3" xfId="17434"/>
    <cellStyle name="Currency EN 4 5 3 2 4" xfId="17435"/>
    <cellStyle name="Currency EN 4 5 3 3" xfId="17436"/>
    <cellStyle name="Currency EN 4 5 3 3 2" xfId="17437"/>
    <cellStyle name="Currency EN 4 5 3 3 3" xfId="17438"/>
    <cellStyle name="Currency EN 4 5 3 4" xfId="17439"/>
    <cellStyle name="Currency EN 4 5 3 4 2" xfId="17440"/>
    <cellStyle name="Currency EN 4 5 3 5" xfId="17441"/>
    <cellStyle name="Currency EN 4 5 3 6" xfId="17442"/>
    <cellStyle name="Currency EN 4 5 3 7" xfId="17443"/>
    <cellStyle name="Currency EN 4 5 3 8" xfId="17444"/>
    <cellStyle name="Currency EN 4 5 3 9" xfId="17445"/>
    <cellStyle name="Currency EN 4 5 4" xfId="17446"/>
    <cellStyle name="Currency EN 4 5 4 2" xfId="17447"/>
    <cellStyle name="Currency EN 4 5 4 2 2" xfId="17448"/>
    <cellStyle name="Currency EN 4 5 4 2 3" xfId="17449"/>
    <cellStyle name="Currency EN 4 5 4 3" xfId="17450"/>
    <cellStyle name="Currency EN 4 5 4 3 2" xfId="17451"/>
    <cellStyle name="Currency EN 4 5 4 4" xfId="17452"/>
    <cellStyle name="Currency EN 4 5 4 5" xfId="17453"/>
    <cellStyle name="Currency EN 4 5 5" xfId="17454"/>
    <cellStyle name="Currency EN 4 5 5 2" xfId="17455"/>
    <cellStyle name="Currency EN 4 5 5 2 2" xfId="17456"/>
    <cellStyle name="Currency EN 4 5 5 3" xfId="17457"/>
    <cellStyle name="Currency EN 4 5 5 4" xfId="17458"/>
    <cellStyle name="Currency EN 4 5 6" xfId="17459"/>
    <cellStyle name="Currency EN 4 5 6 2" xfId="17460"/>
    <cellStyle name="Currency EN 4 5 7" xfId="17461"/>
    <cellStyle name="Currency EN 4 5 8" xfId="17462"/>
    <cellStyle name="Currency EN 4 5 9" xfId="17463"/>
    <cellStyle name="Currency EN 4 6" xfId="17464"/>
    <cellStyle name="Currency EN 4 6 10" xfId="17465"/>
    <cellStyle name="Currency EN 4 6 11" xfId="17466"/>
    <cellStyle name="Currency EN 4 6 12" xfId="17467"/>
    <cellStyle name="Currency EN 4 6 13" xfId="17468"/>
    <cellStyle name="Currency EN 4 6 14" xfId="17469"/>
    <cellStyle name="Currency EN 4 6 15" xfId="17470"/>
    <cellStyle name="Currency EN 4 6 16" xfId="17471"/>
    <cellStyle name="Currency EN 4 6 17" xfId="17472"/>
    <cellStyle name="Currency EN 4 6 18" xfId="17473"/>
    <cellStyle name="Currency EN 4 6 2" xfId="17474"/>
    <cellStyle name="Currency EN 4 6 2 2" xfId="17475"/>
    <cellStyle name="Currency EN 4 6 2 2 2" xfId="17476"/>
    <cellStyle name="Currency EN 4 6 2 3" xfId="17477"/>
    <cellStyle name="Currency EN 4 6 2 4" xfId="17478"/>
    <cellStyle name="Currency EN 4 6 3" xfId="17479"/>
    <cellStyle name="Currency EN 4 6 3 2" xfId="17480"/>
    <cellStyle name="Currency EN 4 6 3 3" xfId="17481"/>
    <cellStyle name="Currency EN 4 6 4" xfId="17482"/>
    <cellStyle name="Currency EN 4 6 4 2" xfId="17483"/>
    <cellStyle name="Currency EN 4 6 5" xfId="17484"/>
    <cellStyle name="Currency EN 4 6 6" xfId="17485"/>
    <cellStyle name="Currency EN 4 6 7" xfId="17486"/>
    <cellStyle name="Currency EN 4 6 8" xfId="17487"/>
    <cellStyle name="Currency EN 4 6 9" xfId="17488"/>
    <cellStyle name="Currency EN 4 7" xfId="17489"/>
    <cellStyle name="Currency EN 4 7 10" xfId="17490"/>
    <cellStyle name="Currency EN 4 7 11" xfId="17491"/>
    <cellStyle name="Currency EN 4 7 12" xfId="17492"/>
    <cellStyle name="Currency EN 4 7 13" xfId="17493"/>
    <cellStyle name="Currency EN 4 7 14" xfId="17494"/>
    <cellStyle name="Currency EN 4 7 15" xfId="17495"/>
    <cellStyle name="Currency EN 4 7 16" xfId="17496"/>
    <cellStyle name="Currency EN 4 7 17" xfId="17497"/>
    <cellStyle name="Currency EN 4 7 18" xfId="17498"/>
    <cellStyle name="Currency EN 4 7 2" xfId="17499"/>
    <cellStyle name="Currency EN 4 7 2 2" xfId="17500"/>
    <cellStyle name="Currency EN 4 7 2 3" xfId="17501"/>
    <cellStyle name="Currency EN 4 7 3" xfId="17502"/>
    <cellStyle name="Currency EN 4 7 3 2" xfId="17503"/>
    <cellStyle name="Currency EN 4 7 4" xfId="17504"/>
    <cellStyle name="Currency EN 4 7 5" xfId="17505"/>
    <cellStyle name="Currency EN 4 7 6" xfId="17506"/>
    <cellStyle name="Currency EN 4 7 7" xfId="17507"/>
    <cellStyle name="Currency EN 4 7 8" xfId="17508"/>
    <cellStyle name="Currency EN 4 7 9" xfId="17509"/>
    <cellStyle name="Currency EN 4 8" xfId="17510"/>
    <cellStyle name="Currency EN 4 8 2" xfId="17511"/>
    <cellStyle name="Currency EN 4 8 2 2" xfId="17512"/>
    <cellStyle name="Currency EN 4 8 3" xfId="17513"/>
    <cellStyle name="Currency EN 4 8 4" xfId="17514"/>
    <cellStyle name="Currency EN 4 9" xfId="17515"/>
    <cellStyle name="Currency EN 5" xfId="17516"/>
    <cellStyle name="Currency EN 5 10" xfId="17517"/>
    <cellStyle name="Currency EN 5 11" xfId="17518"/>
    <cellStyle name="Currency EN 5 12" xfId="17519"/>
    <cellStyle name="Currency EN 5 13" xfId="17520"/>
    <cellStyle name="Currency EN 5 14" xfId="17521"/>
    <cellStyle name="Currency EN 5 15" xfId="17522"/>
    <cellStyle name="Currency EN 5 16" xfId="17523"/>
    <cellStyle name="Currency EN 5 17" xfId="17524"/>
    <cellStyle name="Currency EN 5 18" xfId="17525"/>
    <cellStyle name="Currency EN 5 19" xfId="17526"/>
    <cellStyle name="Currency EN 5 2" xfId="17527"/>
    <cellStyle name="Currency EN 5 2 10" xfId="17528"/>
    <cellStyle name="Currency EN 5 2 11" xfId="17529"/>
    <cellStyle name="Currency EN 5 2 12" xfId="17530"/>
    <cellStyle name="Currency EN 5 2 13" xfId="17531"/>
    <cellStyle name="Currency EN 5 2 14" xfId="17532"/>
    <cellStyle name="Currency EN 5 2 15" xfId="17533"/>
    <cellStyle name="Currency EN 5 2 16" xfId="17534"/>
    <cellStyle name="Currency EN 5 2 17" xfId="17535"/>
    <cellStyle name="Currency EN 5 2 18" xfId="17536"/>
    <cellStyle name="Currency EN 5 2 2" xfId="17537"/>
    <cellStyle name="Currency EN 5 2 2 2" xfId="17538"/>
    <cellStyle name="Currency EN 5 2 2 2 2" xfId="17539"/>
    <cellStyle name="Currency EN 5 2 2 3" xfId="17540"/>
    <cellStyle name="Currency EN 5 2 2 4" xfId="17541"/>
    <cellStyle name="Currency EN 5 2 3" xfId="17542"/>
    <cellStyle name="Currency EN 5 2 3 2" xfId="17543"/>
    <cellStyle name="Currency EN 5 2 3 3" xfId="17544"/>
    <cellStyle name="Currency EN 5 2 4" xfId="17545"/>
    <cellStyle name="Currency EN 5 2 4 2" xfId="17546"/>
    <cellStyle name="Currency EN 5 2 5" xfId="17547"/>
    <cellStyle name="Currency EN 5 2 6" xfId="17548"/>
    <cellStyle name="Currency EN 5 2 7" xfId="17549"/>
    <cellStyle name="Currency EN 5 2 8" xfId="17550"/>
    <cellStyle name="Currency EN 5 2 9" xfId="17551"/>
    <cellStyle name="Currency EN 5 20" xfId="17552"/>
    <cellStyle name="Currency EN 5 3" xfId="17553"/>
    <cellStyle name="Currency EN 5 3 10" xfId="17554"/>
    <cellStyle name="Currency EN 5 3 11" xfId="17555"/>
    <cellStyle name="Currency EN 5 3 12" xfId="17556"/>
    <cellStyle name="Currency EN 5 3 13" xfId="17557"/>
    <cellStyle name="Currency EN 5 3 14" xfId="17558"/>
    <cellStyle name="Currency EN 5 3 15" xfId="17559"/>
    <cellStyle name="Currency EN 5 3 16" xfId="17560"/>
    <cellStyle name="Currency EN 5 3 17" xfId="17561"/>
    <cellStyle name="Currency EN 5 3 18" xfId="17562"/>
    <cellStyle name="Currency EN 5 3 2" xfId="17563"/>
    <cellStyle name="Currency EN 5 3 2 2" xfId="17564"/>
    <cellStyle name="Currency EN 5 3 2 2 2" xfId="17565"/>
    <cellStyle name="Currency EN 5 3 2 3" xfId="17566"/>
    <cellStyle name="Currency EN 5 3 2 4" xfId="17567"/>
    <cellStyle name="Currency EN 5 3 3" xfId="17568"/>
    <cellStyle name="Currency EN 5 3 3 2" xfId="17569"/>
    <cellStyle name="Currency EN 5 3 3 3" xfId="17570"/>
    <cellStyle name="Currency EN 5 3 4" xfId="17571"/>
    <cellStyle name="Currency EN 5 3 4 2" xfId="17572"/>
    <cellStyle name="Currency EN 5 3 5" xfId="17573"/>
    <cellStyle name="Currency EN 5 3 6" xfId="17574"/>
    <cellStyle name="Currency EN 5 3 7" xfId="17575"/>
    <cellStyle name="Currency EN 5 3 8" xfId="17576"/>
    <cellStyle name="Currency EN 5 3 9" xfId="17577"/>
    <cellStyle name="Currency EN 5 4" xfId="17578"/>
    <cellStyle name="Currency EN 5 4 2" xfId="17579"/>
    <cellStyle name="Currency EN 5 4 2 2" xfId="17580"/>
    <cellStyle name="Currency EN 5 4 2 3" xfId="17581"/>
    <cellStyle name="Currency EN 5 4 3" xfId="17582"/>
    <cellStyle name="Currency EN 5 4 3 2" xfId="17583"/>
    <cellStyle name="Currency EN 5 4 4" xfId="17584"/>
    <cellStyle name="Currency EN 5 4 5" xfId="17585"/>
    <cellStyle name="Currency EN 5 5" xfId="17586"/>
    <cellStyle name="Currency EN 5 5 2" xfId="17587"/>
    <cellStyle name="Currency EN 5 5 2 2" xfId="17588"/>
    <cellStyle name="Currency EN 5 5 3" xfId="17589"/>
    <cellStyle name="Currency EN 5 5 4" xfId="17590"/>
    <cellStyle name="Currency EN 5 6" xfId="17591"/>
    <cellStyle name="Currency EN 5 6 2" xfId="17592"/>
    <cellStyle name="Currency EN 5 6 3" xfId="17593"/>
    <cellStyle name="Currency EN 5 7" xfId="17594"/>
    <cellStyle name="Currency EN 5 7 2" xfId="17595"/>
    <cellStyle name="Currency EN 5 8" xfId="17596"/>
    <cellStyle name="Currency EN 5 9" xfId="17597"/>
    <cellStyle name="Currency EN 6" xfId="17598"/>
    <cellStyle name="Currency EN 6 10" xfId="17599"/>
    <cellStyle name="Currency EN 6 11" xfId="17600"/>
    <cellStyle name="Currency EN 6 12" xfId="17601"/>
    <cellStyle name="Currency EN 6 13" xfId="17602"/>
    <cellStyle name="Currency EN 6 14" xfId="17603"/>
    <cellStyle name="Currency EN 6 15" xfId="17604"/>
    <cellStyle name="Currency EN 6 16" xfId="17605"/>
    <cellStyle name="Currency EN 6 17" xfId="17606"/>
    <cellStyle name="Currency EN 6 18" xfId="17607"/>
    <cellStyle name="Currency EN 6 19" xfId="17608"/>
    <cellStyle name="Currency EN 6 2" xfId="17609"/>
    <cellStyle name="Currency EN 6 2 10" xfId="17610"/>
    <cellStyle name="Currency EN 6 2 11" xfId="17611"/>
    <cellStyle name="Currency EN 6 2 12" xfId="17612"/>
    <cellStyle name="Currency EN 6 2 13" xfId="17613"/>
    <cellStyle name="Currency EN 6 2 14" xfId="17614"/>
    <cellStyle name="Currency EN 6 2 15" xfId="17615"/>
    <cellStyle name="Currency EN 6 2 16" xfId="17616"/>
    <cellStyle name="Currency EN 6 2 17" xfId="17617"/>
    <cellStyle name="Currency EN 6 2 18" xfId="17618"/>
    <cellStyle name="Currency EN 6 2 2" xfId="17619"/>
    <cellStyle name="Currency EN 6 2 2 2" xfId="17620"/>
    <cellStyle name="Currency EN 6 2 2 2 2" xfId="17621"/>
    <cellStyle name="Currency EN 6 2 2 3" xfId="17622"/>
    <cellStyle name="Currency EN 6 2 2 4" xfId="17623"/>
    <cellStyle name="Currency EN 6 2 3" xfId="17624"/>
    <cellStyle name="Currency EN 6 2 3 2" xfId="17625"/>
    <cellStyle name="Currency EN 6 2 3 3" xfId="17626"/>
    <cellStyle name="Currency EN 6 2 4" xfId="17627"/>
    <cellStyle name="Currency EN 6 2 4 2" xfId="17628"/>
    <cellStyle name="Currency EN 6 2 5" xfId="17629"/>
    <cellStyle name="Currency EN 6 2 6" xfId="17630"/>
    <cellStyle name="Currency EN 6 2 7" xfId="17631"/>
    <cellStyle name="Currency EN 6 2 8" xfId="17632"/>
    <cellStyle name="Currency EN 6 2 9" xfId="17633"/>
    <cellStyle name="Currency EN 6 3" xfId="17634"/>
    <cellStyle name="Currency EN 6 3 10" xfId="17635"/>
    <cellStyle name="Currency EN 6 3 11" xfId="17636"/>
    <cellStyle name="Currency EN 6 3 12" xfId="17637"/>
    <cellStyle name="Currency EN 6 3 13" xfId="17638"/>
    <cellStyle name="Currency EN 6 3 14" xfId="17639"/>
    <cellStyle name="Currency EN 6 3 15" xfId="17640"/>
    <cellStyle name="Currency EN 6 3 16" xfId="17641"/>
    <cellStyle name="Currency EN 6 3 17" xfId="17642"/>
    <cellStyle name="Currency EN 6 3 18" xfId="17643"/>
    <cellStyle name="Currency EN 6 3 2" xfId="17644"/>
    <cellStyle name="Currency EN 6 3 2 2" xfId="17645"/>
    <cellStyle name="Currency EN 6 3 2 2 2" xfId="17646"/>
    <cellStyle name="Currency EN 6 3 2 3" xfId="17647"/>
    <cellStyle name="Currency EN 6 3 2 4" xfId="17648"/>
    <cellStyle name="Currency EN 6 3 3" xfId="17649"/>
    <cellStyle name="Currency EN 6 3 3 2" xfId="17650"/>
    <cellStyle name="Currency EN 6 3 3 3" xfId="17651"/>
    <cellStyle name="Currency EN 6 3 4" xfId="17652"/>
    <cellStyle name="Currency EN 6 3 4 2" xfId="17653"/>
    <cellStyle name="Currency EN 6 3 5" xfId="17654"/>
    <cellStyle name="Currency EN 6 3 6" xfId="17655"/>
    <cellStyle name="Currency EN 6 3 7" xfId="17656"/>
    <cellStyle name="Currency EN 6 3 8" xfId="17657"/>
    <cellStyle name="Currency EN 6 3 9" xfId="17658"/>
    <cellStyle name="Currency EN 6 4" xfId="17659"/>
    <cellStyle name="Currency EN 6 4 2" xfId="17660"/>
    <cellStyle name="Currency EN 6 4 2 2" xfId="17661"/>
    <cellStyle name="Currency EN 6 4 2 3" xfId="17662"/>
    <cellStyle name="Currency EN 6 4 3" xfId="17663"/>
    <cellStyle name="Currency EN 6 4 3 2" xfId="17664"/>
    <cellStyle name="Currency EN 6 4 4" xfId="17665"/>
    <cellStyle name="Currency EN 6 4 5" xfId="17666"/>
    <cellStyle name="Currency EN 6 5" xfId="17667"/>
    <cellStyle name="Currency EN 6 5 2" xfId="17668"/>
    <cellStyle name="Currency EN 6 5 2 2" xfId="17669"/>
    <cellStyle name="Currency EN 6 5 3" xfId="17670"/>
    <cellStyle name="Currency EN 6 5 4" xfId="17671"/>
    <cellStyle name="Currency EN 6 6" xfId="17672"/>
    <cellStyle name="Currency EN 6 6 2" xfId="17673"/>
    <cellStyle name="Currency EN 6 6 3" xfId="17674"/>
    <cellStyle name="Currency EN 6 7" xfId="17675"/>
    <cellStyle name="Currency EN 6 7 2" xfId="17676"/>
    <cellStyle name="Currency EN 6 8" xfId="17677"/>
    <cellStyle name="Currency EN 6 9" xfId="17678"/>
    <cellStyle name="Currency EN 7" xfId="17679"/>
    <cellStyle name="Currency EN 7 10" xfId="17680"/>
    <cellStyle name="Currency EN 7 11" xfId="17681"/>
    <cellStyle name="Currency EN 7 12" xfId="17682"/>
    <cellStyle name="Currency EN 7 13" xfId="17683"/>
    <cellStyle name="Currency EN 7 14" xfId="17684"/>
    <cellStyle name="Currency EN 7 15" xfId="17685"/>
    <cellStyle name="Currency EN 7 16" xfId="17686"/>
    <cellStyle name="Currency EN 7 17" xfId="17687"/>
    <cellStyle name="Currency EN 7 2" xfId="17688"/>
    <cellStyle name="Currency EN 7 2 10" xfId="17689"/>
    <cellStyle name="Currency EN 7 2 11" xfId="17690"/>
    <cellStyle name="Currency EN 7 2 12" xfId="17691"/>
    <cellStyle name="Currency EN 7 2 13" xfId="17692"/>
    <cellStyle name="Currency EN 7 2 14" xfId="17693"/>
    <cellStyle name="Currency EN 7 2 15" xfId="17694"/>
    <cellStyle name="Currency EN 7 2 16" xfId="17695"/>
    <cellStyle name="Currency EN 7 2 17" xfId="17696"/>
    <cellStyle name="Currency EN 7 2 18" xfId="17697"/>
    <cellStyle name="Currency EN 7 2 2" xfId="17698"/>
    <cellStyle name="Currency EN 7 2 2 2" xfId="17699"/>
    <cellStyle name="Currency EN 7 2 2 2 2" xfId="17700"/>
    <cellStyle name="Currency EN 7 2 2 3" xfId="17701"/>
    <cellStyle name="Currency EN 7 2 2 4" xfId="17702"/>
    <cellStyle name="Currency EN 7 2 3" xfId="17703"/>
    <cellStyle name="Currency EN 7 2 3 2" xfId="17704"/>
    <cellStyle name="Currency EN 7 2 3 3" xfId="17705"/>
    <cellStyle name="Currency EN 7 2 4" xfId="17706"/>
    <cellStyle name="Currency EN 7 2 4 2" xfId="17707"/>
    <cellStyle name="Currency EN 7 2 5" xfId="17708"/>
    <cellStyle name="Currency EN 7 2 6" xfId="17709"/>
    <cellStyle name="Currency EN 7 2 7" xfId="17710"/>
    <cellStyle name="Currency EN 7 2 8" xfId="17711"/>
    <cellStyle name="Currency EN 7 2 9" xfId="17712"/>
    <cellStyle name="Currency EN 7 3" xfId="17713"/>
    <cellStyle name="Currency EN 7 3 10" xfId="17714"/>
    <cellStyle name="Currency EN 7 3 11" xfId="17715"/>
    <cellStyle name="Currency EN 7 3 12" xfId="17716"/>
    <cellStyle name="Currency EN 7 3 13" xfId="17717"/>
    <cellStyle name="Currency EN 7 3 14" xfId="17718"/>
    <cellStyle name="Currency EN 7 3 15" xfId="17719"/>
    <cellStyle name="Currency EN 7 3 16" xfId="17720"/>
    <cellStyle name="Currency EN 7 3 17" xfId="17721"/>
    <cellStyle name="Currency EN 7 3 18" xfId="17722"/>
    <cellStyle name="Currency EN 7 3 2" xfId="17723"/>
    <cellStyle name="Currency EN 7 3 2 2" xfId="17724"/>
    <cellStyle name="Currency EN 7 3 2 2 2" xfId="17725"/>
    <cellStyle name="Currency EN 7 3 2 3" xfId="17726"/>
    <cellStyle name="Currency EN 7 3 2 4" xfId="17727"/>
    <cellStyle name="Currency EN 7 3 3" xfId="17728"/>
    <cellStyle name="Currency EN 7 3 3 2" xfId="17729"/>
    <cellStyle name="Currency EN 7 3 3 3" xfId="17730"/>
    <cellStyle name="Currency EN 7 3 4" xfId="17731"/>
    <cellStyle name="Currency EN 7 3 4 2" xfId="17732"/>
    <cellStyle name="Currency EN 7 3 5" xfId="17733"/>
    <cellStyle name="Currency EN 7 3 6" xfId="17734"/>
    <cellStyle name="Currency EN 7 3 7" xfId="17735"/>
    <cellStyle name="Currency EN 7 3 8" xfId="17736"/>
    <cellStyle name="Currency EN 7 3 9" xfId="17737"/>
    <cellStyle name="Currency EN 7 4" xfId="17738"/>
    <cellStyle name="Currency EN 7 4 2" xfId="17739"/>
    <cellStyle name="Currency EN 7 4 2 2" xfId="17740"/>
    <cellStyle name="Currency EN 7 4 2 3" xfId="17741"/>
    <cellStyle name="Currency EN 7 4 3" xfId="17742"/>
    <cellStyle name="Currency EN 7 4 3 2" xfId="17743"/>
    <cellStyle name="Currency EN 7 4 4" xfId="17744"/>
    <cellStyle name="Currency EN 7 4 5" xfId="17745"/>
    <cellStyle name="Currency EN 7 5" xfId="17746"/>
    <cellStyle name="Currency EN 7 5 2" xfId="17747"/>
    <cellStyle name="Currency EN 7 5 2 2" xfId="17748"/>
    <cellStyle name="Currency EN 7 5 3" xfId="17749"/>
    <cellStyle name="Currency EN 7 5 4" xfId="17750"/>
    <cellStyle name="Currency EN 7 6" xfId="17751"/>
    <cellStyle name="Currency EN 7 6 2" xfId="17752"/>
    <cellStyle name="Currency EN 7 6 3" xfId="17753"/>
    <cellStyle name="Currency EN 7 7" xfId="17754"/>
    <cellStyle name="Currency EN 7 7 2" xfId="17755"/>
    <cellStyle name="Currency EN 7 8" xfId="17756"/>
    <cellStyle name="Currency EN 7 9" xfId="17757"/>
    <cellStyle name="Currency EN 8" xfId="17758"/>
    <cellStyle name="Currency EN 8 10" xfId="17759"/>
    <cellStyle name="Currency EN 8 11" xfId="17760"/>
    <cellStyle name="Currency EN 8 12" xfId="17761"/>
    <cellStyle name="Currency EN 8 13" xfId="17762"/>
    <cellStyle name="Currency EN 8 14" xfId="17763"/>
    <cellStyle name="Currency EN 8 15" xfId="17764"/>
    <cellStyle name="Currency EN 8 2" xfId="17765"/>
    <cellStyle name="Currency EN 8 2 10" xfId="17766"/>
    <cellStyle name="Currency EN 8 2 11" xfId="17767"/>
    <cellStyle name="Currency EN 8 2 12" xfId="17768"/>
    <cellStyle name="Currency EN 8 2 13" xfId="17769"/>
    <cellStyle name="Currency EN 8 2 14" xfId="17770"/>
    <cellStyle name="Currency EN 8 2 15" xfId="17771"/>
    <cellStyle name="Currency EN 8 2 16" xfId="17772"/>
    <cellStyle name="Currency EN 8 2 17" xfId="17773"/>
    <cellStyle name="Currency EN 8 2 18" xfId="17774"/>
    <cellStyle name="Currency EN 8 2 2" xfId="17775"/>
    <cellStyle name="Currency EN 8 2 2 2" xfId="17776"/>
    <cellStyle name="Currency EN 8 2 2 2 2" xfId="17777"/>
    <cellStyle name="Currency EN 8 2 2 3" xfId="17778"/>
    <cellStyle name="Currency EN 8 2 2 4" xfId="17779"/>
    <cellStyle name="Currency EN 8 2 3" xfId="17780"/>
    <cellStyle name="Currency EN 8 2 3 2" xfId="17781"/>
    <cellStyle name="Currency EN 8 2 3 3" xfId="17782"/>
    <cellStyle name="Currency EN 8 2 4" xfId="17783"/>
    <cellStyle name="Currency EN 8 2 4 2" xfId="17784"/>
    <cellStyle name="Currency EN 8 2 5" xfId="17785"/>
    <cellStyle name="Currency EN 8 2 6" xfId="17786"/>
    <cellStyle name="Currency EN 8 2 7" xfId="17787"/>
    <cellStyle name="Currency EN 8 2 8" xfId="17788"/>
    <cellStyle name="Currency EN 8 2 9" xfId="17789"/>
    <cellStyle name="Currency EN 8 3" xfId="17790"/>
    <cellStyle name="Currency EN 8 3 10" xfId="17791"/>
    <cellStyle name="Currency EN 8 3 11" xfId="17792"/>
    <cellStyle name="Currency EN 8 3 12" xfId="17793"/>
    <cellStyle name="Currency EN 8 3 13" xfId="17794"/>
    <cellStyle name="Currency EN 8 3 14" xfId="17795"/>
    <cellStyle name="Currency EN 8 3 15" xfId="17796"/>
    <cellStyle name="Currency EN 8 3 16" xfId="17797"/>
    <cellStyle name="Currency EN 8 3 17" xfId="17798"/>
    <cellStyle name="Currency EN 8 3 18" xfId="17799"/>
    <cellStyle name="Currency EN 8 3 2" xfId="17800"/>
    <cellStyle name="Currency EN 8 3 2 2" xfId="17801"/>
    <cellStyle name="Currency EN 8 3 2 2 2" xfId="17802"/>
    <cellStyle name="Currency EN 8 3 2 3" xfId="17803"/>
    <cellStyle name="Currency EN 8 3 2 4" xfId="17804"/>
    <cellStyle name="Currency EN 8 3 3" xfId="17805"/>
    <cellStyle name="Currency EN 8 3 3 2" xfId="17806"/>
    <cellStyle name="Currency EN 8 3 3 3" xfId="17807"/>
    <cellStyle name="Currency EN 8 3 4" xfId="17808"/>
    <cellStyle name="Currency EN 8 3 4 2" xfId="17809"/>
    <cellStyle name="Currency EN 8 3 5" xfId="17810"/>
    <cellStyle name="Currency EN 8 3 6" xfId="17811"/>
    <cellStyle name="Currency EN 8 3 7" xfId="17812"/>
    <cellStyle name="Currency EN 8 3 8" xfId="17813"/>
    <cellStyle name="Currency EN 8 3 9" xfId="17814"/>
    <cellStyle name="Currency EN 8 4" xfId="17815"/>
    <cellStyle name="Currency EN 8 4 2" xfId="17816"/>
    <cellStyle name="Currency EN 8 4 2 2" xfId="17817"/>
    <cellStyle name="Currency EN 8 4 2 3" xfId="17818"/>
    <cellStyle name="Currency EN 8 4 3" xfId="17819"/>
    <cellStyle name="Currency EN 8 4 3 2" xfId="17820"/>
    <cellStyle name="Currency EN 8 4 4" xfId="17821"/>
    <cellStyle name="Currency EN 8 4 5" xfId="17822"/>
    <cellStyle name="Currency EN 8 5" xfId="17823"/>
    <cellStyle name="Currency EN 8 5 2" xfId="17824"/>
    <cellStyle name="Currency EN 8 5 2 2" xfId="17825"/>
    <cellStyle name="Currency EN 8 5 3" xfId="17826"/>
    <cellStyle name="Currency EN 8 5 4" xfId="17827"/>
    <cellStyle name="Currency EN 8 6" xfId="17828"/>
    <cellStyle name="Currency EN 8 6 2" xfId="17829"/>
    <cellStyle name="Currency EN 8 7" xfId="17830"/>
    <cellStyle name="Currency EN 8 8" xfId="17831"/>
    <cellStyle name="Currency EN 8 9" xfId="17832"/>
    <cellStyle name="Currency EN 9" xfId="17833"/>
    <cellStyle name="Currency EN 9 10" xfId="17834"/>
    <cellStyle name="Currency EN 9 11" xfId="17835"/>
    <cellStyle name="Currency EN 9 12" xfId="17836"/>
    <cellStyle name="Currency EN 9 13" xfId="17837"/>
    <cellStyle name="Currency EN 9 14" xfId="17838"/>
    <cellStyle name="Currency EN 9 15" xfId="17839"/>
    <cellStyle name="Currency EN 9 16" xfId="17840"/>
    <cellStyle name="Currency EN 9 17" xfId="17841"/>
    <cellStyle name="Currency EN 9 18" xfId="17842"/>
    <cellStyle name="Currency EN 9 2" xfId="17843"/>
    <cellStyle name="Currency EN 9 2 2" xfId="17844"/>
    <cellStyle name="Currency EN 9 2 2 2" xfId="17845"/>
    <cellStyle name="Currency EN 9 2 3" xfId="17846"/>
    <cellStyle name="Currency EN 9 2 4" xfId="17847"/>
    <cellStyle name="Currency EN 9 3" xfId="17848"/>
    <cellStyle name="Currency EN 9 3 2" xfId="17849"/>
    <cellStyle name="Currency EN 9 3 3" xfId="17850"/>
    <cellStyle name="Currency EN 9 4" xfId="17851"/>
    <cellStyle name="Currency EN 9 4 2" xfId="17852"/>
    <cellStyle name="Currency EN 9 5" xfId="17853"/>
    <cellStyle name="Currency EN 9 6" xfId="17854"/>
    <cellStyle name="Currency EN 9 7" xfId="17855"/>
    <cellStyle name="Currency EN 9 8" xfId="17856"/>
    <cellStyle name="Currency EN 9 9" xfId="17857"/>
    <cellStyle name="Currency RU" xfId="17858"/>
    <cellStyle name="Currency RU 10" xfId="17859"/>
    <cellStyle name="Currency RU 11" xfId="17860"/>
    <cellStyle name="Currency RU 12" xfId="17861"/>
    <cellStyle name="Currency RU 13" xfId="17862"/>
    <cellStyle name="Currency RU 14" xfId="17863"/>
    <cellStyle name="Currency RU 15" xfId="17864"/>
    <cellStyle name="Currency RU 16" xfId="17865"/>
    <cellStyle name="Currency RU 17" xfId="17866"/>
    <cellStyle name="Currency RU 2" xfId="17867"/>
    <cellStyle name="Currency RU 2 10" xfId="17868"/>
    <cellStyle name="Currency RU 2 11" xfId="17869"/>
    <cellStyle name="Currency RU 2 12" xfId="17870"/>
    <cellStyle name="Currency RU 2 13" xfId="17871"/>
    <cellStyle name="Currency RU 2 14" xfId="17872"/>
    <cellStyle name="Currency RU 2 15" xfId="17873"/>
    <cellStyle name="Currency RU 2 16" xfId="17874"/>
    <cellStyle name="Currency RU 2 17" xfId="17875"/>
    <cellStyle name="Currency RU 2 18" xfId="17876"/>
    <cellStyle name="Currency RU 2 19" xfId="17877"/>
    <cellStyle name="Currency RU 2 2" xfId="17878"/>
    <cellStyle name="Currency RU 2 2 10" xfId="17879"/>
    <cellStyle name="Currency RU 2 2 11" xfId="17880"/>
    <cellStyle name="Currency RU 2 2 12" xfId="17881"/>
    <cellStyle name="Currency RU 2 2 13" xfId="17882"/>
    <cellStyle name="Currency RU 2 2 14" xfId="17883"/>
    <cellStyle name="Currency RU 2 2 15" xfId="17884"/>
    <cellStyle name="Currency RU 2 2 16" xfId="17885"/>
    <cellStyle name="Currency RU 2 2 17" xfId="17886"/>
    <cellStyle name="Currency RU 2 2 18" xfId="17887"/>
    <cellStyle name="Currency RU 2 2 2" xfId="17888"/>
    <cellStyle name="Currency RU 2 2 2 2" xfId="17889"/>
    <cellStyle name="Currency RU 2 2 2 2 2" xfId="17890"/>
    <cellStyle name="Currency RU 2 2 2 3" xfId="17891"/>
    <cellStyle name="Currency RU 2 2 2 4" xfId="17892"/>
    <cellStyle name="Currency RU 2 2 3" xfId="17893"/>
    <cellStyle name="Currency RU 2 2 3 2" xfId="17894"/>
    <cellStyle name="Currency RU 2 2 3 3" xfId="17895"/>
    <cellStyle name="Currency RU 2 2 4" xfId="17896"/>
    <cellStyle name="Currency RU 2 2 4 2" xfId="17897"/>
    <cellStyle name="Currency RU 2 2 5" xfId="17898"/>
    <cellStyle name="Currency RU 2 2 6" xfId="17899"/>
    <cellStyle name="Currency RU 2 2 7" xfId="17900"/>
    <cellStyle name="Currency RU 2 2 8" xfId="17901"/>
    <cellStyle name="Currency RU 2 2 9" xfId="17902"/>
    <cellStyle name="Currency RU 2 20" xfId="17903"/>
    <cellStyle name="Currency RU 2 21" xfId="17904"/>
    <cellStyle name="Currency RU 2 22" xfId="17905"/>
    <cellStyle name="Currency RU 2 3" xfId="17906"/>
    <cellStyle name="Currency RU 2 3 10" xfId="17907"/>
    <cellStyle name="Currency RU 2 3 11" xfId="17908"/>
    <cellStyle name="Currency RU 2 3 12" xfId="17909"/>
    <cellStyle name="Currency RU 2 3 13" xfId="17910"/>
    <cellStyle name="Currency RU 2 3 14" xfId="17911"/>
    <cellStyle name="Currency RU 2 3 15" xfId="17912"/>
    <cellStyle name="Currency RU 2 3 16" xfId="17913"/>
    <cellStyle name="Currency RU 2 3 17" xfId="17914"/>
    <cellStyle name="Currency RU 2 3 18" xfId="17915"/>
    <cellStyle name="Currency RU 2 3 2" xfId="17916"/>
    <cellStyle name="Currency RU 2 3 2 2" xfId="17917"/>
    <cellStyle name="Currency RU 2 3 2 2 2" xfId="17918"/>
    <cellStyle name="Currency RU 2 3 2 3" xfId="17919"/>
    <cellStyle name="Currency RU 2 3 2 4" xfId="17920"/>
    <cellStyle name="Currency RU 2 3 3" xfId="17921"/>
    <cellStyle name="Currency RU 2 3 3 2" xfId="17922"/>
    <cellStyle name="Currency RU 2 3 3 3" xfId="17923"/>
    <cellStyle name="Currency RU 2 3 4" xfId="17924"/>
    <cellStyle name="Currency RU 2 3 4 2" xfId="17925"/>
    <cellStyle name="Currency RU 2 3 5" xfId="17926"/>
    <cellStyle name="Currency RU 2 3 6" xfId="17927"/>
    <cellStyle name="Currency RU 2 3 7" xfId="17928"/>
    <cellStyle name="Currency RU 2 3 8" xfId="17929"/>
    <cellStyle name="Currency RU 2 3 9" xfId="17930"/>
    <cellStyle name="Currency RU 2 4" xfId="17931"/>
    <cellStyle name="Currency RU 2 4 2" xfId="17932"/>
    <cellStyle name="Currency RU 2 4 2 2" xfId="17933"/>
    <cellStyle name="Currency RU 2 4 2 3" xfId="17934"/>
    <cellStyle name="Currency RU 2 4 3" xfId="17935"/>
    <cellStyle name="Currency RU 2 4 3 2" xfId="17936"/>
    <cellStyle name="Currency RU 2 4 4" xfId="17937"/>
    <cellStyle name="Currency RU 2 4 5" xfId="17938"/>
    <cellStyle name="Currency RU 2 5" xfId="17939"/>
    <cellStyle name="Currency RU 2 5 2" xfId="17940"/>
    <cellStyle name="Currency RU 2 5 2 2" xfId="17941"/>
    <cellStyle name="Currency RU 2 5 3" xfId="17942"/>
    <cellStyle name="Currency RU 2 5 4" xfId="17943"/>
    <cellStyle name="Currency RU 2 6" xfId="17944"/>
    <cellStyle name="Currency RU 2 6 2" xfId="17945"/>
    <cellStyle name="Currency RU 2 6 3" xfId="17946"/>
    <cellStyle name="Currency RU 2 7" xfId="17947"/>
    <cellStyle name="Currency RU 2 7 2" xfId="17948"/>
    <cellStyle name="Currency RU 2 8" xfId="17949"/>
    <cellStyle name="Currency RU 2 9" xfId="17950"/>
    <cellStyle name="Currency RU 3" xfId="17951"/>
    <cellStyle name="Currency RU 3 10" xfId="17952"/>
    <cellStyle name="Currency RU 3 11" xfId="17953"/>
    <cellStyle name="Currency RU 3 12" xfId="17954"/>
    <cellStyle name="Currency RU 3 13" xfId="17955"/>
    <cellStyle name="Currency RU 3 14" xfId="17956"/>
    <cellStyle name="Currency RU 3 15" xfId="17957"/>
    <cellStyle name="Currency RU 3 16" xfId="17958"/>
    <cellStyle name="Currency RU 3 17" xfId="17959"/>
    <cellStyle name="Currency RU 3 18" xfId="17960"/>
    <cellStyle name="Currency RU 3 19" xfId="17961"/>
    <cellStyle name="Currency RU 3 2" xfId="17962"/>
    <cellStyle name="Currency RU 3 2 10" xfId="17963"/>
    <cellStyle name="Currency RU 3 2 11" xfId="17964"/>
    <cellStyle name="Currency RU 3 2 12" xfId="17965"/>
    <cellStyle name="Currency RU 3 2 13" xfId="17966"/>
    <cellStyle name="Currency RU 3 2 14" xfId="17967"/>
    <cellStyle name="Currency RU 3 2 15" xfId="17968"/>
    <cellStyle name="Currency RU 3 2 16" xfId="17969"/>
    <cellStyle name="Currency RU 3 2 17" xfId="17970"/>
    <cellStyle name="Currency RU 3 2 18" xfId="17971"/>
    <cellStyle name="Currency RU 3 2 2" xfId="17972"/>
    <cellStyle name="Currency RU 3 2 2 2" xfId="17973"/>
    <cellStyle name="Currency RU 3 2 2 2 2" xfId="17974"/>
    <cellStyle name="Currency RU 3 2 2 3" xfId="17975"/>
    <cellStyle name="Currency RU 3 2 2 4" xfId="17976"/>
    <cellStyle name="Currency RU 3 2 3" xfId="17977"/>
    <cellStyle name="Currency RU 3 2 3 2" xfId="17978"/>
    <cellStyle name="Currency RU 3 2 3 3" xfId="17979"/>
    <cellStyle name="Currency RU 3 2 4" xfId="17980"/>
    <cellStyle name="Currency RU 3 2 4 2" xfId="17981"/>
    <cellStyle name="Currency RU 3 2 5" xfId="17982"/>
    <cellStyle name="Currency RU 3 2 6" xfId="17983"/>
    <cellStyle name="Currency RU 3 2 7" xfId="17984"/>
    <cellStyle name="Currency RU 3 2 8" xfId="17985"/>
    <cellStyle name="Currency RU 3 2 9" xfId="17986"/>
    <cellStyle name="Currency RU 3 3" xfId="17987"/>
    <cellStyle name="Currency RU 3 3 10" xfId="17988"/>
    <cellStyle name="Currency RU 3 3 11" xfId="17989"/>
    <cellStyle name="Currency RU 3 3 12" xfId="17990"/>
    <cellStyle name="Currency RU 3 3 13" xfId="17991"/>
    <cellStyle name="Currency RU 3 3 14" xfId="17992"/>
    <cellStyle name="Currency RU 3 3 15" xfId="17993"/>
    <cellStyle name="Currency RU 3 3 16" xfId="17994"/>
    <cellStyle name="Currency RU 3 3 17" xfId="17995"/>
    <cellStyle name="Currency RU 3 3 18" xfId="17996"/>
    <cellStyle name="Currency RU 3 3 2" xfId="17997"/>
    <cellStyle name="Currency RU 3 3 2 2" xfId="17998"/>
    <cellStyle name="Currency RU 3 3 2 2 2" xfId="17999"/>
    <cellStyle name="Currency RU 3 3 2 3" xfId="18000"/>
    <cellStyle name="Currency RU 3 3 2 4" xfId="18001"/>
    <cellStyle name="Currency RU 3 3 3" xfId="18002"/>
    <cellStyle name="Currency RU 3 3 3 2" xfId="18003"/>
    <cellStyle name="Currency RU 3 3 3 3" xfId="18004"/>
    <cellStyle name="Currency RU 3 3 4" xfId="18005"/>
    <cellStyle name="Currency RU 3 3 4 2" xfId="18006"/>
    <cellStyle name="Currency RU 3 3 5" xfId="18007"/>
    <cellStyle name="Currency RU 3 3 6" xfId="18008"/>
    <cellStyle name="Currency RU 3 3 7" xfId="18009"/>
    <cellStyle name="Currency RU 3 3 8" xfId="18010"/>
    <cellStyle name="Currency RU 3 3 9" xfId="18011"/>
    <cellStyle name="Currency RU 3 4" xfId="18012"/>
    <cellStyle name="Currency RU 3 4 2" xfId="18013"/>
    <cellStyle name="Currency RU 3 4 2 2" xfId="18014"/>
    <cellStyle name="Currency RU 3 4 2 3" xfId="18015"/>
    <cellStyle name="Currency RU 3 4 3" xfId="18016"/>
    <cellStyle name="Currency RU 3 4 3 2" xfId="18017"/>
    <cellStyle name="Currency RU 3 4 4" xfId="18018"/>
    <cellStyle name="Currency RU 3 4 5" xfId="18019"/>
    <cellStyle name="Currency RU 3 5" xfId="18020"/>
    <cellStyle name="Currency RU 3 5 2" xfId="18021"/>
    <cellStyle name="Currency RU 3 5 2 2" xfId="18022"/>
    <cellStyle name="Currency RU 3 5 3" xfId="18023"/>
    <cellStyle name="Currency RU 3 5 4" xfId="18024"/>
    <cellStyle name="Currency RU 3 6" xfId="18025"/>
    <cellStyle name="Currency RU 3 6 2" xfId="18026"/>
    <cellStyle name="Currency RU 3 6 3" xfId="18027"/>
    <cellStyle name="Currency RU 3 7" xfId="18028"/>
    <cellStyle name="Currency RU 3 7 2" xfId="18029"/>
    <cellStyle name="Currency RU 3 8" xfId="18030"/>
    <cellStyle name="Currency RU 3 9" xfId="18031"/>
    <cellStyle name="Currency RU 4" xfId="18032"/>
    <cellStyle name="Currency RU 4 10" xfId="18033"/>
    <cellStyle name="Currency RU 4 11" xfId="18034"/>
    <cellStyle name="Currency RU 4 12" xfId="18035"/>
    <cellStyle name="Currency RU 4 13" xfId="18036"/>
    <cellStyle name="Currency RU 4 14" xfId="18037"/>
    <cellStyle name="Currency RU 4 15" xfId="18038"/>
    <cellStyle name="Currency RU 4 16" xfId="18039"/>
    <cellStyle name="Currency RU 4 17" xfId="18040"/>
    <cellStyle name="Currency RU 4 2" xfId="18041"/>
    <cellStyle name="Currency RU 4 2 10" xfId="18042"/>
    <cellStyle name="Currency RU 4 2 11" xfId="18043"/>
    <cellStyle name="Currency RU 4 2 12" xfId="18044"/>
    <cellStyle name="Currency RU 4 2 13" xfId="18045"/>
    <cellStyle name="Currency RU 4 2 14" xfId="18046"/>
    <cellStyle name="Currency RU 4 2 15" xfId="18047"/>
    <cellStyle name="Currency RU 4 2 16" xfId="18048"/>
    <cellStyle name="Currency RU 4 2 17" xfId="18049"/>
    <cellStyle name="Currency RU 4 2 18" xfId="18050"/>
    <cellStyle name="Currency RU 4 2 2" xfId="18051"/>
    <cellStyle name="Currency RU 4 2 2 2" xfId="18052"/>
    <cellStyle name="Currency RU 4 2 2 2 2" xfId="18053"/>
    <cellStyle name="Currency RU 4 2 2 3" xfId="18054"/>
    <cellStyle name="Currency RU 4 2 2 4" xfId="18055"/>
    <cellStyle name="Currency RU 4 2 3" xfId="18056"/>
    <cellStyle name="Currency RU 4 2 3 2" xfId="18057"/>
    <cellStyle name="Currency RU 4 2 3 3" xfId="18058"/>
    <cellStyle name="Currency RU 4 2 4" xfId="18059"/>
    <cellStyle name="Currency RU 4 2 4 2" xfId="18060"/>
    <cellStyle name="Currency RU 4 2 5" xfId="18061"/>
    <cellStyle name="Currency RU 4 2 6" xfId="18062"/>
    <cellStyle name="Currency RU 4 2 7" xfId="18063"/>
    <cellStyle name="Currency RU 4 2 8" xfId="18064"/>
    <cellStyle name="Currency RU 4 2 9" xfId="18065"/>
    <cellStyle name="Currency RU 4 3" xfId="18066"/>
    <cellStyle name="Currency RU 4 3 10" xfId="18067"/>
    <cellStyle name="Currency RU 4 3 11" xfId="18068"/>
    <cellStyle name="Currency RU 4 3 12" xfId="18069"/>
    <cellStyle name="Currency RU 4 3 13" xfId="18070"/>
    <cellStyle name="Currency RU 4 3 14" xfId="18071"/>
    <cellStyle name="Currency RU 4 3 15" xfId="18072"/>
    <cellStyle name="Currency RU 4 3 16" xfId="18073"/>
    <cellStyle name="Currency RU 4 3 17" xfId="18074"/>
    <cellStyle name="Currency RU 4 3 18" xfId="18075"/>
    <cellStyle name="Currency RU 4 3 2" xfId="18076"/>
    <cellStyle name="Currency RU 4 3 2 2" xfId="18077"/>
    <cellStyle name="Currency RU 4 3 2 2 2" xfId="18078"/>
    <cellStyle name="Currency RU 4 3 2 3" xfId="18079"/>
    <cellStyle name="Currency RU 4 3 2 4" xfId="18080"/>
    <cellStyle name="Currency RU 4 3 3" xfId="18081"/>
    <cellStyle name="Currency RU 4 3 3 2" xfId="18082"/>
    <cellStyle name="Currency RU 4 3 3 3" xfId="18083"/>
    <cellStyle name="Currency RU 4 3 4" xfId="18084"/>
    <cellStyle name="Currency RU 4 3 4 2" xfId="18085"/>
    <cellStyle name="Currency RU 4 3 5" xfId="18086"/>
    <cellStyle name="Currency RU 4 3 6" xfId="18087"/>
    <cellStyle name="Currency RU 4 3 7" xfId="18088"/>
    <cellStyle name="Currency RU 4 3 8" xfId="18089"/>
    <cellStyle name="Currency RU 4 3 9" xfId="18090"/>
    <cellStyle name="Currency RU 4 4" xfId="18091"/>
    <cellStyle name="Currency RU 4 4 2" xfId="18092"/>
    <cellStyle name="Currency RU 4 4 2 2" xfId="18093"/>
    <cellStyle name="Currency RU 4 4 2 3" xfId="18094"/>
    <cellStyle name="Currency RU 4 4 3" xfId="18095"/>
    <cellStyle name="Currency RU 4 4 3 2" xfId="18096"/>
    <cellStyle name="Currency RU 4 4 4" xfId="18097"/>
    <cellStyle name="Currency RU 4 4 5" xfId="18098"/>
    <cellStyle name="Currency RU 4 5" xfId="18099"/>
    <cellStyle name="Currency RU 4 5 2" xfId="18100"/>
    <cellStyle name="Currency RU 4 5 2 2" xfId="18101"/>
    <cellStyle name="Currency RU 4 5 3" xfId="18102"/>
    <cellStyle name="Currency RU 4 5 4" xfId="18103"/>
    <cellStyle name="Currency RU 4 6" xfId="18104"/>
    <cellStyle name="Currency RU 4 6 2" xfId="18105"/>
    <cellStyle name="Currency RU 4 6 3" xfId="18106"/>
    <cellStyle name="Currency RU 4 7" xfId="18107"/>
    <cellStyle name="Currency RU 4 7 2" xfId="18108"/>
    <cellStyle name="Currency RU 4 8" xfId="18109"/>
    <cellStyle name="Currency RU 4 9" xfId="18110"/>
    <cellStyle name="Currency RU 5" xfId="18111"/>
    <cellStyle name="Currency RU 5 10" xfId="18112"/>
    <cellStyle name="Currency RU 5 11" xfId="18113"/>
    <cellStyle name="Currency RU 5 12" xfId="18114"/>
    <cellStyle name="Currency RU 5 13" xfId="18115"/>
    <cellStyle name="Currency RU 5 14" xfId="18116"/>
    <cellStyle name="Currency RU 5 15" xfId="18117"/>
    <cellStyle name="Currency RU 5 2" xfId="18118"/>
    <cellStyle name="Currency RU 5 2 10" xfId="18119"/>
    <cellStyle name="Currency RU 5 2 11" xfId="18120"/>
    <cellStyle name="Currency RU 5 2 12" xfId="18121"/>
    <cellStyle name="Currency RU 5 2 13" xfId="18122"/>
    <cellStyle name="Currency RU 5 2 14" xfId="18123"/>
    <cellStyle name="Currency RU 5 2 15" xfId="18124"/>
    <cellStyle name="Currency RU 5 2 16" xfId="18125"/>
    <cellStyle name="Currency RU 5 2 17" xfId="18126"/>
    <cellStyle name="Currency RU 5 2 18" xfId="18127"/>
    <cellStyle name="Currency RU 5 2 2" xfId="18128"/>
    <cellStyle name="Currency RU 5 2 2 2" xfId="18129"/>
    <cellStyle name="Currency RU 5 2 2 2 2" xfId="18130"/>
    <cellStyle name="Currency RU 5 2 2 3" xfId="18131"/>
    <cellStyle name="Currency RU 5 2 2 4" xfId="18132"/>
    <cellStyle name="Currency RU 5 2 3" xfId="18133"/>
    <cellStyle name="Currency RU 5 2 3 2" xfId="18134"/>
    <cellStyle name="Currency RU 5 2 3 3" xfId="18135"/>
    <cellStyle name="Currency RU 5 2 4" xfId="18136"/>
    <cellStyle name="Currency RU 5 2 4 2" xfId="18137"/>
    <cellStyle name="Currency RU 5 2 5" xfId="18138"/>
    <cellStyle name="Currency RU 5 2 6" xfId="18139"/>
    <cellStyle name="Currency RU 5 2 7" xfId="18140"/>
    <cellStyle name="Currency RU 5 2 8" xfId="18141"/>
    <cellStyle name="Currency RU 5 2 9" xfId="18142"/>
    <cellStyle name="Currency RU 5 3" xfId="18143"/>
    <cellStyle name="Currency RU 5 3 10" xfId="18144"/>
    <cellStyle name="Currency RU 5 3 11" xfId="18145"/>
    <cellStyle name="Currency RU 5 3 12" xfId="18146"/>
    <cellStyle name="Currency RU 5 3 13" xfId="18147"/>
    <cellStyle name="Currency RU 5 3 14" xfId="18148"/>
    <cellStyle name="Currency RU 5 3 15" xfId="18149"/>
    <cellStyle name="Currency RU 5 3 16" xfId="18150"/>
    <cellStyle name="Currency RU 5 3 17" xfId="18151"/>
    <cellStyle name="Currency RU 5 3 18" xfId="18152"/>
    <cellStyle name="Currency RU 5 3 2" xfId="18153"/>
    <cellStyle name="Currency RU 5 3 2 2" xfId="18154"/>
    <cellStyle name="Currency RU 5 3 2 2 2" xfId="18155"/>
    <cellStyle name="Currency RU 5 3 2 3" xfId="18156"/>
    <cellStyle name="Currency RU 5 3 2 4" xfId="18157"/>
    <cellStyle name="Currency RU 5 3 3" xfId="18158"/>
    <cellStyle name="Currency RU 5 3 3 2" xfId="18159"/>
    <cellStyle name="Currency RU 5 3 3 3" xfId="18160"/>
    <cellStyle name="Currency RU 5 3 4" xfId="18161"/>
    <cellStyle name="Currency RU 5 3 4 2" xfId="18162"/>
    <cellStyle name="Currency RU 5 3 5" xfId="18163"/>
    <cellStyle name="Currency RU 5 3 6" xfId="18164"/>
    <cellStyle name="Currency RU 5 3 7" xfId="18165"/>
    <cellStyle name="Currency RU 5 3 8" xfId="18166"/>
    <cellStyle name="Currency RU 5 3 9" xfId="18167"/>
    <cellStyle name="Currency RU 5 4" xfId="18168"/>
    <cellStyle name="Currency RU 5 4 2" xfId="18169"/>
    <cellStyle name="Currency RU 5 4 2 2" xfId="18170"/>
    <cellStyle name="Currency RU 5 4 2 3" xfId="18171"/>
    <cellStyle name="Currency RU 5 4 3" xfId="18172"/>
    <cellStyle name="Currency RU 5 4 3 2" xfId="18173"/>
    <cellStyle name="Currency RU 5 4 4" xfId="18174"/>
    <cellStyle name="Currency RU 5 4 5" xfId="18175"/>
    <cellStyle name="Currency RU 5 5" xfId="18176"/>
    <cellStyle name="Currency RU 5 5 2" xfId="18177"/>
    <cellStyle name="Currency RU 5 5 2 2" xfId="18178"/>
    <cellStyle name="Currency RU 5 5 3" xfId="18179"/>
    <cellStyle name="Currency RU 5 5 4" xfId="18180"/>
    <cellStyle name="Currency RU 5 6" xfId="18181"/>
    <cellStyle name="Currency RU 5 6 2" xfId="18182"/>
    <cellStyle name="Currency RU 5 7" xfId="18183"/>
    <cellStyle name="Currency RU 5 8" xfId="18184"/>
    <cellStyle name="Currency RU 5 9" xfId="18185"/>
    <cellStyle name="Currency RU 6" xfId="18186"/>
    <cellStyle name="Currency RU 6 10" xfId="18187"/>
    <cellStyle name="Currency RU 6 11" xfId="18188"/>
    <cellStyle name="Currency RU 6 12" xfId="18189"/>
    <cellStyle name="Currency RU 6 13" xfId="18190"/>
    <cellStyle name="Currency RU 6 14" xfId="18191"/>
    <cellStyle name="Currency RU 6 15" xfId="18192"/>
    <cellStyle name="Currency RU 6 16" xfId="18193"/>
    <cellStyle name="Currency RU 6 17" xfId="18194"/>
    <cellStyle name="Currency RU 6 18" xfId="18195"/>
    <cellStyle name="Currency RU 6 2" xfId="18196"/>
    <cellStyle name="Currency RU 6 2 2" xfId="18197"/>
    <cellStyle name="Currency RU 6 2 2 2" xfId="18198"/>
    <cellStyle name="Currency RU 6 2 3" xfId="18199"/>
    <cellStyle name="Currency RU 6 2 4" xfId="18200"/>
    <cellStyle name="Currency RU 6 3" xfId="18201"/>
    <cellStyle name="Currency RU 6 3 2" xfId="18202"/>
    <cellStyle name="Currency RU 6 3 3" xfId="18203"/>
    <cellStyle name="Currency RU 6 4" xfId="18204"/>
    <cellStyle name="Currency RU 6 4 2" xfId="18205"/>
    <cellStyle name="Currency RU 6 5" xfId="18206"/>
    <cellStyle name="Currency RU 6 6" xfId="18207"/>
    <cellStyle name="Currency RU 6 7" xfId="18208"/>
    <cellStyle name="Currency RU 6 8" xfId="18209"/>
    <cellStyle name="Currency RU 6 9" xfId="18210"/>
    <cellStyle name="Currency RU 7" xfId="18211"/>
    <cellStyle name="Currency RU 7 10" xfId="18212"/>
    <cellStyle name="Currency RU 7 11" xfId="18213"/>
    <cellStyle name="Currency RU 7 12" xfId="18214"/>
    <cellStyle name="Currency RU 7 13" xfId="18215"/>
    <cellStyle name="Currency RU 7 14" xfId="18216"/>
    <cellStyle name="Currency RU 7 15" xfId="18217"/>
    <cellStyle name="Currency RU 7 16" xfId="18218"/>
    <cellStyle name="Currency RU 7 17" xfId="18219"/>
    <cellStyle name="Currency RU 7 18" xfId="18220"/>
    <cellStyle name="Currency RU 7 2" xfId="18221"/>
    <cellStyle name="Currency RU 7 2 2" xfId="18222"/>
    <cellStyle name="Currency RU 7 2 3" xfId="18223"/>
    <cellStyle name="Currency RU 7 3" xfId="18224"/>
    <cellStyle name="Currency RU 7 3 2" xfId="18225"/>
    <cellStyle name="Currency RU 7 4" xfId="18226"/>
    <cellStyle name="Currency RU 7 5" xfId="18227"/>
    <cellStyle name="Currency RU 7 6" xfId="18228"/>
    <cellStyle name="Currency RU 7 7" xfId="18229"/>
    <cellStyle name="Currency RU 7 8" xfId="18230"/>
    <cellStyle name="Currency RU 7 9" xfId="18231"/>
    <cellStyle name="Currency RU 8" xfId="18232"/>
    <cellStyle name="Currency RU 8 2" xfId="18233"/>
    <cellStyle name="Currency RU 8 2 2" xfId="18234"/>
    <cellStyle name="Currency RU 8 3" xfId="18235"/>
    <cellStyle name="Currency RU 8 4" xfId="18236"/>
    <cellStyle name="Currency RU 9" xfId="18237"/>
    <cellStyle name="Currency RU calc" xfId="18238"/>
    <cellStyle name="Currency RU calc 10" xfId="18239"/>
    <cellStyle name="Currency RU calc 11" xfId="18240"/>
    <cellStyle name="Currency RU calc 12" xfId="18241"/>
    <cellStyle name="Currency RU calc 13" xfId="18242"/>
    <cellStyle name="Currency RU calc 14" xfId="18243"/>
    <cellStyle name="Currency RU calc 15" xfId="18244"/>
    <cellStyle name="Currency RU calc 16" xfId="18245"/>
    <cellStyle name="Currency RU calc 17" xfId="18246"/>
    <cellStyle name="Currency RU calc 18" xfId="18247"/>
    <cellStyle name="Currency RU calc 19" xfId="18248"/>
    <cellStyle name="Currency RU calc 2" xfId="18249"/>
    <cellStyle name="Currency RU calc 2 10" xfId="18250"/>
    <cellStyle name="Currency RU calc 2 11" xfId="18251"/>
    <cellStyle name="Currency RU calc 2 12" xfId="18252"/>
    <cellStyle name="Currency RU calc 2 13" xfId="18253"/>
    <cellStyle name="Currency RU calc 2 14" xfId="18254"/>
    <cellStyle name="Currency RU calc 2 15" xfId="18255"/>
    <cellStyle name="Currency RU calc 2 16" xfId="18256"/>
    <cellStyle name="Currency RU calc 2 17" xfId="18257"/>
    <cellStyle name="Currency RU calc 2 18" xfId="18258"/>
    <cellStyle name="Currency RU calc 2 19" xfId="18259"/>
    <cellStyle name="Currency RU calc 2 2" xfId="18260"/>
    <cellStyle name="Currency RU calc 2 2 10" xfId="18261"/>
    <cellStyle name="Currency RU calc 2 2 11" xfId="18262"/>
    <cellStyle name="Currency RU calc 2 2 12" xfId="18263"/>
    <cellStyle name="Currency RU calc 2 2 13" xfId="18264"/>
    <cellStyle name="Currency RU calc 2 2 14" xfId="18265"/>
    <cellStyle name="Currency RU calc 2 2 15" xfId="18266"/>
    <cellStyle name="Currency RU calc 2 2 16" xfId="18267"/>
    <cellStyle name="Currency RU calc 2 2 17" xfId="18268"/>
    <cellStyle name="Currency RU calc 2 2 18" xfId="18269"/>
    <cellStyle name="Currency RU calc 2 2 2" xfId="18270"/>
    <cellStyle name="Currency RU calc 2 2 2 2" xfId="18271"/>
    <cellStyle name="Currency RU calc 2 2 2 2 2" xfId="18272"/>
    <cellStyle name="Currency RU calc 2 2 2 3" xfId="18273"/>
    <cellStyle name="Currency RU calc 2 2 2 4" xfId="18274"/>
    <cellStyle name="Currency RU calc 2 2 3" xfId="18275"/>
    <cellStyle name="Currency RU calc 2 2 3 2" xfId="18276"/>
    <cellStyle name="Currency RU calc 2 2 3 3" xfId="18277"/>
    <cellStyle name="Currency RU calc 2 2 4" xfId="18278"/>
    <cellStyle name="Currency RU calc 2 2 4 2" xfId="18279"/>
    <cellStyle name="Currency RU calc 2 2 5" xfId="18280"/>
    <cellStyle name="Currency RU calc 2 2 6" xfId="18281"/>
    <cellStyle name="Currency RU calc 2 2 7" xfId="18282"/>
    <cellStyle name="Currency RU calc 2 2 8" xfId="18283"/>
    <cellStyle name="Currency RU calc 2 2 9" xfId="18284"/>
    <cellStyle name="Currency RU calc 2 3" xfId="18285"/>
    <cellStyle name="Currency RU calc 2 3 10" xfId="18286"/>
    <cellStyle name="Currency RU calc 2 3 11" xfId="18287"/>
    <cellStyle name="Currency RU calc 2 3 12" xfId="18288"/>
    <cellStyle name="Currency RU calc 2 3 13" xfId="18289"/>
    <cellStyle name="Currency RU calc 2 3 14" xfId="18290"/>
    <cellStyle name="Currency RU calc 2 3 15" xfId="18291"/>
    <cellStyle name="Currency RU calc 2 3 16" xfId="18292"/>
    <cellStyle name="Currency RU calc 2 3 17" xfId="18293"/>
    <cellStyle name="Currency RU calc 2 3 18" xfId="18294"/>
    <cellStyle name="Currency RU calc 2 3 2" xfId="18295"/>
    <cellStyle name="Currency RU calc 2 3 2 2" xfId="18296"/>
    <cellStyle name="Currency RU calc 2 3 2 2 2" xfId="18297"/>
    <cellStyle name="Currency RU calc 2 3 2 3" xfId="18298"/>
    <cellStyle name="Currency RU calc 2 3 2 4" xfId="18299"/>
    <cellStyle name="Currency RU calc 2 3 3" xfId="18300"/>
    <cellStyle name="Currency RU calc 2 3 3 2" xfId="18301"/>
    <cellStyle name="Currency RU calc 2 3 3 3" xfId="18302"/>
    <cellStyle name="Currency RU calc 2 3 4" xfId="18303"/>
    <cellStyle name="Currency RU calc 2 3 4 2" xfId="18304"/>
    <cellStyle name="Currency RU calc 2 3 5" xfId="18305"/>
    <cellStyle name="Currency RU calc 2 3 6" xfId="18306"/>
    <cellStyle name="Currency RU calc 2 3 7" xfId="18307"/>
    <cellStyle name="Currency RU calc 2 3 8" xfId="18308"/>
    <cellStyle name="Currency RU calc 2 3 9" xfId="18309"/>
    <cellStyle name="Currency RU calc 2 4" xfId="18310"/>
    <cellStyle name="Currency RU calc 2 4 2" xfId="18311"/>
    <cellStyle name="Currency RU calc 2 4 2 2" xfId="18312"/>
    <cellStyle name="Currency RU calc 2 4 2 3" xfId="18313"/>
    <cellStyle name="Currency RU calc 2 4 3" xfId="18314"/>
    <cellStyle name="Currency RU calc 2 4 3 2" xfId="18315"/>
    <cellStyle name="Currency RU calc 2 4 4" xfId="18316"/>
    <cellStyle name="Currency RU calc 2 4 5" xfId="18317"/>
    <cellStyle name="Currency RU calc 2 5" xfId="18318"/>
    <cellStyle name="Currency RU calc 2 5 2" xfId="18319"/>
    <cellStyle name="Currency RU calc 2 5 2 2" xfId="18320"/>
    <cellStyle name="Currency RU calc 2 5 3" xfId="18321"/>
    <cellStyle name="Currency RU calc 2 5 4" xfId="18322"/>
    <cellStyle name="Currency RU calc 2 6" xfId="18323"/>
    <cellStyle name="Currency RU calc 2 6 2" xfId="18324"/>
    <cellStyle name="Currency RU calc 2 7" xfId="18325"/>
    <cellStyle name="Currency RU calc 2 8" xfId="18326"/>
    <cellStyle name="Currency RU calc 2 9" xfId="18327"/>
    <cellStyle name="Currency RU calc 20" xfId="18328"/>
    <cellStyle name="Currency RU calc 21" xfId="18329"/>
    <cellStyle name="Currency RU calc 22" xfId="18330"/>
    <cellStyle name="Currency RU calc 23" xfId="18331"/>
    <cellStyle name="Currency RU calc 24" xfId="18332"/>
    <cellStyle name="Currency RU calc 25" xfId="18333"/>
    <cellStyle name="Currency RU calc 3" xfId="18334"/>
    <cellStyle name="Currency RU calc 3 10" xfId="18335"/>
    <cellStyle name="Currency RU calc 3 11" xfId="18336"/>
    <cellStyle name="Currency RU calc 3 12" xfId="18337"/>
    <cellStyle name="Currency RU calc 3 13" xfId="18338"/>
    <cellStyle name="Currency RU calc 3 14" xfId="18339"/>
    <cellStyle name="Currency RU calc 3 15" xfId="18340"/>
    <cellStyle name="Currency RU calc 3 16" xfId="18341"/>
    <cellStyle name="Currency RU calc 3 17" xfId="18342"/>
    <cellStyle name="Currency RU calc 3 18" xfId="18343"/>
    <cellStyle name="Currency RU calc 3 19" xfId="18344"/>
    <cellStyle name="Currency RU calc 3 2" xfId="18345"/>
    <cellStyle name="Currency RU calc 3 2 10" xfId="18346"/>
    <cellStyle name="Currency RU calc 3 2 11" xfId="18347"/>
    <cellStyle name="Currency RU calc 3 2 12" xfId="18348"/>
    <cellStyle name="Currency RU calc 3 2 13" xfId="18349"/>
    <cellStyle name="Currency RU calc 3 2 14" xfId="18350"/>
    <cellStyle name="Currency RU calc 3 2 15" xfId="18351"/>
    <cellStyle name="Currency RU calc 3 2 16" xfId="18352"/>
    <cellStyle name="Currency RU calc 3 2 17" xfId="18353"/>
    <cellStyle name="Currency RU calc 3 2 18" xfId="18354"/>
    <cellStyle name="Currency RU calc 3 2 2" xfId="18355"/>
    <cellStyle name="Currency RU calc 3 2 2 2" xfId="18356"/>
    <cellStyle name="Currency RU calc 3 2 2 2 2" xfId="18357"/>
    <cellStyle name="Currency RU calc 3 2 2 3" xfId="18358"/>
    <cellStyle name="Currency RU calc 3 2 2 4" xfId="18359"/>
    <cellStyle name="Currency RU calc 3 2 3" xfId="18360"/>
    <cellStyle name="Currency RU calc 3 2 3 2" xfId="18361"/>
    <cellStyle name="Currency RU calc 3 2 3 3" xfId="18362"/>
    <cellStyle name="Currency RU calc 3 2 4" xfId="18363"/>
    <cellStyle name="Currency RU calc 3 2 4 2" xfId="18364"/>
    <cellStyle name="Currency RU calc 3 2 5" xfId="18365"/>
    <cellStyle name="Currency RU calc 3 2 6" xfId="18366"/>
    <cellStyle name="Currency RU calc 3 2 7" xfId="18367"/>
    <cellStyle name="Currency RU calc 3 2 8" xfId="18368"/>
    <cellStyle name="Currency RU calc 3 2 9" xfId="18369"/>
    <cellStyle name="Currency RU calc 3 20" xfId="18370"/>
    <cellStyle name="Currency RU calc 3 21" xfId="18371"/>
    <cellStyle name="Currency RU calc 3 3" xfId="18372"/>
    <cellStyle name="Currency RU calc 3 3 10" xfId="18373"/>
    <cellStyle name="Currency RU calc 3 3 11" xfId="18374"/>
    <cellStyle name="Currency RU calc 3 3 12" xfId="18375"/>
    <cellStyle name="Currency RU calc 3 3 13" xfId="18376"/>
    <cellStyle name="Currency RU calc 3 3 14" xfId="18377"/>
    <cellStyle name="Currency RU calc 3 3 15" xfId="18378"/>
    <cellStyle name="Currency RU calc 3 3 16" xfId="18379"/>
    <cellStyle name="Currency RU calc 3 3 17" xfId="18380"/>
    <cellStyle name="Currency RU calc 3 3 18" xfId="18381"/>
    <cellStyle name="Currency RU calc 3 3 2" xfId="18382"/>
    <cellStyle name="Currency RU calc 3 3 2 2" xfId="18383"/>
    <cellStyle name="Currency RU calc 3 3 2 2 2" xfId="18384"/>
    <cellStyle name="Currency RU calc 3 3 2 3" xfId="18385"/>
    <cellStyle name="Currency RU calc 3 3 2 4" xfId="18386"/>
    <cellStyle name="Currency RU calc 3 3 3" xfId="18387"/>
    <cellStyle name="Currency RU calc 3 3 3 2" xfId="18388"/>
    <cellStyle name="Currency RU calc 3 3 3 3" xfId="18389"/>
    <cellStyle name="Currency RU calc 3 3 4" xfId="18390"/>
    <cellStyle name="Currency RU calc 3 3 4 2" xfId="18391"/>
    <cellStyle name="Currency RU calc 3 3 5" xfId="18392"/>
    <cellStyle name="Currency RU calc 3 3 6" xfId="18393"/>
    <cellStyle name="Currency RU calc 3 3 7" xfId="18394"/>
    <cellStyle name="Currency RU calc 3 3 8" xfId="18395"/>
    <cellStyle name="Currency RU calc 3 3 9" xfId="18396"/>
    <cellStyle name="Currency RU calc 3 4" xfId="18397"/>
    <cellStyle name="Currency RU calc 3 4 2" xfId="18398"/>
    <cellStyle name="Currency RU calc 3 4 2 2" xfId="18399"/>
    <cellStyle name="Currency RU calc 3 4 2 3" xfId="18400"/>
    <cellStyle name="Currency RU calc 3 4 3" xfId="18401"/>
    <cellStyle name="Currency RU calc 3 4 3 2" xfId="18402"/>
    <cellStyle name="Currency RU calc 3 4 4" xfId="18403"/>
    <cellStyle name="Currency RU calc 3 4 5" xfId="18404"/>
    <cellStyle name="Currency RU calc 3 5" xfId="18405"/>
    <cellStyle name="Currency RU calc 3 5 2" xfId="18406"/>
    <cellStyle name="Currency RU calc 3 5 2 2" xfId="18407"/>
    <cellStyle name="Currency RU calc 3 5 3" xfId="18408"/>
    <cellStyle name="Currency RU calc 3 5 4" xfId="18409"/>
    <cellStyle name="Currency RU calc 3 6" xfId="18410"/>
    <cellStyle name="Currency RU calc 3 6 2" xfId="18411"/>
    <cellStyle name="Currency RU calc 3 7" xfId="18412"/>
    <cellStyle name="Currency RU calc 3 8" xfId="18413"/>
    <cellStyle name="Currency RU calc 3 9" xfId="18414"/>
    <cellStyle name="Currency RU calc 4" xfId="18415"/>
    <cellStyle name="Currency RU calc 4 10" xfId="18416"/>
    <cellStyle name="Currency RU calc 4 11" xfId="18417"/>
    <cellStyle name="Currency RU calc 4 12" xfId="18418"/>
    <cellStyle name="Currency RU calc 4 13" xfId="18419"/>
    <cellStyle name="Currency RU calc 4 14" xfId="18420"/>
    <cellStyle name="Currency RU calc 4 15" xfId="18421"/>
    <cellStyle name="Currency RU calc 4 16" xfId="18422"/>
    <cellStyle name="Currency RU calc 4 17" xfId="18423"/>
    <cellStyle name="Currency RU calc 4 18" xfId="18424"/>
    <cellStyle name="Currency RU calc 4 19" xfId="18425"/>
    <cellStyle name="Currency RU calc 4 2" xfId="18426"/>
    <cellStyle name="Currency RU calc 4 2 10" xfId="18427"/>
    <cellStyle name="Currency RU calc 4 2 11" xfId="18428"/>
    <cellStyle name="Currency RU calc 4 2 12" xfId="18429"/>
    <cellStyle name="Currency RU calc 4 2 13" xfId="18430"/>
    <cellStyle name="Currency RU calc 4 2 14" xfId="18431"/>
    <cellStyle name="Currency RU calc 4 2 15" xfId="18432"/>
    <cellStyle name="Currency RU calc 4 2 16" xfId="18433"/>
    <cellStyle name="Currency RU calc 4 2 17" xfId="18434"/>
    <cellStyle name="Currency RU calc 4 2 18" xfId="18435"/>
    <cellStyle name="Currency RU calc 4 2 2" xfId="18436"/>
    <cellStyle name="Currency RU calc 4 2 2 2" xfId="18437"/>
    <cellStyle name="Currency RU calc 4 2 2 2 2" xfId="18438"/>
    <cellStyle name="Currency RU calc 4 2 2 3" xfId="18439"/>
    <cellStyle name="Currency RU calc 4 2 2 4" xfId="18440"/>
    <cellStyle name="Currency RU calc 4 2 3" xfId="18441"/>
    <cellStyle name="Currency RU calc 4 2 3 2" xfId="18442"/>
    <cellStyle name="Currency RU calc 4 2 3 3" xfId="18443"/>
    <cellStyle name="Currency RU calc 4 2 4" xfId="18444"/>
    <cellStyle name="Currency RU calc 4 2 4 2" xfId="18445"/>
    <cellStyle name="Currency RU calc 4 2 5" xfId="18446"/>
    <cellStyle name="Currency RU calc 4 2 6" xfId="18447"/>
    <cellStyle name="Currency RU calc 4 2 7" xfId="18448"/>
    <cellStyle name="Currency RU calc 4 2 8" xfId="18449"/>
    <cellStyle name="Currency RU calc 4 2 9" xfId="18450"/>
    <cellStyle name="Currency RU calc 4 20" xfId="18451"/>
    <cellStyle name="Currency RU calc 4 21" xfId="18452"/>
    <cellStyle name="Currency RU calc 4 3" xfId="18453"/>
    <cellStyle name="Currency RU calc 4 3 10" xfId="18454"/>
    <cellStyle name="Currency RU calc 4 3 11" xfId="18455"/>
    <cellStyle name="Currency RU calc 4 3 12" xfId="18456"/>
    <cellStyle name="Currency RU calc 4 3 13" xfId="18457"/>
    <cellStyle name="Currency RU calc 4 3 14" xfId="18458"/>
    <cellStyle name="Currency RU calc 4 3 15" xfId="18459"/>
    <cellStyle name="Currency RU calc 4 3 16" xfId="18460"/>
    <cellStyle name="Currency RU calc 4 3 17" xfId="18461"/>
    <cellStyle name="Currency RU calc 4 3 18" xfId="18462"/>
    <cellStyle name="Currency RU calc 4 3 2" xfId="18463"/>
    <cellStyle name="Currency RU calc 4 3 2 2" xfId="18464"/>
    <cellStyle name="Currency RU calc 4 3 2 2 2" xfId="18465"/>
    <cellStyle name="Currency RU calc 4 3 2 3" xfId="18466"/>
    <cellStyle name="Currency RU calc 4 3 2 4" xfId="18467"/>
    <cellStyle name="Currency RU calc 4 3 3" xfId="18468"/>
    <cellStyle name="Currency RU calc 4 3 3 2" xfId="18469"/>
    <cellStyle name="Currency RU calc 4 3 3 3" xfId="18470"/>
    <cellStyle name="Currency RU calc 4 3 4" xfId="18471"/>
    <cellStyle name="Currency RU calc 4 3 4 2" xfId="18472"/>
    <cellStyle name="Currency RU calc 4 3 5" xfId="18473"/>
    <cellStyle name="Currency RU calc 4 3 6" xfId="18474"/>
    <cellStyle name="Currency RU calc 4 3 7" xfId="18475"/>
    <cellStyle name="Currency RU calc 4 3 8" xfId="18476"/>
    <cellStyle name="Currency RU calc 4 3 9" xfId="18477"/>
    <cellStyle name="Currency RU calc 4 4" xfId="18478"/>
    <cellStyle name="Currency RU calc 4 4 2" xfId="18479"/>
    <cellStyle name="Currency RU calc 4 4 2 2" xfId="18480"/>
    <cellStyle name="Currency RU calc 4 4 2 3" xfId="18481"/>
    <cellStyle name="Currency RU calc 4 4 3" xfId="18482"/>
    <cellStyle name="Currency RU calc 4 4 3 2" xfId="18483"/>
    <cellStyle name="Currency RU calc 4 4 4" xfId="18484"/>
    <cellStyle name="Currency RU calc 4 4 5" xfId="18485"/>
    <cellStyle name="Currency RU calc 4 5" xfId="18486"/>
    <cellStyle name="Currency RU calc 4 5 2" xfId="18487"/>
    <cellStyle name="Currency RU calc 4 5 2 2" xfId="18488"/>
    <cellStyle name="Currency RU calc 4 5 3" xfId="18489"/>
    <cellStyle name="Currency RU calc 4 5 4" xfId="18490"/>
    <cellStyle name="Currency RU calc 4 6" xfId="18491"/>
    <cellStyle name="Currency RU calc 4 6 2" xfId="18492"/>
    <cellStyle name="Currency RU calc 4 7" xfId="18493"/>
    <cellStyle name="Currency RU calc 4 8" xfId="18494"/>
    <cellStyle name="Currency RU calc 4 9" xfId="18495"/>
    <cellStyle name="Currency RU calc 5" xfId="18496"/>
    <cellStyle name="Currency RU calc 5 10" xfId="18497"/>
    <cellStyle name="Currency RU calc 5 11" xfId="18498"/>
    <cellStyle name="Currency RU calc 5 12" xfId="18499"/>
    <cellStyle name="Currency RU calc 5 13" xfId="18500"/>
    <cellStyle name="Currency RU calc 5 14" xfId="18501"/>
    <cellStyle name="Currency RU calc 5 15" xfId="18502"/>
    <cellStyle name="Currency RU calc 5 16" xfId="18503"/>
    <cellStyle name="Currency RU calc 5 17" xfId="18504"/>
    <cellStyle name="Currency RU calc 5 18" xfId="18505"/>
    <cellStyle name="Currency RU calc 5 19" xfId="18506"/>
    <cellStyle name="Currency RU calc 5 2" xfId="18507"/>
    <cellStyle name="Currency RU calc 5 2 10" xfId="18508"/>
    <cellStyle name="Currency RU calc 5 2 11" xfId="18509"/>
    <cellStyle name="Currency RU calc 5 2 12" xfId="18510"/>
    <cellStyle name="Currency RU calc 5 2 13" xfId="18511"/>
    <cellStyle name="Currency RU calc 5 2 14" xfId="18512"/>
    <cellStyle name="Currency RU calc 5 2 15" xfId="18513"/>
    <cellStyle name="Currency RU calc 5 2 16" xfId="18514"/>
    <cellStyle name="Currency RU calc 5 2 17" xfId="18515"/>
    <cellStyle name="Currency RU calc 5 2 18" xfId="18516"/>
    <cellStyle name="Currency RU calc 5 2 2" xfId="18517"/>
    <cellStyle name="Currency RU calc 5 2 2 2" xfId="18518"/>
    <cellStyle name="Currency RU calc 5 2 2 2 2" xfId="18519"/>
    <cellStyle name="Currency RU calc 5 2 2 3" xfId="18520"/>
    <cellStyle name="Currency RU calc 5 2 2 4" xfId="18521"/>
    <cellStyle name="Currency RU calc 5 2 3" xfId="18522"/>
    <cellStyle name="Currency RU calc 5 2 3 2" xfId="18523"/>
    <cellStyle name="Currency RU calc 5 2 3 3" xfId="18524"/>
    <cellStyle name="Currency RU calc 5 2 4" xfId="18525"/>
    <cellStyle name="Currency RU calc 5 2 4 2" xfId="18526"/>
    <cellStyle name="Currency RU calc 5 2 5" xfId="18527"/>
    <cellStyle name="Currency RU calc 5 2 6" xfId="18528"/>
    <cellStyle name="Currency RU calc 5 2 7" xfId="18529"/>
    <cellStyle name="Currency RU calc 5 2 8" xfId="18530"/>
    <cellStyle name="Currency RU calc 5 2 9" xfId="18531"/>
    <cellStyle name="Currency RU calc 5 3" xfId="18532"/>
    <cellStyle name="Currency RU calc 5 3 10" xfId="18533"/>
    <cellStyle name="Currency RU calc 5 3 11" xfId="18534"/>
    <cellStyle name="Currency RU calc 5 3 12" xfId="18535"/>
    <cellStyle name="Currency RU calc 5 3 13" xfId="18536"/>
    <cellStyle name="Currency RU calc 5 3 14" xfId="18537"/>
    <cellStyle name="Currency RU calc 5 3 15" xfId="18538"/>
    <cellStyle name="Currency RU calc 5 3 16" xfId="18539"/>
    <cellStyle name="Currency RU calc 5 3 17" xfId="18540"/>
    <cellStyle name="Currency RU calc 5 3 18" xfId="18541"/>
    <cellStyle name="Currency RU calc 5 3 2" xfId="18542"/>
    <cellStyle name="Currency RU calc 5 3 2 2" xfId="18543"/>
    <cellStyle name="Currency RU calc 5 3 2 2 2" xfId="18544"/>
    <cellStyle name="Currency RU calc 5 3 2 3" xfId="18545"/>
    <cellStyle name="Currency RU calc 5 3 2 4" xfId="18546"/>
    <cellStyle name="Currency RU calc 5 3 3" xfId="18547"/>
    <cellStyle name="Currency RU calc 5 3 3 2" xfId="18548"/>
    <cellStyle name="Currency RU calc 5 3 3 3" xfId="18549"/>
    <cellStyle name="Currency RU calc 5 3 4" xfId="18550"/>
    <cellStyle name="Currency RU calc 5 3 4 2" xfId="18551"/>
    <cellStyle name="Currency RU calc 5 3 5" xfId="18552"/>
    <cellStyle name="Currency RU calc 5 3 6" xfId="18553"/>
    <cellStyle name="Currency RU calc 5 3 7" xfId="18554"/>
    <cellStyle name="Currency RU calc 5 3 8" xfId="18555"/>
    <cellStyle name="Currency RU calc 5 3 9" xfId="18556"/>
    <cellStyle name="Currency RU calc 5 4" xfId="18557"/>
    <cellStyle name="Currency RU calc 5 4 2" xfId="18558"/>
    <cellStyle name="Currency RU calc 5 4 2 2" xfId="18559"/>
    <cellStyle name="Currency RU calc 5 4 2 3" xfId="18560"/>
    <cellStyle name="Currency RU calc 5 4 3" xfId="18561"/>
    <cellStyle name="Currency RU calc 5 4 3 2" xfId="18562"/>
    <cellStyle name="Currency RU calc 5 4 4" xfId="18563"/>
    <cellStyle name="Currency RU calc 5 4 5" xfId="18564"/>
    <cellStyle name="Currency RU calc 5 5" xfId="18565"/>
    <cellStyle name="Currency RU calc 5 5 2" xfId="18566"/>
    <cellStyle name="Currency RU calc 5 5 2 2" xfId="18567"/>
    <cellStyle name="Currency RU calc 5 5 3" xfId="18568"/>
    <cellStyle name="Currency RU calc 5 5 4" xfId="18569"/>
    <cellStyle name="Currency RU calc 5 6" xfId="18570"/>
    <cellStyle name="Currency RU calc 5 6 2" xfId="18571"/>
    <cellStyle name="Currency RU calc 5 7" xfId="18572"/>
    <cellStyle name="Currency RU calc 5 8" xfId="18573"/>
    <cellStyle name="Currency RU calc 5 9" xfId="18574"/>
    <cellStyle name="Currency RU calc 6" xfId="18575"/>
    <cellStyle name="Currency RU calc 6 10" xfId="18576"/>
    <cellStyle name="Currency RU calc 6 11" xfId="18577"/>
    <cellStyle name="Currency RU calc 6 12" xfId="18578"/>
    <cellStyle name="Currency RU calc 6 13" xfId="18579"/>
    <cellStyle name="Currency RU calc 6 14" xfId="18580"/>
    <cellStyle name="Currency RU calc 6 15" xfId="18581"/>
    <cellStyle name="Currency RU calc 6 16" xfId="18582"/>
    <cellStyle name="Currency RU calc 6 17" xfId="18583"/>
    <cellStyle name="Currency RU calc 6 18" xfId="18584"/>
    <cellStyle name="Currency RU calc 6 19" xfId="18585"/>
    <cellStyle name="Currency RU calc 6 2" xfId="18586"/>
    <cellStyle name="Currency RU calc 6 2 10" xfId="18587"/>
    <cellStyle name="Currency RU calc 6 2 11" xfId="18588"/>
    <cellStyle name="Currency RU calc 6 2 12" xfId="18589"/>
    <cellStyle name="Currency RU calc 6 2 13" xfId="18590"/>
    <cellStyle name="Currency RU calc 6 2 14" xfId="18591"/>
    <cellStyle name="Currency RU calc 6 2 15" xfId="18592"/>
    <cellStyle name="Currency RU calc 6 2 16" xfId="18593"/>
    <cellStyle name="Currency RU calc 6 2 17" xfId="18594"/>
    <cellStyle name="Currency RU calc 6 2 18" xfId="18595"/>
    <cellStyle name="Currency RU calc 6 2 2" xfId="18596"/>
    <cellStyle name="Currency RU calc 6 2 2 2" xfId="18597"/>
    <cellStyle name="Currency RU calc 6 2 2 2 2" xfId="18598"/>
    <cellStyle name="Currency RU calc 6 2 2 3" xfId="18599"/>
    <cellStyle name="Currency RU calc 6 2 2 4" xfId="18600"/>
    <cellStyle name="Currency RU calc 6 2 3" xfId="18601"/>
    <cellStyle name="Currency RU calc 6 2 3 2" xfId="18602"/>
    <cellStyle name="Currency RU calc 6 2 3 3" xfId="18603"/>
    <cellStyle name="Currency RU calc 6 2 4" xfId="18604"/>
    <cellStyle name="Currency RU calc 6 2 4 2" xfId="18605"/>
    <cellStyle name="Currency RU calc 6 2 5" xfId="18606"/>
    <cellStyle name="Currency RU calc 6 2 6" xfId="18607"/>
    <cellStyle name="Currency RU calc 6 2 7" xfId="18608"/>
    <cellStyle name="Currency RU calc 6 2 8" xfId="18609"/>
    <cellStyle name="Currency RU calc 6 2 9" xfId="18610"/>
    <cellStyle name="Currency RU calc 6 20" xfId="18611"/>
    <cellStyle name="Currency RU calc 6 3" xfId="18612"/>
    <cellStyle name="Currency RU calc 6 3 10" xfId="18613"/>
    <cellStyle name="Currency RU calc 6 3 11" xfId="18614"/>
    <cellStyle name="Currency RU calc 6 3 12" xfId="18615"/>
    <cellStyle name="Currency RU calc 6 3 13" xfId="18616"/>
    <cellStyle name="Currency RU calc 6 3 14" xfId="18617"/>
    <cellStyle name="Currency RU calc 6 3 15" xfId="18618"/>
    <cellStyle name="Currency RU calc 6 3 16" xfId="18619"/>
    <cellStyle name="Currency RU calc 6 3 17" xfId="18620"/>
    <cellStyle name="Currency RU calc 6 3 18" xfId="18621"/>
    <cellStyle name="Currency RU calc 6 3 2" xfId="18622"/>
    <cellStyle name="Currency RU calc 6 3 2 2" xfId="18623"/>
    <cellStyle name="Currency RU calc 6 3 2 2 2" xfId="18624"/>
    <cellStyle name="Currency RU calc 6 3 2 3" xfId="18625"/>
    <cellStyle name="Currency RU calc 6 3 2 4" xfId="18626"/>
    <cellStyle name="Currency RU calc 6 3 3" xfId="18627"/>
    <cellStyle name="Currency RU calc 6 3 3 2" xfId="18628"/>
    <cellStyle name="Currency RU calc 6 3 3 3" xfId="18629"/>
    <cellStyle name="Currency RU calc 6 3 4" xfId="18630"/>
    <cellStyle name="Currency RU calc 6 3 4 2" xfId="18631"/>
    <cellStyle name="Currency RU calc 6 3 5" xfId="18632"/>
    <cellStyle name="Currency RU calc 6 3 6" xfId="18633"/>
    <cellStyle name="Currency RU calc 6 3 7" xfId="18634"/>
    <cellStyle name="Currency RU calc 6 3 8" xfId="18635"/>
    <cellStyle name="Currency RU calc 6 3 9" xfId="18636"/>
    <cellStyle name="Currency RU calc 6 4" xfId="18637"/>
    <cellStyle name="Currency RU calc 6 4 2" xfId="18638"/>
    <cellStyle name="Currency RU calc 6 4 2 2" xfId="18639"/>
    <cellStyle name="Currency RU calc 6 4 2 3" xfId="18640"/>
    <cellStyle name="Currency RU calc 6 4 3" xfId="18641"/>
    <cellStyle name="Currency RU calc 6 4 3 2" xfId="18642"/>
    <cellStyle name="Currency RU calc 6 4 4" xfId="18643"/>
    <cellStyle name="Currency RU calc 6 4 5" xfId="18644"/>
    <cellStyle name="Currency RU calc 6 5" xfId="18645"/>
    <cellStyle name="Currency RU calc 6 5 2" xfId="18646"/>
    <cellStyle name="Currency RU calc 6 5 2 2" xfId="18647"/>
    <cellStyle name="Currency RU calc 6 5 3" xfId="18648"/>
    <cellStyle name="Currency RU calc 6 5 4" xfId="18649"/>
    <cellStyle name="Currency RU calc 6 6" xfId="18650"/>
    <cellStyle name="Currency RU calc 6 6 2" xfId="18651"/>
    <cellStyle name="Currency RU calc 6 7" xfId="18652"/>
    <cellStyle name="Currency RU calc 6 8" xfId="18653"/>
    <cellStyle name="Currency RU calc 6 9" xfId="18654"/>
    <cellStyle name="Currency RU calc 7" xfId="18655"/>
    <cellStyle name="Currency RU calc 7 10" xfId="18656"/>
    <cellStyle name="Currency RU calc 7 11" xfId="18657"/>
    <cellStyle name="Currency RU calc 7 12" xfId="18658"/>
    <cellStyle name="Currency RU calc 7 13" xfId="18659"/>
    <cellStyle name="Currency RU calc 7 14" xfId="18660"/>
    <cellStyle name="Currency RU calc 7 15" xfId="18661"/>
    <cellStyle name="Currency RU calc 7 16" xfId="18662"/>
    <cellStyle name="Currency RU calc 7 17" xfId="18663"/>
    <cellStyle name="Currency RU calc 7 2" xfId="18664"/>
    <cellStyle name="Currency RU calc 7 2 2" xfId="18665"/>
    <cellStyle name="Currency RU calc 7 2 2 2" xfId="18666"/>
    <cellStyle name="Currency RU calc 7 2 3" xfId="18667"/>
    <cellStyle name="Currency RU calc 7 2 4" xfId="18668"/>
    <cellStyle name="Currency RU calc 7 3" xfId="18669"/>
    <cellStyle name="Currency RU calc 7 3 2" xfId="18670"/>
    <cellStyle name="Currency RU calc 7 4" xfId="18671"/>
    <cellStyle name="Currency RU calc 7 5" xfId="18672"/>
    <cellStyle name="Currency RU calc 7 6" xfId="18673"/>
    <cellStyle name="Currency RU calc 7 7" xfId="18674"/>
    <cellStyle name="Currency RU calc 7 8" xfId="18675"/>
    <cellStyle name="Currency RU calc 7 9" xfId="18676"/>
    <cellStyle name="Currency RU calc 8" xfId="18677"/>
    <cellStyle name="Currency RU calc 8 2" xfId="18678"/>
    <cellStyle name="Currency RU calc 8 2 2" xfId="18679"/>
    <cellStyle name="Currency RU calc 8 2 2 2" xfId="18680"/>
    <cellStyle name="Currency RU calc 8 2 3" xfId="18681"/>
    <cellStyle name="Currency RU calc 8 2 4" xfId="18682"/>
    <cellStyle name="Currency RU calc 8 3" xfId="18683"/>
    <cellStyle name="Currency RU calc 8 3 2" xfId="18684"/>
    <cellStyle name="Currency RU calc 8 3 3" xfId="18685"/>
    <cellStyle name="Currency RU calc 8 4" xfId="18686"/>
    <cellStyle name="Currency RU calc 8 4 2" xfId="18687"/>
    <cellStyle name="Currency RU calc 8 5" xfId="18688"/>
    <cellStyle name="Currency RU calc 8 6" xfId="18689"/>
    <cellStyle name="Currency RU calc 9" xfId="18690"/>
    <cellStyle name="Currency RU calc 9 2" xfId="18691"/>
    <cellStyle name="Currency RU calc 9 2 2" xfId="18692"/>
    <cellStyle name="Currency RU calc 9 3" xfId="18693"/>
    <cellStyle name="Currency RU calc 9 4" xfId="18694"/>
    <cellStyle name="Currency RU_Appendixes_Rolf Esteit_final" xfId="18695"/>
    <cellStyle name="Currency0" xfId="18696"/>
    <cellStyle name="Currency0 2" xfId="18697"/>
    <cellStyle name="CUS.Work.Area" xfId="18698"/>
    <cellStyle name="Custom - Style8" xfId="18699"/>
    <cellStyle name="Data" xfId="18700"/>
    <cellStyle name="Data   - Style2" xfId="18701"/>
    <cellStyle name="Data   - Style2 10" xfId="18702"/>
    <cellStyle name="Data   - Style2 11" xfId="18703"/>
    <cellStyle name="Data   - Style2 12" xfId="18704"/>
    <cellStyle name="Data   - Style2 13" xfId="18705"/>
    <cellStyle name="Data   - Style2 14" xfId="18706"/>
    <cellStyle name="Data   - Style2 15" xfId="18707"/>
    <cellStyle name="Data   - Style2 16" xfId="18708"/>
    <cellStyle name="Data   - Style2 17" xfId="18709"/>
    <cellStyle name="Data   - Style2 18" xfId="18710"/>
    <cellStyle name="Data   - Style2 19" xfId="18711"/>
    <cellStyle name="Data   - Style2 2" xfId="18712"/>
    <cellStyle name="Data   - Style2 2 10" xfId="18713"/>
    <cellStyle name="Data   - Style2 2 11" xfId="18714"/>
    <cellStyle name="Data   - Style2 2 12" xfId="18715"/>
    <cellStyle name="Data   - Style2 2 13" xfId="18716"/>
    <cellStyle name="Data   - Style2 2 14" xfId="18717"/>
    <cellStyle name="Data   - Style2 2 15" xfId="18718"/>
    <cellStyle name="Data   - Style2 2 16" xfId="18719"/>
    <cellStyle name="Data   - Style2 2 17" xfId="18720"/>
    <cellStyle name="Data   - Style2 2 18" xfId="18721"/>
    <cellStyle name="Data   - Style2 2 19" xfId="18722"/>
    <cellStyle name="Data   - Style2 2 2" xfId="18723"/>
    <cellStyle name="Data   - Style2 2 2 10" xfId="18724"/>
    <cellStyle name="Data   - Style2 2 2 11" xfId="18725"/>
    <cellStyle name="Data   - Style2 2 2 12" xfId="18726"/>
    <cellStyle name="Data   - Style2 2 2 13" xfId="18727"/>
    <cellStyle name="Data   - Style2 2 2 14" xfId="18728"/>
    <cellStyle name="Data   - Style2 2 2 15" xfId="18729"/>
    <cellStyle name="Data   - Style2 2 2 16" xfId="18730"/>
    <cellStyle name="Data   - Style2 2 2 17" xfId="18731"/>
    <cellStyle name="Data   - Style2 2 2 18" xfId="18732"/>
    <cellStyle name="Data   - Style2 2 2 2" xfId="18733"/>
    <cellStyle name="Data   - Style2 2 2 2 2" xfId="18734"/>
    <cellStyle name="Data   - Style2 2 2 2 2 2" xfId="18735"/>
    <cellStyle name="Data   - Style2 2 2 2 3" xfId="18736"/>
    <cellStyle name="Data   - Style2 2 2 2 4" xfId="18737"/>
    <cellStyle name="Data   - Style2 2 2 3" xfId="18738"/>
    <cellStyle name="Data   - Style2 2 2 3 2" xfId="18739"/>
    <cellStyle name="Data   - Style2 2 2 3 3" xfId="18740"/>
    <cellStyle name="Data   - Style2 2 2 4" xfId="18741"/>
    <cellStyle name="Data   - Style2 2 2 4 2" xfId="18742"/>
    <cellStyle name="Data   - Style2 2 2 5" xfId="18743"/>
    <cellStyle name="Data   - Style2 2 2 6" xfId="18744"/>
    <cellStyle name="Data   - Style2 2 2 7" xfId="18745"/>
    <cellStyle name="Data   - Style2 2 2 8" xfId="18746"/>
    <cellStyle name="Data   - Style2 2 2 9" xfId="18747"/>
    <cellStyle name="Data   - Style2 2 20" xfId="18748"/>
    <cellStyle name="Data   - Style2 2 21" xfId="18749"/>
    <cellStyle name="Data   - Style2 2 22" xfId="18750"/>
    <cellStyle name="Data   - Style2 2 23" xfId="18751"/>
    <cellStyle name="Data   - Style2 2 3" xfId="18752"/>
    <cellStyle name="Data   - Style2 2 3 10" xfId="18753"/>
    <cellStyle name="Data   - Style2 2 3 11" xfId="18754"/>
    <cellStyle name="Data   - Style2 2 3 12" xfId="18755"/>
    <cellStyle name="Data   - Style2 2 3 13" xfId="18756"/>
    <cellStyle name="Data   - Style2 2 3 14" xfId="18757"/>
    <cellStyle name="Data   - Style2 2 3 15" xfId="18758"/>
    <cellStyle name="Data   - Style2 2 3 16" xfId="18759"/>
    <cellStyle name="Data   - Style2 2 3 17" xfId="18760"/>
    <cellStyle name="Data   - Style2 2 3 18" xfId="18761"/>
    <cellStyle name="Data   - Style2 2 3 2" xfId="18762"/>
    <cellStyle name="Data   - Style2 2 3 2 2" xfId="18763"/>
    <cellStyle name="Data   - Style2 2 3 2 2 2" xfId="18764"/>
    <cellStyle name="Data   - Style2 2 3 2 3" xfId="18765"/>
    <cellStyle name="Data   - Style2 2 3 2 4" xfId="18766"/>
    <cellStyle name="Data   - Style2 2 3 3" xfId="18767"/>
    <cellStyle name="Data   - Style2 2 3 3 2" xfId="18768"/>
    <cellStyle name="Data   - Style2 2 3 3 3" xfId="18769"/>
    <cellStyle name="Data   - Style2 2 3 4" xfId="18770"/>
    <cellStyle name="Data   - Style2 2 3 4 2" xfId="18771"/>
    <cellStyle name="Data   - Style2 2 3 5" xfId="18772"/>
    <cellStyle name="Data   - Style2 2 3 6" xfId="18773"/>
    <cellStyle name="Data   - Style2 2 3 7" xfId="18774"/>
    <cellStyle name="Data   - Style2 2 3 8" xfId="18775"/>
    <cellStyle name="Data   - Style2 2 3 9" xfId="18776"/>
    <cellStyle name="Data   - Style2 2 4" xfId="18777"/>
    <cellStyle name="Data   - Style2 2 4 2" xfId="18778"/>
    <cellStyle name="Data   - Style2 2 4 2 2" xfId="18779"/>
    <cellStyle name="Data   - Style2 2 4 2 3" xfId="18780"/>
    <cellStyle name="Data   - Style2 2 4 3" xfId="18781"/>
    <cellStyle name="Data   - Style2 2 4 3 2" xfId="18782"/>
    <cellStyle name="Data   - Style2 2 4 4" xfId="18783"/>
    <cellStyle name="Data   - Style2 2 4 5" xfId="18784"/>
    <cellStyle name="Data   - Style2 2 5" xfId="18785"/>
    <cellStyle name="Data   - Style2 2 5 2" xfId="18786"/>
    <cellStyle name="Data   - Style2 2 5 2 2" xfId="18787"/>
    <cellStyle name="Data   - Style2 2 5 3" xfId="18788"/>
    <cellStyle name="Data   - Style2 2 5 4" xfId="18789"/>
    <cellStyle name="Data   - Style2 2 6" xfId="18790"/>
    <cellStyle name="Data   - Style2 2 6 2" xfId="18791"/>
    <cellStyle name="Data   - Style2 2 6 3" xfId="18792"/>
    <cellStyle name="Data   - Style2 2 7" xfId="18793"/>
    <cellStyle name="Data   - Style2 2 7 2" xfId="18794"/>
    <cellStyle name="Data   - Style2 2 8" xfId="18795"/>
    <cellStyle name="Data   - Style2 2 9" xfId="18796"/>
    <cellStyle name="Data   - Style2 20" xfId="18797"/>
    <cellStyle name="Data   - Style2 21" xfId="18798"/>
    <cellStyle name="Data   - Style2 3" xfId="18799"/>
    <cellStyle name="Data   - Style2 3 10" xfId="18800"/>
    <cellStyle name="Data   - Style2 3 11" xfId="18801"/>
    <cellStyle name="Data   - Style2 3 12" xfId="18802"/>
    <cellStyle name="Data   - Style2 3 13" xfId="18803"/>
    <cellStyle name="Data   - Style2 3 14" xfId="18804"/>
    <cellStyle name="Data   - Style2 3 15" xfId="18805"/>
    <cellStyle name="Data   - Style2 3 16" xfId="18806"/>
    <cellStyle name="Data   - Style2 3 17" xfId="18807"/>
    <cellStyle name="Data   - Style2 3 18" xfId="18808"/>
    <cellStyle name="Data   - Style2 3 19" xfId="18809"/>
    <cellStyle name="Data   - Style2 3 2" xfId="18810"/>
    <cellStyle name="Data   - Style2 3 2 10" xfId="18811"/>
    <cellStyle name="Data   - Style2 3 2 11" xfId="18812"/>
    <cellStyle name="Data   - Style2 3 2 12" xfId="18813"/>
    <cellStyle name="Data   - Style2 3 2 13" xfId="18814"/>
    <cellStyle name="Data   - Style2 3 2 14" xfId="18815"/>
    <cellStyle name="Data   - Style2 3 2 15" xfId="18816"/>
    <cellStyle name="Data   - Style2 3 2 16" xfId="18817"/>
    <cellStyle name="Data   - Style2 3 2 17" xfId="18818"/>
    <cellStyle name="Data   - Style2 3 2 18" xfId="18819"/>
    <cellStyle name="Data   - Style2 3 2 2" xfId="18820"/>
    <cellStyle name="Data   - Style2 3 2 2 2" xfId="18821"/>
    <cellStyle name="Data   - Style2 3 2 2 2 2" xfId="18822"/>
    <cellStyle name="Data   - Style2 3 2 2 3" xfId="18823"/>
    <cellStyle name="Data   - Style2 3 2 2 4" xfId="18824"/>
    <cellStyle name="Data   - Style2 3 2 3" xfId="18825"/>
    <cellStyle name="Data   - Style2 3 2 3 2" xfId="18826"/>
    <cellStyle name="Data   - Style2 3 2 3 3" xfId="18827"/>
    <cellStyle name="Data   - Style2 3 2 4" xfId="18828"/>
    <cellStyle name="Data   - Style2 3 2 4 2" xfId="18829"/>
    <cellStyle name="Data   - Style2 3 2 5" xfId="18830"/>
    <cellStyle name="Data   - Style2 3 2 6" xfId="18831"/>
    <cellStyle name="Data   - Style2 3 2 7" xfId="18832"/>
    <cellStyle name="Data   - Style2 3 2 8" xfId="18833"/>
    <cellStyle name="Data   - Style2 3 2 9" xfId="18834"/>
    <cellStyle name="Data   - Style2 3 3" xfId="18835"/>
    <cellStyle name="Data   - Style2 3 3 10" xfId="18836"/>
    <cellStyle name="Data   - Style2 3 3 11" xfId="18837"/>
    <cellStyle name="Data   - Style2 3 3 12" xfId="18838"/>
    <cellStyle name="Data   - Style2 3 3 13" xfId="18839"/>
    <cellStyle name="Data   - Style2 3 3 14" xfId="18840"/>
    <cellStyle name="Data   - Style2 3 3 15" xfId="18841"/>
    <cellStyle name="Data   - Style2 3 3 16" xfId="18842"/>
    <cellStyle name="Data   - Style2 3 3 17" xfId="18843"/>
    <cellStyle name="Data   - Style2 3 3 18" xfId="18844"/>
    <cellStyle name="Data   - Style2 3 3 2" xfId="18845"/>
    <cellStyle name="Data   - Style2 3 3 2 2" xfId="18846"/>
    <cellStyle name="Data   - Style2 3 3 2 2 2" xfId="18847"/>
    <cellStyle name="Data   - Style2 3 3 2 3" xfId="18848"/>
    <cellStyle name="Data   - Style2 3 3 2 4" xfId="18849"/>
    <cellStyle name="Data   - Style2 3 3 3" xfId="18850"/>
    <cellStyle name="Data   - Style2 3 3 3 2" xfId="18851"/>
    <cellStyle name="Data   - Style2 3 3 3 3" xfId="18852"/>
    <cellStyle name="Data   - Style2 3 3 4" xfId="18853"/>
    <cellStyle name="Data   - Style2 3 3 4 2" xfId="18854"/>
    <cellStyle name="Data   - Style2 3 3 5" xfId="18855"/>
    <cellStyle name="Data   - Style2 3 3 6" xfId="18856"/>
    <cellStyle name="Data   - Style2 3 3 7" xfId="18857"/>
    <cellStyle name="Data   - Style2 3 3 8" xfId="18858"/>
    <cellStyle name="Data   - Style2 3 3 9" xfId="18859"/>
    <cellStyle name="Data   - Style2 3 4" xfId="18860"/>
    <cellStyle name="Data   - Style2 3 4 2" xfId="18861"/>
    <cellStyle name="Data   - Style2 3 4 2 2" xfId="18862"/>
    <cellStyle name="Data   - Style2 3 4 2 3" xfId="18863"/>
    <cellStyle name="Data   - Style2 3 4 3" xfId="18864"/>
    <cellStyle name="Data   - Style2 3 4 3 2" xfId="18865"/>
    <cellStyle name="Data   - Style2 3 4 4" xfId="18866"/>
    <cellStyle name="Data   - Style2 3 4 5" xfId="18867"/>
    <cellStyle name="Data   - Style2 3 5" xfId="18868"/>
    <cellStyle name="Data   - Style2 3 5 2" xfId="18869"/>
    <cellStyle name="Data   - Style2 3 5 2 2" xfId="18870"/>
    <cellStyle name="Data   - Style2 3 5 3" xfId="18871"/>
    <cellStyle name="Data   - Style2 3 5 4" xfId="18872"/>
    <cellStyle name="Data   - Style2 3 6" xfId="18873"/>
    <cellStyle name="Data   - Style2 3 6 2" xfId="18874"/>
    <cellStyle name="Data   - Style2 3 6 3" xfId="18875"/>
    <cellStyle name="Data   - Style2 3 7" xfId="18876"/>
    <cellStyle name="Data   - Style2 3 7 2" xfId="18877"/>
    <cellStyle name="Data   - Style2 3 8" xfId="18878"/>
    <cellStyle name="Data   - Style2 3 9" xfId="18879"/>
    <cellStyle name="Data   - Style2 4" xfId="18880"/>
    <cellStyle name="Data   - Style2 4 10" xfId="18881"/>
    <cellStyle name="Data   - Style2 4 11" xfId="18882"/>
    <cellStyle name="Data   - Style2 4 12" xfId="18883"/>
    <cellStyle name="Data   - Style2 4 13" xfId="18884"/>
    <cellStyle name="Data   - Style2 4 14" xfId="18885"/>
    <cellStyle name="Data   - Style2 4 15" xfId="18886"/>
    <cellStyle name="Data   - Style2 4 16" xfId="18887"/>
    <cellStyle name="Data   - Style2 4 17" xfId="18888"/>
    <cellStyle name="Data   - Style2 4 18" xfId="18889"/>
    <cellStyle name="Data   - Style2 4 19" xfId="18890"/>
    <cellStyle name="Data   - Style2 4 2" xfId="18891"/>
    <cellStyle name="Data   - Style2 4 2 10" xfId="18892"/>
    <cellStyle name="Data   - Style2 4 2 11" xfId="18893"/>
    <cellStyle name="Data   - Style2 4 2 12" xfId="18894"/>
    <cellStyle name="Data   - Style2 4 2 13" xfId="18895"/>
    <cellStyle name="Data   - Style2 4 2 14" xfId="18896"/>
    <cellStyle name="Data   - Style2 4 2 15" xfId="18897"/>
    <cellStyle name="Data   - Style2 4 2 16" xfId="18898"/>
    <cellStyle name="Data   - Style2 4 2 17" xfId="18899"/>
    <cellStyle name="Data   - Style2 4 2 18" xfId="18900"/>
    <cellStyle name="Data   - Style2 4 2 2" xfId="18901"/>
    <cellStyle name="Data   - Style2 4 2 2 2" xfId="18902"/>
    <cellStyle name="Data   - Style2 4 2 2 2 2" xfId="18903"/>
    <cellStyle name="Data   - Style2 4 2 2 3" xfId="18904"/>
    <cellStyle name="Data   - Style2 4 2 2 4" xfId="18905"/>
    <cellStyle name="Data   - Style2 4 2 3" xfId="18906"/>
    <cellStyle name="Data   - Style2 4 2 3 2" xfId="18907"/>
    <cellStyle name="Data   - Style2 4 2 3 3" xfId="18908"/>
    <cellStyle name="Data   - Style2 4 2 4" xfId="18909"/>
    <cellStyle name="Data   - Style2 4 2 4 2" xfId="18910"/>
    <cellStyle name="Data   - Style2 4 2 5" xfId="18911"/>
    <cellStyle name="Data   - Style2 4 2 6" xfId="18912"/>
    <cellStyle name="Data   - Style2 4 2 7" xfId="18913"/>
    <cellStyle name="Data   - Style2 4 2 8" xfId="18914"/>
    <cellStyle name="Data   - Style2 4 2 9" xfId="18915"/>
    <cellStyle name="Data   - Style2 4 3" xfId="18916"/>
    <cellStyle name="Data   - Style2 4 3 10" xfId="18917"/>
    <cellStyle name="Data   - Style2 4 3 11" xfId="18918"/>
    <cellStyle name="Data   - Style2 4 3 12" xfId="18919"/>
    <cellStyle name="Data   - Style2 4 3 13" xfId="18920"/>
    <cellStyle name="Data   - Style2 4 3 14" xfId="18921"/>
    <cellStyle name="Data   - Style2 4 3 15" xfId="18922"/>
    <cellStyle name="Data   - Style2 4 3 16" xfId="18923"/>
    <cellStyle name="Data   - Style2 4 3 17" xfId="18924"/>
    <cellStyle name="Data   - Style2 4 3 18" xfId="18925"/>
    <cellStyle name="Data   - Style2 4 3 2" xfId="18926"/>
    <cellStyle name="Data   - Style2 4 3 2 2" xfId="18927"/>
    <cellStyle name="Data   - Style2 4 3 2 2 2" xfId="18928"/>
    <cellStyle name="Data   - Style2 4 3 2 3" xfId="18929"/>
    <cellStyle name="Data   - Style2 4 3 2 4" xfId="18930"/>
    <cellStyle name="Data   - Style2 4 3 3" xfId="18931"/>
    <cellStyle name="Data   - Style2 4 3 3 2" xfId="18932"/>
    <cellStyle name="Data   - Style2 4 3 3 3" xfId="18933"/>
    <cellStyle name="Data   - Style2 4 3 4" xfId="18934"/>
    <cellStyle name="Data   - Style2 4 3 4 2" xfId="18935"/>
    <cellStyle name="Data   - Style2 4 3 5" xfId="18936"/>
    <cellStyle name="Data   - Style2 4 3 6" xfId="18937"/>
    <cellStyle name="Data   - Style2 4 3 7" xfId="18938"/>
    <cellStyle name="Data   - Style2 4 3 8" xfId="18939"/>
    <cellStyle name="Data   - Style2 4 3 9" xfId="18940"/>
    <cellStyle name="Data   - Style2 4 4" xfId="18941"/>
    <cellStyle name="Data   - Style2 4 4 2" xfId="18942"/>
    <cellStyle name="Data   - Style2 4 4 2 2" xfId="18943"/>
    <cellStyle name="Data   - Style2 4 4 2 3" xfId="18944"/>
    <cellStyle name="Data   - Style2 4 4 3" xfId="18945"/>
    <cellStyle name="Data   - Style2 4 4 3 2" xfId="18946"/>
    <cellStyle name="Data   - Style2 4 4 4" xfId="18947"/>
    <cellStyle name="Data   - Style2 4 4 5" xfId="18948"/>
    <cellStyle name="Data   - Style2 4 5" xfId="18949"/>
    <cellStyle name="Data   - Style2 4 5 2" xfId="18950"/>
    <cellStyle name="Data   - Style2 4 5 2 2" xfId="18951"/>
    <cellStyle name="Data   - Style2 4 5 3" xfId="18952"/>
    <cellStyle name="Data   - Style2 4 5 4" xfId="18953"/>
    <cellStyle name="Data   - Style2 4 6" xfId="18954"/>
    <cellStyle name="Data   - Style2 4 6 2" xfId="18955"/>
    <cellStyle name="Data   - Style2 4 6 3" xfId="18956"/>
    <cellStyle name="Data   - Style2 4 7" xfId="18957"/>
    <cellStyle name="Data   - Style2 4 7 2" xfId="18958"/>
    <cellStyle name="Data   - Style2 4 8" xfId="18959"/>
    <cellStyle name="Data   - Style2 4 9" xfId="18960"/>
    <cellStyle name="Data   - Style2 5" xfId="18961"/>
    <cellStyle name="Data   - Style2 5 10" xfId="18962"/>
    <cellStyle name="Data   - Style2 5 11" xfId="18963"/>
    <cellStyle name="Data   - Style2 5 12" xfId="18964"/>
    <cellStyle name="Data   - Style2 5 13" xfId="18965"/>
    <cellStyle name="Data   - Style2 5 14" xfId="18966"/>
    <cellStyle name="Data   - Style2 5 15" xfId="18967"/>
    <cellStyle name="Data   - Style2 5 2" xfId="18968"/>
    <cellStyle name="Data   - Style2 5 2 10" xfId="18969"/>
    <cellStyle name="Data   - Style2 5 2 11" xfId="18970"/>
    <cellStyle name="Data   - Style2 5 2 12" xfId="18971"/>
    <cellStyle name="Data   - Style2 5 2 13" xfId="18972"/>
    <cellStyle name="Data   - Style2 5 2 14" xfId="18973"/>
    <cellStyle name="Data   - Style2 5 2 15" xfId="18974"/>
    <cellStyle name="Data   - Style2 5 2 16" xfId="18975"/>
    <cellStyle name="Data   - Style2 5 2 17" xfId="18976"/>
    <cellStyle name="Data   - Style2 5 2 18" xfId="18977"/>
    <cellStyle name="Data   - Style2 5 2 2" xfId="18978"/>
    <cellStyle name="Data   - Style2 5 2 2 2" xfId="18979"/>
    <cellStyle name="Data   - Style2 5 2 2 2 2" xfId="18980"/>
    <cellStyle name="Data   - Style2 5 2 2 3" xfId="18981"/>
    <cellStyle name="Data   - Style2 5 2 2 4" xfId="18982"/>
    <cellStyle name="Data   - Style2 5 2 3" xfId="18983"/>
    <cellStyle name="Data   - Style2 5 2 3 2" xfId="18984"/>
    <cellStyle name="Data   - Style2 5 2 3 3" xfId="18985"/>
    <cellStyle name="Data   - Style2 5 2 4" xfId="18986"/>
    <cellStyle name="Data   - Style2 5 2 4 2" xfId="18987"/>
    <cellStyle name="Data   - Style2 5 2 5" xfId="18988"/>
    <cellStyle name="Data   - Style2 5 2 6" xfId="18989"/>
    <cellStyle name="Data   - Style2 5 2 7" xfId="18990"/>
    <cellStyle name="Data   - Style2 5 2 8" xfId="18991"/>
    <cellStyle name="Data   - Style2 5 2 9" xfId="18992"/>
    <cellStyle name="Data   - Style2 5 3" xfId="18993"/>
    <cellStyle name="Data   - Style2 5 3 10" xfId="18994"/>
    <cellStyle name="Data   - Style2 5 3 11" xfId="18995"/>
    <cellStyle name="Data   - Style2 5 3 12" xfId="18996"/>
    <cellStyle name="Data   - Style2 5 3 13" xfId="18997"/>
    <cellStyle name="Data   - Style2 5 3 14" xfId="18998"/>
    <cellStyle name="Data   - Style2 5 3 15" xfId="18999"/>
    <cellStyle name="Data   - Style2 5 3 16" xfId="19000"/>
    <cellStyle name="Data   - Style2 5 3 17" xfId="19001"/>
    <cellStyle name="Data   - Style2 5 3 18" xfId="19002"/>
    <cellStyle name="Data   - Style2 5 3 2" xfId="19003"/>
    <cellStyle name="Data   - Style2 5 3 2 2" xfId="19004"/>
    <cellStyle name="Data   - Style2 5 3 2 2 2" xfId="19005"/>
    <cellStyle name="Data   - Style2 5 3 2 3" xfId="19006"/>
    <cellStyle name="Data   - Style2 5 3 2 4" xfId="19007"/>
    <cellStyle name="Data   - Style2 5 3 3" xfId="19008"/>
    <cellStyle name="Data   - Style2 5 3 3 2" xfId="19009"/>
    <cellStyle name="Data   - Style2 5 3 3 3" xfId="19010"/>
    <cellStyle name="Data   - Style2 5 3 4" xfId="19011"/>
    <cellStyle name="Data   - Style2 5 3 4 2" xfId="19012"/>
    <cellStyle name="Data   - Style2 5 3 5" xfId="19013"/>
    <cellStyle name="Data   - Style2 5 3 6" xfId="19014"/>
    <cellStyle name="Data   - Style2 5 3 7" xfId="19015"/>
    <cellStyle name="Data   - Style2 5 3 8" xfId="19016"/>
    <cellStyle name="Data   - Style2 5 3 9" xfId="19017"/>
    <cellStyle name="Data   - Style2 5 4" xfId="19018"/>
    <cellStyle name="Data   - Style2 5 4 2" xfId="19019"/>
    <cellStyle name="Data   - Style2 5 4 2 2" xfId="19020"/>
    <cellStyle name="Data   - Style2 5 4 2 3" xfId="19021"/>
    <cellStyle name="Data   - Style2 5 4 3" xfId="19022"/>
    <cellStyle name="Data   - Style2 5 4 3 2" xfId="19023"/>
    <cellStyle name="Data   - Style2 5 4 4" xfId="19024"/>
    <cellStyle name="Data   - Style2 5 4 5" xfId="19025"/>
    <cellStyle name="Data   - Style2 5 5" xfId="19026"/>
    <cellStyle name="Data   - Style2 5 5 2" xfId="19027"/>
    <cellStyle name="Data   - Style2 5 5 2 2" xfId="19028"/>
    <cellStyle name="Data   - Style2 5 5 3" xfId="19029"/>
    <cellStyle name="Data   - Style2 5 5 4" xfId="19030"/>
    <cellStyle name="Data   - Style2 5 6" xfId="19031"/>
    <cellStyle name="Data   - Style2 5 6 2" xfId="19032"/>
    <cellStyle name="Data   - Style2 5 7" xfId="19033"/>
    <cellStyle name="Data   - Style2 5 8" xfId="19034"/>
    <cellStyle name="Data   - Style2 5 9" xfId="19035"/>
    <cellStyle name="Data   - Style2 6" xfId="19036"/>
    <cellStyle name="Data   - Style2 6 10" xfId="19037"/>
    <cellStyle name="Data   - Style2 6 11" xfId="19038"/>
    <cellStyle name="Data   - Style2 6 12" xfId="19039"/>
    <cellStyle name="Data   - Style2 6 13" xfId="19040"/>
    <cellStyle name="Data   - Style2 6 14" xfId="19041"/>
    <cellStyle name="Data   - Style2 6 15" xfId="19042"/>
    <cellStyle name="Data   - Style2 6 16" xfId="19043"/>
    <cellStyle name="Data   - Style2 6 17" xfId="19044"/>
    <cellStyle name="Data   - Style2 6 18" xfId="19045"/>
    <cellStyle name="Data   - Style2 6 2" xfId="19046"/>
    <cellStyle name="Data   - Style2 6 2 2" xfId="19047"/>
    <cellStyle name="Data   - Style2 6 2 2 2" xfId="19048"/>
    <cellStyle name="Data   - Style2 6 2 3" xfId="19049"/>
    <cellStyle name="Data   - Style2 6 2 4" xfId="19050"/>
    <cellStyle name="Data   - Style2 6 3" xfId="19051"/>
    <cellStyle name="Data   - Style2 6 3 2" xfId="19052"/>
    <cellStyle name="Data   - Style2 6 3 3" xfId="19053"/>
    <cellStyle name="Data   - Style2 6 4" xfId="19054"/>
    <cellStyle name="Data   - Style2 6 4 2" xfId="19055"/>
    <cellStyle name="Data   - Style2 6 5" xfId="19056"/>
    <cellStyle name="Data   - Style2 6 6" xfId="19057"/>
    <cellStyle name="Data   - Style2 6 7" xfId="19058"/>
    <cellStyle name="Data   - Style2 6 8" xfId="19059"/>
    <cellStyle name="Data   - Style2 6 9" xfId="19060"/>
    <cellStyle name="Data   - Style2 7" xfId="19061"/>
    <cellStyle name="Data   - Style2 7 10" xfId="19062"/>
    <cellStyle name="Data   - Style2 7 11" xfId="19063"/>
    <cellStyle name="Data   - Style2 7 12" xfId="19064"/>
    <cellStyle name="Data   - Style2 7 13" xfId="19065"/>
    <cellStyle name="Data   - Style2 7 14" xfId="19066"/>
    <cellStyle name="Data   - Style2 7 15" xfId="19067"/>
    <cellStyle name="Data   - Style2 7 16" xfId="19068"/>
    <cellStyle name="Data   - Style2 7 17" xfId="19069"/>
    <cellStyle name="Data   - Style2 7 18" xfId="19070"/>
    <cellStyle name="Data   - Style2 7 2" xfId="19071"/>
    <cellStyle name="Data   - Style2 7 2 2" xfId="19072"/>
    <cellStyle name="Data   - Style2 7 2 3" xfId="19073"/>
    <cellStyle name="Data   - Style2 7 3" xfId="19074"/>
    <cellStyle name="Data   - Style2 7 3 2" xfId="19075"/>
    <cellStyle name="Data   - Style2 7 4" xfId="19076"/>
    <cellStyle name="Data   - Style2 7 5" xfId="19077"/>
    <cellStyle name="Data   - Style2 7 6" xfId="19078"/>
    <cellStyle name="Data   - Style2 7 7" xfId="19079"/>
    <cellStyle name="Data   - Style2 7 8" xfId="19080"/>
    <cellStyle name="Data   - Style2 7 9" xfId="19081"/>
    <cellStyle name="Data   - Style2 8" xfId="19082"/>
    <cellStyle name="Data   - Style2 8 2" xfId="19083"/>
    <cellStyle name="Data   - Style2 8 2 2" xfId="19084"/>
    <cellStyle name="Data   - Style2 8 3" xfId="19085"/>
    <cellStyle name="Data   - Style2 8 4" xfId="19086"/>
    <cellStyle name="Data   - Style2 9" xfId="19087"/>
    <cellStyle name="Data 2" xfId="19088"/>
    <cellStyle name="Data 3" xfId="19089"/>
    <cellStyle name="Data 4" xfId="19090"/>
    <cellStyle name="Data 5" xfId="19091"/>
    <cellStyle name="DATA Amount" xfId="19092"/>
    <cellStyle name="DATA Amount [1]" xfId="19093"/>
    <cellStyle name="DATA Amount [1] 2" xfId="19094"/>
    <cellStyle name="DATA Amount [2]" xfId="19095"/>
    <cellStyle name="DATA Amount [2] 2" xfId="19096"/>
    <cellStyle name="DATA Amount 2" xfId="19097"/>
    <cellStyle name="Data Cell - PerformancePoint" xfId="19098"/>
    <cellStyle name="DATA Currency" xfId="19099"/>
    <cellStyle name="DATA Currency [1]" xfId="19100"/>
    <cellStyle name="DATA Currency [1] 2" xfId="19101"/>
    <cellStyle name="DATA Currency [2]" xfId="19102"/>
    <cellStyle name="DATA Currency [2] 2" xfId="19103"/>
    <cellStyle name="DATA Currency 2" xfId="19104"/>
    <cellStyle name="DATA Date Long" xfId="19105"/>
    <cellStyle name="DATA Date Long 2" xfId="19106"/>
    <cellStyle name="DATA Date Short" xfId="19107"/>
    <cellStyle name="DATA Date Short 2" xfId="19108"/>
    <cellStyle name="Data Entry Cell - PerformancePoint" xfId="19109"/>
    <cellStyle name="DATA List" xfId="19110"/>
    <cellStyle name="DATA List 2" xfId="19111"/>
    <cellStyle name="DATA Memo" xfId="19112"/>
    <cellStyle name="DATA Memo 2" xfId="19113"/>
    <cellStyle name="DATA Percent" xfId="19114"/>
    <cellStyle name="DATA Percent [1]" xfId="19115"/>
    <cellStyle name="DATA Percent [1] 2" xfId="19116"/>
    <cellStyle name="DATA Percent [2]" xfId="19117"/>
    <cellStyle name="DATA Percent [2] 2" xfId="19118"/>
    <cellStyle name="DATA Percent 2" xfId="19119"/>
    <cellStyle name="DATA Text" xfId="19120"/>
    <cellStyle name="DATA Text 2" xfId="19121"/>
    <cellStyle name="DATA Version" xfId="19122"/>
    <cellStyle name="DATA Version 2" xfId="19123"/>
    <cellStyle name="Data_ИСХ_ПАРАМ_Галоген" xfId="19124"/>
    <cellStyle name="DataBold" xfId="19125"/>
    <cellStyle name="Date" xfId="19126"/>
    <cellStyle name="Date [mmm-yy]" xfId="19127"/>
    <cellStyle name="Date [mmm-yy] 2" xfId="19128"/>
    <cellStyle name="Date 2" xfId="19129"/>
    <cellStyle name="Date 2 2" xfId="19130"/>
    <cellStyle name="Date 3" xfId="19131"/>
    <cellStyle name="Date 3 2" xfId="19132"/>
    <cellStyle name="Date 4" xfId="19133"/>
    <cellStyle name="Date 4 2" xfId="19134"/>
    <cellStyle name="Date 5" xfId="19135"/>
    <cellStyle name="Date 5 2" xfId="19136"/>
    <cellStyle name="Date 6" xfId="19137"/>
    <cellStyle name="Date 7" xfId="19138"/>
    <cellStyle name="Date 8" xfId="19139"/>
    <cellStyle name="Date 9" xfId="19140"/>
    <cellStyle name="Date Aligned" xfId="19141"/>
    <cellStyle name="Date EN" xfId="19142"/>
    <cellStyle name="Date EN 2" xfId="19143"/>
    <cellStyle name="Date EN 2 2" xfId="19144"/>
    <cellStyle name="Date EN 3" xfId="19145"/>
    <cellStyle name="Date EN 4" xfId="19146"/>
    <cellStyle name="Date RU" xfId="19147"/>
    <cellStyle name="Date RU 2" xfId="19148"/>
    <cellStyle name="Date RU 2 2" xfId="19149"/>
    <cellStyle name="Date RU 3" xfId="19150"/>
    <cellStyle name="Date RU 4" xfId="19151"/>
    <cellStyle name="Date Short" xfId="19152"/>
    <cellStyle name="Date Short 2" xfId="19153"/>
    <cellStyle name="Date Short 2 2" xfId="19154"/>
    <cellStyle name="Date Short 3" xfId="19155"/>
    <cellStyle name="Date Short 3 2" xfId="19156"/>
    <cellStyle name="Date Short 4" xfId="19157"/>
    <cellStyle name="Date Short 4 2" xfId="19158"/>
    <cellStyle name="Date Short 5" xfId="19159"/>
    <cellStyle name="Date, Long" xfId="19160"/>
    <cellStyle name="Date, Long 2" xfId="19161"/>
    <cellStyle name="Date, Short" xfId="19162"/>
    <cellStyle name="Date, Short 2" xfId="19163"/>
    <cellStyle name="Date_120" xfId="19164"/>
    <cellStyle name="Dateline" xfId="19165"/>
    <cellStyle name="Dateline 2" xfId="19166"/>
    <cellStyle name="Dateline 3" xfId="19167"/>
    <cellStyle name="Dateline 4" xfId="19168"/>
    <cellStyle name="Debit" xfId="19169"/>
    <cellStyle name="Debit 2" xfId="19170"/>
    <cellStyle name="Debit subtotal" xfId="19171"/>
    <cellStyle name="Debit subtotal 2" xfId="19172"/>
    <cellStyle name="Debit subtotal 2 2" xfId="19173"/>
    <cellStyle name="Debit subtotal 2 2 2" xfId="19174"/>
    <cellStyle name="Debit subtotal 2 2 2 2" xfId="19175"/>
    <cellStyle name="Debit subtotal 2 2 3" xfId="19176"/>
    <cellStyle name="Debit subtotal 2 2 4" xfId="19177"/>
    <cellStyle name="Debit subtotal 2 2 5" xfId="19178"/>
    <cellStyle name="Debit subtotal 2 3" xfId="19179"/>
    <cellStyle name="Debit subtotal 2 3 2" xfId="19180"/>
    <cellStyle name="Debit subtotal 2 3 3" xfId="19181"/>
    <cellStyle name="Debit subtotal 2 4" xfId="19182"/>
    <cellStyle name="Debit subtotal 2 4 2" xfId="19183"/>
    <cellStyle name="Debit subtotal 2 5" xfId="19184"/>
    <cellStyle name="Debit subtotal 2 6" xfId="19185"/>
    <cellStyle name="Debit subtotal 2 7" xfId="19186"/>
    <cellStyle name="Debit subtotal 3" xfId="19187"/>
    <cellStyle name="Debit subtotal 3 2" xfId="19188"/>
    <cellStyle name="Debit subtotal 3 2 2" xfId="19189"/>
    <cellStyle name="Debit subtotal 3 3" xfId="19190"/>
    <cellStyle name="Debit subtotal 3 4" xfId="19191"/>
    <cellStyle name="Debit subtotal 3 5" xfId="19192"/>
    <cellStyle name="Debit subtotal 4" xfId="19193"/>
    <cellStyle name="Debit subtotal 5" xfId="19194"/>
    <cellStyle name="Debit subtotal 6" xfId="19195"/>
    <cellStyle name="Debit subtotal 7" xfId="19196"/>
    <cellStyle name="Debit Total" xfId="19197"/>
    <cellStyle name="Debit Total 10" xfId="19198"/>
    <cellStyle name="Debit Total 11" xfId="19199"/>
    <cellStyle name="Debit Total 12" xfId="19200"/>
    <cellStyle name="Debit Total 13" xfId="19201"/>
    <cellStyle name="Debit Total 14" xfId="19202"/>
    <cellStyle name="Debit Total 15" xfId="19203"/>
    <cellStyle name="Debit Total 16" xfId="19204"/>
    <cellStyle name="Debit Total 17" xfId="19205"/>
    <cellStyle name="Debit Total 18" xfId="19206"/>
    <cellStyle name="Debit Total 19" xfId="19207"/>
    <cellStyle name="Debit Total 2" xfId="19208"/>
    <cellStyle name="Debit Total 2 10" xfId="19209"/>
    <cellStyle name="Debit Total 2 11" xfId="19210"/>
    <cellStyle name="Debit Total 2 12" xfId="19211"/>
    <cellStyle name="Debit Total 2 13" xfId="19212"/>
    <cellStyle name="Debit Total 2 14" xfId="19213"/>
    <cellStyle name="Debit Total 2 15" xfId="19214"/>
    <cellStyle name="Debit Total 2 16" xfId="19215"/>
    <cellStyle name="Debit Total 2 17" xfId="19216"/>
    <cellStyle name="Debit Total 2 18" xfId="19217"/>
    <cellStyle name="Debit Total 2 19" xfId="19218"/>
    <cellStyle name="Debit Total 2 2" xfId="19219"/>
    <cellStyle name="Debit Total 2 2 10" xfId="19220"/>
    <cellStyle name="Debit Total 2 2 11" xfId="19221"/>
    <cellStyle name="Debit Total 2 2 12" xfId="19222"/>
    <cellStyle name="Debit Total 2 2 13" xfId="19223"/>
    <cellStyle name="Debit Total 2 2 14" xfId="19224"/>
    <cellStyle name="Debit Total 2 2 15" xfId="19225"/>
    <cellStyle name="Debit Total 2 2 16" xfId="19226"/>
    <cellStyle name="Debit Total 2 2 17" xfId="19227"/>
    <cellStyle name="Debit Total 2 2 18" xfId="19228"/>
    <cellStyle name="Debit Total 2 2 2" xfId="19229"/>
    <cellStyle name="Debit Total 2 2 2 2" xfId="19230"/>
    <cellStyle name="Debit Total 2 2 2 2 2" xfId="19231"/>
    <cellStyle name="Debit Total 2 2 2 3" xfId="19232"/>
    <cellStyle name="Debit Total 2 2 2 4" xfId="19233"/>
    <cellStyle name="Debit Total 2 2 3" xfId="19234"/>
    <cellStyle name="Debit Total 2 2 3 2" xfId="19235"/>
    <cellStyle name="Debit Total 2 2 3 3" xfId="19236"/>
    <cellStyle name="Debit Total 2 2 4" xfId="19237"/>
    <cellStyle name="Debit Total 2 2 4 2" xfId="19238"/>
    <cellStyle name="Debit Total 2 2 5" xfId="19239"/>
    <cellStyle name="Debit Total 2 2 6" xfId="19240"/>
    <cellStyle name="Debit Total 2 2 7" xfId="19241"/>
    <cellStyle name="Debit Total 2 2 8" xfId="19242"/>
    <cellStyle name="Debit Total 2 2 9" xfId="19243"/>
    <cellStyle name="Debit Total 2 20" xfId="19244"/>
    <cellStyle name="Debit Total 2 21" xfId="19245"/>
    <cellStyle name="Debit Total 2 22" xfId="19246"/>
    <cellStyle name="Debit Total 2 23" xfId="19247"/>
    <cellStyle name="Debit Total 2 3" xfId="19248"/>
    <cellStyle name="Debit Total 2 3 10" xfId="19249"/>
    <cellStyle name="Debit Total 2 3 11" xfId="19250"/>
    <cellStyle name="Debit Total 2 3 12" xfId="19251"/>
    <cellStyle name="Debit Total 2 3 13" xfId="19252"/>
    <cellStyle name="Debit Total 2 3 14" xfId="19253"/>
    <cellStyle name="Debit Total 2 3 15" xfId="19254"/>
    <cellStyle name="Debit Total 2 3 16" xfId="19255"/>
    <cellStyle name="Debit Total 2 3 17" xfId="19256"/>
    <cellStyle name="Debit Total 2 3 18" xfId="19257"/>
    <cellStyle name="Debit Total 2 3 2" xfId="19258"/>
    <cellStyle name="Debit Total 2 3 2 2" xfId="19259"/>
    <cellStyle name="Debit Total 2 3 2 2 2" xfId="19260"/>
    <cellStyle name="Debit Total 2 3 2 3" xfId="19261"/>
    <cellStyle name="Debit Total 2 3 2 4" xfId="19262"/>
    <cellStyle name="Debit Total 2 3 3" xfId="19263"/>
    <cellStyle name="Debit Total 2 3 3 2" xfId="19264"/>
    <cellStyle name="Debit Total 2 3 3 3" xfId="19265"/>
    <cellStyle name="Debit Total 2 3 4" xfId="19266"/>
    <cellStyle name="Debit Total 2 3 4 2" xfId="19267"/>
    <cellStyle name="Debit Total 2 3 5" xfId="19268"/>
    <cellStyle name="Debit Total 2 3 6" xfId="19269"/>
    <cellStyle name="Debit Total 2 3 7" xfId="19270"/>
    <cellStyle name="Debit Total 2 3 8" xfId="19271"/>
    <cellStyle name="Debit Total 2 3 9" xfId="19272"/>
    <cellStyle name="Debit Total 2 4" xfId="19273"/>
    <cellStyle name="Debit Total 2 4 2" xfId="19274"/>
    <cellStyle name="Debit Total 2 4 2 2" xfId="19275"/>
    <cellStyle name="Debit Total 2 4 2 3" xfId="19276"/>
    <cellStyle name="Debit Total 2 4 3" xfId="19277"/>
    <cellStyle name="Debit Total 2 4 3 2" xfId="19278"/>
    <cellStyle name="Debit Total 2 4 4" xfId="19279"/>
    <cellStyle name="Debit Total 2 4 5" xfId="19280"/>
    <cellStyle name="Debit Total 2 5" xfId="19281"/>
    <cellStyle name="Debit Total 2 5 2" xfId="19282"/>
    <cellStyle name="Debit Total 2 5 2 2" xfId="19283"/>
    <cellStyle name="Debit Total 2 5 3" xfId="19284"/>
    <cellStyle name="Debit Total 2 5 4" xfId="19285"/>
    <cellStyle name="Debit Total 2 6" xfId="19286"/>
    <cellStyle name="Debit Total 2 6 2" xfId="19287"/>
    <cellStyle name="Debit Total 2 6 3" xfId="19288"/>
    <cellStyle name="Debit Total 2 7" xfId="19289"/>
    <cellStyle name="Debit Total 2 7 2" xfId="19290"/>
    <cellStyle name="Debit Total 2 8" xfId="19291"/>
    <cellStyle name="Debit Total 2 9" xfId="19292"/>
    <cellStyle name="Debit Total 20" xfId="19293"/>
    <cellStyle name="Debit Total 21" xfId="19294"/>
    <cellStyle name="Debit Total 22" xfId="19295"/>
    <cellStyle name="Debit Total 23" xfId="19296"/>
    <cellStyle name="Debit Total 24" xfId="19297"/>
    <cellStyle name="Debit Total 25" xfId="19298"/>
    <cellStyle name="Debit Total 26" xfId="19299"/>
    <cellStyle name="Debit Total 3" xfId="19300"/>
    <cellStyle name="Debit Total 3 10" xfId="19301"/>
    <cellStyle name="Debit Total 3 11" xfId="19302"/>
    <cellStyle name="Debit Total 3 12" xfId="19303"/>
    <cellStyle name="Debit Total 3 13" xfId="19304"/>
    <cellStyle name="Debit Total 3 14" xfId="19305"/>
    <cellStyle name="Debit Total 3 15" xfId="19306"/>
    <cellStyle name="Debit Total 3 16" xfId="19307"/>
    <cellStyle name="Debit Total 3 17" xfId="19308"/>
    <cellStyle name="Debit Total 3 18" xfId="19309"/>
    <cellStyle name="Debit Total 3 19" xfId="19310"/>
    <cellStyle name="Debit Total 3 2" xfId="19311"/>
    <cellStyle name="Debit Total 3 2 10" xfId="19312"/>
    <cellStyle name="Debit Total 3 2 11" xfId="19313"/>
    <cellStyle name="Debit Total 3 2 12" xfId="19314"/>
    <cellStyle name="Debit Total 3 2 13" xfId="19315"/>
    <cellStyle name="Debit Total 3 2 14" xfId="19316"/>
    <cellStyle name="Debit Total 3 2 15" xfId="19317"/>
    <cellStyle name="Debit Total 3 2 16" xfId="19318"/>
    <cellStyle name="Debit Total 3 2 17" xfId="19319"/>
    <cellStyle name="Debit Total 3 2 18" xfId="19320"/>
    <cellStyle name="Debit Total 3 2 2" xfId="19321"/>
    <cellStyle name="Debit Total 3 2 2 2" xfId="19322"/>
    <cellStyle name="Debit Total 3 2 2 2 2" xfId="19323"/>
    <cellStyle name="Debit Total 3 2 2 3" xfId="19324"/>
    <cellStyle name="Debit Total 3 2 2 4" xfId="19325"/>
    <cellStyle name="Debit Total 3 2 3" xfId="19326"/>
    <cellStyle name="Debit Total 3 2 3 2" xfId="19327"/>
    <cellStyle name="Debit Total 3 2 3 3" xfId="19328"/>
    <cellStyle name="Debit Total 3 2 4" xfId="19329"/>
    <cellStyle name="Debit Total 3 2 4 2" xfId="19330"/>
    <cellStyle name="Debit Total 3 2 5" xfId="19331"/>
    <cellStyle name="Debit Total 3 2 6" xfId="19332"/>
    <cellStyle name="Debit Total 3 2 7" xfId="19333"/>
    <cellStyle name="Debit Total 3 2 8" xfId="19334"/>
    <cellStyle name="Debit Total 3 2 9" xfId="19335"/>
    <cellStyle name="Debit Total 3 20" xfId="19336"/>
    <cellStyle name="Debit Total 3 3" xfId="19337"/>
    <cellStyle name="Debit Total 3 3 10" xfId="19338"/>
    <cellStyle name="Debit Total 3 3 11" xfId="19339"/>
    <cellStyle name="Debit Total 3 3 12" xfId="19340"/>
    <cellStyle name="Debit Total 3 3 13" xfId="19341"/>
    <cellStyle name="Debit Total 3 3 14" xfId="19342"/>
    <cellStyle name="Debit Total 3 3 15" xfId="19343"/>
    <cellStyle name="Debit Total 3 3 16" xfId="19344"/>
    <cellStyle name="Debit Total 3 3 17" xfId="19345"/>
    <cellStyle name="Debit Total 3 3 18" xfId="19346"/>
    <cellStyle name="Debit Total 3 3 2" xfId="19347"/>
    <cellStyle name="Debit Total 3 3 2 2" xfId="19348"/>
    <cellStyle name="Debit Total 3 3 2 2 2" xfId="19349"/>
    <cellStyle name="Debit Total 3 3 2 3" xfId="19350"/>
    <cellStyle name="Debit Total 3 3 2 4" xfId="19351"/>
    <cellStyle name="Debit Total 3 3 3" xfId="19352"/>
    <cellStyle name="Debit Total 3 3 3 2" xfId="19353"/>
    <cellStyle name="Debit Total 3 3 3 3" xfId="19354"/>
    <cellStyle name="Debit Total 3 3 4" xfId="19355"/>
    <cellStyle name="Debit Total 3 3 4 2" xfId="19356"/>
    <cellStyle name="Debit Total 3 3 5" xfId="19357"/>
    <cellStyle name="Debit Total 3 3 6" xfId="19358"/>
    <cellStyle name="Debit Total 3 3 7" xfId="19359"/>
    <cellStyle name="Debit Total 3 3 8" xfId="19360"/>
    <cellStyle name="Debit Total 3 3 9" xfId="19361"/>
    <cellStyle name="Debit Total 3 4" xfId="19362"/>
    <cellStyle name="Debit Total 3 4 2" xfId="19363"/>
    <cellStyle name="Debit Total 3 4 2 2" xfId="19364"/>
    <cellStyle name="Debit Total 3 4 2 3" xfId="19365"/>
    <cellStyle name="Debit Total 3 4 3" xfId="19366"/>
    <cellStyle name="Debit Total 3 4 3 2" xfId="19367"/>
    <cellStyle name="Debit Total 3 4 4" xfId="19368"/>
    <cellStyle name="Debit Total 3 4 5" xfId="19369"/>
    <cellStyle name="Debit Total 3 5" xfId="19370"/>
    <cellStyle name="Debit Total 3 5 2" xfId="19371"/>
    <cellStyle name="Debit Total 3 5 2 2" xfId="19372"/>
    <cellStyle name="Debit Total 3 5 3" xfId="19373"/>
    <cellStyle name="Debit Total 3 5 4" xfId="19374"/>
    <cellStyle name="Debit Total 3 6" xfId="19375"/>
    <cellStyle name="Debit Total 3 6 2" xfId="19376"/>
    <cellStyle name="Debit Total 3 6 3" xfId="19377"/>
    <cellStyle name="Debit Total 3 7" xfId="19378"/>
    <cellStyle name="Debit Total 3 7 2" xfId="19379"/>
    <cellStyle name="Debit Total 3 8" xfId="19380"/>
    <cellStyle name="Debit Total 3 9" xfId="19381"/>
    <cellStyle name="Debit Total 4" xfId="19382"/>
    <cellStyle name="Debit Total 4 10" xfId="19383"/>
    <cellStyle name="Debit Total 4 11" xfId="19384"/>
    <cellStyle name="Debit Total 4 12" xfId="19385"/>
    <cellStyle name="Debit Total 4 13" xfId="19386"/>
    <cellStyle name="Debit Total 4 14" xfId="19387"/>
    <cellStyle name="Debit Total 4 15" xfId="19388"/>
    <cellStyle name="Debit Total 4 16" xfId="19389"/>
    <cellStyle name="Debit Total 4 17" xfId="19390"/>
    <cellStyle name="Debit Total 4 18" xfId="19391"/>
    <cellStyle name="Debit Total 4 19" xfId="19392"/>
    <cellStyle name="Debit Total 4 2" xfId="19393"/>
    <cellStyle name="Debit Total 4 2 10" xfId="19394"/>
    <cellStyle name="Debit Total 4 2 11" xfId="19395"/>
    <cellStyle name="Debit Total 4 2 12" xfId="19396"/>
    <cellStyle name="Debit Total 4 2 13" xfId="19397"/>
    <cellStyle name="Debit Total 4 2 14" xfId="19398"/>
    <cellStyle name="Debit Total 4 2 15" xfId="19399"/>
    <cellStyle name="Debit Total 4 2 16" xfId="19400"/>
    <cellStyle name="Debit Total 4 2 17" xfId="19401"/>
    <cellStyle name="Debit Total 4 2 18" xfId="19402"/>
    <cellStyle name="Debit Total 4 2 2" xfId="19403"/>
    <cellStyle name="Debit Total 4 2 2 2" xfId="19404"/>
    <cellStyle name="Debit Total 4 2 2 2 2" xfId="19405"/>
    <cellStyle name="Debit Total 4 2 2 3" xfId="19406"/>
    <cellStyle name="Debit Total 4 2 2 4" xfId="19407"/>
    <cellStyle name="Debit Total 4 2 3" xfId="19408"/>
    <cellStyle name="Debit Total 4 2 3 2" xfId="19409"/>
    <cellStyle name="Debit Total 4 2 3 3" xfId="19410"/>
    <cellStyle name="Debit Total 4 2 4" xfId="19411"/>
    <cellStyle name="Debit Total 4 2 4 2" xfId="19412"/>
    <cellStyle name="Debit Total 4 2 5" xfId="19413"/>
    <cellStyle name="Debit Total 4 2 6" xfId="19414"/>
    <cellStyle name="Debit Total 4 2 7" xfId="19415"/>
    <cellStyle name="Debit Total 4 2 8" xfId="19416"/>
    <cellStyle name="Debit Total 4 2 9" xfId="19417"/>
    <cellStyle name="Debit Total 4 20" xfId="19418"/>
    <cellStyle name="Debit Total 4 21" xfId="19419"/>
    <cellStyle name="Debit Total 4 3" xfId="19420"/>
    <cellStyle name="Debit Total 4 3 10" xfId="19421"/>
    <cellStyle name="Debit Total 4 3 11" xfId="19422"/>
    <cellStyle name="Debit Total 4 3 12" xfId="19423"/>
    <cellStyle name="Debit Total 4 3 13" xfId="19424"/>
    <cellStyle name="Debit Total 4 3 14" xfId="19425"/>
    <cellStyle name="Debit Total 4 3 15" xfId="19426"/>
    <cellStyle name="Debit Total 4 3 16" xfId="19427"/>
    <cellStyle name="Debit Total 4 3 17" xfId="19428"/>
    <cellStyle name="Debit Total 4 3 18" xfId="19429"/>
    <cellStyle name="Debit Total 4 3 2" xfId="19430"/>
    <cellStyle name="Debit Total 4 3 2 2" xfId="19431"/>
    <cellStyle name="Debit Total 4 3 2 2 2" xfId="19432"/>
    <cellStyle name="Debit Total 4 3 2 3" xfId="19433"/>
    <cellStyle name="Debit Total 4 3 2 4" xfId="19434"/>
    <cellStyle name="Debit Total 4 3 3" xfId="19435"/>
    <cellStyle name="Debit Total 4 3 3 2" xfId="19436"/>
    <cellStyle name="Debit Total 4 3 3 3" xfId="19437"/>
    <cellStyle name="Debit Total 4 3 4" xfId="19438"/>
    <cellStyle name="Debit Total 4 3 4 2" xfId="19439"/>
    <cellStyle name="Debit Total 4 3 5" xfId="19440"/>
    <cellStyle name="Debit Total 4 3 6" xfId="19441"/>
    <cellStyle name="Debit Total 4 3 7" xfId="19442"/>
    <cellStyle name="Debit Total 4 3 8" xfId="19443"/>
    <cellStyle name="Debit Total 4 3 9" xfId="19444"/>
    <cellStyle name="Debit Total 4 4" xfId="19445"/>
    <cellStyle name="Debit Total 4 4 2" xfId="19446"/>
    <cellStyle name="Debit Total 4 4 2 2" xfId="19447"/>
    <cellStyle name="Debit Total 4 4 2 3" xfId="19448"/>
    <cellStyle name="Debit Total 4 4 3" xfId="19449"/>
    <cellStyle name="Debit Total 4 4 3 2" xfId="19450"/>
    <cellStyle name="Debit Total 4 4 4" xfId="19451"/>
    <cellStyle name="Debit Total 4 4 5" xfId="19452"/>
    <cellStyle name="Debit Total 4 5" xfId="19453"/>
    <cellStyle name="Debit Total 4 5 2" xfId="19454"/>
    <cellStyle name="Debit Total 4 5 2 2" xfId="19455"/>
    <cellStyle name="Debit Total 4 5 3" xfId="19456"/>
    <cellStyle name="Debit Total 4 5 4" xfId="19457"/>
    <cellStyle name="Debit Total 4 6" xfId="19458"/>
    <cellStyle name="Debit Total 4 6 2" xfId="19459"/>
    <cellStyle name="Debit Total 4 6 3" xfId="19460"/>
    <cellStyle name="Debit Total 4 7" xfId="19461"/>
    <cellStyle name="Debit Total 4 7 2" xfId="19462"/>
    <cellStyle name="Debit Total 4 8" xfId="19463"/>
    <cellStyle name="Debit Total 4 9" xfId="19464"/>
    <cellStyle name="Debit Total 5" xfId="19465"/>
    <cellStyle name="Debit Total 5 10" xfId="19466"/>
    <cellStyle name="Debit Total 5 11" xfId="19467"/>
    <cellStyle name="Debit Total 5 12" xfId="19468"/>
    <cellStyle name="Debit Total 5 13" xfId="19469"/>
    <cellStyle name="Debit Total 5 14" xfId="19470"/>
    <cellStyle name="Debit Total 5 15" xfId="19471"/>
    <cellStyle name="Debit Total 5 16" xfId="19472"/>
    <cellStyle name="Debit Total 5 17" xfId="19473"/>
    <cellStyle name="Debit Total 5 18" xfId="19474"/>
    <cellStyle name="Debit Total 5 19" xfId="19475"/>
    <cellStyle name="Debit Total 5 2" xfId="19476"/>
    <cellStyle name="Debit Total 5 2 10" xfId="19477"/>
    <cellStyle name="Debit Total 5 2 11" xfId="19478"/>
    <cellStyle name="Debit Total 5 2 12" xfId="19479"/>
    <cellStyle name="Debit Total 5 2 13" xfId="19480"/>
    <cellStyle name="Debit Total 5 2 14" xfId="19481"/>
    <cellStyle name="Debit Total 5 2 15" xfId="19482"/>
    <cellStyle name="Debit Total 5 2 16" xfId="19483"/>
    <cellStyle name="Debit Total 5 2 17" xfId="19484"/>
    <cellStyle name="Debit Total 5 2 18" xfId="19485"/>
    <cellStyle name="Debit Total 5 2 2" xfId="19486"/>
    <cellStyle name="Debit Total 5 2 2 2" xfId="19487"/>
    <cellStyle name="Debit Total 5 2 2 2 2" xfId="19488"/>
    <cellStyle name="Debit Total 5 2 2 3" xfId="19489"/>
    <cellStyle name="Debit Total 5 2 2 4" xfId="19490"/>
    <cellStyle name="Debit Total 5 2 3" xfId="19491"/>
    <cellStyle name="Debit Total 5 2 3 2" xfId="19492"/>
    <cellStyle name="Debit Total 5 2 3 3" xfId="19493"/>
    <cellStyle name="Debit Total 5 2 4" xfId="19494"/>
    <cellStyle name="Debit Total 5 2 4 2" xfId="19495"/>
    <cellStyle name="Debit Total 5 2 5" xfId="19496"/>
    <cellStyle name="Debit Total 5 2 6" xfId="19497"/>
    <cellStyle name="Debit Total 5 2 7" xfId="19498"/>
    <cellStyle name="Debit Total 5 2 8" xfId="19499"/>
    <cellStyle name="Debit Total 5 2 9" xfId="19500"/>
    <cellStyle name="Debit Total 5 20" xfId="19501"/>
    <cellStyle name="Debit Total 5 3" xfId="19502"/>
    <cellStyle name="Debit Total 5 3 10" xfId="19503"/>
    <cellStyle name="Debit Total 5 3 11" xfId="19504"/>
    <cellStyle name="Debit Total 5 3 12" xfId="19505"/>
    <cellStyle name="Debit Total 5 3 13" xfId="19506"/>
    <cellStyle name="Debit Total 5 3 14" xfId="19507"/>
    <cellStyle name="Debit Total 5 3 15" xfId="19508"/>
    <cellStyle name="Debit Total 5 3 16" xfId="19509"/>
    <cellStyle name="Debit Total 5 3 17" xfId="19510"/>
    <cellStyle name="Debit Total 5 3 18" xfId="19511"/>
    <cellStyle name="Debit Total 5 3 2" xfId="19512"/>
    <cellStyle name="Debit Total 5 3 2 2" xfId="19513"/>
    <cellStyle name="Debit Total 5 3 2 2 2" xfId="19514"/>
    <cellStyle name="Debit Total 5 3 2 3" xfId="19515"/>
    <cellStyle name="Debit Total 5 3 2 4" xfId="19516"/>
    <cellStyle name="Debit Total 5 3 3" xfId="19517"/>
    <cellStyle name="Debit Total 5 3 3 2" xfId="19518"/>
    <cellStyle name="Debit Total 5 3 3 3" xfId="19519"/>
    <cellStyle name="Debit Total 5 3 4" xfId="19520"/>
    <cellStyle name="Debit Total 5 3 4 2" xfId="19521"/>
    <cellStyle name="Debit Total 5 3 5" xfId="19522"/>
    <cellStyle name="Debit Total 5 3 6" xfId="19523"/>
    <cellStyle name="Debit Total 5 3 7" xfId="19524"/>
    <cellStyle name="Debit Total 5 3 8" xfId="19525"/>
    <cellStyle name="Debit Total 5 3 9" xfId="19526"/>
    <cellStyle name="Debit Total 5 4" xfId="19527"/>
    <cellStyle name="Debit Total 5 4 2" xfId="19528"/>
    <cellStyle name="Debit Total 5 4 2 2" xfId="19529"/>
    <cellStyle name="Debit Total 5 4 3" xfId="19530"/>
    <cellStyle name="Debit Total 5 4 4" xfId="19531"/>
    <cellStyle name="Debit Total 5 5" xfId="19532"/>
    <cellStyle name="Debit Total 5 5 2" xfId="19533"/>
    <cellStyle name="Debit Total 5 5 3" xfId="19534"/>
    <cellStyle name="Debit Total 5 6" xfId="19535"/>
    <cellStyle name="Debit Total 5 6 2" xfId="19536"/>
    <cellStyle name="Debit Total 5 7" xfId="19537"/>
    <cellStyle name="Debit Total 5 8" xfId="19538"/>
    <cellStyle name="Debit Total 5 9" xfId="19539"/>
    <cellStyle name="Debit Total 6" xfId="19540"/>
    <cellStyle name="Debit Total 6 10" xfId="19541"/>
    <cellStyle name="Debit Total 6 11" xfId="19542"/>
    <cellStyle name="Debit Total 6 12" xfId="19543"/>
    <cellStyle name="Debit Total 6 13" xfId="19544"/>
    <cellStyle name="Debit Total 6 14" xfId="19545"/>
    <cellStyle name="Debit Total 6 15" xfId="19546"/>
    <cellStyle name="Debit Total 6 16" xfId="19547"/>
    <cellStyle name="Debit Total 6 17" xfId="19548"/>
    <cellStyle name="Debit Total 6 18" xfId="19549"/>
    <cellStyle name="Debit Total 6 19" xfId="19550"/>
    <cellStyle name="Debit Total 6 2" xfId="19551"/>
    <cellStyle name="Debit Total 6 2 10" xfId="19552"/>
    <cellStyle name="Debit Total 6 2 11" xfId="19553"/>
    <cellStyle name="Debit Total 6 2 12" xfId="19554"/>
    <cellStyle name="Debit Total 6 2 13" xfId="19555"/>
    <cellStyle name="Debit Total 6 2 14" xfId="19556"/>
    <cellStyle name="Debit Total 6 2 15" xfId="19557"/>
    <cellStyle name="Debit Total 6 2 16" xfId="19558"/>
    <cellStyle name="Debit Total 6 2 17" xfId="19559"/>
    <cellStyle name="Debit Total 6 2 18" xfId="19560"/>
    <cellStyle name="Debit Total 6 2 2" xfId="19561"/>
    <cellStyle name="Debit Total 6 2 2 2" xfId="19562"/>
    <cellStyle name="Debit Total 6 2 2 2 2" xfId="19563"/>
    <cellStyle name="Debit Total 6 2 2 3" xfId="19564"/>
    <cellStyle name="Debit Total 6 2 2 4" xfId="19565"/>
    <cellStyle name="Debit Total 6 2 3" xfId="19566"/>
    <cellStyle name="Debit Total 6 2 3 2" xfId="19567"/>
    <cellStyle name="Debit Total 6 2 3 3" xfId="19568"/>
    <cellStyle name="Debit Total 6 2 4" xfId="19569"/>
    <cellStyle name="Debit Total 6 2 4 2" xfId="19570"/>
    <cellStyle name="Debit Total 6 2 5" xfId="19571"/>
    <cellStyle name="Debit Total 6 2 6" xfId="19572"/>
    <cellStyle name="Debit Total 6 2 7" xfId="19573"/>
    <cellStyle name="Debit Total 6 2 8" xfId="19574"/>
    <cellStyle name="Debit Total 6 2 9" xfId="19575"/>
    <cellStyle name="Debit Total 6 20" xfId="19576"/>
    <cellStyle name="Debit Total 6 3" xfId="19577"/>
    <cellStyle name="Debit Total 6 3 10" xfId="19578"/>
    <cellStyle name="Debit Total 6 3 11" xfId="19579"/>
    <cellStyle name="Debit Total 6 3 12" xfId="19580"/>
    <cellStyle name="Debit Total 6 3 13" xfId="19581"/>
    <cellStyle name="Debit Total 6 3 14" xfId="19582"/>
    <cellStyle name="Debit Total 6 3 15" xfId="19583"/>
    <cellStyle name="Debit Total 6 3 16" xfId="19584"/>
    <cellStyle name="Debit Total 6 3 17" xfId="19585"/>
    <cellStyle name="Debit Total 6 3 18" xfId="19586"/>
    <cellStyle name="Debit Total 6 3 2" xfId="19587"/>
    <cellStyle name="Debit Total 6 3 2 2" xfId="19588"/>
    <cellStyle name="Debit Total 6 3 2 2 2" xfId="19589"/>
    <cellStyle name="Debit Total 6 3 2 3" xfId="19590"/>
    <cellStyle name="Debit Total 6 3 2 4" xfId="19591"/>
    <cellStyle name="Debit Total 6 3 3" xfId="19592"/>
    <cellStyle name="Debit Total 6 3 3 2" xfId="19593"/>
    <cellStyle name="Debit Total 6 3 3 3" xfId="19594"/>
    <cellStyle name="Debit Total 6 3 4" xfId="19595"/>
    <cellStyle name="Debit Total 6 3 4 2" xfId="19596"/>
    <cellStyle name="Debit Total 6 3 5" xfId="19597"/>
    <cellStyle name="Debit Total 6 3 6" xfId="19598"/>
    <cellStyle name="Debit Total 6 3 7" xfId="19599"/>
    <cellStyle name="Debit Total 6 3 8" xfId="19600"/>
    <cellStyle name="Debit Total 6 3 9" xfId="19601"/>
    <cellStyle name="Debit Total 6 4" xfId="19602"/>
    <cellStyle name="Debit Total 6 4 2" xfId="19603"/>
    <cellStyle name="Debit Total 6 4 2 2" xfId="19604"/>
    <cellStyle name="Debit Total 6 4 2 3" xfId="19605"/>
    <cellStyle name="Debit Total 6 4 3" xfId="19606"/>
    <cellStyle name="Debit Total 6 4 3 2" xfId="19607"/>
    <cellStyle name="Debit Total 6 4 4" xfId="19608"/>
    <cellStyle name="Debit Total 6 4 5" xfId="19609"/>
    <cellStyle name="Debit Total 6 5" xfId="19610"/>
    <cellStyle name="Debit Total 6 5 2" xfId="19611"/>
    <cellStyle name="Debit Total 6 5 2 2" xfId="19612"/>
    <cellStyle name="Debit Total 6 5 3" xfId="19613"/>
    <cellStyle name="Debit Total 6 5 4" xfId="19614"/>
    <cellStyle name="Debit Total 6 6" xfId="19615"/>
    <cellStyle name="Debit Total 6 6 2" xfId="19616"/>
    <cellStyle name="Debit Total 6 7" xfId="19617"/>
    <cellStyle name="Debit Total 6 8" xfId="19618"/>
    <cellStyle name="Debit Total 6 9" xfId="19619"/>
    <cellStyle name="Debit Total 7" xfId="19620"/>
    <cellStyle name="Debit Total 7 10" xfId="19621"/>
    <cellStyle name="Debit Total 7 11" xfId="19622"/>
    <cellStyle name="Debit Total 7 12" xfId="19623"/>
    <cellStyle name="Debit Total 7 13" xfId="19624"/>
    <cellStyle name="Debit Total 7 14" xfId="19625"/>
    <cellStyle name="Debit Total 7 15" xfId="19626"/>
    <cellStyle name="Debit Total 7 16" xfId="19627"/>
    <cellStyle name="Debit Total 7 17" xfId="19628"/>
    <cellStyle name="Debit Total 7 18" xfId="19629"/>
    <cellStyle name="Debit Total 7 2" xfId="19630"/>
    <cellStyle name="Debit Total 7 2 2" xfId="19631"/>
    <cellStyle name="Debit Total 7 2 2 2" xfId="19632"/>
    <cellStyle name="Debit Total 7 2 3" xfId="19633"/>
    <cellStyle name="Debit Total 7 2 4" xfId="19634"/>
    <cellStyle name="Debit Total 7 3" xfId="19635"/>
    <cellStyle name="Debit Total 7 3 2" xfId="19636"/>
    <cellStyle name="Debit Total 7 3 3" xfId="19637"/>
    <cellStyle name="Debit Total 7 4" xfId="19638"/>
    <cellStyle name="Debit Total 7 4 2" xfId="19639"/>
    <cellStyle name="Debit Total 7 5" xfId="19640"/>
    <cellStyle name="Debit Total 7 6" xfId="19641"/>
    <cellStyle name="Debit Total 7 7" xfId="19642"/>
    <cellStyle name="Debit Total 7 8" xfId="19643"/>
    <cellStyle name="Debit Total 7 9" xfId="19644"/>
    <cellStyle name="Debit Total 8" xfId="19645"/>
    <cellStyle name="Debit Total 8 10" xfId="19646"/>
    <cellStyle name="Debit Total 8 11" xfId="19647"/>
    <cellStyle name="Debit Total 8 12" xfId="19648"/>
    <cellStyle name="Debit Total 8 13" xfId="19649"/>
    <cellStyle name="Debit Total 8 14" xfId="19650"/>
    <cellStyle name="Debit Total 8 15" xfId="19651"/>
    <cellStyle name="Debit Total 8 16" xfId="19652"/>
    <cellStyle name="Debit Total 8 17" xfId="19653"/>
    <cellStyle name="Debit Total 8 18" xfId="19654"/>
    <cellStyle name="Debit Total 8 2" xfId="19655"/>
    <cellStyle name="Debit Total 8 2 2" xfId="19656"/>
    <cellStyle name="Debit Total 8 3" xfId="19657"/>
    <cellStyle name="Debit Total 8 4" xfId="19658"/>
    <cellStyle name="Debit Total 8 5" xfId="19659"/>
    <cellStyle name="Debit Total 8 6" xfId="19660"/>
    <cellStyle name="Debit Total 8 7" xfId="19661"/>
    <cellStyle name="Debit Total 8 8" xfId="19662"/>
    <cellStyle name="Debit Total 8 9" xfId="19663"/>
    <cellStyle name="Debit Total 9" xfId="19664"/>
    <cellStyle name="Debit_Tickmarks" xfId="19665"/>
    <cellStyle name="Default" xfId="19666"/>
    <cellStyle name="DELTA" xfId="19667"/>
    <cellStyle name="DELTA 2" xfId="19668"/>
    <cellStyle name="DELTA 2 2" xfId="19669"/>
    <cellStyle name="DELTA 3" xfId="19670"/>
    <cellStyle name="DELTA 3 2" xfId="19671"/>
    <cellStyle name="DELTA 4" xfId="19672"/>
    <cellStyle name="DELTA 4 2" xfId="19673"/>
    <cellStyle name="DELTA 5" xfId="19674"/>
    <cellStyle name="DELTA 5 2" xfId="19675"/>
    <cellStyle name="DELTA 6" xfId="19676"/>
    <cellStyle name="Dezimal [0]_1380" xfId="19677"/>
    <cellStyle name="Dezimal__Utopia Index Index und Guidance (Deutsch)" xfId="19678"/>
    <cellStyle name="Diary" xfId="19679"/>
    <cellStyle name="done" xfId="19680"/>
    <cellStyle name="done 2" xfId="19681"/>
    <cellStyle name="Dotted Line" xfId="19682"/>
    <cellStyle name="Double Accounting" xfId="19683"/>
    <cellStyle name="Dziesiêtny [0]_1" xfId="19684"/>
    <cellStyle name="Dziesiêtny_1" xfId="19685"/>
    <cellStyle name="E&amp;Y House" xfId="19686"/>
    <cellStyle name="E&amp;Y House 2" xfId="19687"/>
    <cellStyle name="ein" xfId="19688"/>
    <cellStyle name="ein 10" xfId="19689"/>
    <cellStyle name="ein 11" xfId="19690"/>
    <cellStyle name="ein 12" xfId="19691"/>
    <cellStyle name="ein 13" xfId="19692"/>
    <cellStyle name="ein 14" xfId="19693"/>
    <cellStyle name="ein 15" xfId="19694"/>
    <cellStyle name="ein 16" xfId="19695"/>
    <cellStyle name="ein 17" xfId="19696"/>
    <cellStyle name="ein 18" xfId="19697"/>
    <cellStyle name="ein 19" xfId="19698"/>
    <cellStyle name="ein 2" xfId="19699"/>
    <cellStyle name="ein 2 10" xfId="19700"/>
    <cellStyle name="ein 2 11" xfId="19701"/>
    <cellStyle name="ein 2 12" xfId="19702"/>
    <cellStyle name="ein 2 13" xfId="19703"/>
    <cellStyle name="ein 2 14" xfId="19704"/>
    <cellStyle name="ein 2 15" xfId="19705"/>
    <cellStyle name="ein 2 16" xfId="19706"/>
    <cellStyle name="ein 2 17" xfId="19707"/>
    <cellStyle name="ein 2 18" xfId="19708"/>
    <cellStyle name="ein 2 19" xfId="19709"/>
    <cellStyle name="ein 2 2" xfId="19710"/>
    <cellStyle name="ein 2 2 10" xfId="19711"/>
    <cellStyle name="ein 2 2 11" xfId="19712"/>
    <cellStyle name="ein 2 2 12" xfId="19713"/>
    <cellStyle name="ein 2 2 13" xfId="19714"/>
    <cellStyle name="ein 2 2 14" xfId="19715"/>
    <cellStyle name="ein 2 2 15" xfId="19716"/>
    <cellStyle name="ein 2 2 16" xfId="19717"/>
    <cellStyle name="ein 2 2 17" xfId="19718"/>
    <cellStyle name="ein 2 2 18" xfId="19719"/>
    <cellStyle name="ein 2 2 2" xfId="19720"/>
    <cellStyle name="ein 2 2 2 2" xfId="19721"/>
    <cellStyle name="ein 2 2 2 2 2" xfId="19722"/>
    <cellStyle name="ein 2 2 2 3" xfId="19723"/>
    <cellStyle name="ein 2 2 2 4" xfId="19724"/>
    <cellStyle name="ein 2 2 3" xfId="19725"/>
    <cellStyle name="ein 2 2 3 2" xfId="19726"/>
    <cellStyle name="ein 2 2 3 3" xfId="19727"/>
    <cellStyle name="ein 2 2 4" xfId="19728"/>
    <cellStyle name="ein 2 2 4 2" xfId="19729"/>
    <cellStyle name="ein 2 2 5" xfId="19730"/>
    <cellStyle name="ein 2 2 6" xfId="19731"/>
    <cellStyle name="ein 2 2 7" xfId="19732"/>
    <cellStyle name="ein 2 2 8" xfId="19733"/>
    <cellStyle name="ein 2 2 9" xfId="19734"/>
    <cellStyle name="ein 2 3" xfId="19735"/>
    <cellStyle name="ein 2 3 10" xfId="19736"/>
    <cellStyle name="ein 2 3 11" xfId="19737"/>
    <cellStyle name="ein 2 3 12" xfId="19738"/>
    <cellStyle name="ein 2 3 13" xfId="19739"/>
    <cellStyle name="ein 2 3 14" xfId="19740"/>
    <cellStyle name="ein 2 3 15" xfId="19741"/>
    <cellStyle name="ein 2 3 16" xfId="19742"/>
    <cellStyle name="ein 2 3 17" xfId="19743"/>
    <cellStyle name="ein 2 3 18" xfId="19744"/>
    <cellStyle name="ein 2 3 2" xfId="19745"/>
    <cellStyle name="ein 2 3 2 2" xfId="19746"/>
    <cellStyle name="ein 2 3 2 2 2" xfId="19747"/>
    <cellStyle name="ein 2 3 2 3" xfId="19748"/>
    <cellStyle name="ein 2 3 2 4" xfId="19749"/>
    <cellStyle name="ein 2 3 3" xfId="19750"/>
    <cellStyle name="ein 2 3 3 2" xfId="19751"/>
    <cellStyle name="ein 2 3 3 3" xfId="19752"/>
    <cellStyle name="ein 2 3 4" xfId="19753"/>
    <cellStyle name="ein 2 3 4 2" xfId="19754"/>
    <cellStyle name="ein 2 3 5" xfId="19755"/>
    <cellStyle name="ein 2 3 6" xfId="19756"/>
    <cellStyle name="ein 2 3 7" xfId="19757"/>
    <cellStyle name="ein 2 3 8" xfId="19758"/>
    <cellStyle name="ein 2 3 9" xfId="19759"/>
    <cellStyle name="ein 2 4" xfId="19760"/>
    <cellStyle name="ein 2 4 2" xfId="19761"/>
    <cellStyle name="ein 2 4 2 2" xfId="19762"/>
    <cellStyle name="ein 2 4 2 3" xfId="19763"/>
    <cellStyle name="ein 2 4 3" xfId="19764"/>
    <cellStyle name="ein 2 4 3 2" xfId="19765"/>
    <cellStyle name="ein 2 4 4" xfId="19766"/>
    <cellStyle name="ein 2 4 5" xfId="19767"/>
    <cellStyle name="ein 2 5" xfId="19768"/>
    <cellStyle name="ein 2 5 2" xfId="19769"/>
    <cellStyle name="ein 2 5 2 2" xfId="19770"/>
    <cellStyle name="ein 2 5 3" xfId="19771"/>
    <cellStyle name="ein 2 5 4" xfId="19772"/>
    <cellStyle name="ein 2 6" xfId="19773"/>
    <cellStyle name="ein 2 6 2" xfId="19774"/>
    <cellStyle name="ein 2 7" xfId="19775"/>
    <cellStyle name="ein 2 8" xfId="19776"/>
    <cellStyle name="ein 2 9" xfId="19777"/>
    <cellStyle name="ein 20" xfId="19778"/>
    <cellStyle name="ein 21" xfId="19779"/>
    <cellStyle name="ein 22" xfId="19780"/>
    <cellStyle name="ein 23" xfId="19781"/>
    <cellStyle name="ein 24" xfId="19782"/>
    <cellStyle name="ein 25" xfId="19783"/>
    <cellStyle name="ein 3" xfId="19784"/>
    <cellStyle name="ein 3 10" xfId="19785"/>
    <cellStyle name="ein 3 11" xfId="19786"/>
    <cellStyle name="ein 3 12" xfId="19787"/>
    <cellStyle name="ein 3 13" xfId="19788"/>
    <cellStyle name="ein 3 14" xfId="19789"/>
    <cellStyle name="ein 3 15" xfId="19790"/>
    <cellStyle name="ein 3 16" xfId="19791"/>
    <cellStyle name="ein 3 17" xfId="19792"/>
    <cellStyle name="ein 3 18" xfId="19793"/>
    <cellStyle name="ein 3 19" xfId="19794"/>
    <cellStyle name="ein 3 2" xfId="19795"/>
    <cellStyle name="ein 3 2 10" xfId="19796"/>
    <cellStyle name="ein 3 2 11" xfId="19797"/>
    <cellStyle name="ein 3 2 12" xfId="19798"/>
    <cellStyle name="ein 3 2 13" xfId="19799"/>
    <cellStyle name="ein 3 2 14" xfId="19800"/>
    <cellStyle name="ein 3 2 15" xfId="19801"/>
    <cellStyle name="ein 3 2 16" xfId="19802"/>
    <cellStyle name="ein 3 2 17" xfId="19803"/>
    <cellStyle name="ein 3 2 18" xfId="19804"/>
    <cellStyle name="ein 3 2 2" xfId="19805"/>
    <cellStyle name="ein 3 2 2 2" xfId="19806"/>
    <cellStyle name="ein 3 2 2 2 2" xfId="19807"/>
    <cellStyle name="ein 3 2 2 3" xfId="19808"/>
    <cellStyle name="ein 3 2 2 4" xfId="19809"/>
    <cellStyle name="ein 3 2 3" xfId="19810"/>
    <cellStyle name="ein 3 2 3 2" xfId="19811"/>
    <cellStyle name="ein 3 2 3 3" xfId="19812"/>
    <cellStyle name="ein 3 2 4" xfId="19813"/>
    <cellStyle name="ein 3 2 4 2" xfId="19814"/>
    <cellStyle name="ein 3 2 5" xfId="19815"/>
    <cellStyle name="ein 3 2 6" xfId="19816"/>
    <cellStyle name="ein 3 2 7" xfId="19817"/>
    <cellStyle name="ein 3 2 8" xfId="19818"/>
    <cellStyle name="ein 3 2 9" xfId="19819"/>
    <cellStyle name="ein 3 20" xfId="19820"/>
    <cellStyle name="ein 3 21" xfId="19821"/>
    <cellStyle name="ein 3 3" xfId="19822"/>
    <cellStyle name="ein 3 3 10" xfId="19823"/>
    <cellStyle name="ein 3 3 11" xfId="19824"/>
    <cellStyle name="ein 3 3 12" xfId="19825"/>
    <cellStyle name="ein 3 3 13" xfId="19826"/>
    <cellStyle name="ein 3 3 14" xfId="19827"/>
    <cellStyle name="ein 3 3 15" xfId="19828"/>
    <cellStyle name="ein 3 3 16" xfId="19829"/>
    <cellStyle name="ein 3 3 17" xfId="19830"/>
    <cellStyle name="ein 3 3 18" xfId="19831"/>
    <cellStyle name="ein 3 3 2" xfId="19832"/>
    <cellStyle name="ein 3 3 2 2" xfId="19833"/>
    <cellStyle name="ein 3 3 2 2 2" xfId="19834"/>
    <cellStyle name="ein 3 3 2 3" xfId="19835"/>
    <cellStyle name="ein 3 3 2 4" xfId="19836"/>
    <cellStyle name="ein 3 3 3" xfId="19837"/>
    <cellStyle name="ein 3 3 3 2" xfId="19838"/>
    <cellStyle name="ein 3 3 3 3" xfId="19839"/>
    <cellStyle name="ein 3 3 4" xfId="19840"/>
    <cellStyle name="ein 3 3 4 2" xfId="19841"/>
    <cellStyle name="ein 3 3 5" xfId="19842"/>
    <cellStyle name="ein 3 3 6" xfId="19843"/>
    <cellStyle name="ein 3 3 7" xfId="19844"/>
    <cellStyle name="ein 3 3 8" xfId="19845"/>
    <cellStyle name="ein 3 3 9" xfId="19846"/>
    <cellStyle name="ein 3 4" xfId="19847"/>
    <cellStyle name="ein 3 4 2" xfId="19848"/>
    <cellStyle name="ein 3 4 2 2" xfId="19849"/>
    <cellStyle name="ein 3 4 2 3" xfId="19850"/>
    <cellStyle name="ein 3 4 3" xfId="19851"/>
    <cellStyle name="ein 3 4 3 2" xfId="19852"/>
    <cellStyle name="ein 3 4 4" xfId="19853"/>
    <cellStyle name="ein 3 4 5" xfId="19854"/>
    <cellStyle name="ein 3 5" xfId="19855"/>
    <cellStyle name="ein 3 5 2" xfId="19856"/>
    <cellStyle name="ein 3 5 2 2" xfId="19857"/>
    <cellStyle name="ein 3 5 3" xfId="19858"/>
    <cellStyle name="ein 3 5 4" xfId="19859"/>
    <cellStyle name="ein 3 6" xfId="19860"/>
    <cellStyle name="ein 3 6 2" xfId="19861"/>
    <cellStyle name="ein 3 7" xfId="19862"/>
    <cellStyle name="ein 3 8" xfId="19863"/>
    <cellStyle name="ein 3 9" xfId="19864"/>
    <cellStyle name="ein 4" xfId="19865"/>
    <cellStyle name="ein 4 10" xfId="19866"/>
    <cellStyle name="ein 4 11" xfId="19867"/>
    <cellStyle name="ein 4 12" xfId="19868"/>
    <cellStyle name="ein 4 13" xfId="19869"/>
    <cellStyle name="ein 4 14" xfId="19870"/>
    <cellStyle name="ein 4 15" xfId="19871"/>
    <cellStyle name="ein 4 16" xfId="19872"/>
    <cellStyle name="ein 4 17" xfId="19873"/>
    <cellStyle name="ein 4 18" xfId="19874"/>
    <cellStyle name="ein 4 19" xfId="19875"/>
    <cellStyle name="ein 4 2" xfId="19876"/>
    <cellStyle name="ein 4 2 10" xfId="19877"/>
    <cellStyle name="ein 4 2 11" xfId="19878"/>
    <cellStyle name="ein 4 2 12" xfId="19879"/>
    <cellStyle name="ein 4 2 13" xfId="19880"/>
    <cellStyle name="ein 4 2 14" xfId="19881"/>
    <cellStyle name="ein 4 2 15" xfId="19882"/>
    <cellStyle name="ein 4 2 16" xfId="19883"/>
    <cellStyle name="ein 4 2 17" xfId="19884"/>
    <cellStyle name="ein 4 2 18" xfId="19885"/>
    <cellStyle name="ein 4 2 2" xfId="19886"/>
    <cellStyle name="ein 4 2 2 2" xfId="19887"/>
    <cellStyle name="ein 4 2 2 2 2" xfId="19888"/>
    <cellStyle name="ein 4 2 2 3" xfId="19889"/>
    <cellStyle name="ein 4 2 2 4" xfId="19890"/>
    <cellStyle name="ein 4 2 3" xfId="19891"/>
    <cellStyle name="ein 4 2 3 2" xfId="19892"/>
    <cellStyle name="ein 4 2 3 3" xfId="19893"/>
    <cellStyle name="ein 4 2 4" xfId="19894"/>
    <cellStyle name="ein 4 2 4 2" xfId="19895"/>
    <cellStyle name="ein 4 2 5" xfId="19896"/>
    <cellStyle name="ein 4 2 6" xfId="19897"/>
    <cellStyle name="ein 4 2 7" xfId="19898"/>
    <cellStyle name="ein 4 2 8" xfId="19899"/>
    <cellStyle name="ein 4 2 9" xfId="19900"/>
    <cellStyle name="ein 4 20" xfId="19901"/>
    <cellStyle name="ein 4 21" xfId="19902"/>
    <cellStyle name="ein 4 3" xfId="19903"/>
    <cellStyle name="ein 4 3 10" xfId="19904"/>
    <cellStyle name="ein 4 3 11" xfId="19905"/>
    <cellStyle name="ein 4 3 12" xfId="19906"/>
    <cellStyle name="ein 4 3 13" xfId="19907"/>
    <cellStyle name="ein 4 3 14" xfId="19908"/>
    <cellStyle name="ein 4 3 15" xfId="19909"/>
    <cellStyle name="ein 4 3 16" xfId="19910"/>
    <cellStyle name="ein 4 3 17" xfId="19911"/>
    <cellStyle name="ein 4 3 18" xfId="19912"/>
    <cellStyle name="ein 4 3 2" xfId="19913"/>
    <cellStyle name="ein 4 3 2 2" xfId="19914"/>
    <cellStyle name="ein 4 3 2 2 2" xfId="19915"/>
    <cellStyle name="ein 4 3 2 3" xfId="19916"/>
    <cellStyle name="ein 4 3 2 4" xfId="19917"/>
    <cellStyle name="ein 4 3 3" xfId="19918"/>
    <cellStyle name="ein 4 3 3 2" xfId="19919"/>
    <cellStyle name="ein 4 3 3 3" xfId="19920"/>
    <cellStyle name="ein 4 3 4" xfId="19921"/>
    <cellStyle name="ein 4 3 4 2" xfId="19922"/>
    <cellStyle name="ein 4 3 5" xfId="19923"/>
    <cellStyle name="ein 4 3 6" xfId="19924"/>
    <cellStyle name="ein 4 3 7" xfId="19925"/>
    <cellStyle name="ein 4 3 8" xfId="19926"/>
    <cellStyle name="ein 4 3 9" xfId="19927"/>
    <cellStyle name="ein 4 4" xfId="19928"/>
    <cellStyle name="ein 4 4 2" xfId="19929"/>
    <cellStyle name="ein 4 4 2 2" xfId="19930"/>
    <cellStyle name="ein 4 4 2 3" xfId="19931"/>
    <cellStyle name="ein 4 4 3" xfId="19932"/>
    <cellStyle name="ein 4 4 3 2" xfId="19933"/>
    <cellStyle name="ein 4 4 4" xfId="19934"/>
    <cellStyle name="ein 4 4 5" xfId="19935"/>
    <cellStyle name="ein 4 5" xfId="19936"/>
    <cellStyle name="ein 4 5 2" xfId="19937"/>
    <cellStyle name="ein 4 5 2 2" xfId="19938"/>
    <cellStyle name="ein 4 5 3" xfId="19939"/>
    <cellStyle name="ein 4 5 4" xfId="19940"/>
    <cellStyle name="ein 4 6" xfId="19941"/>
    <cellStyle name="ein 4 6 2" xfId="19942"/>
    <cellStyle name="ein 4 7" xfId="19943"/>
    <cellStyle name="ein 4 8" xfId="19944"/>
    <cellStyle name="ein 4 9" xfId="19945"/>
    <cellStyle name="ein 5" xfId="19946"/>
    <cellStyle name="ein 5 10" xfId="19947"/>
    <cellStyle name="ein 5 11" xfId="19948"/>
    <cellStyle name="ein 5 12" xfId="19949"/>
    <cellStyle name="ein 5 13" xfId="19950"/>
    <cellStyle name="ein 5 14" xfId="19951"/>
    <cellStyle name="ein 5 15" xfId="19952"/>
    <cellStyle name="ein 5 16" xfId="19953"/>
    <cellStyle name="ein 5 17" xfId="19954"/>
    <cellStyle name="ein 5 18" xfId="19955"/>
    <cellStyle name="ein 5 19" xfId="19956"/>
    <cellStyle name="ein 5 2" xfId="19957"/>
    <cellStyle name="ein 5 2 10" xfId="19958"/>
    <cellStyle name="ein 5 2 11" xfId="19959"/>
    <cellStyle name="ein 5 2 12" xfId="19960"/>
    <cellStyle name="ein 5 2 13" xfId="19961"/>
    <cellStyle name="ein 5 2 14" xfId="19962"/>
    <cellStyle name="ein 5 2 15" xfId="19963"/>
    <cellStyle name="ein 5 2 16" xfId="19964"/>
    <cellStyle name="ein 5 2 17" xfId="19965"/>
    <cellStyle name="ein 5 2 18" xfId="19966"/>
    <cellStyle name="ein 5 2 2" xfId="19967"/>
    <cellStyle name="ein 5 2 2 2" xfId="19968"/>
    <cellStyle name="ein 5 2 2 2 2" xfId="19969"/>
    <cellStyle name="ein 5 2 2 3" xfId="19970"/>
    <cellStyle name="ein 5 2 2 4" xfId="19971"/>
    <cellStyle name="ein 5 2 3" xfId="19972"/>
    <cellStyle name="ein 5 2 3 2" xfId="19973"/>
    <cellStyle name="ein 5 2 3 3" xfId="19974"/>
    <cellStyle name="ein 5 2 4" xfId="19975"/>
    <cellStyle name="ein 5 2 4 2" xfId="19976"/>
    <cellStyle name="ein 5 2 5" xfId="19977"/>
    <cellStyle name="ein 5 2 6" xfId="19978"/>
    <cellStyle name="ein 5 2 7" xfId="19979"/>
    <cellStyle name="ein 5 2 8" xfId="19980"/>
    <cellStyle name="ein 5 2 9" xfId="19981"/>
    <cellStyle name="ein 5 3" xfId="19982"/>
    <cellStyle name="ein 5 3 10" xfId="19983"/>
    <cellStyle name="ein 5 3 11" xfId="19984"/>
    <cellStyle name="ein 5 3 12" xfId="19985"/>
    <cellStyle name="ein 5 3 13" xfId="19986"/>
    <cellStyle name="ein 5 3 14" xfId="19987"/>
    <cellStyle name="ein 5 3 15" xfId="19988"/>
    <cellStyle name="ein 5 3 16" xfId="19989"/>
    <cellStyle name="ein 5 3 17" xfId="19990"/>
    <cellStyle name="ein 5 3 18" xfId="19991"/>
    <cellStyle name="ein 5 3 2" xfId="19992"/>
    <cellStyle name="ein 5 3 2 2" xfId="19993"/>
    <cellStyle name="ein 5 3 2 2 2" xfId="19994"/>
    <cellStyle name="ein 5 3 2 3" xfId="19995"/>
    <cellStyle name="ein 5 3 2 4" xfId="19996"/>
    <cellStyle name="ein 5 3 3" xfId="19997"/>
    <cellStyle name="ein 5 3 3 2" xfId="19998"/>
    <cellStyle name="ein 5 3 3 3" xfId="19999"/>
    <cellStyle name="ein 5 3 4" xfId="20000"/>
    <cellStyle name="ein 5 3 4 2" xfId="20001"/>
    <cellStyle name="ein 5 3 5" xfId="20002"/>
    <cellStyle name="ein 5 3 6" xfId="20003"/>
    <cellStyle name="ein 5 3 7" xfId="20004"/>
    <cellStyle name="ein 5 3 8" xfId="20005"/>
    <cellStyle name="ein 5 3 9" xfId="20006"/>
    <cellStyle name="ein 5 4" xfId="20007"/>
    <cellStyle name="ein 5 4 2" xfId="20008"/>
    <cellStyle name="ein 5 4 2 2" xfId="20009"/>
    <cellStyle name="ein 5 4 2 3" xfId="20010"/>
    <cellStyle name="ein 5 4 3" xfId="20011"/>
    <cellStyle name="ein 5 4 3 2" xfId="20012"/>
    <cellStyle name="ein 5 4 4" xfId="20013"/>
    <cellStyle name="ein 5 4 5" xfId="20014"/>
    <cellStyle name="ein 5 5" xfId="20015"/>
    <cellStyle name="ein 5 5 2" xfId="20016"/>
    <cellStyle name="ein 5 5 2 2" xfId="20017"/>
    <cellStyle name="ein 5 5 3" xfId="20018"/>
    <cellStyle name="ein 5 5 4" xfId="20019"/>
    <cellStyle name="ein 5 6" xfId="20020"/>
    <cellStyle name="ein 5 6 2" xfId="20021"/>
    <cellStyle name="ein 5 7" xfId="20022"/>
    <cellStyle name="ein 5 8" xfId="20023"/>
    <cellStyle name="ein 5 9" xfId="20024"/>
    <cellStyle name="ein 6" xfId="20025"/>
    <cellStyle name="ein 6 10" xfId="20026"/>
    <cellStyle name="ein 6 11" xfId="20027"/>
    <cellStyle name="ein 6 12" xfId="20028"/>
    <cellStyle name="ein 6 13" xfId="20029"/>
    <cellStyle name="ein 6 14" xfId="20030"/>
    <cellStyle name="ein 6 15" xfId="20031"/>
    <cellStyle name="ein 6 16" xfId="20032"/>
    <cellStyle name="ein 6 17" xfId="20033"/>
    <cellStyle name="ein 6 18" xfId="20034"/>
    <cellStyle name="ein 6 19" xfId="20035"/>
    <cellStyle name="ein 6 2" xfId="20036"/>
    <cellStyle name="ein 6 2 10" xfId="20037"/>
    <cellStyle name="ein 6 2 11" xfId="20038"/>
    <cellStyle name="ein 6 2 12" xfId="20039"/>
    <cellStyle name="ein 6 2 13" xfId="20040"/>
    <cellStyle name="ein 6 2 14" xfId="20041"/>
    <cellStyle name="ein 6 2 15" xfId="20042"/>
    <cellStyle name="ein 6 2 16" xfId="20043"/>
    <cellStyle name="ein 6 2 17" xfId="20044"/>
    <cellStyle name="ein 6 2 18" xfId="20045"/>
    <cellStyle name="ein 6 2 2" xfId="20046"/>
    <cellStyle name="ein 6 2 2 2" xfId="20047"/>
    <cellStyle name="ein 6 2 2 2 2" xfId="20048"/>
    <cellStyle name="ein 6 2 2 3" xfId="20049"/>
    <cellStyle name="ein 6 2 2 4" xfId="20050"/>
    <cellStyle name="ein 6 2 3" xfId="20051"/>
    <cellStyle name="ein 6 2 3 2" xfId="20052"/>
    <cellStyle name="ein 6 2 3 3" xfId="20053"/>
    <cellStyle name="ein 6 2 4" xfId="20054"/>
    <cellStyle name="ein 6 2 4 2" xfId="20055"/>
    <cellStyle name="ein 6 2 5" xfId="20056"/>
    <cellStyle name="ein 6 2 6" xfId="20057"/>
    <cellStyle name="ein 6 2 7" xfId="20058"/>
    <cellStyle name="ein 6 2 8" xfId="20059"/>
    <cellStyle name="ein 6 2 9" xfId="20060"/>
    <cellStyle name="ein 6 20" xfId="20061"/>
    <cellStyle name="ein 6 3" xfId="20062"/>
    <cellStyle name="ein 6 3 10" xfId="20063"/>
    <cellStyle name="ein 6 3 11" xfId="20064"/>
    <cellStyle name="ein 6 3 12" xfId="20065"/>
    <cellStyle name="ein 6 3 13" xfId="20066"/>
    <cellStyle name="ein 6 3 14" xfId="20067"/>
    <cellStyle name="ein 6 3 15" xfId="20068"/>
    <cellStyle name="ein 6 3 16" xfId="20069"/>
    <cellStyle name="ein 6 3 17" xfId="20070"/>
    <cellStyle name="ein 6 3 18" xfId="20071"/>
    <cellStyle name="ein 6 3 2" xfId="20072"/>
    <cellStyle name="ein 6 3 2 2" xfId="20073"/>
    <cellStyle name="ein 6 3 2 2 2" xfId="20074"/>
    <cellStyle name="ein 6 3 2 3" xfId="20075"/>
    <cellStyle name="ein 6 3 2 4" xfId="20076"/>
    <cellStyle name="ein 6 3 3" xfId="20077"/>
    <cellStyle name="ein 6 3 3 2" xfId="20078"/>
    <cellStyle name="ein 6 3 3 3" xfId="20079"/>
    <cellStyle name="ein 6 3 4" xfId="20080"/>
    <cellStyle name="ein 6 3 4 2" xfId="20081"/>
    <cellStyle name="ein 6 3 5" xfId="20082"/>
    <cellStyle name="ein 6 3 6" xfId="20083"/>
    <cellStyle name="ein 6 3 7" xfId="20084"/>
    <cellStyle name="ein 6 3 8" xfId="20085"/>
    <cellStyle name="ein 6 3 9" xfId="20086"/>
    <cellStyle name="ein 6 4" xfId="20087"/>
    <cellStyle name="ein 6 4 2" xfId="20088"/>
    <cellStyle name="ein 6 4 2 2" xfId="20089"/>
    <cellStyle name="ein 6 4 2 3" xfId="20090"/>
    <cellStyle name="ein 6 4 3" xfId="20091"/>
    <cellStyle name="ein 6 4 3 2" xfId="20092"/>
    <cellStyle name="ein 6 4 4" xfId="20093"/>
    <cellStyle name="ein 6 4 5" xfId="20094"/>
    <cellStyle name="ein 6 5" xfId="20095"/>
    <cellStyle name="ein 6 5 2" xfId="20096"/>
    <cellStyle name="ein 6 5 2 2" xfId="20097"/>
    <cellStyle name="ein 6 5 3" xfId="20098"/>
    <cellStyle name="ein 6 5 4" xfId="20099"/>
    <cellStyle name="ein 6 6" xfId="20100"/>
    <cellStyle name="ein 6 6 2" xfId="20101"/>
    <cellStyle name="ein 6 7" xfId="20102"/>
    <cellStyle name="ein 6 8" xfId="20103"/>
    <cellStyle name="ein 6 9" xfId="20104"/>
    <cellStyle name="ein 7" xfId="20105"/>
    <cellStyle name="ein 7 10" xfId="20106"/>
    <cellStyle name="ein 7 11" xfId="20107"/>
    <cellStyle name="ein 7 12" xfId="20108"/>
    <cellStyle name="ein 7 13" xfId="20109"/>
    <cellStyle name="ein 7 14" xfId="20110"/>
    <cellStyle name="ein 7 15" xfId="20111"/>
    <cellStyle name="ein 7 16" xfId="20112"/>
    <cellStyle name="ein 7 17" xfId="20113"/>
    <cellStyle name="ein 7 2" xfId="20114"/>
    <cellStyle name="ein 7 2 2" xfId="20115"/>
    <cellStyle name="ein 7 2 2 2" xfId="20116"/>
    <cellStyle name="ein 7 2 3" xfId="20117"/>
    <cellStyle name="ein 7 2 4" xfId="20118"/>
    <cellStyle name="ein 7 3" xfId="20119"/>
    <cellStyle name="ein 7 3 2" xfId="20120"/>
    <cellStyle name="ein 7 4" xfId="20121"/>
    <cellStyle name="ein 7 5" xfId="20122"/>
    <cellStyle name="ein 7 6" xfId="20123"/>
    <cellStyle name="ein 7 7" xfId="20124"/>
    <cellStyle name="ein 7 8" xfId="20125"/>
    <cellStyle name="ein 7 9" xfId="20126"/>
    <cellStyle name="ein 8" xfId="20127"/>
    <cellStyle name="ein 8 2" xfId="20128"/>
    <cellStyle name="ein 8 2 2" xfId="20129"/>
    <cellStyle name="ein 8 2 2 2" xfId="20130"/>
    <cellStyle name="ein 8 2 3" xfId="20131"/>
    <cellStyle name="ein 8 2 4" xfId="20132"/>
    <cellStyle name="ein 8 3" xfId="20133"/>
    <cellStyle name="ein 8 3 2" xfId="20134"/>
    <cellStyle name="ein 8 3 3" xfId="20135"/>
    <cellStyle name="ein 8 4" xfId="20136"/>
    <cellStyle name="ein 8 4 2" xfId="20137"/>
    <cellStyle name="ein 8 5" xfId="20138"/>
    <cellStyle name="ein 8 6" xfId="20139"/>
    <cellStyle name="ein 9" xfId="20140"/>
    <cellStyle name="ein 9 2" xfId="20141"/>
    <cellStyle name="ein 9 2 2" xfId="20142"/>
    <cellStyle name="ein 9 3" xfId="20143"/>
    <cellStyle name="ein 9 4" xfId="20144"/>
    <cellStyle name="el" xfId="20145"/>
    <cellStyle name="el 10" xfId="20146"/>
    <cellStyle name="el 11" xfId="20147"/>
    <cellStyle name="el 12" xfId="20148"/>
    <cellStyle name="el 13" xfId="20149"/>
    <cellStyle name="el 14" xfId="20150"/>
    <cellStyle name="el 15" xfId="20151"/>
    <cellStyle name="el 16" xfId="20152"/>
    <cellStyle name="el 17" xfId="20153"/>
    <cellStyle name="el 18" xfId="20154"/>
    <cellStyle name="el 2" xfId="20155"/>
    <cellStyle name="el 2 10" xfId="20156"/>
    <cellStyle name="el 2 11" xfId="20157"/>
    <cellStyle name="el 2 12" xfId="20158"/>
    <cellStyle name="el 2 13" xfId="20159"/>
    <cellStyle name="el 2 14" xfId="20160"/>
    <cellStyle name="el 2 15" xfId="20161"/>
    <cellStyle name="el 2 16" xfId="20162"/>
    <cellStyle name="el 2 17" xfId="20163"/>
    <cellStyle name="el 2 18" xfId="20164"/>
    <cellStyle name="el 2 19" xfId="20165"/>
    <cellStyle name="el 2 2" xfId="20166"/>
    <cellStyle name="el 2 2 10" xfId="20167"/>
    <cellStyle name="el 2 2 11" xfId="20168"/>
    <cellStyle name="el 2 2 12" xfId="20169"/>
    <cellStyle name="el 2 2 13" xfId="20170"/>
    <cellStyle name="el 2 2 14" xfId="20171"/>
    <cellStyle name="el 2 2 15" xfId="20172"/>
    <cellStyle name="el 2 2 16" xfId="20173"/>
    <cellStyle name="el 2 2 17" xfId="20174"/>
    <cellStyle name="el 2 2 18" xfId="20175"/>
    <cellStyle name="el 2 2 2" xfId="20176"/>
    <cellStyle name="el 2 2 2 2" xfId="20177"/>
    <cellStyle name="el 2 2 2 2 2" xfId="20178"/>
    <cellStyle name="el 2 2 2 3" xfId="20179"/>
    <cellStyle name="el 2 2 2 4" xfId="20180"/>
    <cellStyle name="el 2 2 3" xfId="20181"/>
    <cellStyle name="el 2 2 3 2" xfId="20182"/>
    <cellStyle name="el 2 2 3 3" xfId="20183"/>
    <cellStyle name="el 2 2 4" xfId="20184"/>
    <cellStyle name="el 2 2 4 2" xfId="20185"/>
    <cellStyle name="el 2 2 5" xfId="20186"/>
    <cellStyle name="el 2 2 6" xfId="20187"/>
    <cellStyle name="el 2 2 7" xfId="20188"/>
    <cellStyle name="el 2 2 8" xfId="20189"/>
    <cellStyle name="el 2 2 9" xfId="20190"/>
    <cellStyle name="el 2 3" xfId="20191"/>
    <cellStyle name="el 2 3 10" xfId="20192"/>
    <cellStyle name="el 2 3 11" xfId="20193"/>
    <cellStyle name="el 2 3 12" xfId="20194"/>
    <cellStyle name="el 2 3 13" xfId="20195"/>
    <cellStyle name="el 2 3 14" xfId="20196"/>
    <cellStyle name="el 2 3 15" xfId="20197"/>
    <cellStyle name="el 2 3 16" xfId="20198"/>
    <cellStyle name="el 2 3 17" xfId="20199"/>
    <cellStyle name="el 2 3 18" xfId="20200"/>
    <cellStyle name="el 2 3 2" xfId="20201"/>
    <cellStyle name="el 2 3 2 2" xfId="20202"/>
    <cellStyle name="el 2 3 2 2 2" xfId="20203"/>
    <cellStyle name="el 2 3 2 3" xfId="20204"/>
    <cellStyle name="el 2 3 2 4" xfId="20205"/>
    <cellStyle name="el 2 3 3" xfId="20206"/>
    <cellStyle name="el 2 3 3 2" xfId="20207"/>
    <cellStyle name="el 2 3 3 3" xfId="20208"/>
    <cellStyle name="el 2 3 4" xfId="20209"/>
    <cellStyle name="el 2 3 4 2" xfId="20210"/>
    <cellStyle name="el 2 3 5" xfId="20211"/>
    <cellStyle name="el 2 3 6" xfId="20212"/>
    <cellStyle name="el 2 3 7" xfId="20213"/>
    <cellStyle name="el 2 3 8" xfId="20214"/>
    <cellStyle name="el 2 3 9" xfId="20215"/>
    <cellStyle name="el 2 4" xfId="20216"/>
    <cellStyle name="el 2 4 2" xfId="20217"/>
    <cellStyle name="el 2 4 2 2" xfId="20218"/>
    <cellStyle name="el 2 4 2 3" xfId="20219"/>
    <cellStyle name="el 2 4 3" xfId="20220"/>
    <cellStyle name="el 2 4 3 2" xfId="20221"/>
    <cellStyle name="el 2 4 4" xfId="20222"/>
    <cellStyle name="el 2 4 5" xfId="20223"/>
    <cellStyle name="el 2 5" xfId="20224"/>
    <cellStyle name="el 2 5 2" xfId="20225"/>
    <cellStyle name="el 2 5 2 2" xfId="20226"/>
    <cellStyle name="el 2 5 3" xfId="20227"/>
    <cellStyle name="el 2 5 4" xfId="20228"/>
    <cellStyle name="el 2 6" xfId="20229"/>
    <cellStyle name="el 2 6 2" xfId="20230"/>
    <cellStyle name="el 2 6 3" xfId="20231"/>
    <cellStyle name="el 2 7" xfId="20232"/>
    <cellStyle name="el 2 7 2" xfId="20233"/>
    <cellStyle name="el 2 8" xfId="20234"/>
    <cellStyle name="el 2 9" xfId="20235"/>
    <cellStyle name="el 3" xfId="20236"/>
    <cellStyle name="el 3 10" xfId="20237"/>
    <cellStyle name="el 3 11" xfId="20238"/>
    <cellStyle name="el 3 12" xfId="20239"/>
    <cellStyle name="el 3 13" xfId="20240"/>
    <cellStyle name="el 3 14" xfId="20241"/>
    <cellStyle name="el 3 15" xfId="20242"/>
    <cellStyle name="el 3 16" xfId="20243"/>
    <cellStyle name="el 3 17" xfId="20244"/>
    <cellStyle name="el 3 18" xfId="20245"/>
    <cellStyle name="el 3 2" xfId="20246"/>
    <cellStyle name="el 3 2 10" xfId="20247"/>
    <cellStyle name="el 3 2 11" xfId="20248"/>
    <cellStyle name="el 3 2 12" xfId="20249"/>
    <cellStyle name="el 3 2 13" xfId="20250"/>
    <cellStyle name="el 3 2 14" xfId="20251"/>
    <cellStyle name="el 3 2 15" xfId="20252"/>
    <cellStyle name="el 3 2 16" xfId="20253"/>
    <cellStyle name="el 3 2 17" xfId="20254"/>
    <cellStyle name="el 3 2 18" xfId="20255"/>
    <cellStyle name="el 3 2 2" xfId="20256"/>
    <cellStyle name="el 3 2 2 2" xfId="20257"/>
    <cellStyle name="el 3 2 2 2 2" xfId="20258"/>
    <cellStyle name="el 3 2 2 3" xfId="20259"/>
    <cellStyle name="el 3 2 2 4" xfId="20260"/>
    <cellStyle name="el 3 2 3" xfId="20261"/>
    <cellStyle name="el 3 2 3 2" xfId="20262"/>
    <cellStyle name="el 3 2 3 3" xfId="20263"/>
    <cellStyle name="el 3 2 4" xfId="20264"/>
    <cellStyle name="el 3 2 4 2" xfId="20265"/>
    <cellStyle name="el 3 2 5" xfId="20266"/>
    <cellStyle name="el 3 2 6" xfId="20267"/>
    <cellStyle name="el 3 2 7" xfId="20268"/>
    <cellStyle name="el 3 2 8" xfId="20269"/>
    <cellStyle name="el 3 2 9" xfId="20270"/>
    <cellStyle name="el 3 3" xfId="20271"/>
    <cellStyle name="el 3 3 10" xfId="20272"/>
    <cellStyle name="el 3 3 11" xfId="20273"/>
    <cellStyle name="el 3 3 12" xfId="20274"/>
    <cellStyle name="el 3 3 13" xfId="20275"/>
    <cellStyle name="el 3 3 14" xfId="20276"/>
    <cellStyle name="el 3 3 15" xfId="20277"/>
    <cellStyle name="el 3 3 16" xfId="20278"/>
    <cellStyle name="el 3 3 17" xfId="20279"/>
    <cellStyle name="el 3 3 18" xfId="20280"/>
    <cellStyle name="el 3 3 2" xfId="20281"/>
    <cellStyle name="el 3 3 2 2" xfId="20282"/>
    <cellStyle name="el 3 3 2 2 2" xfId="20283"/>
    <cellStyle name="el 3 3 2 3" xfId="20284"/>
    <cellStyle name="el 3 3 2 4" xfId="20285"/>
    <cellStyle name="el 3 3 3" xfId="20286"/>
    <cellStyle name="el 3 3 3 2" xfId="20287"/>
    <cellStyle name="el 3 3 3 3" xfId="20288"/>
    <cellStyle name="el 3 3 4" xfId="20289"/>
    <cellStyle name="el 3 3 4 2" xfId="20290"/>
    <cellStyle name="el 3 3 5" xfId="20291"/>
    <cellStyle name="el 3 3 6" xfId="20292"/>
    <cellStyle name="el 3 3 7" xfId="20293"/>
    <cellStyle name="el 3 3 8" xfId="20294"/>
    <cellStyle name="el 3 3 9" xfId="20295"/>
    <cellStyle name="el 3 4" xfId="20296"/>
    <cellStyle name="el 3 4 2" xfId="20297"/>
    <cellStyle name="el 3 4 2 2" xfId="20298"/>
    <cellStyle name="el 3 4 2 3" xfId="20299"/>
    <cellStyle name="el 3 4 3" xfId="20300"/>
    <cellStyle name="el 3 4 3 2" xfId="20301"/>
    <cellStyle name="el 3 4 4" xfId="20302"/>
    <cellStyle name="el 3 4 5" xfId="20303"/>
    <cellStyle name="el 3 5" xfId="20304"/>
    <cellStyle name="el 3 5 2" xfId="20305"/>
    <cellStyle name="el 3 5 2 2" xfId="20306"/>
    <cellStyle name="el 3 5 3" xfId="20307"/>
    <cellStyle name="el 3 5 4" xfId="20308"/>
    <cellStyle name="el 3 6" xfId="20309"/>
    <cellStyle name="el 3 6 2" xfId="20310"/>
    <cellStyle name="el 3 6 3" xfId="20311"/>
    <cellStyle name="el 3 7" xfId="20312"/>
    <cellStyle name="el 3 7 2" xfId="20313"/>
    <cellStyle name="el 3 8" xfId="20314"/>
    <cellStyle name="el 3 9" xfId="20315"/>
    <cellStyle name="el 4" xfId="20316"/>
    <cellStyle name="el 4 10" xfId="20317"/>
    <cellStyle name="el 4 11" xfId="20318"/>
    <cellStyle name="el 4 12" xfId="20319"/>
    <cellStyle name="el 4 13" xfId="20320"/>
    <cellStyle name="el 4 14" xfId="20321"/>
    <cellStyle name="el 4 15" xfId="20322"/>
    <cellStyle name="el 4 16" xfId="20323"/>
    <cellStyle name="el 4 17" xfId="20324"/>
    <cellStyle name="el 4 18" xfId="20325"/>
    <cellStyle name="el 4 2" xfId="20326"/>
    <cellStyle name="el 4 2 10" xfId="20327"/>
    <cellStyle name="el 4 2 11" xfId="20328"/>
    <cellStyle name="el 4 2 12" xfId="20329"/>
    <cellStyle name="el 4 2 13" xfId="20330"/>
    <cellStyle name="el 4 2 14" xfId="20331"/>
    <cellStyle name="el 4 2 15" xfId="20332"/>
    <cellStyle name="el 4 2 16" xfId="20333"/>
    <cellStyle name="el 4 2 17" xfId="20334"/>
    <cellStyle name="el 4 2 18" xfId="20335"/>
    <cellStyle name="el 4 2 2" xfId="20336"/>
    <cellStyle name="el 4 2 2 2" xfId="20337"/>
    <cellStyle name="el 4 2 2 2 2" xfId="20338"/>
    <cellStyle name="el 4 2 2 3" xfId="20339"/>
    <cellStyle name="el 4 2 2 4" xfId="20340"/>
    <cellStyle name="el 4 2 3" xfId="20341"/>
    <cellStyle name="el 4 2 3 2" xfId="20342"/>
    <cellStyle name="el 4 2 3 3" xfId="20343"/>
    <cellStyle name="el 4 2 4" xfId="20344"/>
    <cellStyle name="el 4 2 4 2" xfId="20345"/>
    <cellStyle name="el 4 2 5" xfId="20346"/>
    <cellStyle name="el 4 2 6" xfId="20347"/>
    <cellStyle name="el 4 2 7" xfId="20348"/>
    <cellStyle name="el 4 2 8" xfId="20349"/>
    <cellStyle name="el 4 2 9" xfId="20350"/>
    <cellStyle name="el 4 3" xfId="20351"/>
    <cellStyle name="el 4 3 10" xfId="20352"/>
    <cellStyle name="el 4 3 11" xfId="20353"/>
    <cellStyle name="el 4 3 12" xfId="20354"/>
    <cellStyle name="el 4 3 13" xfId="20355"/>
    <cellStyle name="el 4 3 14" xfId="20356"/>
    <cellStyle name="el 4 3 15" xfId="20357"/>
    <cellStyle name="el 4 3 16" xfId="20358"/>
    <cellStyle name="el 4 3 17" xfId="20359"/>
    <cellStyle name="el 4 3 18" xfId="20360"/>
    <cellStyle name="el 4 3 2" xfId="20361"/>
    <cellStyle name="el 4 3 2 2" xfId="20362"/>
    <cellStyle name="el 4 3 2 2 2" xfId="20363"/>
    <cellStyle name="el 4 3 2 3" xfId="20364"/>
    <cellStyle name="el 4 3 2 4" xfId="20365"/>
    <cellStyle name="el 4 3 3" xfId="20366"/>
    <cellStyle name="el 4 3 3 2" xfId="20367"/>
    <cellStyle name="el 4 3 3 3" xfId="20368"/>
    <cellStyle name="el 4 3 4" xfId="20369"/>
    <cellStyle name="el 4 3 4 2" xfId="20370"/>
    <cellStyle name="el 4 3 5" xfId="20371"/>
    <cellStyle name="el 4 3 6" xfId="20372"/>
    <cellStyle name="el 4 3 7" xfId="20373"/>
    <cellStyle name="el 4 3 8" xfId="20374"/>
    <cellStyle name="el 4 3 9" xfId="20375"/>
    <cellStyle name="el 4 4" xfId="20376"/>
    <cellStyle name="el 4 4 2" xfId="20377"/>
    <cellStyle name="el 4 4 2 2" xfId="20378"/>
    <cellStyle name="el 4 4 2 3" xfId="20379"/>
    <cellStyle name="el 4 4 3" xfId="20380"/>
    <cellStyle name="el 4 4 3 2" xfId="20381"/>
    <cellStyle name="el 4 4 4" xfId="20382"/>
    <cellStyle name="el 4 4 5" xfId="20383"/>
    <cellStyle name="el 4 5" xfId="20384"/>
    <cellStyle name="el 4 5 2" xfId="20385"/>
    <cellStyle name="el 4 5 2 2" xfId="20386"/>
    <cellStyle name="el 4 5 3" xfId="20387"/>
    <cellStyle name="el 4 5 4" xfId="20388"/>
    <cellStyle name="el 4 6" xfId="20389"/>
    <cellStyle name="el 4 6 2" xfId="20390"/>
    <cellStyle name="el 4 6 3" xfId="20391"/>
    <cellStyle name="el 4 7" xfId="20392"/>
    <cellStyle name="el 4 7 2" xfId="20393"/>
    <cellStyle name="el 4 8" xfId="20394"/>
    <cellStyle name="el 4 9" xfId="20395"/>
    <cellStyle name="el 5" xfId="20396"/>
    <cellStyle name="el 5 10" xfId="20397"/>
    <cellStyle name="el 5 11" xfId="20398"/>
    <cellStyle name="el 5 12" xfId="20399"/>
    <cellStyle name="el 5 13" xfId="20400"/>
    <cellStyle name="el 5 14" xfId="20401"/>
    <cellStyle name="el 5 15" xfId="20402"/>
    <cellStyle name="el 5 16" xfId="20403"/>
    <cellStyle name="el 5 2" xfId="20404"/>
    <cellStyle name="el 5 2 10" xfId="20405"/>
    <cellStyle name="el 5 2 11" xfId="20406"/>
    <cellStyle name="el 5 2 12" xfId="20407"/>
    <cellStyle name="el 5 2 13" xfId="20408"/>
    <cellStyle name="el 5 2 14" xfId="20409"/>
    <cellStyle name="el 5 2 15" xfId="20410"/>
    <cellStyle name="el 5 2 16" xfId="20411"/>
    <cellStyle name="el 5 2 17" xfId="20412"/>
    <cellStyle name="el 5 2 18" xfId="20413"/>
    <cellStyle name="el 5 2 2" xfId="20414"/>
    <cellStyle name="el 5 2 2 2" xfId="20415"/>
    <cellStyle name="el 5 2 2 2 2" xfId="20416"/>
    <cellStyle name="el 5 2 2 3" xfId="20417"/>
    <cellStyle name="el 5 2 2 4" xfId="20418"/>
    <cellStyle name="el 5 2 3" xfId="20419"/>
    <cellStyle name="el 5 2 3 2" xfId="20420"/>
    <cellStyle name="el 5 2 3 3" xfId="20421"/>
    <cellStyle name="el 5 2 4" xfId="20422"/>
    <cellStyle name="el 5 2 4 2" xfId="20423"/>
    <cellStyle name="el 5 2 5" xfId="20424"/>
    <cellStyle name="el 5 2 6" xfId="20425"/>
    <cellStyle name="el 5 2 7" xfId="20426"/>
    <cellStyle name="el 5 2 8" xfId="20427"/>
    <cellStyle name="el 5 2 9" xfId="20428"/>
    <cellStyle name="el 5 3" xfId="20429"/>
    <cellStyle name="el 5 3 10" xfId="20430"/>
    <cellStyle name="el 5 3 11" xfId="20431"/>
    <cellStyle name="el 5 3 12" xfId="20432"/>
    <cellStyle name="el 5 3 13" xfId="20433"/>
    <cellStyle name="el 5 3 14" xfId="20434"/>
    <cellStyle name="el 5 3 15" xfId="20435"/>
    <cellStyle name="el 5 3 16" xfId="20436"/>
    <cellStyle name="el 5 3 17" xfId="20437"/>
    <cellStyle name="el 5 3 18" xfId="20438"/>
    <cellStyle name="el 5 3 2" xfId="20439"/>
    <cellStyle name="el 5 3 2 2" xfId="20440"/>
    <cellStyle name="el 5 3 2 2 2" xfId="20441"/>
    <cellStyle name="el 5 3 2 3" xfId="20442"/>
    <cellStyle name="el 5 3 2 4" xfId="20443"/>
    <cellStyle name="el 5 3 3" xfId="20444"/>
    <cellStyle name="el 5 3 3 2" xfId="20445"/>
    <cellStyle name="el 5 3 3 3" xfId="20446"/>
    <cellStyle name="el 5 3 4" xfId="20447"/>
    <cellStyle name="el 5 3 4 2" xfId="20448"/>
    <cellStyle name="el 5 3 5" xfId="20449"/>
    <cellStyle name="el 5 3 6" xfId="20450"/>
    <cellStyle name="el 5 3 7" xfId="20451"/>
    <cellStyle name="el 5 3 8" xfId="20452"/>
    <cellStyle name="el 5 3 9" xfId="20453"/>
    <cellStyle name="el 5 4" xfId="20454"/>
    <cellStyle name="el 5 4 2" xfId="20455"/>
    <cellStyle name="el 5 4 2 2" xfId="20456"/>
    <cellStyle name="el 5 4 2 3" xfId="20457"/>
    <cellStyle name="el 5 4 3" xfId="20458"/>
    <cellStyle name="el 5 4 3 2" xfId="20459"/>
    <cellStyle name="el 5 4 4" xfId="20460"/>
    <cellStyle name="el 5 4 5" xfId="20461"/>
    <cellStyle name="el 5 5" xfId="20462"/>
    <cellStyle name="el 5 5 2" xfId="20463"/>
    <cellStyle name="el 5 5 2 2" xfId="20464"/>
    <cellStyle name="el 5 5 3" xfId="20465"/>
    <cellStyle name="el 5 5 4" xfId="20466"/>
    <cellStyle name="el 5 6" xfId="20467"/>
    <cellStyle name="el 5 6 2" xfId="20468"/>
    <cellStyle name="el 5 6 3" xfId="20469"/>
    <cellStyle name="el 5 7" xfId="20470"/>
    <cellStyle name="el 5 7 2" xfId="20471"/>
    <cellStyle name="el 5 8" xfId="20472"/>
    <cellStyle name="el 5 9" xfId="20473"/>
    <cellStyle name="el 6" xfId="20474"/>
    <cellStyle name="el 6 10" xfId="20475"/>
    <cellStyle name="el 6 11" xfId="20476"/>
    <cellStyle name="el 6 12" xfId="20477"/>
    <cellStyle name="el 6 13" xfId="20478"/>
    <cellStyle name="el 6 14" xfId="20479"/>
    <cellStyle name="el 6 15" xfId="20480"/>
    <cellStyle name="el 6 16" xfId="20481"/>
    <cellStyle name="el 6 17" xfId="20482"/>
    <cellStyle name="el 6 18" xfId="20483"/>
    <cellStyle name="el 6 2" xfId="20484"/>
    <cellStyle name="el 6 2 2" xfId="20485"/>
    <cellStyle name="el 6 2 2 2" xfId="20486"/>
    <cellStyle name="el 6 2 3" xfId="20487"/>
    <cellStyle name="el 6 2 4" xfId="20488"/>
    <cellStyle name="el 6 3" xfId="20489"/>
    <cellStyle name="el 6 3 2" xfId="20490"/>
    <cellStyle name="el 6 3 3" xfId="20491"/>
    <cellStyle name="el 6 4" xfId="20492"/>
    <cellStyle name="el 6 4 2" xfId="20493"/>
    <cellStyle name="el 6 5" xfId="20494"/>
    <cellStyle name="el 6 6" xfId="20495"/>
    <cellStyle name="el 6 7" xfId="20496"/>
    <cellStyle name="el 6 8" xfId="20497"/>
    <cellStyle name="el 6 9" xfId="20498"/>
    <cellStyle name="el 7" xfId="20499"/>
    <cellStyle name="el 7 10" xfId="20500"/>
    <cellStyle name="el 7 11" xfId="20501"/>
    <cellStyle name="el 7 12" xfId="20502"/>
    <cellStyle name="el 7 13" xfId="20503"/>
    <cellStyle name="el 7 14" xfId="20504"/>
    <cellStyle name="el 7 15" xfId="20505"/>
    <cellStyle name="el 7 16" xfId="20506"/>
    <cellStyle name="el 7 17" xfId="20507"/>
    <cellStyle name="el 7 18" xfId="20508"/>
    <cellStyle name="el 7 2" xfId="20509"/>
    <cellStyle name="el 7 2 2" xfId="20510"/>
    <cellStyle name="el 7 2 3" xfId="20511"/>
    <cellStyle name="el 7 3" xfId="20512"/>
    <cellStyle name="el 7 3 2" xfId="20513"/>
    <cellStyle name="el 7 4" xfId="20514"/>
    <cellStyle name="el 7 5" xfId="20515"/>
    <cellStyle name="el 7 6" xfId="20516"/>
    <cellStyle name="el 7 7" xfId="20517"/>
    <cellStyle name="el 7 8" xfId="20518"/>
    <cellStyle name="el 7 9" xfId="20519"/>
    <cellStyle name="el 8" xfId="20520"/>
    <cellStyle name="el 8 2" xfId="20521"/>
    <cellStyle name="el 8 2 2" xfId="20522"/>
    <cellStyle name="el 8 3" xfId="20523"/>
    <cellStyle name="el 8 4" xfId="20524"/>
    <cellStyle name="el 9" xfId="20525"/>
    <cellStyle name="Emphasis 1" xfId="20526"/>
    <cellStyle name="Emphasis 1 2" xfId="20527"/>
    <cellStyle name="Emphasis 1 3" xfId="20528"/>
    <cellStyle name="Emphasis 1 4" xfId="20529"/>
    <cellStyle name="Emphasis 1 5" xfId="20530"/>
    <cellStyle name="Emphasis 1 6" xfId="20531"/>
    <cellStyle name="Emphasis 2" xfId="20532"/>
    <cellStyle name="Emphasis 2 2" xfId="20533"/>
    <cellStyle name="Emphasis 2 3" xfId="20534"/>
    <cellStyle name="Emphasis 2 4" xfId="20535"/>
    <cellStyle name="Emphasis 2 5" xfId="20536"/>
    <cellStyle name="Emphasis 2 6" xfId="20537"/>
    <cellStyle name="Emphasis 3" xfId="20538"/>
    <cellStyle name="Empty_Cell" xfId="20539"/>
    <cellStyle name="Enter Currency (0)" xfId="20540"/>
    <cellStyle name="Enter Currency (0) 2" xfId="20541"/>
    <cellStyle name="Enter Currency (0) 3" xfId="20542"/>
    <cellStyle name="Enter Currency (0) 4" xfId="20543"/>
    <cellStyle name="Enter Currency (0) 5" xfId="20544"/>
    <cellStyle name="Enter Currency (2)" xfId="20545"/>
    <cellStyle name="Enter Currency (2) 2" xfId="20546"/>
    <cellStyle name="Enter Currency (2) 3" xfId="20547"/>
    <cellStyle name="Enter Units (0)" xfId="20548"/>
    <cellStyle name="Enter Units (0) 2" xfId="20549"/>
    <cellStyle name="Enter Units (0) 3" xfId="20550"/>
    <cellStyle name="Enter Units (0) 4" xfId="20551"/>
    <cellStyle name="Enter Units (0) 5" xfId="20552"/>
    <cellStyle name="Enter Units (1)" xfId="20553"/>
    <cellStyle name="Enter Units (1) 2" xfId="20554"/>
    <cellStyle name="Enter Units (1) 3" xfId="20555"/>
    <cellStyle name="Enter Units (1) 4" xfId="20556"/>
    <cellStyle name="Enter Units (1) 5" xfId="20557"/>
    <cellStyle name="Enter Units (2)" xfId="20558"/>
    <cellStyle name="Enter Units (2) 2" xfId="20559"/>
    <cellStyle name="Enter Units (2) 3" xfId="20560"/>
    <cellStyle name="Error" xfId="20561"/>
    <cellStyle name="Error 2" xfId="20562"/>
    <cellStyle name="Euro" xfId="20563"/>
    <cellStyle name="Euro 2" xfId="20564"/>
    <cellStyle name="Euro 3" xfId="20565"/>
    <cellStyle name="Euro 4" xfId="20566"/>
    <cellStyle name="Euro 5" xfId="20567"/>
    <cellStyle name="Excel Built-in Normal" xfId="20568"/>
    <cellStyle name="Excel Built-in Normal 2" xfId="20569"/>
    <cellStyle name="Excel Built-in Normal 2 2" xfId="20570"/>
    <cellStyle name="Excel Built-in Normal 2 2 2" xfId="20571"/>
    <cellStyle name="Excel Built-in Normal 2 2 2 2" xfId="20572"/>
    <cellStyle name="Excel Built-in Normal 3" xfId="20573"/>
    <cellStyle name="Excel Built-in Normal 3 2" xfId="20574"/>
    <cellStyle name="Exchange rate" xfId="20575"/>
    <cellStyle name="Explanatory Text" xfId="20576"/>
    <cellStyle name="Explanatory Text 2" xfId="20577"/>
    <cellStyle name="F2" xfId="20578"/>
    <cellStyle name="F2 2" xfId="20579"/>
    <cellStyle name="F2 3" xfId="20580"/>
    <cellStyle name="F2 4" xfId="20581"/>
    <cellStyle name="F2 5" xfId="20582"/>
    <cellStyle name="F3" xfId="20583"/>
    <cellStyle name="F3 2" xfId="20584"/>
    <cellStyle name="F3 3" xfId="20585"/>
    <cellStyle name="F3 4" xfId="20586"/>
    <cellStyle name="F3 5" xfId="20587"/>
    <cellStyle name="F4" xfId="20588"/>
    <cellStyle name="F4 2" xfId="20589"/>
    <cellStyle name="F4 3" xfId="20590"/>
    <cellStyle name="F5" xfId="20591"/>
    <cellStyle name="F5 2" xfId="20592"/>
    <cellStyle name="F5 3" xfId="20593"/>
    <cellStyle name="F5 4" xfId="20594"/>
    <cellStyle name="F5 5" xfId="20595"/>
    <cellStyle name="F6" xfId="20596"/>
    <cellStyle name="F6 2" xfId="20597"/>
    <cellStyle name="F6 3" xfId="20598"/>
    <cellStyle name="F6 4" xfId="20599"/>
    <cellStyle name="F6 5" xfId="20600"/>
    <cellStyle name="F7" xfId="20601"/>
    <cellStyle name="F7 2" xfId="20602"/>
    <cellStyle name="F7 3" xfId="20603"/>
    <cellStyle name="F7 4" xfId="20604"/>
    <cellStyle name="F7 5" xfId="20605"/>
    <cellStyle name="F8" xfId="20606"/>
    <cellStyle name="F8 2" xfId="20607"/>
    <cellStyle name="F8 3" xfId="20608"/>
    <cellStyle name="Fixed" xfId="20609"/>
    <cellStyle name="Fixed 2" xfId="20610"/>
    <cellStyle name="Fixed 3" xfId="20611"/>
    <cellStyle name="Flag" xfId="20612"/>
    <cellStyle name="Flag 2" xfId="20613"/>
    <cellStyle name="Flag 2 2" xfId="20614"/>
    <cellStyle name="Flag 3" xfId="20615"/>
    <cellStyle name="Flag 3 2" xfId="20616"/>
    <cellStyle name="Flag 4" xfId="20617"/>
    <cellStyle name="Flag 4 2" xfId="20618"/>
    <cellStyle name="Flag 5" xfId="20619"/>
    <cellStyle name="Flag 6" xfId="20620"/>
    <cellStyle name="Flag 7" xfId="20621"/>
    <cellStyle name="Footnote" xfId="20622"/>
    <cellStyle name="Footnotes" xfId="20623"/>
    <cellStyle name="Footnotes 2" xfId="20624"/>
    <cellStyle name="Footnotes 2 2" xfId="20625"/>
    <cellStyle name="Footnotes 3" xfId="20626"/>
    <cellStyle name="Footnotes 3 2" xfId="20627"/>
    <cellStyle name="Footnotes 4" xfId="20628"/>
    <cellStyle name="Footnotes 4 2" xfId="20629"/>
    <cellStyle name="Footnotes 5" xfId="20630"/>
    <cellStyle name="General_Ledger" xfId="20631"/>
    <cellStyle name="Good" xfId="20632"/>
    <cellStyle name="Good 2" xfId="20633"/>
    <cellStyle name="Good 2 2" xfId="20634"/>
    <cellStyle name="Good 3" xfId="20635"/>
    <cellStyle name="Good 4" xfId="20636"/>
    <cellStyle name="Good_7-р_Из_Системы" xfId="20637"/>
    <cellStyle name="Grey" xfId="20638"/>
    <cellStyle name="Grey 2" xfId="20639"/>
    <cellStyle name="Grid" xfId="20640"/>
    <cellStyle name="Grid 2" xfId="20641"/>
    <cellStyle name="Grid 3" xfId="20642"/>
    <cellStyle name="GWN Table Body" xfId="20643"/>
    <cellStyle name="GWN Table Body 2" xfId="20644"/>
    <cellStyle name="GWN Table Body 3" xfId="20645"/>
    <cellStyle name="GWN Table Body 4" xfId="20646"/>
    <cellStyle name="GWN Table Header" xfId="20647"/>
    <cellStyle name="GWN Table Left Header" xfId="20648"/>
    <cellStyle name="GWN Table Note" xfId="20649"/>
    <cellStyle name="GWN Table Note 2" xfId="20650"/>
    <cellStyle name="GWN Table Note 3" xfId="20651"/>
    <cellStyle name="GWN Table Note 4" xfId="20652"/>
    <cellStyle name="GWN Table Title" xfId="20653"/>
    <cellStyle name="hard no" xfId="20654"/>
    <cellStyle name="hard no 10" xfId="20655"/>
    <cellStyle name="hard no 11" xfId="20656"/>
    <cellStyle name="hard no 12" xfId="20657"/>
    <cellStyle name="hard no 13" xfId="20658"/>
    <cellStyle name="hard no 14" xfId="20659"/>
    <cellStyle name="hard no 15" xfId="20660"/>
    <cellStyle name="hard no 16" xfId="20661"/>
    <cellStyle name="hard no 17" xfId="20662"/>
    <cellStyle name="hard no 18" xfId="20663"/>
    <cellStyle name="hard no 19" xfId="20664"/>
    <cellStyle name="hard no 2" xfId="20665"/>
    <cellStyle name="hard no 2 10" xfId="20666"/>
    <cellStyle name="hard no 2 11" xfId="20667"/>
    <cellStyle name="hard no 2 12" xfId="20668"/>
    <cellStyle name="hard no 2 13" xfId="20669"/>
    <cellStyle name="hard no 2 14" xfId="20670"/>
    <cellStyle name="hard no 2 15" xfId="20671"/>
    <cellStyle name="hard no 2 16" xfId="20672"/>
    <cellStyle name="hard no 2 17" xfId="20673"/>
    <cellStyle name="hard no 2 18" xfId="20674"/>
    <cellStyle name="hard no 2 19" xfId="20675"/>
    <cellStyle name="hard no 2 2" xfId="20676"/>
    <cellStyle name="hard no 2 2 10" xfId="20677"/>
    <cellStyle name="hard no 2 2 11" xfId="20678"/>
    <cellStyle name="hard no 2 2 12" xfId="20679"/>
    <cellStyle name="hard no 2 2 13" xfId="20680"/>
    <cellStyle name="hard no 2 2 14" xfId="20681"/>
    <cellStyle name="hard no 2 2 15" xfId="20682"/>
    <cellStyle name="hard no 2 2 16" xfId="20683"/>
    <cellStyle name="hard no 2 2 17" xfId="20684"/>
    <cellStyle name="hard no 2 2 18" xfId="20685"/>
    <cellStyle name="hard no 2 2 2" xfId="20686"/>
    <cellStyle name="hard no 2 2 2 2" xfId="20687"/>
    <cellStyle name="hard no 2 2 2 2 2" xfId="20688"/>
    <cellStyle name="hard no 2 2 2 3" xfId="20689"/>
    <cellStyle name="hard no 2 2 2 4" xfId="20690"/>
    <cellStyle name="hard no 2 2 3" xfId="20691"/>
    <cellStyle name="hard no 2 2 3 2" xfId="20692"/>
    <cellStyle name="hard no 2 2 3 3" xfId="20693"/>
    <cellStyle name="hard no 2 2 4" xfId="20694"/>
    <cellStyle name="hard no 2 2 4 2" xfId="20695"/>
    <cellStyle name="hard no 2 2 5" xfId="20696"/>
    <cellStyle name="hard no 2 2 6" xfId="20697"/>
    <cellStyle name="hard no 2 2 7" xfId="20698"/>
    <cellStyle name="hard no 2 2 8" xfId="20699"/>
    <cellStyle name="hard no 2 2 9" xfId="20700"/>
    <cellStyle name="hard no 2 20" xfId="20701"/>
    <cellStyle name="hard no 2 3" xfId="20702"/>
    <cellStyle name="hard no 2 3 10" xfId="20703"/>
    <cellStyle name="hard no 2 3 11" xfId="20704"/>
    <cellStyle name="hard no 2 3 12" xfId="20705"/>
    <cellStyle name="hard no 2 3 13" xfId="20706"/>
    <cellStyle name="hard no 2 3 14" xfId="20707"/>
    <cellStyle name="hard no 2 3 15" xfId="20708"/>
    <cellStyle name="hard no 2 3 16" xfId="20709"/>
    <cellStyle name="hard no 2 3 17" xfId="20710"/>
    <cellStyle name="hard no 2 3 18" xfId="20711"/>
    <cellStyle name="hard no 2 3 2" xfId="20712"/>
    <cellStyle name="hard no 2 3 2 2" xfId="20713"/>
    <cellStyle name="hard no 2 3 2 2 2" xfId="20714"/>
    <cellStyle name="hard no 2 3 2 3" xfId="20715"/>
    <cellStyle name="hard no 2 3 2 4" xfId="20716"/>
    <cellStyle name="hard no 2 3 3" xfId="20717"/>
    <cellStyle name="hard no 2 3 3 2" xfId="20718"/>
    <cellStyle name="hard no 2 3 3 3" xfId="20719"/>
    <cellStyle name="hard no 2 3 4" xfId="20720"/>
    <cellStyle name="hard no 2 3 4 2" xfId="20721"/>
    <cellStyle name="hard no 2 3 5" xfId="20722"/>
    <cellStyle name="hard no 2 3 6" xfId="20723"/>
    <cellStyle name="hard no 2 3 7" xfId="20724"/>
    <cellStyle name="hard no 2 3 8" xfId="20725"/>
    <cellStyle name="hard no 2 3 9" xfId="20726"/>
    <cellStyle name="hard no 2 4" xfId="20727"/>
    <cellStyle name="hard no 2 4 2" xfId="20728"/>
    <cellStyle name="hard no 2 4 2 2" xfId="20729"/>
    <cellStyle name="hard no 2 4 2 3" xfId="20730"/>
    <cellStyle name="hard no 2 4 3" xfId="20731"/>
    <cellStyle name="hard no 2 4 3 2" xfId="20732"/>
    <cellStyle name="hard no 2 4 4" xfId="20733"/>
    <cellStyle name="hard no 2 4 5" xfId="20734"/>
    <cellStyle name="hard no 2 5" xfId="20735"/>
    <cellStyle name="hard no 2 5 2" xfId="20736"/>
    <cellStyle name="hard no 2 5 2 2" xfId="20737"/>
    <cellStyle name="hard no 2 5 3" xfId="20738"/>
    <cellStyle name="hard no 2 5 4" xfId="20739"/>
    <cellStyle name="hard no 2 6" xfId="20740"/>
    <cellStyle name="hard no 2 6 2" xfId="20741"/>
    <cellStyle name="hard no 2 7" xfId="20742"/>
    <cellStyle name="hard no 2 8" xfId="20743"/>
    <cellStyle name="hard no 2 9" xfId="20744"/>
    <cellStyle name="hard no 20" xfId="20745"/>
    <cellStyle name="hard no 21" xfId="20746"/>
    <cellStyle name="hard no 22" xfId="20747"/>
    <cellStyle name="hard no 23" xfId="20748"/>
    <cellStyle name="hard no 24" xfId="20749"/>
    <cellStyle name="hard no 3" xfId="20750"/>
    <cellStyle name="hard no 3 10" xfId="20751"/>
    <cellStyle name="hard no 3 11" xfId="20752"/>
    <cellStyle name="hard no 3 12" xfId="20753"/>
    <cellStyle name="hard no 3 13" xfId="20754"/>
    <cellStyle name="hard no 3 14" xfId="20755"/>
    <cellStyle name="hard no 3 15" xfId="20756"/>
    <cellStyle name="hard no 3 16" xfId="20757"/>
    <cellStyle name="hard no 3 17" xfId="20758"/>
    <cellStyle name="hard no 3 18" xfId="20759"/>
    <cellStyle name="hard no 3 19" xfId="20760"/>
    <cellStyle name="hard no 3 2" xfId="20761"/>
    <cellStyle name="hard no 3 2 10" xfId="20762"/>
    <cellStyle name="hard no 3 2 11" xfId="20763"/>
    <cellStyle name="hard no 3 2 12" xfId="20764"/>
    <cellStyle name="hard no 3 2 13" xfId="20765"/>
    <cellStyle name="hard no 3 2 14" xfId="20766"/>
    <cellStyle name="hard no 3 2 15" xfId="20767"/>
    <cellStyle name="hard no 3 2 16" xfId="20768"/>
    <cellStyle name="hard no 3 2 17" xfId="20769"/>
    <cellStyle name="hard no 3 2 18" xfId="20770"/>
    <cellStyle name="hard no 3 2 2" xfId="20771"/>
    <cellStyle name="hard no 3 2 2 2" xfId="20772"/>
    <cellStyle name="hard no 3 2 2 2 2" xfId="20773"/>
    <cellStyle name="hard no 3 2 2 3" xfId="20774"/>
    <cellStyle name="hard no 3 2 2 4" xfId="20775"/>
    <cellStyle name="hard no 3 2 3" xfId="20776"/>
    <cellStyle name="hard no 3 2 3 2" xfId="20777"/>
    <cellStyle name="hard no 3 2 3 3" xfId="20778"/>
    <cellStyle name="hard no 3 2 4" xfId="20779"/>
    <cellStyle name="hard no 3 2 4 2" xfId="20780"/>
    <cellStyle name="hard no 3 2 5" xfId="20781"/>
    <cellStyle name="hard no 3 2 6" xfId="20782"/>
    <cellStyle name="hard no 3 2 7" xfId="20783"/>
    <cellStyle name="hard no 3 2 8" xfId="20784"/>
    <cellStyle name="hard no 3 2 9" xfId="20785"/>
    <cellStyle name="hard no 3 20" xfId="20786"/>
    <cellStyle name="hard no 3 21" xfId="20787"/>
    <cellStyle name="hard no 3 3" xfId="20788"/>
    <cellStyle name="hard no 3 3 10" xfId="20789"/>
    <cellStyle name="hard no 3 3 11" xfId="20790"/>
    <cellStyle name="hard no 3 3 12" xfId="20791"/>
    <cellStyle name="hard no 3 3 13" xfId="20792"/>
    <cellStyle name="hard no 3 3 14" xfId="20793"/>
    <cellStyle name="hard no 3 3 15" xfId="20794"/>
    <cellStyle name="hard no 3 3 16" xfId="20795"/>
    <cellStyle name="hard no 3 3 17" xfId="20796"/>
    <cellStyle name="hard no 3 3 18" xfId="20797"/>
    <cellStyle name="hard no 3 3 2" xfId="20798"/>
    <cellStyle name="hard no 3 3 2 2" xfId="20799"/>
    <cellStyle name="hard no 3 3 2 2 2" xfId="20800"/>
    <cellStyle name="hard no 3 3 2 3" xfId="20801"/>
    <cellStyle name="hard no 3 3 2 4" xfId="20802"/>
    <cellStyle name="hard no 3 3 3" xfId="20803"/>
    <cellStyle name="hard no 3 3 3 2" xfId="20804"/>
    <cellStyle name="hard no 3 3 3 3" xfId="20805"/>
    <cellStyle name="hard no 3 3 4" xfId="20806"/>
    <cellStyle name="hard no 3 3 4 2" xfId="20807"/>
    <cellStyle name="hard no 3 3 5" xfId="20808"/>
    <cellStyle name="hard no 3 3 6" xfId="20809"/>
    <cellStyle name="hard no 3 3 7" xfId="20810"/>
    <cellStyle name="hard no 3 3 8" xfId="20811"/>
    <cellStyle name="hard no 3 3 9" xfId="20812"/>
    <cellStyle name="hard no 3 4" xfId="20813"/>
    <cellStyle name="hard no 3 4 2" xfId="20814"/>
    <cellStyle name="hard no 3 4 2 2" xfId="20815"/>
    <cellStyle name="hard no 3 4 2 3" xfId="20816"/>
    <cellStyle name="hard no 3 4 3" xfId="20817"/>
    <cellStyle name="hard no 3 4 3 2" xfId="20818"/>
    <cellStyle name="hard no 3 4 4" xfId="20819"/>
    <cellStyle name="hard no 3 4 5" xfId="20820"/>
    <cellStyle name="hard no 3 5" xfId="20821"/>
    <cellStyle name="hard no 3 5 2" xfId="20822"/>
    <cellStyle name="hard no 3 5 2 2" xfId="20823"/>
    <cellStyle name="hard no 3 5 3" xfId="20824"/>
    <cellStyle name="hard no 3 5 4" xfId="20825"/>
    <cellStyle name="hard no 3 6" xfId="20826"/>
    <cellStyle name="hard no 3 6 2" xfId="20827"/>
    <cellStyle name="hard no 3 7" xfId="20828"/>
    <cellStyle name="hard no 3 8" xfId="20829"/>
    <cellStyle name="hard no 3 9" xfId="20830"/>
    <cellStyle name="hard no 4" xfId="20831"/>
    <cellStyle name="hard no 4 10" xfId="20832"/>
    <cellStyle name="hard no 4 11" xfId="20833"/>
    <cellStyle name="hard no 4 12" xfId="20834"/>
    <cellStyle name="hard no 4 13" xfId="20835"/>
    <cellStyle name="hard no 4 14" xfId="20836"/>
    <cellStyle name="hard no 4 15" xfId="20837"/>
    <cellStyle name="hard no 4 16" xfId="20838"/>
    <cellStyle name="hard no 4 17" xfId="20839"/>
    <cellStyle name="hard no 4 18" xfId="20840"/>
    <cellStyle name="hard no 4 19" xfId="20841"/>
    <cellStyle name="hard no 4 2" xfId="20842"/>
    <cellStyle name="hard no 4 2 10" xfId="20843"/>
    <cellStyle name="hard no 4 2 11" xfId="20844"/>
    <cellStyle name="hard no 4 2 12" xfId="20845"/>
    <cellStyle name="hard no 4 2 13" xfId="20846"/>
    <cellStyle name="hard no 4 2 14" xfId="20847"/>
    <cellStyle name="hard no 4 2 15" xfId="20848"/>
    <cellStyle name="hard no 4 2 16" xfId="20849"/>
    <cellStyle name="hard no 4 2 17" xfId="20850"/>
    <cellStyle name="hard no 4 2 18" xfId="20851"/>
    <cellStyle name="hard no 4 2 2" xfId="20852"/>
    <cellStyle name="hard no 4 2 2 2" xfId="20853"/>
    <cellStyle name="hard no 4 2 2 2 2" xfId="20854"/>
    <cellStyle name="hard no 4 2 2 3" xfId="20855"/>
    <cellStyle name="hard no 4 2 2 4" xfId="20856"/>
    <cellStyle name="hard no 4 2 3" xfId="20857"/>
    <cellStyle name="hard no 4 2 3 2" xfId="20858"/>
    <cellStyle name="hard no 4 2 3 3" xfId="20859"/>
    <cellStyle name="hard no 4 2 4" xfId="20860"/>
    <cellStyle name="hard no 4 2 4 2" xfId="20861"/>
    <cellStyle name="hard no 4 2 5" xfId="20862"/>
    <cellStyle name="hard no 4 2 6" xfId="20863"/>
    <cellStyle name="hard no 4 2 7" xfId="20864"/>
    <cellStyle name="hard no 4 2 8" xfId="20865"/>
    <cellStyle name="hard no 4 2 9" xfId="20866"/>
    <cellStyle name="hard no 4 20" xfId="20867"/>
    <cellStyle name="hard no 4 21" xfId="20868"/>
    <cellStyle name="hard no 4 3" xfId="20869"/>
    <cellStyle name="hard no 4 3 10" xfId="20870"/>
    <cellStyle name="hard no 4 3 11" xfId="20871"/>
    <cellStyle name="hard no 4 3 12" xfId="20872"/>
    <cellStyle name="hard no 4 3 13" xfId="20873"/>
    <cellStyle name="hard no 4 3 14" xfId="20874"/>
    <cellStyle name="hard no 4 3 15" xfId="20875"/>
    <cellStyle name="hard no 4 3 16" xfId="20876"/>
    <cellStyle name="hard no 4 3 17" xfId="20877"/>
    <cellStyle name="hard no 4 3 18" xfId="20878"/>
    <cellStyle name="hard no 4 3 2" xfId="20879"/>
    <cellStyle name="hard no 4 3 2 2" xfId="20880"/>
    <cellStyle name="hard no 4 3 2 2 2" xfId="20881"/>
    <cellStyle name="hard no 4 3 2 3" xfId="20882"/>
    <cellStyle name="hard no 4 3 2 4" xfId="20883"/>
    <cellStyle name="hard no 4 3 3" xfId="20884"/>
    <cellStyle name="hard no 4 3 3 2" xfId="20885"/>
    <cellStyle name="hard no 4 3 3 3" xfId="20886"/>
    <cellStyle name="hard no 4 3 4" xfId="20887"/>
    <cellStyle name="hard no 4 3 4 2" xfId="20888"/>
    <cellStyle name="hard no 4 3 5" xfId="20889"/>
    <cellStyle name="hard no 4 3 6" xfId="20890"/>
    <cellStyle name="hard no 4 3 7" xfId="20891"/>
    <cellStyle name="hard no 4 3 8" xfId="20892"/>
    <cellStyle name="hard no 4 3 9" xfId="20893"/>
    <cellStyle name="hard no 4 4" xfId="20894"/>
    <cellStyle name="hard no 4 4 2" xfId="20895"/>
    <cellStyle name="hard no 4 4 2 2" xfId="20896"/>
    <cellStyle name="hard no 4 4 2 3" xfId="20897"/>
    <cellStyle name="hard no 4 4 3" xfId="20898"/>
    <cellStyle name="hard no 4 4 3 2" xfId="20899"/>
    <cellStyle name="hard no 4 4 4" xfId="20900"/>
    <cellStyle name="hard no 4 4 5" xfId="20901"/>
    <cellStyle name="hard no 4 5" xfId="20902"/>
    <cellStyle name="hard no 4 5 2" xfId="20903"/>
    <cellStyle name="hard no 4 5 2 2" xfId="20904"/>
    <cellStyle name="hard no 4 5 3" xfId="20905"/>
    <cellStyle name="hard no 4 5 4" xfId="20906"/>
    <cellStyle name="hard no 4 6" xfId="20907"/>
    <cellStyle name="hard no 4 6 2" xfId="20908"/>
    <cellStyle name="hard no 4 7" xfId="20909"/>
    <cellStyle name="hard no 4 8" xfId="20910"/>
    <cellStyle name="hard no 4 9" xfId="20911"/>
    <cellStyle name="hard no 5" xfId="20912"/>
    <cellStyle name="hard no 5 10" xfId="20913"/>
    <cellStyle name="hard no 5 11" xfId="20914"/>
    <cellStyle name="hard no 5 12" xfId="20915"/>
    <cellStyle name="hard no 5 13" xfId="20916"/>
    <cellStyle name="hard no 5 14" xfId="20917"/>
    <cellStyle name="hard no 5 15" xfId="20918"/>
    <cellStyle name="hard no 5 16" xfId="20919"/>
    <cellStyle name="hard no 5 17" xfId="20920"/>
    <cellStyle name="hard no 5 18" xfId="20921"/>
    <cellStyle name="hard no 5 19" xfId="20922"/>
    <cellStyle name="hard no 5 2" xfId="20923"/>
    <cellStyle name="hard no 5 2 10" xfId="20924"/>
    <cellStyle name="hard no 5 2 11" xfId="20925"/>
    <cellStyle name="hard no 5 2 12" xfId="20926"/>
    <cellStyle name="hard no 5 2 13" xfId="20927"/>
    <cellStyle name="hard no 5 2 14" xfId="20928"/>
    <cellStyle name="hard no 5 2 15" xfId="20929"/>
    <cellStyle name="hard no 5 2 16" xfId="20930"/>
    <cellStyle name="hard no 5 2 17" xfId="20931"/>
    <cellStyle name="hard no 5 2 18" xfId="20932"/>
    <cellStyle name="hard no 5 2 2" xfId="20933"/>
    <cellStyle name="hard no 5 2 2 2" xfId="20934"/>
    <cellStyle name="hard no 5 2 2 2 2" xfId="20935"/>
    <cellStyle name="hard no 5 2 2 3" xfId="20936"/>
    <cellStyle name="hard no 5 2 2 4" xfId="20937"/>
    <cellStyle name="hard no 5 2 3" xfId="20938"/>
    <cellStyle name="hard no 5 2 3 2" xfId="20939"/>
    <cellStyle name="hard no 5 2 3 3" xfId="20940"/>
    <cellStyle name="hard no 5 2 4" xfId="20941"/>
    <cellStyle name="hard no 5 2 4 2" xfId="20942"/>
    <cellStyle name="hard no 5 2 5" xfId="20943"/>
    <cellStyle name="hard no 5 2 6" xfId="20944"/>
    <cellStyle name="hard no 5 2 7" xfId="20945"/>
    <cellStyle name="hard no 5 2 8" xfId="20946"/>
    <cellStyle name="hard no 5 2 9" xfId="20947"/>
    <cellStyle name="hard no 5 3" xfId="20948"/>
    <cellStyle name="hard no 5 3 10" xfId="20949"/>
    <cellStyle name="hard no 5 3 11" xfId="20950"/>
    <cellStyle name="hard no 5 3 12" xfId="20951"/>
    <cellStyle name="hard no 5 3 13" xfId="20952"/>
    <cellStyle name="hard no 5 3 14" xfId="20953"/>
    <cellStyle name="hard no 5 3 15" xfId="20954"/>
    <cellStyle name="hard no 5 3 16" xfId="20955"/>
    <cellStyle name="hard no 5 3 17" xfId="20956"/>
    <cellStyle name="hard no 5 3 18" xfId="20957"/>
    <cellStyle name="hard no 5 3 2" xfId="20958"/>
    <cellStyle name="hard no 5 3 2 2" xfId="20959"/>
    <cellStyle name="hard no 5 3 2 2 2" xfId="20960"/>
    <cellStyle name="hard no 5 3 2 3" xfId="20961"/>
    <cellStyle name="hard no 5 3 2 4" xfId="20962"/>
    <cellStyle name="hard no 5 3 3" xfId="20963"/>
    <cellStyle name="hard no 5 3 3 2" xfId="20964"/>
    <cellStyle name="hard no 5 3 3 3" xfId="20965"/>
    <cellStyle name="hard no 5 3 4" xfId="20966"/>
    <cellStyle name="hard no 5 3 4 2" xfId="20967"/>
    <cellStyle name="hard no 5 3 5" xfId="20968"/>
    <cellStyle name="hard no 5 3 6" xfId="20969"/>
    <cellStyle name="hard no 5 3 7" xfId="20970"/>
    <cellStyle name="hard no 5 3 8" xfId="20971"/>
    <cellStyle name="hard no 5 3 9" xfId="20972"/>
    <cellStyle name="hard no 5 4" xfId="20973"/>
    <cellStyle name="hard no 5 4 2" xfId="20974"/>
    <cellStyle name="hard no 5 4 2 2" xfId="20975"/>
    <cellStyle name="hard no 5 4 2 3" xfId="20976"/>
    <cellStyle name="hard no 5 4 3" xfId="20977"/>
    <cellStyle name="hard no 5 4 3 2" xfId="20978"/>
    <cellStyle name="hard no 5 4 4" xfId="20979"/>
    <cellStyle name="hard no 5 4 5" xfId="20980"/>
    <cellStyle name="hard no 5 5" xfId="20981"/>
    <cellStyle name="hard no 5 5 2" xfId="20982"/>
    <cellStyle name="hard no 5 5 2 2" xfId="20983"/>
    <cellStyle name="hard no 5 5 3" xfId="20984"/>
    <cellStyle name="hard no 5 5 4" xfId="20985"/>
    <cellStyle name="hard no 5 6" xfId="20986"/>
    <cellStyle name="hard no 5 6 2" xfId="20987"/>
    <cellStyle name="hard no 5 7" xfId="20988"/>
    <cellStyle name="hard no 5 8" xfId="20989"/>
    <cellStyle name="hard no 5 9" xfId="20990"/>
    <cellStyle name="hard no 6" xfId="20991"/>
    <cellStyle name="hard no 6 10" xfId="20992"/>
    <cellStyle name="hard no 6 11" xfId="20993"/>
    <cellStyle name="hard no 6 12" xfId="20994"/>
    <cellStyle name="hard no 6 13" xfId="20995"/>
    <cellStyle name="hard no 6 14" xfId="20996"/>
    <cellStyle name="hard no 6 15" xfId="20997"/>
    <cellStyle name="hard no 6 16" xfId="20998"/>
    <cellStyle name="hard no 6 17" xfId="20999"/>
    <cellStyle name="hard no 6 18" xfId="21000"/>
    <cellStyle name="hard no 6 19" xfId="21001"/>
    <cellStyle name="hard no 6 2" xfId="21002"/>
    <cellStyle name="hard no 6 2 10" xfId="21003"/>
    <cellStyle name="hard no 6 2 11" xfId="21004"/>
    <cellStyle name="hard no 6 2 12" xfId="21005"/>
    <cellStyle name="hard no 6 2 13" xfId="21006"/>
    <cellStyle name="hard no 6 2 14" xfId="21007"/>
    <cellStyle name="hard no 6 2 15" xfId="21008"/>
    <cellStyle name="hard no 6 2 16" xfId="21009"/>
    <cellStyle name="hard no 6 2 17" xfId="21010"/>
    <cellStyle name="hard no 6 2 18" xfId="21011"/>
    <cellStyle name="hard no 6 2 2" xfId="21012"/>
    <cellStyle name="hard no 6 2 2 2" xfId="21013"/>
    <cellStyle name="hard no 6 2 2 2 2" xfId="21014"/>
    <cellStyle name="hard no 6 2 2 3" xfId="21015"/>
    <cellStyle name="hard no 6 2 2 4" xfId="21016"/>
    <cellStyle name="hard no 6 2 3" xfId="21017"/>
    <cellStyle name="hard no 6 2 3 2" xfId="21018"/>
    <cellStyle name="hard no 6 2 3 3" xfId="21019"/>
    <cellStyle name="hard no 6 2 4" xfId="21020"/>
    <cellStyle name="hard no 6 2 4 2" xfId="21021"/>
    <cellStyle name="hard no 6 2 5" xfId="21022"/>
    <cellStyle name="hard no 6 2 6" xfId="21023"/>
    <cellStyle name="hard no 6 2 7" xfId="21024"/>
    <cellStyle name="hard no 6 2 8" xfId="21025"/>
    <cellStyle name="hard no 6 2 9" xfId="21026"/>
    <cellStyle name="hard no 6 20" xfId="21027"/>
    <cellStyle name="hard no 6 3" xfId="21028"/>
    <cellStyle name="hard no 6 3 10" xfId="21029"/>
    <cellStyle name="hard no 6 3 11" xfId="21030"/>
    <cellStyle name="hard no 6 3 12" xfId="21031"/>
    <cellStyle name="hard no 6 3 13" xfId="21032"/>
    <cellStyle name="hard no 6 3 14" xfId="21033"/>
    <cellStyle name="hard no 6 3 15" xfId="21034"/>
    <cellStyle name="hard no 6 3 16" xfId="21035"/>
    <cellStyle name="hard no 6 3 17" xfId="21036"/>
    <cellStyle name="hard no 6 3 18" xfId="21037"/>
    <cellStyle name="hard no 6 3 2" xfId="21038"/>
    <cellStyle name="hard no 6 3 2 2" xfId="21039"/>
    <cellStyle name="hard no 6 3 2 2 2" xfId="21040"/>
    <cellStyle name="hard no 6 3 2 3" xfId="21041"/>
    <cellStyle name="hard no 6 3 2 4" xfId="21042"/>
    <cellStyle name="hard no 6 3 3" xfId="21043"/>
    <cellStyle name="hard no 6 3 3 2" xfId="21044"/>
    <cellStyle name="hard no 6 3 3 3" xfId="21045"/>
    <cellStyle name="hard no 6 3 4" xfId="21046"/>
    <cellStyle name="hard no 6 3 4 2" xfId="21047"/>
    <cellStyle name="hard no 6 3 5" xfId="21048"/>
    <cellStyle name="hard no 6 3 6" xfId="21049"/>
    <cellStyle name="hard no 6 3 7" xfId="21050"/>
    <cellStyle name="hard no 6 3 8" xfId="21051"/>
    <cellStyle name="hard no 6 3 9" xfId="21052"/>
    <cellStyle name="hard no 6 4" xfId="21053"/>
    <cellStyle name="hard no 6 4 2" xfId="21054"/>
    <cellStyle name="hard no 6 4 2 2" xfId="21055"/>
    <cellStyle name="hard no 6 4 2 3" xfId="21056"/>
    <cellStyle name="hard no 6 4 3" xfId="21057"/>
    <cellStyle name="hard no 6 4 3 2" xfId="21058"/>
    <cellStyle name="hard no 6 4 4" xfId="21059"/>
    <cellStyle name="hard no 6 4 5" xfId="21060"/>
    <cellStyle name="hard no 6 5" xfId="21061"/>
    <cellStyle name="hard no 6 5 2" xfId="21062"/>
    <cellStyle name="hard no 6 5 2 2" xfId="21063"/>
    <cellStyle name="hard no 6 5 3" xfId="21064"/>
    <cellStyle name="hard no 6 5 4" xfId="21065"/>
    <cellStyle name="hard no 6 6" xfId="21066"/>
    <cellStyle name="hard no 6 6 2" xfId="21067"/>
    <cellStyle name="hard no 6 7" xfId="21068"/>
    <cellStyle name="hard no 6 8" xfId="21069"/>
    <cellStyle name="hard no 6 9" xfId="21070"/>
    <cellStyle name="hard no 7" xfId="21071"/>
    <cellStyle name="hard no 7 10" xfId="21072"/>
    <cellStyle name="hard no 7 11" xfId="21073"/>
    <cellStyle name="hard no 7 12" xfId="21074"/>
    <cellStyle name="hard no 7 13" xfId="21075"/>
    <cellStyle name="hard no 7 14" xfId="21076"/>
    <cellStyle name="hard no 7 15" xfId="21077"/>
    <cellStyle name="hard no 7 16" xfId="21078"/>
    <cellStyle name="hard no 7 17" xfId="21079"/>
    <cellStyle name="hard no 7 2" xfId="21080"/>
    <cellStyle name="hard no 7 2 2" xfId="21081"/>
    <cellStyle name="hard no 7 2 2 2" xfId="21082"/>
    <cellStyle name="hard no 7 2 3" xfId="21083"/>
    <cellStyle name="hard no 7 2 4" xfId="21084"/>
    <cellStyle name="hard no 7 3" xfId="21085"/>
    <cellStyle name="hard no 7 3 2" xfId="21086"/>
    <cellStyle name="hard no 7 4" xfId="21087"/>
    <cellStyle name="hard no 7 5" xfId="21088"/>
    <cellStyle name="hard no 7 6" xfId="21089"/>
    <cellStyle name="hard no 7 7" xfId="21090"/>
    <cellStyle name="hard no 7 8" xfId="21091"/>
    <cellStyle name="hard no 7 9" xfId="21092"/>
    <cellStyle name="hard no 8" xfId="21093"/>
    <cellStyle name="hard no 8 2" xfId="21094"/>
    <cellStyle name="hard no 8 2 2" xfId="21095"/>
    <cellStyle name="hard no 8 2 2 2" xfId="21096"/>
    <cellStyle name="hard no 8 2 3" xfId="21097"/>
    <cellStyle name="hard no 8 2 4" xfId="21098"/>
    <cellStyle name="hard no 8 3" xfId="21099"/>
    <cellStyle name="hard no 8 3 2" xfId="21100"/>
    <cellStyle name="hard no 8 3 3" xfId="21101"/>
    <cellStyle name="hard no 8 4" xfId="21102"/>
    <cellStyle name="hard no 8 4 2" xfId="21103"/>
    <cellStyle name="hard no 8 5" xfId="21104"/>
    <cellStyle name="hard no 8 6" xfId="21105"/>
    <cellStyle name="hard no 9" xfId="21106"/>
    <cellStyle name="hard no 9 2" xfId="21107"/>
    <cellStyle name="hard no 9 2 2" xfId="21108"/>
    <cellStyle name="hard no 9 3" xfId="21109"/>
    <cellStyle name="hard no 9 4" xfId="21110"/>
    <cellStyle name="hard number" xfId="21111"/>
    <cellStyle name="hard number 2" xfId="21112"/>
    <cellStyle name="Hard Percent" xfId="21113"/>
    <cellStyle name="Hardcoded Number" xfId="21114"/>
    <cellStyle name="hardno" xfId="21115"/>
    <cellStyle name="hardno 2" xfId="21116"/>
    <cellStyle name="Header" xfId="21117"/>
    <cellStyle name="Header0" xfId="21118"/>
    <cellStyle name="Header1" xfId="21119"/>
    <cellStyle name="Header1 2" xfId="21120"/>
    <cellStyle name="Header1 2 2" xfId="21121"/>
    <cellStyle name="Header1 2 3" xfId="21122"/>
    <cellStyle name="Header1 3" xfId="21123"/>
    <cellStyle name="Header1 4" xfId="21124"/>
    <cellStyle name="Header1 5" xfId="21125"/>
    <cellStyle name="Header1 6" xfId="21126"/>
    <cellStyle name="Header1 7" xfId="21127"/>
    <cellStyle name="Header1 8" xfId="21128"/>
    <cellStyle name="Header1 9" xfId="21129"/>
    <cellStyle name="Header2" xfId="21130"/>
    <cellStyle name="Header2 2" xfId="21131"/>
    <cellStyle name="Header2 2 10" xfId="21132"/>
    <cellStyle name="Header2 2 11" xfId="21133"/>
    <cellStyle name="Header2 2 12" xfId="21134"/>
    <cellStyle name="Header2 2 13" xfId="21135"/>
    <cellStyle name="Header2 2 14" xfId="21136"/>
    <cellStyle name="Header2 2 15" xfId="21137"/>
    <cellStyle name="Header2 2 16" xfId="21138"/>
    <cellStyle name="Header2 2 17" xfId="21139"/>
    <cellStyle name="Header2 2 18" xfId="21140"/>
    <cellStyle name="Header2 2 19" xfId="21141"/>
    <cellStyle name="Header2 2 2" xfId="21142"/>
    <cellStyle name="Header2 2 2 2" xfId="21143"/>
    <cellStyle name="Header2 2 2 2 2" xfId="21144"/>
    <cellStyle name="Header2 2 2 3" xfId="21145"/>
    <cellStyle name="Header2 2 2 4" xfId="21146"/>
    <cellStyle name="Header2 2 20" xfId="21147"/>
    <cellStyle name="Header2 2 3" xfId="21148"/>
    <cellStyle name="Header2 2 3 2" xfId="21149"/>
    <cellStyle name="Header2 2 4" xfId="21150"/>
    <cellStyle name="Header2 2 5" xfId="21151"/>
    <cellStyle name="Header2 2 6" xfId="21152"/>
    <cellStyle name="Header2 2 7" xfId="21153"/>
    <cellStyle name="Header2 2 8" xfId="21154"/>
    <cellStyle name="Header2 2 9" xfId="21155"/>
    <cellStyle name="Header2 3" xfId="21156"/>
    <cellStyle name="Header2 3 2" xfId="21157"/>
    <cellStyle name="Header2 3 2 2" xfId="21158"/>
    <cellStyle name="Header2 3 2 2 2" xfId="21159"/>
    <cellStyle name="Header2 3 2 3" xfId="21160"/>
    <cellStyle name="Header2 3 2 4" xfId="21161"/>
    <cellStyle name="Header2 3 3" xfId="21162"/>
    <cellStyle name="Header2 3 3 2" xfId="21163"/>
    <cellStyle name="Header2 3 3 3" xfId="21164"/>
    <cellStyle name="Header2 3 4" xfId="21165"/>
    <cellStyle name="Header2 3 4 2" xfId="21166"/>
    <cellStyle name="Header2 3 5" xfId="21167"/>
    <cellStyle name="Header2 3 6" xfId="21168"/>
    <cellStyle name="Header2 4" xfId="21169"/>
    <cellStyle name="Header2 4 2" xfId="21170"/>
    <cellStyle name="Header2 4 2 2" xfId="21171"/>
    <cellStyle name="Header2 4 3" xfId="21172"/>
    <cellStyle name="Header2 4 4" xfId="21173"/>
    <cellStyle name="Header2 5" xfId="21174"/>
    <cellStyle name="Header2 6" xfId="21175"/>
    <cellStyle name="Header2 7" xfId="21176"/>
    <cellStyle name="Header3" xfId="21177"/>
    <cellStyle name="heading" xfId="21178"/>
    <cellStyle name="Heading 1" xfId="21179"/>
    <cellStyle name="Heading 1 2" xfId="21180"/>
    <cellStyle name="Heading 1 3" xfId="21181"/>
    <cellStyle name="HEADING 1 REPORT" xfId="21182"/>
    <cellStyle name="Heading 1_Dalsvyaz_Total" xfId="21183"/>
    <cellStyle name="heading 10" xfId="21184"/>
    <cellStyle name="Heading 11" xfId="21185"/>
    <cellStyle name="heading 12" xfId="21186"/>
    <cellStyle name="heading 13" xfId="21187"/>
    <cellStyle name="Heading 2" xfId="21188"/>
    <cellStyle name="Heading 3" xfId="21189"/>
    <cellStyle name="heading 4" xfId="21190"/>
    <cellStyle name="heading 4 2" xfId="21191"/>
    <cellStyle name="heading 4 3" xfId="21192"/>
    <cellStyle name="heading 4 4" xfId="21193"/>
    <cellStyle name="heading 4 5" xfId="21194"/>
    <cellStyle name="heading 5" xfId="21195"/>
    <cellStyle name="heading 6" xfId="21196"/>
    <cellStyle name="heading 7" xfId="21197"/>
    <cellStyle name="heading 8" xfId="21198"/>
    <cellStyle name="heading 9" xfId="21199"/>
    <cellStyle name="Heading_бизнес-план_2005-2012_макет ТГК-5" xfId="21200"/>
    <cellStyle name="Heading1" xfId="21201"/>
    <cellStyle name="Heading1 1" xfId="21202"/>
    <cellStyle name="Heading1 1 2" xfId="21203"/>
    <cellStyle name="Heading1 1 2 2" xfId="21204"/>
    <cellStyle name="Heading1 1 3" xfId="21205"/>
    <cellStyle name="Heading1 1 3 2" xfId="21206"/>
    <cellStyle name="Heading1 1 4" xfId="21207"/>
    <cellStyle name="Heading1 1 4 2" xfId="21208"/>
    <cellStyle name="Heading1 1 5" xfId="21209"/>
    <cellStyle name="Heading1 1 6" xfId="21210"/>
    <cellStyle name="Heading1 2" xfId="21211"/>
    <cellStyle name="Heading1 3" xfId="21212"/>
    <cellStyle name="heading1_Dalsvyaz_Total" xfId="21213"/>
    <cellStyle name="Heading2" xfId="21214"/>
    <cellStyle name="Heading2 2" xfId="21215"/>
    <cellStyle name="Heading2 3" xfId="21216"/>
    <cellStyle name="Heading3" xfId="21217"/>
    <cellStyle name="Heading3 2" xfId="21218"/>
    <cellStyle name="Heading4" xfId="21219"/>
    <cellStyle name="Heading4 2" xfId="21220"/>
    <cellStyle name="Heading4 3" xfId="21221"/>
    <cellStyle name="Heading5" xfId="21222"/>
    <cellStyle name="Heading5 2" xfId="21223"/>
    <cellStyle name="Heading5 2 2" xfId="21224"/>
    <cellStyle name="Heading5 2 3" xfId="21225"/>
    <cellStyle name="Heading5 3" xfId="21226"/>
    <cellStyle name="Heading5 3 2" xfId="21227"/>
    <cellStyle name="Heading5 3 3" xfId="21228"/>
    <cellStyle name="Heading5 4" xfId="21229"/>
    <cellStyle name="Heading5 4 2" xfId="21230"/>
    <cellStyle name="Heading5 4 3" xfId="21231"/>
    <cellStyle name="Heading5 5" xfId="21232"/>
    <cellStyle name="Heading5 6" xfId="21233"/>
    <cellStyle name="Heading6" xfId="21234"/>
    <cellStyle name="Heading6 2" xfId="21235"/>
    <cellStyle name="Heading6 2 2" xfId="21236"/>
    <cellStyle name="Heading6 3" xfId="21237"/>
    <cellStyle name="Heading6 3 2" xfId="21238"/>
    <cellStyle name="Heading6 4" xfId="21239"/>
    <cellStyle name="Heading6 4 2" xfId="21240"/>
    <cellStyle name="Heading6 5" xfId="21241"/>
    <cellStyle name="HeadingS" xfId="21242"/>
    <cellStyle name="HeadingS 2" xfId="21243"/>
    <cellStyle name="Headline I" xfId="21244"/>
    <cellStyle name="Headline II" xfId="21245"/>
    <cellStyle name="Headline III" xfId="21246"/>
    <cellStyle name="Headline2" xfId="21247"/>
    <cellStyle name="Headline2 2" xfId="21248"/>
    <cellStyle name="Headline3" xfId="21249"/>
    <cellStyle name="Headline3 2" xfId="21250"/>
    <cellStyle name="Hidden" xfId="21251"/>
    <cellStyle name="Hidden 10" xfId="21252"/>
    <cellStyle name="Hidden 11" xfId="21253"/>
    <cellStyle name="Hidden 12" xfId="21254"/>
    <cellStyle name="Hidden 13" xfId="21255"/>
    <cellStyle name="Hidden 14" xfId="21256"/>
    <cellStyle name="Hidden 15" xfId="21257"/>
    <cellStyle name="Hidden 16" xfId="21258"/>
    <cellStyle name="Hidden 17" xfId="21259"/>
    <cellStyle name="Hidden 18" xfId="21260"/>
    <cellStyle name="Hidden 19" xfId="21261"/>
    <cellStyle name="Hidden 2" xfId="21262"/>
    <cellStyle name="Hidden 2 10" xfId="21263"/>
    <cellStyle name="Hidden 2 11" xfId="21264"/>
    <cellStyle name="Hidden 2 12" xfId="21265"/>
    <cellStyle name="Hidden 2 13" xfId="21266"/>
    <cellStyle name="Hidden 2 14" xfId="21267"/>
    <cellStyle name="Hidden 2 15" xfId="21268"/>
    <cellStyle name="Hidden 2 16" xfId="21269"/>
    <cellStyle name="Hidden 2 17" xfId="21270"/>
    <cellStyle name="Hidden 2 18" xfId="21271"/>
    <cellStyle name="Hidden 2 19" xfId="21272"/>
    <cellStyle name="Hidden 2 2" xfId="21273"/>
    <cellStyle name="Hidden 2 2 10" xfId="21274"/>
    <cellStyle name="Hidden 2 2 11" xfId="21275"/>
    <cellStyle name="Hidden 2 2 12" xfId="21276"/>
    <cellStyle name="Hidden 2 2 13" xfId="21277"/>
    <cellStyle name="Hidden 2 2 14" xfId="21278"/>
    <cellStyle name="Hidden 2 2 15" xfId="21279"/>
    <cellStyle name="Hidden 2 2 16" xfId="21280"/>
    <cellStyle name="Hidden 2 2 17" xfId="21281"/>
    <cellStyle name="Hidden 2 2 18" xfId="21282"/>
    <cellStyle name="Hidden 2 2 2" xfId="21283"/>
    <cellStyle name="Hidden 2 2 2 2" xfId="21284"/>
    <cellStyle name="Hidden 2 2 2 2 2" xfId="21285"/>
    <cellStyle name="Hidden 2 2 2 3" xfId="21286"/>
    <cellStyle name="Hidden 2 2 2 4" xfId="21287"/>
    <cellStyle name="Hidden 2 2 3" xfId="21288"/>
    <cellStyle name="Hidden 2 2 3 2" xfId="21289"/>
    <cellStyle name="Hidden 2 2 3 3" xfId="21290"/>
    <cellStyle name="Hidden 2 2 4" xfId="21291"/>
    <cellStyle name="Hidden 2 2 4 2" xfId="21292"/>
    <cellStyle name="Hidden 2 2 5" xfId="21293"/>
    <cellStyle name="Hidden 2 2 6" xfId="21294"/>
    <cellStyle name="Hidden 2 2 7" xfId="21295"/>
    <cellStyle name="Hidden 2 2 8" xfId="21296"/>
    <cellStyle name="Hidden 2 2 9" xfId="21297"/>
    <cellStyle name="Hidden 2 3" xfId="21298"/>
    <cellStyle name="Hidden 2 3 10" xfId="21299"/>
    <cellStyle name="Hidden 2 3 11" xfId="21300"/>
    <cellStyle name="Hidden 2 3 12" xfId="21301"/>
    <cellStyle name="Hidden 2 3 13" xfId="21302"/>
    <cellStyle name="Hidden 2 3 14" xfId="21303"/>
    <cellStyle name="Hidden 2 3 15" xfId="21304"/>
    <cellStyle name="Hidden 2 3 16" xfId="21305"/>
    <cellStyle name="Hidden 2 3 17" xfId="21306"/>
    <cellStyle name="Hidden 2 3 18" xfId="21307"/>
    <cellStyle name="Hidden 2 3 2" xfId="21308"/>
    <cellStyle name="Hidden 2 3 2 2" xfId="21309"/>
    <cellStyle name="Hidden 2 3 2 2 2" xfId="21310"/>
    <cellStyle name="Hidden 2 3 2 3" xfId="21311"/>
    <cellStyle name="Hidden 2 3 2 4" xfId="21312"/>
    <cellStyle name="Hidden 2 3 3" xfId="21313"/>
    <cellStyle name="Hidden 2 3 3 2" xfId="21314"/>
    <cellStyle name="Hidden 2 3 3 3" xfId="21315"/>
    <cellStyle name="Hidden 2 3 4" xfId="21316"/>
    <cellStyle name="Hidden 2 3 4 2" xfId="21317"/>
    <cellStyle name="Hidden 2 3 5" xfId="21318"/>
    <cellStyle name="Hidden 2 3 6" xfId="21319"/>
    <cellStyle name="Hidden 2 3 7" xfId="21320"/>
    <cellStyle name="Hidden 2 3 8" xfId="21321"/>
    <cellStyle name="Hidden 2 3 9" xfId="21322"/>
    <cellStyle name="Hidden 2 4" xfId="21323"/>
    <cellStyle name="Hidden 2 4 2" xfId="21324"/>
    <cellStyle name="Hidden 2 4 2 2" xfId="21325"/>
    <cellStyle name="Hidden 2 4 2 3" xfId="21326"/>
    <cellStyle name="Hidden 2 4 3" xfId="21327"/>
    <cellStyle name="Hidden 2 4 3 2" xfId="21328"/>
    <cellStyle name="Hidden 2 4 4" xfId="21329"/>
    <cellStyle name="Hidden 2 4 5" xfId="21330"/>
    <cellStyle name="Hidden 2 5" xfId="21331"/>
    <cellStyle name="Hidden 2 5 2" xfId="21332"/>
    <cellStyle name="Hidden 2 5 2 2" xfId="21333"/>
    <cellStyle name="Hidden 2 5 3" xfId="21334"/>
    <cellStyle name="Hidden 2 5 4" xfId="21335"/>
    <cellStyle name="Hidden 2 6" xfId="21336"/>
    <cellStyle name="Hidden 2 6 2" xfId="21337"/>
    <cellStyle name="Hidden 2 7" xfId="21338"/>
    <cellStyle name="Hidden 2 8" xfId="21339"/>
    <cellStyle name="Hidden 2 9" xfId="21340"/>
    <cellStyle name="Hidden 20" xfId="21341"/>
    <cellStyle name="Hidden 21" xfId="21342"/>
    <cellStyle name="Hidden 22" xfId="21343"/>
    <cellStyle name="Hidden 23" xfId="21344"/>
    <cellStyle name="Hidden 24" xfId="21345"/>
    <cellStyle name="Hidden 3" xfId="21346"/>
    <cellStyle name="Hidden 3 10" xfId="21347"/>
    <cellStyle name="Hidden 3 11" xfId="21348"/>
    <cellStyle name="Hidden 3 12" xfId="21349"/>
    <cellStyle name="Hidden 3 13" xfId="21350"/>
    <cellStyle name="Hidden 3 14" xfId="21351"/>
    <cellStyle name="Hidden 3 15" xfId="21352"/>
    <cellStyle name="Hidden 3 16" xfId="21353"/>
    <cellStyle name="Hidden 3 17" xfId="21354"/>
    <cellStyle name="Hidden 3 18" xfId="21355"/>
    <cellStyle name="Hidden 3 19" xfId="21356"/>
    <cellStyle name="Hidden 3 2" xfId="21357"/>
    <cellStyle name="Hidden 3 2 10" xfId="21358"/>
    <cellStyle name="Hidden 3 2 11" xfId="21359"/>
    <cellStyle name="Hidden 3 2 12" xfId="21360"/>
    <cellStyle name="Hidden 3 2 13" xfId="21361"/>
    <cellStyle name="Hidden 3 2 14" xfId="21362"/>
    <cellStyle name="Hidden 3 2 15" xfId="21363"/>
    <cellStyle name="Hidden 3 2 16" xfId="21364"/>
    <cellStyle name="Hidden 3 2 17" xfId="21365"/>
    <cellStyle name="Hidden 3 2 18" xfId="21366"/>
    <cellStyle name="Hidden 3 2 2" xfId="21367"/>
    <cellStyle name="Hidden 3 2 2 2" xfId="21368"/>
    <cellStyle name="Hidden 3 2 2 2 2" xfId="21369"/>
    <cellStyle name="Hidden 3 2 2 3" xfId="21370"/>
    <cellStyle name="Hidden 3 2 2 4" xfId="21371"/>
    <cellStyle name="Hidden 3 2 3" xfId="21372"/>
    <cellStyle name="Hidden 3 2 3 2" xfId="21373"/>
    <cellStyle name="Hidden 3 2 3 3" xfId="21374"/>
    <cellStyle name="Hidden 3 2 4" xfId="21375"/>
    <cellStyle name="Hidden 3 2 4 2" xfId="21376"/>
    <cellStyle name="Hidden 3 2 5" xfId="21377"/>
    <cellStyle name="Hidden 3 2 6" xfId="21378"/>
    <cellStyle name="Hidden 3 2 7" xfId="21379"/>
    <cellStyle name="Hidden 3 2 8" xfId="21380"/>
    <cellStyle name="Hidden 3 2 9" xfId="21381"/>
    <cellStyle name="Hidden 3 20" xfId="21382"/>
    <cellStyle name="Hidden 3 21" xfId="21383"/>
    <cellStyle name="Hidden 3 3" xfId="21384"/>
    <cellStyle name="Hidden 3 3 10" xfId="21385"/>
    <cellStyle name="Hidden 3 3 11" xfId="21386"/>
    <cellStyle name="Hidden 3 3 12" xfId="21387"/>
    <cellStyle name="Hidden 3 3 13" xfId="21388"/>
    <cellStyle name="Hidden 3 3 14" xfId="21389"/>
    <cellStyle name="Hidden 3 3 15" xfId="21390"/>
    <cellStyle name="Hidden 3 3 16" xfId="21391"/>
    <cellStyle name="Hidden 3 3 17" xfId="21392"/>
    <cellStyle name="Hidden 3 3 18" xfId="21393"/>
    <cellStyle name="Hidden 3 3 2" xfId="21394"/>
    <cellStyle name="Hidden 3 3 2 2" xfId="21395"/>
    <cellStyle name="Hidden 3 3 2 2 2" xfId="21396"/>
    <cellStyle name="Hidden 3 3 2 3" xfId="21397"/>
    <cellStyle name="Hidden 3 3 2 4" xfId="21398"/>
    <cellStyle name="Hidden 3 3 3" xfId="21399"/>
    <cellStyle name="Hidden 3 3 3 2" xfId="21400"/>
    <cellStyle name="Hidden 3 3 3 3" xfId="21401"/>
    <cellStyle name="Hidden 3 3 4" xfId="21402"/>
    <cellStyle name="Hidden 3 3 4 2" xfId="21403"/>
    <cellStyle name="Hidden 3 3 5" xfId="21404"/>
    <cellStyle name="Hidden 3 3 6" xfId="21405"/>
    <cellStyle name="Hidden 3 3 7" xfId="21406"/>
    <cellStyle name="Hidden 3 3 8" xfId="21407"/>
    <cellStyle name="Hidden 3 3 9" xfId="21408"/>
    <cellStyle name="Hidden 3 4" xfId="21409"/>
    <cellStyle name="Hidden 3 4 2" xfId="21410"/>
    <cellStyle name="Hidden 3 4 2 2" xfId="21411"/>
    <cellStyle name="Hidden 3 4 2 3" xfId="21412"/>
    <cellStyle name="Hidden 3 4 3" xfId="21413"/>
    <cellStyle name="Hidden 3 4 3 2" xfId="21414"/>
    <cellStyle name="Hidden 3 4 4" xfId="21415"/>
    <cellStyle name="Hidden 3 4 5" xfId="21416"/>
    <cellStyle name="Hidden 3 5" xfId="21417"/>
    <cellStyle name="Hidden 3 5 2" xfId="21418"/>
    <cellStyle name="Hidden 3 5 2 2" xfId="21419"/>
    <cellStyle name="Hidden 3 5 3" xfId="21420"/>
    <cellStyle name="Hidden 3 5 4" xfId="21421"/>
    <cellStyle name="Hidden 3 6" xfId="21422"/>
    <cellStyle name="Hidden 3 6 2" xfId="21423"/>
    <cellStyle name="Hidden 3 7" xfId="21424"/>
    <cellStyle name="Hidden 3 8" xfId="21425"/>
    <cellStyle name="Hidden 3 9" xfId="21426"/>
    <cellStyle name="Hidden 4" xfId="21427"/>
    <cellStyle name="Hidden 4 10" xfId="21428"/>
    <cellStyle name="Hidden 4 11" xfId="21429"/>
    <cellStyle name="Hidden 4 12" xfId="21430"/>
    <cellStyle name="Hidden 4 13" xfId="21431"/>
    <cellStyle name="Hidden 4 14" xfId="21432"/>
    <cellStyle name="Hidden 4 15" xfId="21433"/>
    <cellStyle name="Hidden 4 16" xfId="21434"/>
    <cellStyle name="Hidden 4 17" xfId="21435"/>
    <cellStyle name="Hidden 4 18" xfId="21436"/>
    <cellStyle name="Hidden 4 19" xfId="21437"/>
    <cellStyle name="Hidden 4 2" xfId="21438"/>
    <cellStyle name="Hidden 4 2 10" xfId="21439"/>
    <cellStyle name="Hidden 4 2 11" xfId="21440"/>
    <cellStyle name="Hidden 4 2 12" xfId="21441"/>
    <cellStyle name="Hidden 4 2 13" xfId="21442"/>
    <cellStyle name="Hidden 4 2 14" xfId="21443"/>
    <cellStyle name="Hidden 4 2 15" xfId="21444"/>
    <cellStyle name="Hidden 4 2 16" xfId="21445"/>
    <cellStyle name="Hidden 4 2 17" xfId="21446"/>
    <cellStyle name="Hidden 4 2 18" xfId="21447"/>
    <cellStyle name="Hidden 4 2 2" xfId="21448"/>
    <cellStyle name="Hidden 4 2 2 2" xfId="21449"/>
    <cellStyle name="Hidden 4 2 2 2 2" xfId="21450"/>
    <cellStyle name="Hidden 4 2 2 3" xfId="21451"/>
    <cellStyle name="Hidden 4 2 2 4" xfId="21452"/>
    <cellStyle name="Hidden 4 2 3" xfId="21453"/>
    <cellStyle name="Hidden 4 2 3 2" xfId="21454"/>
    <cellStyle name="Hidden 4 2 3 3" xfId="21455"/>
    <cellStyle name="Hidden 4 2 4" xfId="21456"/>
    <cellStyle name="Hidden 4 2 4 2" xfId="21457"/>
    <cellStyle name="Hidden 4 2 5" xfId="21458"/>
    <cellStyle name="Hidden 4 2 6" xfId="21459"/>
    <cellStyle name="Hidden 4 2 7" xfId="21460"/>
    <cellStyle name="Hidden 4 2 8" xfId="21461"/>
    <cellStyle name="Hidden 4 2 9" xfId="21462"/>
    <cellStyle name="Hidden 4 20" xfId="21463"/>
    <cellStyle name="Hidden 4 21" xfId="21464"/>
    <cellStyle name="Hidden 4 3" xfId="21465"/>
    <cellStyle name="Hidden 4 3 10" xfId="21466"/>
    <cellStyle name="Hidden 4 3 11" xfId="21467"/>
    <cellStyle name="Hidden 4 3 12" xfId="21468"/>
    <cellStyle name="Hidden 4 3 13" xfId="21469"/>
    <cellStyle name="Hidden 4 3 14" xfId="21470"/>
    <cellStyle name="Hidden 4 3 15" xfId="21471"/>
    <cellStyle name="Hidden 4 3 16" xfId="21472"/>
    <cellStyle name="Hidden 4 3 17" xfId="21473"/>
    <cellStyle name="Hidden 4 3 18" xfId="21474"/>
    <cellStyle name="Hidden 4 3 2" xfId="21475"/>
    <cellStyle name="Hidden 4 3 2 2" xfId="21476"/>
    <cellStyle name="Hidden 4 3 2 2 2" xfId="21477"/>
    <cellStyle name="Hidden 4 3 2 3" xfId="21478"/>
    <cellStyle name="Hidden 4 3 2 4" xfId="21479"/>
    <cellStyle name="Hidden 4 3 3" xfId="21480"/>
    <cellStyle name="Hidden 4 3 3 2" xfId="21481"/>
    <cellStyle name="Hidden 4 3 3 3" xfId="21482"/>
    <cellStyle name="Hidden 4 3 4" xfId="21483"/>
    <cellStyle name="Hidden 4 3 4 2" xfId="21484"/>
    <cellStyle name="Hidden 4 3 5" xfId="21485"/>
    <cellStyle name="Hidden 4 3 6" xfId="21486"/>
    <cellStyle name="Hidden 4 3 7" xfId="21487"/>
    <cellStyle name="Hidden 4 3 8" xfId="21488"/>
    <cellStyle name="Hidden 4 3 9" xfId="21489"/>
    <cellStyle name="Hidden 4 4" xfId="21490"/>
    <cellStyle name="Hidden 4 4 2" xfId="21491"/>
    <cellStyle name="Hidden 4 4 2 2" xfId="21492"/>
    <cellStyle name="Hidden 4 4 2 3" xfId="21493"/>
    <cellStyle name="Hidden 4 4 3" xfId="21494"/>
    <cellStyle name="Hidden 4 4 3 2" xfId="21495"/>
    <cellStyle name="Hidden 4 4 4" xfId="21496"/>
    <cellStyle name="Hidden 4 4 5" xfId="21497"/>
    <cellStyle name="Hidden 4 5" xfId="21498"/>
    <cellStyle name="Hidden 4 5 2" xfId="21499"/>
    <cellStyle name="Hidden 4 5 2 2" xfId="21500"/>
    <cellStyle name="Hidden 4 5 3" xfId="21501"/>
    <cellStyle name="Hidden 4 5 4" xfId="21502"/>
    <cellStyle name="Hidden 4 6" xfId="21503"/>
    <cellStyle name="Hidden 4 6 2" xfId="21504"/>
    <cellStyle name="Hidden 4 7" xfId="21505"/>
    <cellStyle name="Hidden 4 8" xfId="21506"/>
    <cellStyle name="Hidden 4 9" xfId="21507"/>
    <cellStyle name="Hidden 5" xfId="21508"/>
    <cellStyle name="Hidden 5 10" xfId="21509"/>
    <cellStyle name="Hidden 5 11" xfId="21510"/>
    <cellStyle name="Hidden 5 12" xfId="21511"/>
    <cellStyle name="Hidden 5 13" xfId="21512"/>
    <cellStyle name="Hidden 5 14" xfId="21513"/>
    <cellStyle name="Hidden 5 15" xfId="21514"/>
    <cellStyle name="Hidden 5 16" xfId="21515"/>
    <cellStyle name="Hidden 5 17" xfId="21516"/>
    <cellStyle name="Hidden 5 18" xfId="21517"/>
    <cellStyle name="Hidden 5 19" xfId="21518"/>
    <cellStyle name="Hidden 5 2" xfId="21519"/>
    <cellStyle name="Hidden 5 2 10" xfId="21520"/>
    <cellStyle name="Hidden 5 2 11" xfId="21521"/>
    <cellStyle name="Hidden 5 2 12" xfId="21522"/>
    <cellStyle name="Hidden 5 2 13" xfId="21523"/>
    <cellStyle name="Hidden 5 2 14" xfId="21524"/>
    <cellStyle name="Hidden 5 2 15" xfId="21525"/>
    <cellStyle name="Hidden 5 2 16" xfId="21526"/>
    <cellStyle name="Hidden 5 2 17" xfId="21527"/>
    <cellStyle name="Hidden 5 2 18" xfId="21528"/>
    <cellStyle name="Hidden 5 2 2" xfId="21529"/>
    <cellStyle name="Hidden 5 2 2 2" xfId="21530"/>
    <cellStyle name="Hidden 5 2 2 2 2" xfId="21531"/>
    <cellStyle name="Hidden 5 2 2 3" xfId="21532"/>
    <cellStyle name="Hidden 5 2 2 4" xfId="21533"/>
    <cellStyle name="Hidden 5 2 3" xfId="21534"/>
    <cellStyle name="Hidden 5 2 3 2" xfId="21535"/>
    <cellStyle name="Hidden 5 2 3 3" xfId="21536"/>
    <cellStyle name="Hidden 5 2 4" xfId="21537"/>
    <cellStyle name="Hidden 5 2 4 2" xfId="21538"/>
    <cellStyle name="Hidden 5 2 5" xfId="21539"/>
    <cellStyle name="Hidden 5 2 6" xfId="21540"/>
    <cellStyle name="Hidden 5 2 7" xfId="21541"/>
    <cellStyle name="Hidden 5 2 8" xfId="21542"/>
    <cellStyle name="Hidden 5 2 9" xfId="21543"/>
    <cellStyle name="Hidden 5 3" xfId="21544"/>
    <cellStyle name="Hidden 5 3 10" xfId="21545"/>
    <cellStyle name="Hidden 5 3 11" xfId="21546"/>
    <cellStyle name="Hidden 5 3 12" xfId="21547"/>
    <cellStyle name="Hidden 5 3 13" xfId="21548"/>
    <cellStyle name="Hidden 5 3 14" xfId="21549"/>
    <cellStyle name="Hidden 5 3 15" xfId="21550"/>
    <cellStyle name="Hidden 5 3 16" xfId="21551"/>
    <cellStyle name="Hidden 5 3 17" xfId="21552"/>
    <cellStyle name="Hidden 5 3 18" xfId="21553"/>
    <cellStyle name="Hidden 5 3 2" xfId="21554"/>
    <cellStyle name="Hidden 5 3 2 2" xfId="21555"/>
    <cellStyle name="Hidden 5 3 2 2 2" xfId="21556"/>
    <cellStyle name="Hidden 5 3 2 3" xfId="21557"/>
    <cellStyle name="Hidden 5 3 2 4" xfId="21558"/>
    <cellStyle name="Hidden 5 3 3" xfId="21559"/>
    <cellStyle name="Hidden 5 3 3 2" xfId="21560"/>
    <cellStyle name="Hidden 5 3 3 3" xfId="21561"/>
    <cellStyle name="Hidden 5 3 4" xfId="21562"/>
    <cellStyle name="Hidden 5 3 4 2" xfId="21563"/>
    <cellStyle name="Hidden 5 3 5" xfId="21564"/>
    <cellStyle name="Hidden 5 3 6" xfId="21565"/>
    <cellStyle name="Hidden 5 3 7" xfId="21566"/>
    <cellStyle name="Hidden 5 3 8" xfId="21567"/>
    <cellStyle name="Hidden 5 3 9" xfId="21568"/>
    <cellStyle name="Hidden 5 4" xfId="21569"/>
    <cellStyle name="Hidden 5 4 2" xfId="21570"/>
    <cellStyle name="Hidden 5 4 2 2" xfId="21571"/>
    <cellStyle name="Hidden 5 4 2 3" xfId="21572"/>
    <cellStyle name="Hidden 5 4 3" xfId="21573"/>
    <cellStyle name="Hidden 5 4 3 2" xfId="21574"/>
    <cellStyle name="Hidden 5 4 4" xfId="21575"/>
    <cellStyle name="Hidden 5 4 5" xfId="21576"/>
    <cellStyle name="Hidden 5 5" xfId="21577"/>
    <cellStyle name="Hidden 5 5 2" xfId="21578"/>
    <cellStyle name="Hidden 5 5 2 2" xfId="21579"/>
    <cellStyle name="Hidden 5 5 3" xfId="21580"/>
    <cellStyle name="Hidden 5 5 4" xfId="21581"/>
    <cellStyle name="Hidden 5 6" xfId="21582"/>
    <cellStyle name="Hidden 5 6 2" xfId="21583"/>
    <cellStyle name="Hidden 5 7" xfId="21584"/>
    <cellStyle name="Hidden 5 8" xfId="21585"/>
    <cellStyle name="Hidden 5 9" xfId="21586"/>
    <cellStyle name="Hidden 6" xfId="21587"/>
    <cellStyle name="Hidden 6 10" xfId="21588"/>
    <cellStyle name="Hidden 6 11" xfId="21589"/>
    <cellStyle name="Hidden 6 12" xfId="21590"/>
    <cellStyle name="Hidden 6 13" xfId="21591"/>
    <cellStyle name="Hidden 6 14" xfId="21592"/>
    <cellStyle name="Hidden 6 15" xfId="21593"/>
    <cellStyle name="Hidden 6 16" xfId="21594"/>
    <cellStyle name="Hidden 6 17" xfId="21595"/>
    <cellStyle name="Hidden 6 18" xfId="21596"/>
    <cellStyle name="Hidden 6 19" xfId="21597"/>
    <cellStyle name="Hidden 6 2" xfId="21598"/>
    <cellStyle name="Hidden 6 2 10" xfId="21599"/>
    <cellStyle name="Hidden 6 2 11" xfId="21600"/>
    <cellStyle name="Hidden 6 2 12" xfId="21601"/>
    <cellStyle name="Hidden 6 2 13" xfId="21602"/>
    <cellStyle name="Hidden 6 2 14" xfId="21603"/>
    <cellStyle name="Hidden 6 2 15" xfId="21604"/>
    <cellStyle name="Hidden 6 2 16" xfId="21605"/>
    <cellStyle name="Hidden 6 2 17" xfId="21606"/>
    <cellStyle name="Hidden 6 2 18" xfId="21607"/>
    <cellStyle name="Hidden 6 2 2" xfId="21608"/>
    <cellStyle name="Hidden 6 2 2 2" xfId="21609"/>
    <cellStyle name="Hidden 6 2 2 2 2" xfId="21610"/>
    <cellStyle name="Hidden 6 2 2 3" xfId="21611"/>
    <cellStyle name="Hidden 6 2 2 4" xfId="21612"/>
    <cellStyle name="Hidden 6 2 3" xfId="21613"/>
    <cellStyle name="Hidden 6 2 3 2" xfId="21614"/>
    <cellStyle name="Hidden 6 2 3 3" xfId="21615"/>
    <cellStyle name="Hidden 6 2 4" xfId="21616"/>
    <cellStyle name="Hidden 6 2 4 2" xfId="21617"/>
    <cellStyle name="Hidden 6 2 5" xfId="21618"/>
    <cellStyle name="Hidden 6 2 6" xfId="21619"/>
    <cellStyle name="Hidden 6 2 7" xfId="21620"/>
    <cellStyle name="Hidden 6 2 8" xfId="21621"/>
    <cellStyle name="Hidden 6 2 9" xfId="21622"/>
    <cellStyle name="Hidden 6 20" xfId="21623"/>
    <cellStyle name="Hidden 6 3" xfId="21624"/>
    <cellStyle name="Hidden 6 3 10" xfId="21625"/>
    <cellStyle name="Hidden 6 3 11" xfId="21626"/>
    <cellStyle name="Hidden 6 3 12" xfId="21627"/>
    <cellStyle name="Hidden 6 3 13" xfId="21628"/>
    <cellStyle name="Hidden 6 3 14" xfId="21629"/>
    <cellStyle name="Hidden 6 3 15" xfId="21630"/>
    <cellStyle name="Hidden 6 3 16" xfId="21631"/>
    <cellStyle name="Hidden 6 3 17" xfId="21632"/>
    <cellStyle name="Hidden 6 3 18" xfId="21633"/>
    <cellStyle name="Hidden 6 3 2" xfId="21634"/>
    <cellStyle name="Hidden 6 3 2 2" xfId="21635"/>
    <cellStyle name="Hidden 6 3 2 2 2" xfId="21636"/>
    <cellStyle name="Hidden 6 3 2 3" xfId="21637"/>
    <cellStyle name="Hidden 6 3 2 4" xfId="21638"/>
    <cellStyle name="Hidden 6 3 3" xfId="21639"/>
    <cellStyle name="Hidden 6 3 3 2" xfId="21640"/>
    <cellStyle name="Hidden 6 3 3 3" xfId="21641"/>
    <cellStyle name="Hidden 6 3 4" xfId="21642"/>
    <cellStyle name="Hidden 6 3 4 2" xfId="21643"/>
    <cellStyle name="Hidden 6 3 5" xfId="21644"/>
    <cellStyle name="Hidden 6 3 6" xfId="21645"/>
    <cellStyle name="Hidden 6 3 7" xfId="21646"/>
    <cellStyle name="Hidden 6 3 8" xfId="21647"/>
    <cellStyle name="Hidden 6 3 9" xfId="21648"/>
    <cellStyle name="Hidden 6 4" xfId="21649"/>
    <cellStyle name="Hidden 6 4 2" xfId="21650"/>
    <cellStyle name="Hidden 6 4 2 2" xfId="21651"/>
    <cellStyle name="Hidden 6 4 2 3" xfId="21652"/>
    <cellStyle name="Hidden 6 4 3" xfId="21653"/>
    <cellStyle name="Hidden 6 4 3 2" xfId="21654"/>
    <cellStyle name="Hidden 6 4 4" xfId="21655"/>
    <cellStyle name="Hidden 6 4 5" xfId="21656"/>
    <cellStyle name="Hidden 6 5" xfId="21657"/>
    <cellStyle name="Hidden 6 5 2" xfId="21658"/>
    <cellStyle name="Hidden 6 5 2 2" xfId="21659"/>
    <cellStyle name="Hidden 6 5 3" xfId="21660"/>
    <cellStyle name="Hidden 6 5 4" xfId="21661"/>
    <cellStyle name="Hidden 6 6" xfId="21662"/>
    <cellStyle name="Hidden 6 6 2" xfId="21663"/>
    <cellStyle name="Hidden 6 7" xfId="21664"/>
    <cellStyle name="Hidden 6 8" xfId="21665"/>
    <cellStyle name="Hidden 6 9" xfId="21666"/>
    <cellStyle name="Hidden 7" xfId="21667"/>
    <cellStyle name="Hidden 7 10" xfId="21668"/>
    <cellStyle name="Hidden 7 11" xfId="21669"/>
    <cellStyle name="Hidden 7 12" xfId="21670"/>
    <cellStyle name="Hidden 7 13" xfId="21671"/>
    <cellStyle name="Hidden 7 14" xfId="21672"/>
    <cellStyle name="Hidden 7 15" xfId="21673"/>
    <cellStyle name="Hidden 7 16" xfId="21674"/>
    <cellStyle name="Hidden 7 17" xfId="21675"/>
    <cellStyle name="Hidden 7 2" xfId="21676"/>
    <cellStyle name="Hidden 7 2 2" xfId="21677"/>
    <cellStyle name="Hidden 7 2 2 2" xfId="21678"/>
    <cellStyle name="Hidden 7 2 3" xfId="21679"/>
    <cellStyle name="Hidden 7 2 4" xfId="21680"/>
    <cellStyle name="Hidden 7 3" xfId="21681"/>
    <cellStyle name="Hidden 7 3 2" xfId="21682"/>
    <cellStyle name="Hidden 7 4" xfId="21683"/>
    <cellStyle name="Hidden 7 5" xfId="21684"/>
    <cellStyle name="Hidden 7 6" xfId="21685"/>
    <cellStyle name="Hidden 7 7" xfId="21686"/>
    <cellStyle name="Hidden 7 8" xfId="21687"/>
    <cellStyle name="Hidden 7 9" xfId="21688"/>
    <cellStyle name="Hidden 8" xfId="21689"/>
    <cellStyle name="Hidden 8 2" xfId="21690"/>
    <cellStyle name="Hidden 8 2 2" xfId="21691"/>
    <cellStyle name="Hidden 8 2 2 2" xfId="21692"/>
    <cellStyle name="Hidden 8 2 3" xfId="21693"/>
    <cellStyle name="Hidden 8 2 4" xfId="21694"/>
    <cellStyle name="Hidden 8 3" xfId="21695"/>
    <cellStyle name="Hidden 8 3 2" xfId="21696"/>
    <cellStyle name="Hidden 8 3 3" xfId="21697"/>
    <cellStyle name="Hidden 8 4" xfId="21698"/>
    <cellStyle name="Hidden 8 4 2" xfId="21699"/>
    <cellStyle name="Hidden 8 5" xfId="21700"/>
    <cellStyle name="Hidden 8 6" xfId="21701"/>
    <cellStyle name="Hidden 9" xfId="21702"/>
    <cellStyle name="Hidden 9 2" xfId="21703"/>
    <cellStyle name="Hidden 9 2 2" xfId="21704"/>
    <cellStyle name="Hidden 9 3" xfId="21705"/>
    <cellStyle name="Hidden 9 4" xfId="21706"/>
    <cellStyle name="Highlight" xfId="21707"/>
    <cellStyle name="Horizontal" xfId="21708"/>
    <cellStyle name="Horizontal 2" xfId="21709"/>
    <cellStyle name="Horizontal 2 2" xfId="21710"/>
    <cellStyle name="Horizontal 3" xfId="21711"/>
    <cellStyle name="Horizontal 3 2" xfId="21712"/>
    <cellStyle name="Horizontal 4" xfId="21713"/>
    <cellStyle name="Horizontal 4 2" xfId="21714"/>
    <cellStyle name="Horizontal 5" xfId="21715"/>
    <cellStyle name="HUF" xfId="21716"/>
    <cellStyle name="í â› [0.00]_Sheet1" xfId="21717"/>
    <cellStyle name="Iau?iue_?anoiau" xfId="21718"/>
    <cellStyle name="Îáû÷íûé_KPIPRODTEMP-äîáû÷à" xfId="21719"/>
    <cellStyle name="Index" xfId="21720"/>
    <cellStyle name="Input" xfId="21721"/>
    <cellStyle name="Input [yellow]" xfId="21722"/>
    <cellStyle name="Input [yellow] 10" xfId="21723"/>
    <cellStyle name="Input [yellow] 11" xfId="21724"/>
    <cellStyle name="Input [yellow] 12" xfId="21725"/>
    <cellStyle name="Input [yellow] 13" xfId="21726"/>
    <cellStyle name="Input [yellow] 14" xfId="21727"/>
    <cellStyle name="Input [yellow] 15" xfId="21728"/>
    <cellStyle name="Input [yellow] 16" xfId="21729"/>
    <cellStyle name="Input [yellow] 17" xfId="21730"/>
    <cellStyle name="Input [yellow] 18" xfId="21731"/>
    <cellStyle name="Input [yellow] 19" xfId="21732"/>
    <cellStyle name="Input [yellow] 2" xfId="21733"/>
    <cellStyle name="Input [yellow] 2 10" xfId="21734"/>
    <cellStyle name="Input [yellow] 2 11" xfId="21735"/>
    <cellStyle name="Input [yellow] 2 12" xfId="21736"/>
    <cellStyle name="Input [yellow] 2 13" xfId="21737"/>
    <cellStyle name="Input [yellow] 2 14" xfId="21738"/>
    <cellStyle name="Input [yellow] 2 15" xfId="21739"/>
    <cellStyle name="Input [yellow] 2 16" xfId="21740"/>
    <cellStyle name="Input [yellow] 2 17" xfId="21741"/>
    <cellStyle name="Input [yellow] 2 18" xfId="21742"/>
    <cellStyle name="Input [yellow] 2 19" xfId="21743"/>
    <cellStyle name="Input [yellow] 2 2" xfId="21744"/>
    <cellStyle name="Input [yellow] 2 2 10" xfId="21745"/>
    <cellStyle name="Input [yellow] 2 2 11" xfId="21746"/>
    <cellStyle name="Input [yellow] 2 2 12" xfId="21747"/>
    <cellStyle name="Input [yellow] 2 2 13" xfId="21748"/>
    <cellStyle name="Input [yellow] 2 2 14" xfId="21749"/>
    <cellStyle name="Input [yellow] 2 2 15" xfId="21750"/>
    <cellStyle name="Input [yellow] 2 2 16" xfId="21751"/>
    <cellStyle name="Input [yellow] 2 2 17" xfId="21752"/>
    <cellStyle name="Input [yellow] 2 2 18" xfId="21753"/>
    <cellStyle name="Input [yellow] 2 2 2" xfId="21754"/>
    <cellStyle name="Input [yellow] 2 2 2 2" xfId="21755"/>
    <cellStyle name="Input [yellow] 2 2 2 2 2" xfId="21756"/>
    <cellStyle name="Input [yellow] 2 2 2 3" xfId="21757"/>
    <cellStyle name="Input [yellow] 2 2 2 4" xfId="21758"/>
    <cellStyle name="Input [yellow] 2 2 3" xfId="21759"/>
    <cellStyle name="Input [yellow] 2 2 3 2" xfId="21760"/>
    <cellStyle name="Input [yellow] 2 2 3 3" xfId="21761"/>
    <cellStyle name="Input [yellow] 2 2 4" xfId="21762"/>
    <cellStyle name="Input [yellow] 2 2 4 2" xfId="21763"/>
    <cellStyle name="Input [yellow] 2 2 5" xfId="21764"/>
    <cellStyle name="Input [yellow] 2 2 6" xfId="21765"/>
    <cellStyle name="Input [yellow] 2 2 7" xfId="21766"/>
    <cellStyle name="Input [yellow] 2 2 8" xfId="21767"/>
    <cellStyle name="Input [yellow] 2 2 9" xfId="21768"/>
    <cellStyle name="Input [yellow] 2 20" xfId="21769"/>
    <cellStyle name="Input [yellow] 2 3" xfId="21770"/>
    <cellStyle name="Input [yellow] 2 3 10" xfId="21771"/>
    <cellStyle name="Input [yellow] 2 3 11" xfId="21772"/>
    <cellStyle name="Input [yellow] 2 3 12" xfId="21773"/>
    <cellStyle name="Input [yellow] 2 3 13" xfId="21774"/>
    <cellStyle name="Input [yellow] 2 3 14" xfId="21775"/>
    <cellStyle name="Input [yellow] 2 3 15" xfId="21776"/>
    <cellStyle name="Input [yellow] 2 3 16" xfId="21777"/>
    <cellStyle name="Input [yellow] 2 3 17" xfId="21778"/>
    <cellStyle name="Input [yellow] 2 3 18" xfId="21779"/>
    <cellStyle name="Input [yellow] 2 3 2" xfId="21780"/>
    <cellStyle name="Input [yellow] 2 3 2 2" xfId="21781"/>
    <cellStyle name="Input [yellow] 2 3 2 2 2" xfId="21782"/>
    <cellStyle name="Input [yellow] 2 3 2 3" xfId="21783"/>
    <cellStyle name="Input [yellow] 2 3 2 4" xfId="21784"/>
    <cellStyle name="Input [yellow] 2 3 3" xfId="21785"/>
    <cellStyle name="Input [yellow] 2 3 3 2" xfId="21786"/>
    <cellStyle name="Input [yellow] 2 3 3 3" xfId="21787"/>
    <cellStyle name="Input [yellow] 2 3 4" xfId="21788"/>
    <cellStyle name="Input [yellow] 2 3 4 2" xfId="21789"/>
    <cellStyle name="Input [yellow] 2 3 5" xfId="21790"/>
    <cellStyle name="Input [yellow] 2 3 6" xfId="21791"/>
    <cellStyle name="Input [yellow] 2 3 7" xfId="21792"/>
    <cellStyle name="Input [yellow] 2 3 8" xfId="21793"/>
    <cellStyle name="Input [yellow] 2 3 9" xfId="21794"/>
    <cellStyle name="Input [yellow] 2 4" xfId="21795"/>
    <cellStyle name="Input [yellow] 2 4 2" xfId="21796"/>
    <cellStyle name="Input [yellow] 2 4 2 2" xfId="21797"/>
    <cellStyle name="Input [yellow] 2 4 2 3" xfId="21798"/>
    <cellStyle name="Input [yellow] 2 4 3" xfId="21799"/>
    <cellStyle name="Input [yellow] 2 4 3 2" xfId="21800"/>
    <cellStyle name="Input [yellow] 2 4 4" xfId="21801"/>
    <cellStyle name="Input [yellow] 2 4 5" xfId="21802"/>
    <cellStyle name="Input [yellow] 2 5" xfId="21803"/>
    <cellStyle name="Input [yellow] 2 5 2" xfId="21804"/>
    <cellStyle name="Input [yellow] 2 5 2 2" xfId="21805"/>
    <cellStyle name="Input [yellow] 2 5 3" xfId="21806"/>
    <cellStyle name="Input [yellow] 2 5 4" xfId="21807"/>
    <cellStyle name="Input [yellow] 2 6" xfId="21808"/>
    <cellStyle name="Input [yellow] 2 6 2" xfId="21809"/>
    <cellStyle name="Input [yellow] 2 7" xfId="21810"/>
    <cellStyle name="Input [yellow] 2 8" xfId="21811"/>
    <cellStyle name="Input [yellow] 2 9" xfId="21812"/>
    <cellStyle name="Input [yellow] 20" xfId="21813"/>
    <cellStyle name="Input [yellow] 21" xfId="21814"/>
    <cellStyle name="Input [yellow] 22" xfId="21815"/>
    <cellStyle name="Input [yellow] 23" xfId="21816"/>
    <cellStyle name="Input [yellow] 24" xfId="21817"/>
    <cellStyle name="Input [yellow] 3" xfId="21818"/>
    <cellStyle name="Input [yellow] 3 10" xfId="21819"/>
    <cellStyle name="Input [yellow] 3 11" xfId="21820"/>
    <cellStyle name="Input [yellow] 3 12" xfId="21821"/>
    <cellStyle name="Input [yellow] 3 13" xfId="21822"/>
    <cellStyle name="Input [yellow] 3 14" xfId="21823"/>
    <cellStyle name="Input [yellow] 3 15" xfId="21824"/>
    <cellStyle name="Input [yellow] 3 16" xfId="21825"/>
    <cellStyle name="Input [yellow] 3 17" xfId="21826"/>
    <cellStyle name="Input [yellow] 3 18" xfId="21827"/>
    <cellStyle name="Input [yellow] 3 19" xfId="21828"/>
    <cellStyle name="Input [yellow] 3 2" xfId="21829"/>
    <cellStyle name="Input [yellow] 3 2 10" xfId="21830"/>
    <cellStyle name="Input [yellow] 3 2 11" xfId="21831"/>
    <cellStyle name="Input [yellow] 3 2 12" xfId="21832"/>
    <cellStyle name="Input [yellow] 3 2 13" xfId="21833"/>
    <cellStyle name="Input [yellow] 3 2 14" xfId="21834"/>
    <cellStyle name="Input [yellow] 3 2 15" xfId="21835"/>
    <cellStyle name="Input [yellow] 3 2 16" xfId="21836"/>
    <cellStyle name="Input [yellow] 3 2 17" xfId="21837"/>
    <cellStyle name="Input [yellow] 3 2 18" xfId="21838"/>
    <cellStyle name="Input [yellow] 3 2 2" xfId="21839"/>
    <cellStyle name="Input [yellow] 3 2 2 2" xfId="21840"/>
    <cellStyle name="Input [yellow] 3 2 2 2 2" xfId="21841"/>
    <cellStyle name="Input [yellow] 3 2 2 3" xfId="21842"/>
    <cellStyle name="Input [yellow] 3 2 2 4" xfId="21843"/>
    <cellStyle name="Input [yellow] 3 2 3" xfId="21844"/>
    <cellStyle name="Input [yellow] 3 2 3 2" xfId="21845"/>
    <cellStyle name="Input [yellow] 3 2 3 3" xfId="21846"/>
    <cellStyle name="Input [yellow] 3 2 4" xfId="21847"/>
    <cellStyle name="Input [yellow] 3 2 4 2" xfId="21848"/>
    <cellStyle name="Input [yellow] 3 2 5" xfId="21849"/>
    <cellStyle name="Input [yellow] 3 2 6" xfId="21850"/>
    <cellStyle name="Input [yellow] 3 2 7" xfId="21851"/>
    <cellStyle name="Input [yellow] 3 2 8" xfId="21852"/>
    <cellStyle name="Input [yellow] 3 2 9" xfId="21853"/>
    <cellStyle name="Input [yellow] 3 20" xfId="21854"/>
    <cellStyle name="Input [yellow] 3 21" xfId="21855"/>
    <cellStyle name="Input [yellow] 3 3" xfId="21856"/>
    <cellStyle name="Input [yellow] 3 3 10" xfId="21857"/>
    <cellStyle name="Input [yellow] 3 3 11" xfId="21858"/>
    <cellStyle name="Input [yellow] 3 3 12" xfId="21859"/>
    <cellStyle name="Input [yellow] 3 3 13" xfId="21860"/>
    <cellStyle name="Input [yellow] 3 3 14" xfId="21861"/>
    <cellStyle name="Input [yellow] 3 3 15" xfId="21862"/>
    <cellStyle name="Input [yellow] 3 3 16" xfId="21863"/>
    <cellStyle name="Input [yellow] 3 3 17" xfId="21864"/>
    <cellStyle name="Input [yellow] 3 3 18" xfId="21865"/>
    <cellStyle name="Input [yellow] 3 3 2" xfId="21866"/>
    <cellStyle name="Input [yellow] 3 3 2 2" xfId="21867"/>
    <cellStyle name="Input [yellow] 3 3 2 2 2" xfId="21868"/>
    <cellStyle name="Input [yellow] 3 3 2 3" xfId="21869"/>
    <cellStyle name="Input [yellow] 3 3 2 4" xfId="21870"/>
    <cellStyle name="Input [yellow] 3 3 3" xfId="21871"/>
    <cellStyle name="Input [yellow] 3 3 3 2" xfId="21872"/>
    <cellStyle name="Input [yellow] 3 3 3 3" xfId="21873"/>
    <cellStyle name="Input [yellow] 3 3 4" xfId="21874"/>
    <cellStyle name="Input [yellow] 3 3 4 2" xfId="21875"/>
    <cellStyle name="Input [yellow] 3 3 5" xfId="21876"/>
    <cellStyle name="Input [yellow] 3 3 6" xfId="21877"/>
    <cellStyle name="Input [yellow] 3 3 7" xfId="21878"/>
    <cellStyle name="Input [yellow] 3 3 8" xfId="21879"/>
    <cellStyle name="Input [yellow] 3 3 9" xfId="21880"/>
    <cellStyle name="Input [yellow] 3 4" xfId="21881"/>
    <cellStyle name="Input [yellow] 3 4 2" xfId="21882"/>
    <cellStyle name="Input [yellow] 3 4 2 2" xfId="21883"/>
    <cellStyle name="Input [yellow] 3 4 2 3" xfId="21884"/>
    <cellStyle name="Input [yellow] 3 4 3" xfId="21885"/>
    <cellStyle name="Input [yellow] 3 4 3 2" xfId="21886"/>
    <cellStyle name="Input [yellow] 3 4 4" xfId="21887"/>
    <cellStyle name="Input [yellow] 3 4 5" xfId="21888"/>
    <cellStyle name="Input [yellow] 3 5" xfId="21889"/>
    <cellStyle name="Input [yellow] 3 5 2" xfId="21890"/>
    <cellStyle name="Input [yellow] 3 5 2 2" xfId="21891"/>
    <cellStyle name="Input [yellow] 3 5 3" xfId="21892"/>
    <cellStyle name="Input [yellow] 3 5 4" xfId="21893"/>
    <cellStyle name="Input [yellow] 3 6" xfId="21894"/>
    <cellStyle name="Input [yellow] 3 6 2" xfId="21895"/>
    <cellStyle name="Input [yellow] 3 7" xfId="21896"/>
    <cellStyle name="Input [yellow] 3 8" xfId="21897"/>
    <cellStyle name="Input [yellow] 3 9" xfId="21898"/>
    <cellStyle name="Input [yellow] 4" xfId="21899"/>
    <cellStyle name="Input [yellow] 4 10" xfId="21900"/>
    <cellStyle name="Input [yellow] 4 11" xfId="21901"/>
    <cellStyle name="Input [yellow] 4 12" xfId="21902"/>
    <cellStyle name="Input [yellow] 4 13" xfId="21903"/>
    <cellStyle name="Input [yellow] 4 14" xfId="21904"/>
    <cellStyle name="Input [yellow] 4 15" xfId="21905"/>
    <cellStyle name="Input [yellow] 4 16" xfId="21906"/>
    <cellStyle name="Input [yellow] 4 17" xfId="21907"/>
    <cellStyle name="Input [yellow] 4 18" xfId="21908"/>
    <cellStyle name="Input [yellow] 4 19" xfId="21909"/>
    <cellStyle name="Input [yellow] 4 2" xfId="21910"/>
    <cellStyle name="Input [yellow] 4 2 10" xfId="21911"/>
    <cellStyle name="Input [yellow] 4 2 11" xfId="21912"/>
    <cellStyle name="Input [yellow] 4 2 12" xfId="21913"/>
    <cellStyle name="Input [yellow] 4 2 13" xfId="21914"/>
    <cellStyle name="Input [yellow] 4 2 14" xfId="21915"/>
    <cellStyle name="Input [yellow] 4 2 15" xfId="21916"/>
    <cellStyle name="Input [yellow] 4 2 16" xfId="21917"/>
    <cellStyle name="Input [yellow] 4 2 17" xfId="21918"/>
    <cellStyle name="Input [yellow] 4 2 18" xfId="21919"/>
    <cellStyle name="Input [yellow] 4 2 2" xfId="21920"/>
    <cellStyle name="Input [yellow] 4 2 2 2" xfId="21921"/>
    <cellStyle name="Input [yellow] 4 2 2 2 2" xfId="21922"/>
    <cellStyle name="Input [yellow] 4 2 2 3" xfId="21923"/>
    <cellStyle name="Input [yellow] 4 2 2 4" xfId="21924"/>
    <cellStyle name="Input [yellow] 4 2 3" xfId="21925"/>
    <cellStyle name="Input [yellow] 4 2 3 2" xfId="21926"/>
    <cellStyle name="Input [yellow] 4 2 3 3" xfId="21927"/>
    <cellStyle name="Input [yellow] 4 2 4" xfId="21928"/>
    <cellStyle name="Input [yellow] 4 2 4 2" xfId="21929"/>
    <cellStyle name="Input [yellow] 4 2 5" xfId="21930"/>
    <cellStyle name="Input [yellow] 4 2 6" xfId="21931"/>
    <cellStyle name="Input [yellow] 4 2 7" xfId="21932"/>
    <cellStyle name="Input [yellow] 4 2 8" xfId="21933"/>
    <cellStyle name="Input [yellow] 4 2 9" xfId="21934"/>
    <cellStyle name="Input [yellow] 4 20" xfId="21935"/>
    <cellStyle name="Input [yellow] 4 21" xfId="21936"/>
    <cellStyle name="Input [yellow] 4 3" xfId="21937"/>
    <cellStyle name="Input [yellow] 4 3 10" xfId="21938"/>
    <cellStyle name="Input [yellow] 4 3 11" xfId="21939"/>
    <cellStyle name="Input [yellow] 4 3 12" xfId="21940"/>
    <cellStyle name="Input [yellow] 4 3 13" xfId="21941"/>
    <cellStyle name="Input [yellow] 4 3 14" xfId="21942"/>
    <cellStyle name="Input [yellow] 4 3 15" xfId="21943"/>
    <cellStyle name="Input [yellow] 4 3 16" xfId="21944"/>
    <cellStyle name="Input [yellow] 4 3 17" xfId="21945"/>
    <cellStyle name="Input [yellow] 4 3 18" xfId="21946"/>
    <cellStyle name="Input [yellow] 4 3 2" xfId="21947"/>
    <cellStyle name="Input [yellow] 4 3 2 2" xfId="21948"/>
    <cellStyle name="Input [yellow] 4 3 2 2 2" xfId="21949"/>
    <cellStyle name="Input [yellow] 4 3 2 3" xfId="21950"/>
    <cellStyle name="Input [yellow] 4 3 2 4" xfId="21951"/>
    <cellStyle name="Input [yellow] 4 3 3" xfId="21952"/>
    <cellStyle name="Input [yellow] 4 3 3 2" xfId="21953"/>
    <cellStyle name="Input [yellow] 4 3 3 3" xfId="21954"/>
    <cellStyle name="Input [yellow] 4 3 4" xfId="21955"/>
    <cellStyle name="Input [yellow] 4 3 4 2" xfId="21956"/>
    <cellStyle name="Input [yellow] 4 3 5" xfId="21957"/>
    <cellStyle name="Input [yellow] 4 3 6" xfId="21958"/>
    <cellStyle name="Input [yellow] 4 3 7" xfId="21959"/>
    <cellStyle name="Input [yellow] 4 3 8" xfId="21960"/>
    <cellStyle name="Input [yellow] 4 3 9" xfId="21961"/>
    <cellStyle name="Input [yellow] 4 4" xfId="21962"/>
    <cellStyle name="Input [yellow] 4 4 2" xfId="21963"/>
    <cellStyle name="Input [yellow] 4 4 2 2" xfId="21964"/>
    <cellStyle name="Input [yellow] 4 4 2 3" xfId="21965"/>
    <cellStyle name="Input [yellow] 4 4 3" xfId="21966"/>
    <cellStyle name="Input [yellow] 4 4 3 2" xfId="21967"/>
    <cellStyle name="Input [yellow] 4 4 4" xfId="21968"/>
    <cellStyle name="Input [yellow] 4 4 5" xfId="21969"/>
    <cellStyle name="Input [yellow] 4 5" xfId="21970"/>
    <cellStyle name="Input [yellow] 4 5 2" xfId="21971"/>
    <cellStyle name="Input [yellow] 4 5 2 2" xfId="21972"/>
    <cellStyle name="Input [yellow] 4 5 3" xfId="21973"/>
    <cellStyle name="Input [yellow] 4 5 4" xfId="21974"/>
    <cellStyle name="Input [yellow] 4 6" xfId="21975"/>
    <cellStyle name="Input [yellow] 4 6 2" xfId="21976"/>
    <cellStyle name="Input [yellow] 4 7" xfId="21977"/>
    <cellStyle name="Input [yellow] 4 8" xfId="21978"/>
    <cellStyle name="Input [yellow] 4 9" xfId="21979"/>
    <cellStyle name="Input [yellow] 5" xfId="21980"/>
    <cellStyle name="Input [yellow] 5 10" xfId="21981"/>
    <cellStyle name="Input [yellow] 5 11" xfId="21982"/>
    <cellStyle name="Input [yellow] 5 12" xfId="21983"/>
    <cellStyle name="Input [yellow] 5 13" xfId="21984"/>
    <cellStyle name="Input [yellow] 5 14" xfId="21985"/>
    <cellStyle name="Input [yellow] 5 15" xfId="21986"/>
    <cellStyle name="Input [yellow] 5 16" xfId="21987"/>
    <cellStyle name="Input [yellow] 5 17" xfId="21988"/>
    <cellStyle name="Input [yellow] 5 18" xfId="21989"/>
    <cellStyle name="Input [yellow] 5 19" xfId="21990"/>
    <cellStyle name="Input [yellow] 5 2" xfId="21991"/>
    <cellStyle name="Input [yellow] 5 2 10" xfId="21992"/>
    <cellStyle name="Input [yellow] 5 2 11" xfId="21993"/>
    <cellStyle name="Input [yellow] 5 2 12" xfId="21994"/>
    <cellStyle name="Input [yellow] 5 2 13" xfId="21995"/>
    <cellStyle name="Input [yellow] 5 2 14" xfId="21996"/>
    <cellStyle name="Input [yellow] 5 2 15" xfId="21997"/>
    <cellStyle name="Input [yellow] 5 2 16" xfId="21998"/>
    <cellStyle name="Input [yellow] 5 2 17" xfId="21999"/>
    <cellStyle name="Input [yellow] 5 2 18" xfId="22000"/>
    <cellStyle name="Input [yellow] 5 2 2" xfId="22001"/>
    <cellStyle name="Input [yellow] 5 2 2 2" xfId="22002"/>
    <cellStyle name="Input [yellow] 5 2 2 2 2" xfId="22003"/>
    <cellStyle name="Input [yellow] 5 2 2 3" xfId="22004"/>
    <cellStyle name="Input [yellow] 5 2 2 4" xfId="22005"/>
    <cellStyle name="Input [yellow] 5 2 3" xfId="22006"/>
    <cellStyle name="Input [yellow] 5 2 3 2" xfId="22007"/>
    <cellStyle name="Input [yellow] 5 2 3 3" xfId="22008"/>
    <cellStyle name="Input [yellow] 5 2 4" xfId="22009"/>
    <cellStyle name="Input [yellow] 5 2 4 2" xfId="22010"/>
    <cellStyle name="Input [yellow] 5 2 5" xfId="22011"/>
    <cellStyle name="Input [yellow] 5 2 6" xfId="22012"/>
    <cellStyle name="Input [yellow] 5 2 7" xfId="22013"/>
    <cellStyle name="Input [yellow] 5 2 8" xfId="22014"/>
    <cellStyle name="Input [yellow] 5 2 9" xfId="22015"/>
    <cellStyle name="Input [yellow] 5 3" xfId="22016"/>
    <cellStyle name="Input [yellow] 5 3 10" xfId="22017"/>
    <cellStyle name="Input [yellow] 5 3 11" xfId="22018"/>
    <cellStyle name="Input [yellow] 5 3 12" xfId="22019"/>
    <cellStyle name="Input [yellow] 5 3 13" xfId="22020"/>
    <cellStyle name="Input [yellow] 5 3 14" xfId="22021"/>
    <cellStyle name="Input [yellow] 5 3 15" xfId="22022"/>
    <cellStyle name="Input [yellow] 5 3 16" xfId="22023"/>
    <cellStyle name="Input [yellow] 5 3 17" xfId="22024"/>
    <cellStyle name="Input [yellow] 5 3 18" xfId="22025"/>
    <cellStyle name="Input [yellow] 5 3 2" xfId="22026"/>
    <cellStyle name="Input [yellow] 5 3 2 2" xfId="22027"/>
    <cellStyle name="Input [yellow] 5 3 2 2 2" xfId="22028"/>
    <cellStyle name="Input [yellow] 5 3 2 3" xfId="22029"/>
    <cellStyle name="Input [yellow] 5 3 2 4" xfId="22030"/>
    <cellStyle name="Input [yellow] 5 3 3" xfId="22031"/>
    <cellStyle name="Input [yellow] 5 3 3 2" xfId="22032"/>
    <cellStyle name="Input [yellow] 5 3 3 3" xfId="22033"/>
    <cellStyle name="Input [yellow] 5 3 4" xfId="22034"/>
    <cellStyle name="Input [yellow] 5 3 4 2" xfId="22035"/>
    <cellStyle name="Input [yellow] 5 3 5" xfId="22036"/>
    <cellStyle name="Input [yellow] 5 3 6" xfId="22037"/>
    <cellStyle name="Input [yellow] 5 3 7" xfId="22038"/>
    <cellStyle name="Input [yellow] 5 3 8" xfId="22039"/>
    <cellStyle name="Input [yellow] 5 3 9" xfId="22040"/>
    <cellStyle name="Input [yellow] 5 4" xfId="22041"/>
    <cellStyle name="Input [yellow] 5 4 2" xfId="22042"/>
    <cellStyle name="Input [yellow] 5 4 2 2" xfId="22043"/>
    <cellStyle name="Input [yellow] 5 4 2 3" xfId="22044"/>
    <cellStyle name="Input [yellow] 5 4 3" xfId="22045"/>
    <cellStyle name="Input [yellow] 5 4 3 2" xfId="22046"/>
    <cellStyle name="Input [yellow] 5 4 4" xfId="22047"/>
    <cellStyle name="Input [yellow] 5 4 5" xfId="22048"/>
    <cellStyle name="Input [yellow] 5 5" xfId="22049"/>
    <cellStyle name="Input [yellow] 5 5 2" xfId="22050"/>
    <cellStyle name="Input [yellow] 5 5 2 2" xfId="22051"/>
    <cellStyle name="Input [yellow] 5 5 3" xfId="22052"/>
    <cellStyle name="Input [yellow] 5 5 4" xfId="22053"/>
    <cellStyle name="Input [yellow] 5 6" xfId="22054"/>
    <cellStyle name="Input [yellow] 5 6 2" xfId="22055"/>
    <cellStyle name="Input [yellow] 5 7" xfId="22056"/>
    <cellStyle name="Input [yellow] 5 8" xfId="22057"/>
    <cellStyle name="Input [yellow] 5 9" xfId="22058"/>
    <cellStyle name="Input [yellow] 6" xfId="22059"/>
    <cellStyle name="Input [yellow] 6 10" xfId="22060"/>
    <cellStyle name="Input [yellow] 6 11" xfId="22061"/>
    <cellStyle name="Input [yellow] 6 12" xfId="22062"/>
    <cellStyle name="Input [yellow] 6 13" xfId="22063"/>
    <cellStyle name="Input [yellow] 6 14" xfId="22064"/>
    <cellStyle name="Input [yellow] 6 15" xfId="22065"/>
    <cellStyle name="Input [yellow] 6 16" xfId="22066"/>
    <cellStyle name="Input [yellow] 6 17" xfId="22067"/>
    <cellStyle name="Input [yellow] 6 18" xfId="22068"/>
    <cellStyle name="Input [yellow] 6 19" xfId="22069"/>
    <cellStyle name="Input [yellow] 6 2" xfId="22070"/>
    <cellStyle name="Input [yellow] 6 2 10" xfId="22071"/>
    <cellStyle name="Input [yellow] 6 2 11" xfId="22072"/>
    <cellStyle name="Input [yellow] 6 2 12" xfId="22073"/>
    <cellStyle name="Input [yellow] 6 2 13" xfId="22074"/>
    <cellStyle name="Input [yellow] 6 2 14" xfId="22075"/>
    <cellStyle name="Input [yellow] 6 2 15" xfId="22076"/>
    <cellStyle name="Input [yellow] 6 2 16" xfId="22077"/>
    <cellStyle name="Input [yellow] 6 2 17" xfId="22078"/>
    <cellStyle name="Input [yellow] 6 2 18" xfId="22079"/>
    <cellStyle name="Input [yellow] 6 2 2" xfId="22080"/>
    <cellStyle name="Input [yellow] 6 2 2 2" xfId="22081"/>
    <cellStyle name="Input [yellow] 6 2 2 2 2" xfId="22082"/>
    <cellStyle name="Input [yellow] 6 2 2 3" xfId="22083"/>
    <cellStyle name="Input [yellow] 6 2 2 4" xfId="22084"/>
    <cellStyle name="Input [yellow] 6 2 3" xfId="22085"/>
    <cellStyle name="Input [yellow] 6 2 3 2" xfId="22086"/>
    <cellStyle name="Input [yellow] 6 2 3 3" xfId="22087"/>
    <cellStyle name="Input [yellow] 6 2 4" xfId="22088"/>
    <cellStyle name="Input [yellow] 6 2 4 2" xfId="22089"/>
    <cellStyle name="Input [yellow] 6 2 5" xfId="22090"/>
    <cellStyle name="Input [yellow] 6 2 6" xfId="22091"/>
    <cellStyle name="Input [yellow] 6 2 7" xfId="22092"/>
    <cellStyle name="Input [yellow] 6 2 8" xfId="22093"/>
    <cellStyle name="Input [yellow] 6 2 9" xfId="22094"/>
    <cellStyle name="Input [yellow] 6 20" xfId="22095"/>
    <cellStyle name="Input [yellow] 6 3" xfId="22096"/>
    <cellStyle name="Input [yellow] 6 3 10" xfId="22097"/>
    <cellStyle name="Input [yellow] 6 3 11" xfId="22098"/>
    <cellStyle name="Input [yellow] 6 3 12" xfId="22099"/>
    <cellStyle name="Input [yellow] 6 3 13" xfId="22100"/>
    <cellStyle name="Input [yellow] 6 3 14" xfId="22101"/>
    <cellStyle name="Input [yellow] 6 3 15" xfId="22102"/>
    <cellStyle name="Input [yellow] 6 3 16" xfId="22103"/>
    <cellStyle name="Input [yellow] 6 3 17" xfId="22104"/>
    <cellStyle name="Input [yellow] 6 3 18" xfId="22105"/>
    <cellStyle name="Input [yellow] 6 3 2" xfId="22106"/>
    <cellStyle name="Input [yellow] 6 3 2 2" xfId="22107"/>
    <cellStyle name="Input [yellow] 6 3 2 2 2" xfId="22108"/>
    <cellStyle name="Input [yellow] 6 3 2 3" xfId="22109"/>
    <cellStyle name="Input [yellow] 6 3 2 4" xfId="22110"/>
    <cellStyle name="Input [yellow] 6 3 3" xfId="22111"/>
    <cellStyle name="Input [yellow] 6 3 3 2" xfId="22112"/>
    <cellStyle name="Input [yellow] 6 3 3 3" xfId="22113"/>
    <cellStyle name="Input [yellow] 6 3 4" xfId="22114"/>
    <cellStyle name="Input [yellow] 6 3 4 2" xfId="22115"/>
    <cellStyle name="Input [yellow] 6 3 5" xfId="22116"/>
    <cellStyle name="Input [yellow] 6 3 6" xfId="22117"/>
    <cellStyle name="Input [yellow] 6 3 7" xfId="22118"/>
    <cellStyle name="Input [yellow] 6 3 8" xfId="22119"/>
    <cellStyle name="Input [yellow] 6 3 9" xfId="22120"/>
    <cellStyle name="Input [yellow] 6 4" xfId="22121"/>
    <cellStyle name="Input [yellow] 6 4 2" xfId="22122"/>
    <cellStyle name="Input [yellow] 6 4 2 2" xfId="22123"/>
    <cellStyle name="Input [yellow] 6 4 2 3" xfId="22124"/>
    <cellStyle name="Input [yellow] 6 4 3" xfId="22125"/>
    <cellStyle name="Input [yellow] 6 4 3 2" xfId="22126"/>
    <cellStyle name="Input [yellow] 6 4 4" xfId="22127"/>
    <cellStyle name="Input [yellow] 6 4 5" xfId="22128"/>
    <cellStyle name="Input [yellow] 6 5" xfId="22129"/>
    <cellStyle name="Input [yellow] 6 5 2" xfId="22130"/>
    <cellStyle name="Input [yellow] 6 5 2 2" xfId="22131"/>
    <cellStyle name="Input [yellow] 6 5 3" xfId="22132"/>
    <cellStyle name="Input [yellow] 6 5 4" xfId="22133"/>
    <cellStyle name="Input [yellow] 6 6" xfId="22134"/>
    <cellStyle name="Input [yellow] 6 6 2" xfId="22135"/>
    <cellStyle name="Input [yellow] 6 7" xfId="22136"/>
    <cellStyle name="Input [yellow] 6 8" xfId="22137"/>
    <cellStyle name="Input [yellow] 6 9" xfId="22138"/>
    <cellStyle name="Input [yellow] 7" xfId="22139"/>
    <cellStyle name="Input [yellow] 7 10" xfId="22140"/>
    <cellStyle name="Input [yellow] 7 11" xfId="22141"/>
    <cellStyle name="Input [yellow] 7 12" xfId="22142"/>
    <cellStyle name="Input [yellow] 7 13" xfId="22143"/>
    <cellStyle name="Input [yellow] 7 14" xfId="22144"/>
    <cellStyle name="Input [yellow] 7 15" xfId="22145"/>
    <cellStyle name="Input [yellow] 7 16" xfId="22146"/>
    <cellStyle name="Input [yellow] 7 17" xfId="22147"/>
    <cellStyle name="Input [yellow] 7 2" xfId="22148"/>
    <cellStyle name="Input [yellow] 7 2 2" xfId="22149"/>
    <cellStyle name="Input [yellow] 7 2 2 2" xfId="22150"/>
    <cellStyle name="Input [yellow] 7 2 3" xfId="22151"/>
    <cellStyle name="Input [yellow] 7 2 4" xfId="22152"/>
    <cellStyle name="Input [yellow] 7 3" xfId="22153"/>
    <cellStyle name="Input [yellow] 7 3 2" xfId="22154"/>
    <cellStyle name="Input [yellow] 7 4" xfId="22155"/>
    <cellStyle name="Input [yellow] 7 5" xfId="22156"/>
    <cellStyle name="Input [yellow] 7 6" xfId="22157"/>
    <cellStyle name="Input [yellow] 7 7" xfId="22158"/>
    <cellStyle name="Input [yellow] 7 8" xfId="22159"/>
    <cellStyle name="Input [yellow] 7 9" xfId="22160"/>
    <cellStyle name="Input [yellow] 8" xfId="22161"/>
    <cellStyle name="Input [yellow] 8 2" xfId="22162"/>
    <cellStyle name="Input [yellow] 8 2 2" xfId="22163"/>
    <cellStyle name="Input [yellow] 8 2 2 2" xfId="22164"/>
    <cellStyle name="Input [yellow] 8 2 3" xfId="22165"/>
    <cellStyle name="Input [yellow] 8 2 4" xfId="22166"/>
    <cellStyle name="Input [yellow] 8 3" xfId="22167"/>
    <cellStyle name="Input [yellow] 8 3 2" xfId="22168"/>
    <cellStyle name="Input [yellow] 8 3 3" xfId="22169"/>
    <cellStyle name="Input [yellow] 8 4" xfId="22170"/>
    <cellStyle name="Input [yellow] 8 4 2" xfId="22171"/>
    <cellStyle name="Input [yellow] 8 5" xfId="22172"/>
    <cellStyle name="Input [yellow] 8 6" xfId="22173"/>
    <cellStyle name="Input [yellow] 9" xfId="22174"/>
    <cellStyle name="Input [yellow] 9 2" xfId="22175"/>
    <cellStyle name="Input [yellow] 9 2 2" xfId="22176"/>
    <cellStyle name="Input [yellow] 9 3" xfId="22177"/>
    <cellStyle name="Input [yellow] 9 4" xfId="22178"/>
    <cellStyle name="Input 1" xfId="22179"/>
    <cellStyle name="Input 2" xfId="22180"/>
    <cellStyle name="Input 3" xfId="22181"/>
    <cellStyle name="Input 4" xfId="22182"/>
    <cellStyle name="Input 5" xfId="22183"/>
    <cellStyle name="Input 6" xfId="22184"/>
    <cellStyle name="Input Number Normal" xfId="22185"/>
    <cellStyle name="Input%" xfId="22186"/>
    <cellStyle name="Input, 0 dec" xfId="22187"/>
    <cellStyle name="Input, 0 dec 2" xfId="22188"/>
    <cellStyle name="Input, 1 dec" xfId="22189"/>
    <cellStyle name="Input, 1 dec 2" xfId="22190"/>
    <cellStyle name="Input, 2 dec" xfId="22191"/>
    <cellStyle name="Input, 2 dec 2" xfId="22192"/>
    <cellStyle name="Input_Any" xfId="22193"/>
    <cellStyle name="InputBlueFont" xfId="22194"/>
    <cellStyle name="InputBlueFont 2" xfId="22195"/>
    <cellStyle name="InputDate" xfId="22196"/>
    <cellStyle name="InputDecimal" xfId="22197"/>
    <cellStyle name="InputDecimal 2" xfId="22198"/>
    <cellStyle name="InputDecimal 2 2" xfId="22199"/>
    <cellStyle name="InputDecimal 2 2 2" xfId="22200"/>
    <cellStyle name="InputDecimal 2 3" xfId="22201"/>
    <cellStyle name="InputDecimal 2 4" xfId="22202"/>
    <cellStyle name="InputDecimal 3" xfId="22203"/>
    <cellStyle name="InputDecimal 3 2" xfId="22204"/>
    <cellStyle name="InputDecimal 4" xfId="22205"/>
    <cellStyle name="InputGen" xfId="22206"/>
    <cellStyle name="InputGen 2" xfId="22207"/>
    <cellStyle name="InputValue" xfId="22208"/>
    <cellStyle name="InSheet" xfId="22209"/>
    <cellStyle name="InSheet 2" xfId="22210"/>
    <cellStyle name="Integer" xfId="22211"/>
    <cellStyle name="Invisible" xfId="22212"/>
    <cellStyle name="Invisible 2" xfId="22213"/>
    <cellStyle name="Ioe?uaaaoayny aeia?nnueea" xfId="22214"/>
    <cellStyle name="ISO" xfId="22215"/>
    <cellStyle name="ISO 2" xfId="22216"/>
    <cellStyle name="Italic" xfId="22217"/>
    <cellStyle name="Item" xfId="22218"/>
    <cellStyle name="ItemTypeClass" xfId="22219"/>
    <cellStyle name="ItemTypeClass 10" xfId="22220"/>
    <cellStyle name="ItemTypeClass 11" xfId="22221"/>
    <cellStyle name="ItemTypeClass 12" xfId="22222"/>
    <cellStyle name="ItemTypeClass 13" xfId="22223"/>
    <cellStyle name="ItemTypeClass 14" xfId="22224"/>
    <cellStyle name="ItemTypeClass 15" xfId="22225"/>
    <cellStyle name="ItemTypeClass 16" xfId="22226"/>
    <cellStyle name="ItemTypeClass 17" xfId="22227"/>
    <cellStyle name="ItemTypeClass 18" xfId="22228"/>
    <cellStyle name="ItemTypeClass 19" xfId="22229"/>
    <cellStyle name="ItemTypeClass 2" xfId="22230"/>
    <cellStyle name="ItemTypeClass 2 10" xfId="22231"/>
    <cellStyle name="ItemTypeClass 2 11" xfId="22232"/>
    <cellStyle name="ItemTypeClass 2 12" xfId="22233"/>
    <cellStyle name="ItemTypeClass 2 13" xfId="22234"/>
    <cellStyle name="ItemTypeClass 2 14" xfId="22235"/>
    <cellStyle name="ItemTypeClass 2 15" xfId="22236"/>
    <cellStyle name="ItemTypeClass 2 16" xfId="22237"/>
    <cellStyle name="ItemTypeClass 2 17" xfId="22238"/>
    <cellStyle name="ItemTypeClass 2 18" xfId="22239"/>
    <cellStyle name="ItemTypeClass 2 19" xfId="22240"/>
    <cellStyle name="ItemTypeClass 2 2" xfId="22241"/>
    <cellStyle name="ItemTypeClass 2 2 10" xfId="22242"/>
    <cellStyle name="ItemTypeClass 2 2 11" xfId="22243"/>
    <cellStyle name="ItemTypeClass 2 2 12" xfId="22244"/>
    <cellStyle name="ItemTypeClass 2 2 13" xfId="22245"/>
    <cellStyle name="ItemTypeClass 2 2 14" xfId="22246"/>
    <cellStyle name="ItemTypeClass 2 2 15" xfId="22247"/>
    <cellStyle name="ItemTypeClass 2 2 16" xfId="22248"/>
    <cellStyle name="ItemTypeClass 2 2 17" xfId="22249"/>
    <cellStyle name="ItemTypeClass 2 2 18" xfId="22250"/>
    <cellStyle name="ItemTypeClass 2 2 2" xfId="22251"/>
    <cellStyle name="ItemTypeClass 2 2 2 2" xfId="22252"/>
    <cellStyle name="ItemTypeClass 2 2 2 2 2" xfId="22253"/>
    <cellStyle name="ItemTypeClass 2 2 2 3" xfId="22254"/>
    <cellStyle name="ItemTypeClass 2 2 2 4" xfId="22255"/>
    <cellStyle name="ItemTypeClass 2 2 3" xfId="22256"/>
    <cellStyle name="ItemTypeClass 2 2 3 2" xfId="22257"/>
    <cellStyle name="ItemTypeClass 2 2 3 3" xfId="22258"/>
    <cellStyle name="ItemTypeClass 2 2 4" xfId="22259"/>
    <cellStyle name="ItemTypeClass 2 2 4 2" xfId="22260"/>
    <cellStyle name="ItemTypeClass 2 2 5" xfId="22261"/>
    <cellStyle name="ItemTypeClass 2 2 6" xfId="22262"/>
    <cellStyle name="ItemTypeClass 2 2 7" xfId="22263"/>
    <cellStyle name="ItemTypeClass 2 2 8" xfId="22264"/>
    <cellStyle name="ItemTypeClass 2 2 9" xfId="22265"/>
    <cellStyle name="ItemTypeClass 2 20" xfId="22266"/>
    <cellStyle name="ItemTypeClass 2 21" xfId="22267"/>
    <cellStyle name="ItemTypeClass 2 22" xfId="22268"/>
    <cellStyle name="ItemTypeClass 2 23" xfId="22269"/>
    <cellStyle name="ItemTypeClass 2 3" xfId="22270"/>
    <cellStyle name="ItemTypeClass 2 3 10" xfId="22271"/>
    <cellStyle name="ItemTypeClass 2 3 11" xfId="22272"/>
    <cellStyle name="ItemTypeClass 2 3 12" xfId="22273"/>
    <cellStyle name="ItemTypeClass 2 3 13" xfId="22274"/>
    <cellStyle name="ItemTypeClass 2 3 14" xfId="22275"/>
    <cellStyle name="ItemTypeClass 2 3 15" xfId="22276"/>
    <cellStyle name="ItemTypeClass 2 3 16" xfId="22277"/>
    <cellStyle name="ItemTypeClass 2 3 17" xfId="22278"/>
    <cellStyle name="ItemTypeClass 2 3 18" xfId="22279"/>
    <cellStyle name="ItemTypeClass 2 3 2" xfId="22280"/>
    <cellStyle name="ItemTypeClass 2 3 2 2" xfId="22281"/>
    <cellStyle name="ItemTypeClass 2 3 2 2 2" xfId="22282"/>
    <cellStyle name="ItemTypeClass 2 3 2 3" xfId="22283"/>
    <cellStyle name="ItemTypeClass 2 3 2 4" xfId="22284"/>
    <cellStyle name="ItemTypeClass 2 3 3" xfId="22285"/>
    <cellStyle name="ItemTypeClass 2 3 3 2" xfId="22286"/>
    <cellStyle name="ItemTypeClass 2 3 3 3" xfId="22287"/>
    <cellStyle name="ItemTypeClass 2 3 4" xfId="22288"/>
    <cellStyle name="ItemTypeClass 2 3 4 2" xfId="22289"/>
    <cellStyle name="ItemTypeClass 2 3 5" xfId="22290"/>
    <cellStyle name="ItemTypeClass 2 3 6" xfId="22291"/>
    <cellStyle name="ItemTypeClass 2 3 7" xfId="22292"/>
    <cellStyle name="ItemTypeClass 2 3 8" xfId="22293"/>
    <cellStyle name="ItemTypeClass 2 3 9" xfId="22294"/>
    <cellStyle name="ItemTypeClass 2 4" xfId="22295"/>
    <cellStyle name="ItemTypeClass 2 4 2" xfId="22296"/>
    <cellStyle name="ItemTypeClass 2 4 2 2" xfId="22297"/>
    <cellStyle name="ItemTypeClass 2 4 2 3" xfId="22298"/>
    <cellStyle name="ItemTypeClass 2 4 3" xfId="22299"/>
    <cellStyle name="ItemTypeClass 2 4 3 2" xfId="22300"/>
    <cellStyle name="ItemTypeClass 2 4 4" xfId="22301"/>
    <cellStyle name="ItemTypeClass 2 4 5" xfId="22302"/>
    <cellStyle name="ItemTypeClass 2 5" xfId="22303"/>
    <cellStyle name="ItemTypeClass 2 5 2" xfId="22304"/>
    <cellStyle name="ItemTypeClass 2 5 2 2" xfId="22305"/>
    <cellStyle name="ItemTypeClass 2 5 3" xfId="22306"/>
    <cellStyle name="ItemTypeClass 2 5 4" xfId="22307"/>
    <cellStyle name="ItemTypeClass 2 6" xfId="22308"/>
    <cellStyle name="ItemTypeClass 2 6 2" xfId="22309"/>
    <cellStyle name="ItemTypeClass 2 6 3" xfId="22310"/>
    <cellStyle name="ItemTypeClass 2 7" xfId="22311"/>
    <cellStyle name="ItemTypeClass 2 7 2" xfId="22312"/>
    <cellStyle name="ItemTypeClass 2 8" xfId="22313"/>
    <cellStyle name="ItemTypeClass 2 9" xfId="22314"/>
    <cellStyle name="ItemTypeClass 20" xfId="22315"/>
    <cellStyle name="ItemTypeClass 21" xfId="22316"/>
    <cellStyle name="ItemTypeClass 3" xfId="22317"/>
    <cellStyle name="ItemTypeClass 3 10" xfId="22318"/>
    <cellStyle name="ItemTypeClass 3 11" xfId="22319"/>
    <cellStyle name="ItemTypeClass 3 12" xfId="22320"/>
    <cellStyle name="ItemTypeClass 3 13" xfId="22321"/>
    <cellStyle name="ItemTypeClass 3 14" xfId="22322"/>
    <cellStyle name="ItemTypeClass 3 15" xfId="22323"/>
    <cellStyle name="ItemTypeClass 3 16" xfId="22324"/>
    <cellStyle name="ItemTypeClass 3 17" xfId="22325"/>
    <cellStyle name="ItemTypeClass 3 18" xfId="22326"/>
    <cellStyle name="ItemTypeClass 3 19" xfId="22327"/>
    <cellStyle name="ItemTypeClass 3 2" xfId="22328"/>
    <cellStyle name="ItemTypeClass 3 2 10" xfId="22329"/>
    <cellStyle name="ItemTypeClass 3 2 11" xfId="22330"/>
    <cellStyle name="ItemTypeClass 3 2 12" xfId="22331"/>
    <cellStyle name="ItemTypeClass 3 2 13" xfId="22332"/>
    <cellStyle name="ItemTypeClass 3 2 14" xfId="22333"/>
    <cellStyle name="ItemTypeClass 3 2 15" xfId="22334"/>
    <cellStyle name="ItemTypeClass 3 2 16" xfId="22335"/>
    <cellStyle name="ItemTypeClass 3 2 17" xfId="22336"/>
    <cellStyle name="ItemTypeClass 3 2 18" xfId="22337"/>
    <cellStyle name="ItemTypeClass 3 2 2" xfId="22338"/>
    <cellStyle name="ItemTypeClass 3 2 2 2" xfId="22339"/>
    <cellStyle name="ItemTypeClass 3 2 2 2 2" xfId="22340"/>
    <cellStyle name="ItemTypeClass 3 2 2 3" xfId="22341"/>
    <cellStyle name="ItemTypeClass 3 2 2 4" xfId="22342"/>
    <cellStyle name="ItemTypeClass 3 2 3" xfId="22343"/>
    <cellStyle name="ItemTypeClass 3 2 3 2" xfId="22344"/>
    <cellStyle name="ItemTypeClass 3 2 3 3" xfId="22345"/>
    <cellStyle name="ItemTypeClass 3 2 4" xfId="22346"/>
    <cellStyle name="ItemTypeClass 3 2 4 2" xfId="22347"/>
    <cellStyle name="ItemTypeClass 3 2 5" xfId="22348"/>
    <cellStyle name="ItemTypeClass 3 2 6" xfId="22349"/>
    <cellStyle name="ItemTypeClass 3 2 7" xfId="22350"/>
    <cellStyle name="ItemTypeClass 3 2 8" xfId="22351"/>
    <cellStyle name="ItemTypeClass 3 2 9" xfId="22352"/>
    <cellStyle name="ItemTypeClass 3 3" xfId="22353"/>
    <cellStyle name="ItemTypeClass 3 3 10" xfId="22354"/>
    <cellStyle name="ItemTypeClass 3 3 11" xfId="22355"/>
    <cellStyle name="ItemTypeClass 3 3 12" xfId="22356"/>
    <cellStyle name="ItemTypeClass 3 3 13" xfId="22357"/>
    <cellStyle name="ItemTypeClass 3 3 14" xfId="22358"/>
    <cellStyle name="ItemTypeClass 3 3 15" xfId="22359"/>
    <cellStyle name="ItemTypeClass 3 3 16" xfId="22360"/>
    <cellStyle name="ItemTypeClass 3 3 17" xfId="22361"/>
    <cellStyle name="ItemTypeClass 3 3 18" xfId="22362"/>
    <cellStyle name="ItemTypeClass 3 3 2" xfId="22363"/>
    <cellStyle name="ItemTypeClass 3 3 2 2" xfId="22364"/>
    <cellStyle name="ItemTypeClass 3 3 2 2 2" xfId="22365"/>
    <cellStyle name="ItemTypeClass 3 3 2 3" xfId="22366"/>
    <cellStyle name="ItemTypeClass 3 3 2 4" xfId="22367"/>
    <cellStyle name="ItemTypeClass 3 3 3" xfId="22368"/>
    <cellStyle name="ItemTypeClass 3 3 3 2" xfId="22369"/>
    <cellStyle name="ItemTypeClass 3 3 3 3" xfId="22370"/>
    <cellStyle name="ItemTypeClass 3 3 4" xfId="22371"/>
    <cellStyle name="ItemTypeClass 3 3 4 2" xfId="22372"/>
    <cellStyle name="ItemTypeClass 3 3 5" xfId="22373"/>
    <cellStyle name="ItemTypeClass 3 3 6" xfId="22374"/>
    <cellStyle name="ItemTypeClass 3 3 7" xfId="22375"/>
    <cellStyle name="ItemTypeClass 3 3 8" xfId="22376"/>
    <cellStyle name="ItemTypeClass 3 3 9" xfId="22377"/>
    <cellStyle name="ItemTypeClass 3 4" xfId="22378"/>
    <cellStyle name="ItemTypeClass 3 4 2" xfId="22379"/>
    <cellStyle name="ItemTypeClass 3 4 2 2" xfId="22380"/>
    <cellStyle name="ItemTypeClass 3 4 2 3" xfId="22381"/>
    <cellStyle name="ItemTypeClass 3 4 3" xfId="22382"/>
    <cellStyle name="ItemTypeClass 3 4 3 2" xfId="22383"/>
    <cellStyle name="ItemTypeClass 3 4 4" xfId="22384"/>
    <cellStyle name="ItemTypeClass 3 4 5" xfId="22385"/>
    <cellStyle name="ItemTypeClass 3 5" xfId="22386"/>
    <cellStyle name="ItemTypeClass 3 5 2" xfId="22387"/>
    <cellStyle name="ItemTypeClass 3 5 2 2" xfId="22388"/>
    <cellStyle name="ItemTypeClass 3 5 3" xfId="22389"/>
    <cellStyle name="ItemTypeClass 3 5 4" xfId="22390"/>
    <cellStyle name="ItemTypeClass 3 6" xfId="22391"/>
    <cellStyle name="ItemTypeClass 3 6 2" xfId="22392"/>
    <cellStyle name="ItemTypeClass 3 6 3" xfId="22393"/>
    <cellStyle name="ItemTypeClass 3 7" xfId="22394"/>
    <cellStyle name="ItemTypeClass 3 7 2" xfId="22395"/>
    <cellStyle name="ItemTypeClass 3 8" xfId="22396"/>
    <cellStyle name="ItemTypeClass 3 9" xfId="22397"/>
    <cellStyle name="ItemTypeClass 4" xfId="22398"/>
    <cellStyle name="ItemTypeClass 4 10" xfId="22399"/>
    <cellStyle name="ItemTypeClass 4 11" xfId="22400"/>
    <cellStyle name="ItemTypeClass 4 12" xfId="22401"/>
    <cellStyle name="ItemTypeClass 4 13" xfId="22402"/>
    <cellStyle name="ItemTypeClass 4 14" xfId="22403"/>
    <cellStyle name="ItemTypeClass 4 15" xfId="22404"/>
    <cellStyle name="ItemTypeClass 4 16" xfId="22405"/>
    <cellStyle name="ItemTypeClass 4 17" xfId="22406"/>
    <cellStyle name="ItemTypeClass 4 18" xfId="22407"/>
    <cellStyle name="ItemTypeClass 4 19" xfId="22408"/>
    <cellStyle name="ItemTypeClass 4 2" xfId="22409"/>
    <cellStyle name="ItemTypeClass 4 2 10" xfId="22410"/>
    <cellStyle name="ItemTypeClass 4 2 11" xfId="22411"/>
    <cellStyle name="ItemTypeClass 4 2 12" xfId="22412"/>
    <cellStyle name="ItemTypeClass 4 2 13" xfId="22413"/>
    <cellStyle name="ItemTypeClass 4 2 14" xfId="22414"/>
    <cellStyle name="ItemTypeClass 4 2 15" xfId="22415"/>
    <cellStyle name="ItemTypeClass 4 2 16" xfId="22416"/>
    <cellStyle name="ItemTypeClass 4 2 17" xfId="22417"/>
    <cellStyle name="ItemTypeClass 4 2 18" xfId="22418"/>
    <cellStyle name="ItemTypeClass 4 2 2" xfId="22419"/>
    <cellStyle name="ItemTypeClass 4 2 2 2" xfId="22420"/>
    <cellStyle name="ItemTypeClass 4 2 2 2 2" xfId="22421"/>
    <cellStyle name="ItemTypeClass 4 2 2 3" xfId="22422"/>
    <cellStyle name="ItemTypeClass 4 2 2 4" xfId="22423"/>
    <cellStyle name="ItemTypeClass 4 2 3" xfId="22424"/>
    <cellStyle name="ItemTypeClass 4 2 3 2" xfId="22425"/>
    <cellStyle name="ItemTypeClass 4 2 3 3" xfId="22426"/>
    <cellStyle name="ItemTypeClass 4 2 4" xfId="22427"/>
    <cellStyle name="ItemTypeClass 4 2 4 2" xfId="22428"/>
    <cellStyle name="ItemTypeClass 4 2 5" xfId="22429"/>
    <cellStyle name="ItemTypeClass 4 2 6" xfId="22430"/>
    <cellStyle name="ItemTypeClass 4 2 7" xfId="22431"/>
    <cellStyle name="ItemTypeClass 4 2 8" xfId="22432"/>
    <cellStyle name="ItemTypeClass 4 2 9" xfId="22433"/>
    <cellStyle name="ItemTypeClass 4 3" xfId="22434"/>
    <cellStyle name="ItemTypeClass 4 3 10" xfId="22435"/>
    <cellStyle name="ItemTypeClass 4 3 11" xfId="22436"/>
    <cellStyle name="ItemTypeClass 4 3 12" xfId="22437"/>
    <cellStyle name="ItemTypeClass 4 3 13" xfId="22438"/>
    <cellStyle name="ItemTypeClass 4 3 14" xfId="22439"/>
    <cellStyle name="ItemTypeClass 4 3 15" xfId="22440"/>
    <cellStyle name="ItemTypeClass 4 3 16" xfId="22441"/>
    <cellStyle name="ItemTypeClass 4 3 17" xfId="22442"/>
    <cellStyle name="ItemTypeClass 4 3 18" xfId="22443"/>
    <cellStyle name="ItemTypeClass 4 3 2" xfId="22444"/>
    <cellStyle name="ItemTypeClass 4 3 2 2" xfId="22445"/>
    <cellStyle name="ItemTypeClass 4 3 2 2 2" xfId="22446"/>
    <cellStyle name="ItemTypeClass 4 3 2 3" xfId="22447"/>
    <cellStyle name="ItemTypeClass 4 3 2 4" xfId="22448"/>
    <cellStyle name="ItemTypeClass 4 3 3" xfId="22449"/>
    <cellStyle name="ItemTypeClass 4 3 3 2" xfId="22450"/>
    <cellStyle name="ItemTypeClass 4 3 3 3" xfId="22451"/>
    <cellStyle name="ItemTypeClass 4 3 4" xfId="22452"/>
    <cellStyle name="ItemTypeClass 4 3 4 2" xfId="22453"/>
    <cellStyle name="ItemTypeClass 4 3 5" xfId="22454"/>
    <cellStyle name="ItemTypeClass 4 3 6" xfId="22455"/>
    <cellStyle name="ItemTypeClass 4 3 7" xfId="22456"/>
    <cellStyle name="ItemTypeClass 4 3 8" xfId="22457"/>
    <cellStyle name="ItemTypeClass 4 3 9" xfId="22458"/>
    <cellStyle name="ItemTypeClass 4 4" xfId="22459"/>
    <cellStyle name="ItemTypeClass 4 4 2" xfId="22460"/>
    <cellStyle name="ItemTypeClass 4 4 2 2" xfId="22461"/>
    <cellStyle name="ItemTypeClass 4 4 2 3" xfId="22462"/>
    <cellStyle name="ItemTypeClass 4 4 3" xfId="22463"/>
    <cellStyle name="ItemTypeClass 4 4 3 2" xfId="22464"/>
    <cellStyle name="ItemTypeClass 4 4 4" xfId="22465"/>
    <cellStyle name="ItemTypeClass 4 4 5" xfId="22466"/>
    <cellStyle name="ItemTypeClass 4 5" xfId="22467"/>
    <cellStyle name="ItemTypeClass 4 5 2" xfId="22468"/>
    <cellStyle name="ItemTypeClass 4 5 2 2" xfId="22469"/>
    <cellStyle name="ItemTypeClass 4 5 3" xfId="22470"/>
    <cellStyle name="ItemTypeClass 4 5 4" xfId="22471"/>
    <cellStyle name="ItemTypeClass 4 6" xfId="22472"/>
    <cellStyle name="ItemTypeClass 4 6 2" xfId="22473"/>
    <cellStyle name="ItemTypeClass 4 6 3" xfId="22474"/>
    <cellStyle name="ItemTypeClass 4 7" xfId="22475"/>
    <cellStyle name="ItemTypeClass 4 7 2" xfId="22476"/>
    <cellStyle name="ItemTypeClass 4 8" xfId="22477"/>
    <cellStyle name="ItemTypeClass 4 9" xfId="22478"/>
    <cellStyle name="ItemTypeClass 5" xfId="22479"/>
    <cellStyle name="ItemTypeClass 5 10" xfId="22480"/>
    <cellStyle name="ItemTypeClass 5 11" xfId="22481"/>
    <cellStyle name="ItemTypeClass 5 12" xfId="22482"/>
    <cellStyle name="ItemTypeClass 5 13" xfId="22483"/>
    <cellStyle name="ItemTypeClass 5 14" xfId="22484"/>
    <cellStyle name="ItemTypeClass 5 15" xfId="22485"/>
    <cellStyle name="ItemTypeClass 5 2" xfId="22486"/>
    <cellStyle name="ItemTypeClass 5 2 10" xfId="22487"/>
    <cellStyle name="ItemTypeClass 5 2 11" xfId="22488"/>
    <cellStyle name="ItemTypeClass 5 2 12" xfId="22489"/>
    <cellStyle name="ItemTypeClass 5 2 13" xfId="22490"/>
    <cellStyle name="ItemTypeClass 5 2 14" xfId="22491"/>
    <cellStyle name="ItemTypeClass 5 2 15" xfId="22492"/>
    <cellStyle name="ItemTypeClass 5 2 16" xfId="22493"/>
    <cellStyle name="ItemTypeClass 5 2 17" xfId="22494"/>
    <cellStyle name="ItemTypeClass 5 2 18" xfId="22495"/>
    <cellStyle name="ItemTypeClass 5 2 2" xfId="22496"/>
    <cellStyle name="ItemTypeClass 5 2 2 2" xfId="22497"/>
    <cellStyle name="ItemTypeClass 5 2 2 2 2" xfId="22498"/>
    <cellStyle name="ItemTypeClass 5 2 2 3" xfId="22499"/>
    <cellStyle name="ItemTypeClass 5 2 2 4" xfId="22500"/>
    <cellStyle name="ItemTypeClass 5 2 3" xfId="22501"/>
    <cellStyle name="ItemTypeClass 5 2 3 2" xfId="22502"/>
    <cellStyle name="ItemTypeClass 5 2 3 3" xfId="22503"/>
    <cellStyle name="ItemTypeClass 5 2 4" xfId="22504"/>
    <cellStyle name="ItemTypeClass 5 2 4 2" xfId="22505"/>
    <cellStyle name="ItemTypeClass 5 2 5" xfId="22506"/>
    <cellStyle name="ItemTypeClass 5 2 6" xfId="22507"/>
    <cellStyle name="ItemTypeClass 5 2 7" xfId="22508"/>
    <cellStyle name="ItemTypeClass 5 2 8" xfId="22509"/>
    <cellStyle name="ItemTypeClass 5 2 9" xfId="22510"/>
    <cellStyle name="ItemTypeClass 5 3" xfId="22511"/>
    <cellStyle name="ItemTypeClass 5 3 10" xfId="22512"/>
    <cellStyle name="ItemTypeClass 5 3 11" xfId="22513"/>
    <cellStyle name="ItemTypeClass 5 3 12" xfId="22514"/>
    <cellStyle name="ItemTypeClass 5 3 13" xfId="22515"/>
    <cellStyle name="ItemTypeClass 5 3 14" xfId="22516"/>
    <cellStyle name="ItemTypeClass 5 3 15" xfId="22517"/>
    <cellStyle name="ItemTypeClass 5 3 16" xfId="22518"/>
    <cellStyle name="ItemTypeClass 5 3 17" xfId="22519"/>
    <cellStyle name="ItemTypeClass 5 3 18" xfId="22520"/>
    <cellStyle name="ItemTypeClass 5 3 2" xfId="22521"/>
    <cellStyle name="ItemTypeClass 5 3 2 2" xfId="22522"/>
    <cellStyle name="ItemTypeClass 5 3 2 2 2" xfId="22523"/>
    <cellStyle name="ItemTypeClass 5 3 2 3" xfId="22524"/>
    <cellStyle name="ItemTypeClass 5 3 2 4" xfId="22525"/>
    <cellStyle name="ItemTypeClass 5 3 3" xfId="22526"/>
    <cellStyle name="ItemTypeClass 5 3 3 2" xfId="22527"/>
    <cellStyle name="ItemTypeClass 5 3 3 3" xfId="22528"/>
    <cellStyle name="ItemTypeClass 5 3 4" xfId="22529"/>
    <cellStyle name="ItemTypeClass 5 3 4 2" xfId="22530"/>
    <cellStyle name="ItemTypeClass 5 3 5" xfId="22531"/>
    <cellStyle name="ItemTypeClass 5 3 6" xfId="22532"/>
    <cellStyle name="ItemTypeClass 5 3 7" xfId="22533"/>
    <cellStyle name="ItemTypeClass 5 3 8" xfId="22534"/>
    <cellStyle name="ItemTypeClass 5 3 9" xfId="22535"/>
    <cellStyle name="ItemTypeClass 5 4" xfId="22536"/>
    <cellStyle name="ItemTypeClass 5 4 2" xfId="22537"/>
    <cellStyle name="ItemTypeClass 5 4 2 2" xfId="22538"/>
    <cellStyle name="ItemTypeClass 5 4 2 3" xfId="22539"/>
    <cellStyle name="ItemTypeClass 5 4 3" xfId="22540"/>
    <cellStyle name="ItemTypeClass 5 4 3 2" xfId="22541"/>
    <cellStyle name="ItemTypeClass 5 4 4" xfId="22542"/>
    <cellStyle name="ItemTypeClass 5 4 5" xfId="22543"/>
    <cellStyle name="ItemTypeClass 5 5" xfId="22544"/>
    <cellStyle name="ItemTypeClass 5 5 2" xfId="22545"/>
    <cellStyle name="ItemTypeClass 5 5 2 2" xfId="22546"/>
    <cellStyle name="ItemTypeClass 5 5 3" xfId="22547"/>
    <cellStyle name="ItemTypeClass 5 5 4" xfId="22548"/>
    <cellStyle name="ItemTypeClass 5 6" xfId="22549"/>
    <cellStyle name="ItemTypeClass 5 6 2" xfId="22550"/>
    <cellStyle name="ItemTypeClass 5 7" xfId="22551"/>
    <cellStyle name="ItemTypeClass 5 8" xfId="22552"/>
    <cellStyle name="ItemTypeClass 5 9" xfId="22553"/>
    <cellStyle name="ItemTypeClass 6" xfId="22554"/>
    <cellStyle name="ItemTypeClass 6 10" xfId="22555"/>
    <cellStyle name="ItemTypeClass 6 11" xfId="22556"/>
    <cellStyle name="ItemTypeClass 6 12" xfId="22557"/>
    <cellStyle name="ItemTypeClass 6 13" xfId="22558"/>
    <cellStyle name="ItemTypeClass 6 14" xfId="22559"/>
    <cellStyle name="ItemTypeClass 6 15" xfId="22560"/>
    <cellStyle name="ItemTypeClass 6 16" xfId="22561"/>
    <cellStyle name="ItemTypeClass 6 17" xfId="22562"/>
    <cellStyle name="ItemTypeClass 6 18" xfId="22563"/>
    <cellStyle name="ItemTypeClass 6 2" xfId="22564"/>
    <cellStyle name="ItemTypeClass 6 2 2" xfId="22565"/>
    <cellStyle name="ItemTypeClass 6 2 2 2" xfId="22566"/>
    <cellStyle name="ItemTypeClass 6 2 3" xfId="22567"/>
    <cellStyle name="ItemTypeClass 6 2 4" xfId="22568"/>
    <cellStyle name="ItemTypeClass 6 3" xfId="22569"/>
    <cellStyle name="ItemTypeClass 6 3 2" xfId="22570"/>
    <cellStyle name="ItemTypeClass 6 3 3" xfId="22571"/>
    <cellStyle name="ItemTypeClass 6 4" xfId="22572"/>
    <cellStyle name="ItemTypeClass 6 4 2" xfId="22573"/>
    <cellStyle name="ItemTypeClass 6 5" xfId="22574"/>
    <cellStyle name="ItemTypeClass 6 6" xfId="22575"/>
    <cellStyle name="ItemTypeClass 6 7" xfId="22576"/>
    <cellStyle name="ItemTypeClass 6 8" xfId="22577"/>
    <cellStyle name="ItemTypeClass 6 9" xfId="22578"/>
    <cellStyle name="ItemTypeClass 7" xfId="22579"/>
    <cellStyle name="ItemTypeClass 7 10" xfId="22580"/>
    <cellStyle name="ItemTypeClass 7 11" xfId="22581"/>
    <cellStyle name="ItemTypeClass 7 12" xfId="22582"/>
    <cellStyle name="ItemTypeClass 7 13" xfId="22583"/>
    <cellStyle name="ItemTypeClass 7 14" xfId="22584"/>
    <cellStyle name="ItemTypeClass 7 15" xfId="22585"/>
    <cellStyle name="ItemTypeClass 7 16" xfId="22586"/>
    <cellStyle name="ItemTypeClass 7 17" xfId="22587"/>
    <cellStyle name="ItemTypeClass 7 18" xfId="22588"/>
    <cellStyle name="ItemTypeClass 7 2" xfId="22589"/>
    <cellStyle name="ItemTypeClass 7 2 2" xfId="22590"/>
    <cellStyle name="ItemTypeClass 7 2 3" xfId="22591"/>
    <cellStyle name="ItemTypeClass 7 3" xfId="22592"/>
    <cellStyle name="ItemTypeClass 7 3 2" xfId="22593"/>
    <cellStyle name="ItemTypeClass 7 4" xfId="22594"/>
    <cellStyle name="ItemTypeClass 7 5" xfId="22595"/>
    <cellStyle name="ItemTypeClass 7 6" xfId="22596"/>
    <cellStyle name="ItemTypeClass 7 7" xfId="22597"/>
    <cellStyle name="ItemTypeClass 7 8" xfId="22598"/>
    <cellStyle name="ItemTypeClass 7 9" xfId="22599"/>
    <cellStyle name="ItemTypeClass 8" xfId="22600"/>
    <cellStyle name="ItemTypeClass 8 2" xfId="22601"/>
    <cellStyle name="ItemTypeClass 8 2 2" xfId="22602"/>
    <cellStyle name="ItemTypeClass 8 3" xfId="22603"/>
    <cellStyle name="ItemTypeClass 8 4" xfId="22604"/>
    <cellStyle name="ItemTypeClass 9" xfId="22605"/>
    <cellStyle name="Ivedimas" xfId="22606"/>
    <cellStyle name="Ivedimas 10" xfId="22607"/>
    <cellStyle name="Ivedimas 11" xfId="22608"/>
    <cellStyle name="Ivedimas 12" xfId="22609"/>
    <cellStyle name="Ivedimas 13" xfId="22610"/>
    <cellStyle name="Ivedimas 14" xfId="22611"/>
    <cellStyle name="Ivedimas 15" xfId="22612"/>
    <cellStyle name="Ivedimas 16" xfId="22613"/>
    <cellStyle name="Ivedimas 17" xfId="22614"/>
    <cellStyle name="Ivedimas 18" xfId="22615"/>
    <cellStyle name="Ivedimas 19" xfId="22616"/>
    <cellStyle name="Ivedimas 2" xfId="22617"/>
    <cellStyle name="Ivedimas 2 10" xfId="22618"/>
    <cellStyle name="Ivedimas 2 11" xfId="22619"/>
    <cellStyle name="Ivedimas 2 12" xfId="22620"/>
    <cellStyle name="Ivedimas 2 13" xfId="22621"/>
    <cellStyle name="Ivedimas 2 14" xfId="22622"/>
    <cellStyle name="Ivedimas 2 15" xfId="22623"/>
    <cellStyle name="Ivedimas 2 16" xfId="22624"/>
    <cellStyle name="Ivedimas 2 17" xfId="22625"/>
    <cellStyle name="Ivedimas 2 18" xfId="22626"/>
    <cellStyle name="Ivedimas 2 19" xfId="22627"/>
    <cellStyle name="Ivedimas 2 2" xfId="22628"/>
    <cellStyle name="Ivedimas 2 2 10" xfId="22629"/>
    <cellStyle name="Ivedimas 2 2 11" xfId="22630"/>
    <cellStyle name="Ivedimas 2 2 12" xfId="22631"/>
    <cellStyle name="Ivedimas 2 2 13" xfId="22632"/>
    <cellStyle name="Ivedimas 2 2 14" xfId="22633"/>
    <cellStyle name="Ivedimas 2 2 15" xfId="22634"/>
    <cellStyle name="Ivedimas 2 2 16" xfId="22635"/>
    <cellStyle name="Ivedimas 2 2 17" xfId="22636"/>
    <cellStyle name="Ivedimas 2 2 18" xfId="22637"/>
    <cellStyle name="Ivedimas 2 2 19" xfId="22638"/>
    <cellStyle name="Ivedimas 2 2 2" xfId="22639"/>
    <cellStyle name="Ivedimas 2 2 2 2" xfId="22640"/>
    <cellStyle name="Ivedimas 2 2 2 2 2" xfId="22641"/>
    <cellStyle name="Ivedimas 2 2 2 3" xfId="22642"/>
    <cellStyle name="Ivedimas 2 2 2 4" xfId="22643"/>
    <cellStyle name="Ivedimas 2 2 20" xfId="22644"/>
    <cellStyle name="Ivedimas 2 2 21" xfId="22645"/>
    <cellStyle name="Ivedimas 2 2 22" xfId="22646"/>
    <cellStyle name="Ivedimas 2 2 3" xfId="22647"/>
    <cellStyle name="Ivedimas 2 2 3 2" xfId="22648"/>
    <cellStyle name="Ivedimas 2 2 3 3" xfId="22649"/>
    <cellStyle name="Ivedimas 2 2 4" xfId="22650"/>
    <cellStyle name="Ivedimas 2 2 4 2" xfId="22651"/>
    <cellStyle name="Ivedimas 2 2 5" xfId="22652"/>
    <cellStyle name="Ivedimas 2 2 6" xfId="22653"/>
    <cellStyle name="Ivedimas 2 2 7" xfId="22654"/>
    <cellStyle name="Ivedimas 2 2 8" xfId="22655"/>
    <cellStyle name="Ivedimas 2 2 9" xfId="22656"/>
    <cellStyle name="Ivedimas 2 20" xfId="22657"/>
    <cellStyle name="Ivedimas 2 21" xfId="22658"/>
    <cellStyle name="Ivedimas 2 22" xfId="22659"/>
    <cellStyle name="Ivedimas 2 23" xfId="22660"/>
    <cellStyle name="Ivedimas 2 24" xfId="22661"/>
    <cellStyle name="Ivedimas 2 25" xfId="22662"/>
    <cellStyle name="Ivedimas 2 3" xfId="22663"/>
    <cellStyle name="Ivedimas 2 3 10" xfId="22664"/>
    <cellStyle name="Ivedimas 2 3 11" xfId="22665"/>
    <cellStyle name="Ivedimas 2 3 12" xfId="22666"/>
    <cellStyle name="Ivedimas 2 3 13" xfId="22667"/>
    <cellStyle name="Ivedimas 2 3 14" xfId="22668"/>
    <cellStyle name="Ivedimas 2 3 15" xfId="22669"/>
    <cellStyle name="Ivedimas 2 3 16" xfId="22670"/>
    <cellStyle name="Ivedimas 2 3 17" xfId="22671"/>
    <cellStyle name="Ivedimas 2 3 18" xfId="22672"/>
    <cellStyle name="Ivedimas 2 3 2" xfId="22673"/>
    <cellStyle name="Ivedimas 2 3 2 2" xfId="22674"/>
    <cellStyle name="Ivedimas 2 3 2 2 2" xfId="22675"/>
    <cellStyle name="Ivedimas 2 3 2 3" xfId="22676"/>
    <cellStyle name="Ivedimas 2 3 2 4" xfId="22677"/>
    <cellStyle name="Ivedimas 2 3 3" xfId="22678"/>
    <cellStyle name="Ivedimas 2 3 3 2" xfId="22679"/>
    <cellStyle name="Ivedimas 2 3 3 3" xfId="22680"/>
    <cellStyle name="Ivedimas 2 3 4" xfId="22681"/>
    <cellStyle name="Ivedimas 2 3 4 2" xfId="22682"/>
    <cellStyle name="Ivedimas 2 3 5" xfId="22683"/>
    <cellStyle name="Ivedimas 2 3 6" xfId="22684"/>
    <cellStyle name="Ivedimas 2 3 7" xfId="22685"/>
    <cellStyle name="Ivedimas 2 3 8" xfId="22686"/>
    <cellStyle name="Ivedimas 2 3 9" xfId="22687"/>
    <cellStyle name="Ivedimas 2 4" xfId="22688"/>
    <cellStyle name="Ivedimas 2 4 2" xfId="22689"/>
    <cellStyle name="Ivedimas 2 4 2 2" xfId="22690"/>
    <cellStyle name="Ivedimas 2 4 2 3" xfId="22691"/>
    <cellStyle name="Ivedimas 2 4 3" xfId="22692"/>
    <cellStyle name="Ivedimas 2 4 3 2" xfId="22693"/>
    <cellStyle name="Ivedimas 2 4 4" xfId="22694"/>
    <cellStyle name="Ivedimas 2 4 5" xfId="22695"/>
    <cellStyle name="Ivedimas 2 5" xfId="22696"/>
    <cellStyle name="Ivedimas 2 5 2" xfId="22697"/>
    <cellStyle name="Ivedimas 2 5 2 2" xfId="22698"/>
    <cellStyle name="Ivedimas 2 5 3" xfId="22699"/>
    <cellStyle name="Ivedimas 2 5 4" xfId="22700"/>
    <cellStyle name="Ivedimas 2 6" xfId="22701"/>
    <cellStyle name="Ivedimas 2 6 2" xfId="22702"/>
    <cellStyle name="Ivedimas 2 6 3" xfId="22703"/>
    <cellStyle name="Ivedimas 2 7" xfId="22704"/>
    <cellStyle name="Ivedimas 2 7 2" xfId="22705"/>
    <cellStyle name="Ivedimas 2 8" xfId="22706"/>
    <cellStyle name="Ivedimas 2 9" xfId="22707"/>
    <cellStyle name="Ivedimas 20" xfId="22708"/>
    <cellStyle name="Ivedimas 21" xfId="22709"/>
    <cellStyle name="Ivedimas 22" xfId="22710"/>
    <cellStyle name="Ivedimas 3" xfId="22711"/>
    <cellStyle name="Ivedimas 3 10" xfId="22712"/>
    <cellStyle name="Ivedimas 3 11" xfId="22713"/>
    <cellStyle name="Ivedimas 3 12" xfId="22714"/>
    <cellStyle name="Ivedimas 3 13" xfId="22715"/>
    <cellStyle name="Ivedimas 3 14" xfId="22716"/>
    <cellStyle name="Ivedimas 3 15" xfId="22717"/>
    <cellStyle name="Ivedimas 3 16" xfId="22718"/>
    <cellStyle name="Ivedimas 3 17" xfId="22719"/>
    <cellStyle name="Ivedimas 3 18" xfId="22720"/>
    <cellStyle name="Ivedimas 3 19" xfId="22721"/>
    <cellStyle name="Ivedimas 3 2" xfId="22722"/>
    <cellStyle name="Ivedimas 3 2 10" xfId="22723"/>
    <cellStyle name="Ivedimas 3 2 11" xfId="22724"/>
    <cellStyle name="Ivedimas 3 2 12" xfId="22725"/>
    <cellStyle name="Ivedimas 3 2 13" xfId="22726"/>
    <cellStyle name="Ivedimas 3 2 14" xfId="22727"/>
    <cellStyle name="Ivedimas 3 2 15" xfId="22728"/>
    <cellStyle name="Ivedimas 3 2 16" xfId="22729"/>
    <cellStyle name="Ivedimas 3 2 17" xfId="22730"/>
    <cellStyle name="Ivedimas 3 2 18" xfId="22731"/>
    <cellStyle name="Ivedimas 3 2 2" xfId="22732"/>
    <cellStyle name="Ivedimas 3 2 2 2" xfId="22733"/>
    <cellStyle name="Ivedimas 3 2 2 2 2" xfId="22734"/>
    <cellStyle name="Ivedimas 3 2 2 3" xfId="22735"/>
    <cellStyle name="Ivedimas 3 2 2 4" xfId="22736"/>
    <cellStyle name="Ivedimas 3 2 3" xfId="22737"/>
    <cellStyle name="Ivedimas 3 2 3 2" xfId="22738"/>
    <cellStyle name="Ivedimas 3 2 3 3" xfId="22739"/>
    <cellStyle name="Ivedimas 3 2 4" xfId="22740"/>
    <cellStyle name="Ivedimas 3 2 4 2" xfId="22741"/>
    <cellStyle name="Ivedimas 3 2 5" xfId="22742"/>
    <cellStyle name="Ivedimas 3 2 6" xfId="22743"/>
    <cellStyle name="Ivedimas 3 2 7" xfId="22744"/>
    <cellStyle name="Ivedimas 3 2 8" xfId="22745"/>
    <cellStyle name="Ivedimas 3 2 9" xfId="22746"/>
    <cellStyle name="Ivedimas 3 20" xfId="22747"/>
    <cellStyle name="Ivedimas 3 21" xfId="22748"/>
    <cellStyle name="Ivedimas 3 22" xfId="22749"/>
    <cellStyle name="Ivedimas 3 23" xfId="22750"/>
    <cellStyle name="Ivedimas 3 3" xfId="22751"/>
    <cellStyle name="Ivedimas 3 3 10" xfId="22752"/>
    <cellStyle name="Ivedimas 3 3 11" xfId="22753"/>
    <cellStyle name="Ivedimas 3 3 12" xfId="22754"/>
    <cellStyle name="Ivedimas 3 3 13" xfId="22755"/>
    <cellStyle name="Ivedimas 3 3 14" xfId="22756"/>
    <cellStyle name="Ivedimas 3 3 15" xfId="22757"/>
    <cellStyle name="Ivedimas 3 3 16" xfId="22758"/>
    <cellStyle name="Ivedimas 3 3 17" xfId="22759"/>
    <cellStyle name="Ivedimas 3 3 18" xfId="22760"/>
    <cellStyle name="Ivedimas 3 3 2" xfId="22761"/>
    <cellStyle name="Ivedimas 3 3 2 2" xfId="22762"/>
    <cellStyle name="Ivedimas 3 3 2 2 2" xfId="22763"/>
    <cellStyle name="Ivedimas 3 3 2 3" xfId="22764"/>
    <cellStyle name="Ivedimas 3 3 2 4" xfId="22765"/>
    <cellStyle name="Ivedimas 3 3 3" xfId="22766"/>
    <cellStyle name="Ivedimas 3 3 3 2" xfId="22767"/>
    <cellStyle name="Ivedimas 3 3 3 3" xfId="22768"/>
    <cellStyle name="Ivedimas 3 3 4" xfId="22769"/>
    <cellStyle name="Ivedimas 3 3 4 2" xfId="22770"/>
    <cellStyle name="Ivedimas 3 3 5" xfId="22771"/>
    <cellStyle name="Ivedimas 3 3 6" xfId="22772"/>
    <cellStyle name="Ivedimas 3 3 7" xfId="22773"/>
    <cellStyle name="Ivedimas 3 3 8" xfId="22774"/>
    <cellStyle name="Ivedimas 3 3 9" xfId="22775"/>
    <cellStyle name="Ivedimas 3 4" xfId="22776"/>
    <cellStyle name="Ivedimas 3 4 2" xfId="22777"/>
    <cellStyle name="Ivedimas 3 4 2 2" xfId="22778"/>
    <cellStyle name="Ivedimas 3 4 2 3" xfId="22779"/>
    <cellStyle name="Ivedimas 3 4 3" xfId="22780"/>
    <cellStyle name="Ivedimas 3 4 3 2" xfId="22781"/>
    <cellStyle name="Ivedimas 3 4 4" xfId="22782"/>
    <cellStyle name="Ivedimas 3 4 5" xfId="22783"/>
    <cellStyle name="Ivedimas 3 5" xfId="22784"/>
    <cellStyle name="Ivedimas 3 5 2" xfId="22785"/>
    <cellStyle name="Ivedimas 3 5 2 2" xfId="22786"/>
    <cellStyle name="Ivedimas 3 5 3" xfId="22787"/>
    <cellStyle name="Ivedimas 3 5 4" xfId="22788"/>
    <cellStyle name="Ivedimas 3 6" xfId="22789"/>
    <cellStyle name="Ivedimas 3 6 2" xfId="22790"/>
    <cellStyle name="Ivedimas 3 6 3" xfId="22791"/>
    <cellStyle name="Ivedimas 3 7" xfId="22792"/>
    <cellStyle name="Ivedimas 3 7 2" xfId="22793"/>
    <cellStyle name="Ivedimas 3 8" xfId="22794"/>
    <cellStyle name="Ivedimas 3 9" xfId="22795"/>
    <cellStyle name="Ivedimas 4" xfId="22796"/>
    <cellStyle name="Ivedimas 4 10" xfId="22797"/>
    <cellStyle name="Ivedimas 4 11" xfId="22798"/>
    <cellStyle name="Ivedimas 4 12" xfId="22799"/>
    <cellStyle name="Ivedimas 4 13" xfId="22800"/>
    <cellStyle name="Ivedimas 4 14" xfId="22801"/>
    <cellStyle name="Ivedimas 4 15" xfId="22802"/>
    <cellStyle name="Ivedimas 4 16" xfId="22803"/>
    <cellStyle name="Ivedimas 4 17" xfId="22804"/>
    <cellStyle name="Ivedimas 4 18" xfId="22805"/>
    <cellStyle name="Ivedimas 4 19" xfId="22806"/>
    <cellStyle name="Ivedimas 4 2" xfId="22807"/>
    <cellStyle name="Ivedimas 4 2 10" xfId="22808"/>
    <cellStyle name="Ivedimas 4 2 11" xfId="22809"/>
    <cellStyle name="Ivedimas 4 2 12" xfId="22810"/>
    <cellStyle name="Ivedimas 4 2 13" xfId="22811"/>
    <cellStyle name="Ivedimas 4 2 14" xfId="22812"/>
    <cellStyle name="Ivedimas 4 2 15" xfId="22813"/>
    <cellStyle name="Ivedimas 4 2 16" xfId="22814"/>
    <cellStyle name="Ivedimas 4 2 17" xfId="22815"/>
    <cellStyle name="Ivedimas 4 2 18" xfId="22816"/>
    <cellStyle name="Ivedimas 4 2 2" xfId="22817"/>
    <cellStyle name="Ivedimas 4 2 2 2" xfId="22818"/>
    <cellStyle name="Ivedimas 4 2 2 2 2" xfId="22819"/>
    <cellStyle name="Ivedimas 4 2 2 3" xfId="22820"/>
    <cellStyle name="Ivedimas 4 2 2 4" xfId="22821"/>
    <cellStyle name="Ivedimas 4 2 3" xfId="22822"/>
    <cellStyle name="Ivedimas 4 2 3 2" xfId="22823"/>
    <cellStyle name="Ivedimas 4 2 3 3" xfId="22824"/>
    <cellStyle name="Ivedimas 4 2 4" xfId="22825"/>
    <cellStyle name="Ivedimas 4 2 4 2" xfId="22826"/>
    <cellStyle name="Ivedimas 4 2 5" xfId="22827"/>
    <cellStyle name="Ivedimas 4 2 6" xfId="22828"/>
    <cellStyle name="Ivedimas 4 2 7" xfId="22829"/>
    <cellStyle name="Ivedimas 4 2 8" xfId="22830"/>
    <cellStyle name="Ivedimas 4 2 9" xfId="22831"/>
    <cellStyle name="Ivedimas 4 3" xfId="22832"/>
    <cellStyle name="Ivedimas 4 3 10" xfId="22833"/>
    <cellStyle name="Ivedimas 4 3 11" xfId="22834"/>
    <cellStyle name="Ivedimas 4 3 12" xfId="22835"/>
    <cellStyle name="Ivedimas 4 3 13" xfId="22836"/>
    <cellStyle name="Ivedimas 4 3 14" xfId="22837"/>
    <cellStyle name="Ivedimas 4 3 15" xfId="22838"/>
    <cellStyle name="Ivedimas 4 3 16" xfId="22839"/>
    <cellStyle name="Ivedimas 4 3 17" xfId="22840"/>
    <cellStyle name="Ivedimas 4 3 18" xfId="22841"/>
    <cellStyle name="Ivedimas 4 3 2" xfId="22842"/>
    <cellStyle name="Ivedimas 4 3 2 2" xfId="22843"/>
    <cellStyle name="Ivedimas 4 3 2 2 2" xfId="22844"/>
    <cellStyle name="Ivedimas 4 3 2 3" xfId="22845"/>
    <cellStyle name="Ivedimas 4 3 2 4" xfId="22846"/>
    <cellStyle name="Ivedimas 4 3 3" xfId="22847"/>
    <cellStyle name="Ivedimas 4 3 3 2" xfId="22848"/>
    <cellStyle name="Ivedimas 4 3 3 3" xfId="22849"/>
    <cellStyle name="Ivedimas 4 3 4" xfId="22850"/>
    <cellStyle name="Ivedimas 4 3 4 2" xfId="22851"/>
    <cellStyle name="Ivedimas 4 3 5" xfId="22852"/>
    <cellStyle name="Ivedimas 4 3 6" xfId="22853"/>
    <cellStyle name="Ivedimas 4 3 7" xfId="22854"/>
    <cellStyle name="Ivedimas 4 3 8" xfId="22855"/>
    <cellStyle name="Ivedimas 4 3 9" xfId="22856"/>
    <cellStyle name="Ivedimas 4 4" xfId="22857"/>
    <cellStyle name="Ivedimas 4 4 2" xfId="22858"/>
    <cellStyle name="Ivedimas 4 4 2 2" xfId="22859"/>
    <cellStyle name="Ivedimas 4 4 2 3" xfId="22860"/>
    <cellStyle name="Ivedimas 4 4 3" xfId="22861"/>
    <cellStyle name="Ivedimas 4 4 3 2" xfId="22862"/>
    <cellStyle name="Ivedimas 4 4 4" xfId="22863"/>
    <cellStyle name="Ivedimas 4 4 5" xfId="22864"/>
    <cellStyle name="Ivedimas 4 5" xfId="22865"/>
    <cellStyle name="Ivedimas 4 5 2" xfId="22866"/>
    <cellStyle name="Ivedimas 4 5 2 2" xfId="22867"/>
    <cellStyle name="Ivedimas 4 5 3" xfId="22868"/>
    <cellStyle name="Ivedimas 4 5 4" xfId="22869"/>
    <cellStyle name="Ivedimas 4 6" xfId="22870"/>
    <cellStyle name="Ivedimas 4 6 2" xfId="22871"/>
    <cellStyle name="Ivedimas 4 6 3" xfId="22872"/>
    <cellStyle name="Ivedimas 4 7" xfId="22873"/>
    <cellStyle name="Ivedimas 4 7 2" xfId="22874"/>
    <cellStyle name="Ivedimas 4 8" xfId="22875"/>
    <cellStyle name="Ivedimas 4 9" xfId="22876"/>
    <cellStyle name="Ivedimas 5" xfId="22877"/>
    <cellStyle name="Ivedimas 5 10" xfId="22878"/>
    <cellStyle name="Ivedimas 5 11" xfId="22879"/>
    <cellStyle name="Ivedimas 5 12" xfId="22880"/>
    <cellStyle name="Ivedimas 5 13" xfId="22881"/>
    <cellStyle name="Ivedimas 5 14" xfId="22882"/>
    <cellStyle name="Ivedimas 5 15" xfId="22883"/>
    <cellStyle name="Ivedimas 5 2" xfId="22884"/>
    <cellStyle name="Ivedimas 5 2 10" xfId="22885"/>
    <cellStyle name="Ivedimas 5 2 11" xfId="22886"/>
    <cellStyle name="Ivedimas 5 2 12" xfId="22887"/>
    <cellStyle name="Ivedimas 5 2 13" xfId="22888"/>
    <cellStyle name="Ivedimas 5 2 14" xfId="22889"/>
    <cellStyle name="Ivedimas 5 2 15" xfId="22890"/>
    <cellStyle name="Ivedimas 5 2 16" xfId="22891"/>
    <cellStyle name="Ivedimas 5 2 17" xfId="22892"/>
    <cellStyle name="Ivedimas 5 2 18" xfId="22893"/>
    <cellStyle name="Ivedimas 5 2 2" xfId="22894"/>
    <cellStyle name="Ivedimas 5 2 2 2" xfId="22895"/>
    <cellStyle name="Ivedimas 5 2 2 2 2" xfId="22896"/>
    <cellStyle name="Ivedimas 5 2 2 3" xfId="22897"/>
    <cellStyle name="Ivedimas 5 2 2 4" xfId="22898"/>
    <cellStyle name="Ivedimas 5 2 3" xfId="22899"/>
    <cellStyle name="Ivedimas 5 2 3 2" xfId="22900"/>
    <cellStyle name="Ivedimas 5 2 3 3" xfId="22901"/>
    <cellStyle name="Ivedimas 5 2 4" xfId="22902"/>
    <cellStyle name="Ivedimas 5 2 4 2" xfId="22903"/>
    <cellStyle name="Ivedimas 5 2 5" xfId="22904"/>
    <cellStyle name="Ivedimas 5 2 6" xfId="22905"/>
    <cellStyle name="Ivedimas 5 2 7" xfId="22906"/>
    <cellStyle name="Ivedimas 5 2 8" xfId="22907"/>
    <cellStyle name="Ivedimas 5 2 9" xfId="22908"/>
    <cellStyle name="Ivedimas 5 3" xfId="22909"/>
    <cellStyle name="Ivedimas 5 3 10" xfId="22910"/>
    <cellStyle name="Ivedimas 5 3 11" xfId="22911"/>
    <cellStyle name="Ivedimas 5 3 12" xfId="22912"/>
    <cellStyle name="Ivedimas 5 3 13" xfId="22913"/>
    <cellStyle name="Ivedimas 5 3 14" xfId="22914"/>
    <cellStyle name="Ivedimas 5 3 15" xfId="22915"/>
    <cellStyle name="Ivedimas 5 3 16" xfId="22916"/>
    <cellStyle name="Ivedimas 5 3 17" xfId="22917"/>
    <cellStyle name="Ivedimas 5 3 18" xfId="22918"/>
    <cellStyle name="Ivedimas 5 3 2" xfId="22919"/>
    <cellStyle name="Ivedimas 5 3 2 2" xfId="22920"/>
    <cellStyle name="Ivedimas 5 3 2 2 2" xfId="22921"/>
    <cellStyle name="Ivedimas 5 3 2 3" xfId="22922"/>
    <cellStyle name="Ivedimas 5 3 2 4" xfId="22923"/>
    <cellStyle name="Ivedimas 5 3 3" xfId="22924"/>
    <cellStyle name="Ivedimas 5 3 3 2" xfId="22925"/>
    <cellStyle name="Ivedimas 5 3 3 3" xfId="22926"/>
    <cellStyle name="Ivedimas 5 3 4" xfId="22927"/>
    <cellStyle name="Ivedimas 5 3 4 2" xfId="22928"/>
    <cellStyle name="Ivedimas 5 3 5" xfId="22929"/>
    <cellStyle name="Ivedimas 5 3 6" xfId="22930"/>
    <cellStyle name="Ivedimas 5 3 7" xfId="22931"/>
    <cellStyle name="Ivedimas 5 3 8" xfId="22932"/>
    <cellStyle name="Ivedimas 5 3 9" xfId="22933"/>
    <cellStyle name="Ivedimas 5 4" xfId="22934"/>
    <cellStyle name="Ivedimas 5 4 2" xfId="22935"/>
    <cellStyle name="Ivedimas 5 4 2 2" xfId="22936"/>
    <cellStyle name="Ivedimas 5 4 2 3" xfId="22937"/>
    <cellStyle name="Ivedimas 5 4 3" xfId="22938"/>
    <cellStyle name="Ivedimas 5 4 3 2" xfId="22939"/>
    <cellStyle name="Ivedimas 5 4 4" xfId="22940"/>
    <cellStyle name="Ivedimas 5 4 5" xfId="22941"/>
    <cellStyle name="Ivedimas 5 5" xfId="22942"/>
    <cellStyle name="Ivedimas 5 5 2" xfId="22943"/>
    <cellStyle name="Ivedimas 5 5 2 2" xfId="22944"/>
    <cellStyle name="Ivedimas 5 5 3" xfId="22945"/>
    <cellStyle name="Ivedimas 5 5 4" xfId="22946"/>
    <cellStyle name="Ivedimas 5 6" xfId="22947"/>
    <cellStyle name="Ivedimas 5 6 2" xfId="22948"/>
    <cellStyle name="Ivedimas 5 7" xfId="22949"/>
    <cellStyle name="Ivedimas 5 8" xfId="22950"/>
    <cellStyle name="Ivedimas 5 9" xfId="22951"/>
    <cellStyle name="Ivedimas 6" xfId="22952"/>
    <cellStyle name="Ivedimas 6 10" xfId="22953"/>
    <cellStyle name="Ivedimas 6 11" xfId="22954"/>
    <cellStyle name="Ivedimas 6 12" xfId="22955"/>
    <cellStyle name="Ivedimas 6 13" xfId="22956"/>
    <cellStyle name="Ivedimas 6 14" xfId="22957"/>
    <cellStyle name="Ivedimas 6 15" xfId="22958"/>
    <cellStyle name="Ivedimas 6 16" xfId="22959"/>
    <cellStyle name="Ivedimas 6 17" xfId="22960"/>
    <cellStyle name="Ivedimas 6 18" xfId="22961"/>
    <cellStyle name="Ivedimas 6 2" xfId="22962"/>
    <cellStyle name="Ivedimas 6 2 2" xfId="22963"/>
    <cellStyle name="Ivedimas 6 2 2 2" xfId="22964"/>
    <cellStyle name="Ivedimas 6 2 3" xfId="22965"/>
    <cellStyle name="Ivedimas 6 2 4" xfId="22966"/>
    <cellStyle name="Ivedimas 6 3" xfId="22967"/>
    <cellStyle name="Ivedimas 6 3 2" xfId="22968"/>
    <cellStyle name="Ivedimas 6 3 3" xfId="22969"/>
    <cellStyle name="Ivedimas 6 4" xfId="22970"/>
    <cellStyle name="Ivedimas 6 4 2" xfId="22971"/>
    <cellStyle name="Ivedimas 6 5" xfId="22972"/>
    <cellStyle name="Ivedimas 6 6" xfId="22973"/>
    <cellStyle name="Ivedimas 6 7" xfId="22974"/>
    <cellStyle name="Ivedimas 6 8" xfId="22975"/>
    <cellStyle name="Ivedimas 6 9" xfId="22976"/>
    <cellStyle name="Ivedimas 7" xfId="22977"/>
    <cellStyle name="Ivedimas 7 10" xfId="22978"/>
    <cellStyle name="Ivedimas 7 11" xfId="22979"/>
    <cellStyle name="Ivedimas 7 12" xfId="22980"/>
    <cellStyle name="Ivedimas 7 13" xfId="22981"/>
    <cellStyle name="Ivedimas 7 14" xfId="22982"/>
    <cellStyle name="Ivedimas 7 15" xfId="22983"/>
    <cellStyle name="Ivedimas 7 16" xfId="22984"/>
    <cellStyle name="Ivedimas 7 17" xfId="22985"/>
    <cellStyle name="Ivedimas 7 18" xfId="22986"/>
    <cellStyle name="Ivedimas 7 2" xfId="22987"/>
    <cellStyle name="Ivedimas 7 2 2" xfId="22988"/>
    <cellStyle name="Ivedimas 7 2 3" xfId="22989"/>
    <cellStyle name="Ivedimas 7 3" xfId="22990"/>
    <cellStyle name="Ivedimas 7 3 2" xfId="22991"/>
    <cellStyle name="Ivedimas 7 4" xfId="22992"/>
    <cellStyle name="Ivedimas 7 5" xfId="22993"/>
    <cellStyle name="Ivedimas 7 6" xfId="22994"/>
    <cellStyle name="Ivedimas 7 7" xfId="22995"/>
    <cellStyle name="Ivedimas 7 8" xfId="22996"/>
    <cellStyle name="Ivedimas 7 9" xfId="22997"/>
    <cellStyle name="Ivedimas 8" xfId="22998"/>
    <cellStyle name="Ivedimas 8 2" xfId="22999"/>
    <cellStyle name="Ivedimas 8 2 2" xfId="23000"/>
    <cellStyle name="Ivedimas 8 3" xfId="23001"/>
    <cellStyle name="Ivedimas 8 4" xfId="23002"/>
    <cellStyle name="Ivedimas 9" xfId="23003"/>
    <cellStyle name="Ivedimo1" xfId="23004"/>
    <cellStyle name="Ivedimo1 10" xfId="23005"/>
    <cellStyle name="Ivedimo1 11" xfId="23006"/>
    <cellStyle name="Ivedimo1 12" xfId="23007"/>
    <cellStyle name="Ivedimo1 13" xfId="23008"/>
    <cellStyle name="Ivedimo1 14" xfId="23009"/>
    <cellStyle name="Ivedimo1 15" xfId="23010"/>
    <cellStyle name="Ivedimo1 16" xfId="23011"/>
    <cellStyle name="Ivedimo1 17" xfId="23012"/>
    <cellStyle name="Ivedimo1 18" xfId="23013"/>
    <cellStyle name="Ivedimo1 19" xfId="23014"/>
    <cellStyle name="Ivedimo1 2" xfId="23015"/>
    <cellStyle name="Ivedimo1 2 10" xfId="23016"/>
    <cellStyle name="Ivedimo1 2 11" xfId="23017"/>
    <cellStyle name="Ivedimo1 2 12" xfId="23018"/>
    <cellStyle name="Ivedimo1 2 13" xfId="23019"/>
    <cellStyle name="Ivedimo1 2 14" xfId="23020"/>
    <cellStyle name="Ivedimo1 2 15" xfId="23021"/>
    <cellStyle name="Ivedimo1 2 16" xfId="23022"/>
    <cellStyle name="Ivedimo1 2 17" xfId="23023"/>
    <cellStyle name="Ivedimo1 2 18" xfId="23024"/>
    <cellStyle name="Ivedimo1 2 19" xfId="23025"/>
    <cellStyle name="Ivedimo1 2 2" xfId="23026"/>
    <cellStyle name="Ivedimo1 2 2 10" xfId="23027"/>
    <cellStyle name="Ivedimo1 2 2 11" xfId="23028"/>
    <cellStyle name="Ivedimo1 2 2 12" xfId="23029"/>
    <cellStyle name="Ivedimo1 2 2 13" xfId="23030"/>
    <cellStyle name="Ivedimo1 2 2 14" xfId="23031"/>
    <cellStyle name="Ivedimo1 2 2 15" xfId="23032"/>
    <cellStyle name="Ivedimo1 2 2 16" xfId="23033"/>
    <cellStyle name="Ivedimo1 2 2 17" xfId="23034"/>
    <cellStyle name="Ivedimo1 2 2 18" xfId="23035"/>
    <cellStyle name="Ivedimo1 2 2 2" xfId="23036"/>
    <cellStyle name="Ivedimo1 2 2 2 2" xfId="23037"/>
    <cellStyle name="Ivedimo1 2 2 2 2 2" xfId="23038"/>
    <cellStyle name="Ivedimo1 2 2 2 3" xfId="23039"/>
    <cellStyle name="Ivedimo1 2 2 2 4" xfId="23040"/>
    <cellStyle name="Ivedimo1 2 2 3" xfId="23041"/>
    <cellStyle name="Ivedimo1 2 2 3 2" xfId="23042"/>
    <cellStyle name="Ivedimo1 2 2 3 3" xfId="23043"/>
    <cellStyle name="Ivedimo1 2 2 4" xfId="23044"/>
    <cellStyle name="Ivedimo1 2 2 4 2" xfId="23045"/>
    <cellStyle name="Ivedimo1 2 2 5" xfId="23046"/>
    <cellStyle name="Ivedimo1 2 2 6" xfId="23047"/>
    <cellStyle name="Ivedimo1 2 2 7" xfId="23048"/>
    <cellStyle name="Ivedimo1 2 2 8" xfId="23049"/>
    <cellStyle name="Ivedimo1 2 2 9" xfId="23050"/>
    <cellStyle name="Ivedimo1 2 20" xfId="23051"/>
    <cellStyle name="Ivedimo1 2 21" xfId="23052"/>
    <cellStyle name="Ivedimo1 2 22" xfId="23053"/>
    <cellStyle name="Ivedimo1 2 23" xfId="23054"/>
    <cellStyle name="Ivedimo1 2 3" xfId="23055"/>
    <cellStyle name="Ivedimo1 2 3 10" xfId="23056"/>
    <cellStyle name="Ivedimo1 2 3 11" xfId="23057"/>
    <cellStyle name="Ivedimo1 2 3 12" xfId="23058"/>
    <cellStyle name="Ivedimo1 2 3 13" xfId="23059"/>
    <cellStyle name="Ivedimo1 2 3 14" xfId="23060"/>
    <cellStyle name="Ivedimo1 2 3 15" xfId="23061"/>
    <cellStyle name="Ivedimo1 2 3 16" xfId="23062"/>
    <cellStyle name="Ivedimo1 2 3 17" xfId="23063"/>
    <cellStyle name="Ivedimo1 2 3 18" xfId="23064"/>
    <cellStyle name="Ivedimo1 2 3 2" xfId="23065"/>
    <cellStyle name="Ivedimo1 2 3 2 2" xfId="23066"/>
    <cellStyle name="Ivedimo1 2 3 2 2 2" xfId="23067"/>
    <cellStyle name="Ivedimo1 2 3 2 3" xfId="23068"/>
    <cellStyle name="Ivedimo1 2 3 2 4" xfId="23069"/>
    <cellStyle name="Ivedimo1 2 3 3" xfId="23070"/>
    <cellStyle name="Ivedimo1 2 3 3 2" xfId="23071"/>
    <cellStyle name="Ivedimo1 2 3 3 3" xfId="23072"/>
    <cellStyle name="Ivedimo1 2 3 4" xfId="23073"/>
    <cellStyle name="Ivedimo1 2 3 4 2" xfId="23074"/>
    <cellStyle name="Ivedimo1 2 3 5" xfId="23075"/>
    <cellStyle name="Ivedimo1 2 3 6" xfId="23076"/>
    <cellStyle name="Ivedimo1 2 3 7" xfId="23077"/>
    <cellStyle name="Ivedimo1 2 3 8" xfId="23078"/>
    <cellStyle name="Ivedimo1 2 3 9" xfId="23079"/>
    <cellStyle name="Ivedimo1 2 4" xfId="23080"/>
    <cellStyle name="Ivedimo1 2 4 2" xfId="23081"/>
    <cellStyle name="Ivedimo1 2 4 2 2" xfId="23082"/>
    <cellStyle name="Ivedimo1 2 4 2 3" xfId="23083"/>
    <cellStyle name="Ivedimo1 2 4 3" xfId="23084"/>
    <cellStyle name="Ivedimo1 2 4 3 2" xfId="23085"/>
    <cellStyle name="Ivedimo1 2 4 4" xfId="23086"/>
    <cellStyle name="Ivedimo1 2 4 5" xfId="23087"/>
    <cellStyle name="Ivedimo1 2 5" xfId="23088"/>
    <cellStyle name="Ivedimo1 2 5 2" xfId="23089"/>
    <cellStyle name="Ivedimo1 2 5 2 2" xfId="23090"/>
    <cellStyle name="Ivedimo1 2 5 3" xfId="23091"/>
    <cellStyle name="Ivedimo1 2 5 4" xfId="23092"/>
    <cellStyle name="Ivedimo1 2 6" xfId="23093"/>
    <cellStyle name="Ivedimo1 2 6 2" xfId="23094"/>
    <cellStyle name="Ivedimo1 2 6 3" xfId="23095"/>
    <cellStyle name="Ivedimo1 2 7" xfId="23096"/>
    <cellStyle name="Ivedimo1 2 7 2" xfId="23097"/>
    <cellStyle name="Ivedimo1 2 8" xfId="23098"/>
    <cellStyle name="Ivedimo1 2 9" xfId="23099"/>
    <cellStyle name="Ivedimo1 20" xfId="23100"/>
    <cellStyle name="Ivedimo1 21" xfId="23101"/>
    <cellStyle name="Ivedimo1 3" xfId="23102"/>
    <cellStyle name="Ivedimo1 3 10" xfId="23103"/>
    <cellStyle name="Ivedimo1 3 11" xfId="23104"/>
    <cellStyle name="Ivedimo1 3 12" xfId="23105"/>
    <cellStyle name="Ivedimo1 3 13" xfId="23106"/>
    <cellStyle name="Ivedimo1 3 14" xfId="23107"/>
    <cellStyle name="Ivedimo1 3 15" xfId="23108"/>
    <cellStyle name="Ivedimo1 3 16" xfId="23109"/>
    <cellStyle name="Ivedimo1 3 17" xfId="23110"/>
    <cellStyle name="Ivedimo1 3 18" xfId="23111"/>
    <cellStyle name="Ivedimo1 3 19" xfId="23112"/>
    <cellStyle name="Ivedimo1 3 2" xfId="23113"/>
    <cellStyle name="Ivedimo1 3 2 10" xfId="23114"/>
    <cellStyle name="Ivedimo1 3 2 11" xfId="23115"/>
    <cellStyle name="Ivedimo1 3 2 12" xfId="23116"/>
    <cellStyle name="Ivedimo1 3 2 13" xfId="23117"/>
    <cellStyle name="Ivedimo1 3 2 14" xfId="23118"/>
    <cellStyle name="Ivedimo1 3 2 15" xfId="23119"/>
    <cellStyle name="Ivedimo1 3 2 16" xfId="23120"/>
    <cellStyle name="Ivedimo1 3 2 17" xfId="23121"/>
    <cellStyle name="Ivedimo1 3 2 18" xfId="23122"/>
    <cellStyle name="Ivedimo1 3 2 2" xfId="23123"/>
    <cellStyle name="Ivedimo1 3 2 2 2" xfId="23124"/>
    <cellStyle name="Ivedimo1 3 2 2 2 2" xfId="23125"/>
    <cellStyle name="Ivedimo1 3 2 2 3" xfId="23126"/>
    <cellStyle name="Ivedimo1 3 2 2 4" xfId="23127"/>
    <cellStyle name="Ivedimo1 3 2 3" xfId="23128"/>
    <cellStyle name="Ivedimo1 3 2 3 2" xfId="23129"/>
    <cellStyle name="Ivedimo1 3 2 3 3" xfId="23130"/>
    <cellStyle name="Ivedimo1 3 2 4" xfId="23131"/>
    <cellStyle name="Ivedimo1 3 2 4 2" xfId="23132"/>
    <cellStyle name="Ivedimo1 3 2 5" xfId="23133"/>
    <cellStyle name="Ivedimo1 3 2 6" xfId="23134"/>
    <cellStyle name="Ivedimo1 3 2 7" xfId="23135"/>
    <cellStyle name="Ivedimo1 3 2 8" xfId="23136"/>
    <cellStyle name="Ivedimo1 3 2 9" xfId="23137"/>
    <cellStyle name="Ivedimo1 3 3" xfId="23138"/>
    <cellStyle name="Ivedimo1 3 3 10" xfId="23139"/>
    <cellStyle name="Ivedimo1 3 3 11" xfId="23140"/>
    <cellStyle name="Ivedimo1 3 3 12" xfId="23141"/>
    <cellStyle name="Ivedimo1 3 3 13" xfId="23142"/>
    <cellStyle name="Ivedimo1 3 3 14" xfId="23143"/>
    <cellStyle name="Ivedimo1 3 3 15" xfId="23144"/>
    <cellStyle name="Ivedimo1 3 3 16" xfId="23145"/>
    <cellStyle name="Ivedimo1 3 3 17" xfId="23146"/>
    <cellStyle name="Ivedimo1 3 3 18" xfId="23147"/>
    <cellStyle name="Ivedimo1 3 3 2" xfId="23148"/>
    <cellStyle name="Ivedimo1 3 3 2 2" xfId="23149"/>
    <cellStyle name="Ivedimo1 3 3 2 2 2" xfId="23150"/>
    <cellStyle name="Ivedimo1 3 3 2 3" xfId="23151"/>
    <cellStyle name="Ivedimo1 3 3 2 4" xfId="23152"/>
    <cellStyle name="Ivedimo1 3 3 3" xfId="23153"/>
    <cellStyle name="Ivedimo1 3 3 3 2" xfId="23154"/>
    <cellStyle name="Ivedimo1 3 3 3 3" xfId="23155"/>
    <cellStyle name="Ivedimo1 3 3 4" xfId="23156"/>
    <cellStyle name="Ivedimo1 3 3 4 2" xfId="23157"/>
    <cellStyle name="Ivedimo1 3 3 5" xfId="23158"/>
    <cellStyle name="Ivedimo1 3 3 6" xfId="23159"/>
    <cellStyle name="Ivedimo1 3 3 7" xfId="23160"/>
    <cellStyle name="Ivedimo1 3 3 8" xfId="23161"/>
    <cellStyle name="Ivedimo1 3 3 9" xfId="23162"/>
    <cellStyle name="Ivedimo1 3 4" xfId="23163"/>
    <cellStyle name="Ivedimo1 3 4 2" xfId="23164"/>
    <cellStyle name="Ivedimo1 3 4 2 2" xfId="23165"/>
    <cellStyle name="Ivedimo1 3 4 2 3" xfId="23166"/>
    <cellStyle name="Ivedimo1 3 4 3" xfId="23167"/>
    <cellStyle name="Ivedimo1 3 4 3 2" xfId="23168"/>
    <cellStyle name="Ivedimo1 3 4 4" xfId="23169"/>
    <cellStyle name="Ivedimo1 3 4 5" xfId="23170"/>
    <cellStyle name="Ivedimo1 3 5" xfId="23171"/>
    <cellStyle name="Ivedimo1 3 5 2" xfId="23172"/>
    <cellStyle name="Ivedimo1 3 5 2 2" xfId="23173"/>
    <cellStyle name="Ivedimo1 3 5 3" xfId="23174"/>
    <cellStyle name="Ivedimo1 3 5 4" xfId="23175"/>
    <cellStyle name="Ivedimo1 3 6" xfId="23176"/>
    <cellStyle name="Ivedimo1 3 6 2" xfId="23177"/>
    <cellStyle name="Ivedimo1 3 6 3" xfId="23178"/>
    <cellStyle name="Ivedimo1 3 7" xfId="23179"/>
    <cellStyle name="Ivedimo1 3 7 2" xfId="23180"/>
    <cellStyle name="Ivedimo1 3 8" xfId="23181"/>
    <cellStyle name="Ivedimo1 3 9" xfId="23182"/>
    <cellStyle name="Ivedimo1 4" xfId="23183"/>
    <cellStyle name="Ivedimo1 4 10" xfId="23184"/>
    <cellStyle name="Ivedimo1 4 11" xfId="23185"/>
    <cellStyle name="Ivedimo1 4 12" xfId="23186"/>
    <cellStyle name="Ivedimo1 4 13" xfId="23187"/>
    <cellStyle name="Ivedimo1 4 14" xfId="23188"/>
    <cellStyle name="Ivedimo1 4 15" xfId="23189"/>
    <cellStyle name="Ivedimo1 4 16" xfId="23190"/>
    <cellStyle name="Ivedimo1 4 17" xfId="23191"/>
    <cellStyle name="Ivedimo1 4 18" xfId="23192"/>
    <cellStyle name="Ivedimo1 4 19" xfId="23193"/>
    <cellStyle name="Ivedimo1 4 2" xfId="23194"/>
    <cellStyle name="Ivedimo1 4 2 10" xfId="23195"/>
    <cellStyle name="Ivedimo1 4 2 11" xfId="23196"/>
    <cellStyle name="Ivedimo1 4 2 12" xfId="23197"/>
    <cellStyle name="Ivedimo1 4 2 13" xfId="23198"/>
    <cellStyle name="Ivedimo1 4 2 14" xfId="23199"/>
    <cellStyle name="Ivedimo1 4 2 15" xfId="23200"/>
    <cellStyle name="Ivedimo1 4 2 16" xfId="23201"/>
    <cellStyle name="Ivedimo1 4 2 17" xfId="23202"/>
    <cellStyle name="Ivedimo1 4 2 18" xfId="23203"/>
    <cellStyle name="Ivedimo1 4 2 2" xfId="23204"/>
    <cellStyle name="Ivedimo1 4 2 2 2" xfId="23205"/>
    <cellStyle name="Ivedimo1 4 2 2 2 2" xfId="23206"/>
    <cellStyle name="Ivedimo1 4 2 2 3" xfId="23207"/>
    <cellStyle name="Ivedimo1 4 2 2 4" xfId="23208"/>
    <cellStyle name="Ivedimo1 4 2 3" xfId="23209"/>
    <cellStyle name="Ivedimo1 4 2 3 2" xfId="23210"/>
    <cellStyle name="Ivedimo1 4 2 3 3" xfId="23211"/>
    <cellStyle name="Ivedimo1 4 2 4" xfId="23212"/>
    <cellStyle name="Ivedimo1 4 2 4 2" xfId="23213"/>
    <cellStyle name="Ivedimo1 4 2 5" xfId="23214"/>
    <cellStyle name="Ivedimo1 4 2 6" xfId="23215"/>
    <cellStyle name="Ivedimo1 4 2 7" xfId="23216"/>
    <cellStyle name="Ivedimo1 4 2 8" xfId="23217"/>
    <cellStyle name="Ivedimo1 4 2 9" xfId="23218"/>
    <cellStyle name="Ivedimo1 4 3" xfId="23219"/>
    <cellStyle name="Ivedimo1 4 3 10" xfId="23220"/>
    <cellStyle name="Ivedimo1 4 3 11" xfId="23221"/>
    <cellStyle name="Ivedimo1 4 3 12" xfId="23222"/>
    <cellStyle name="Ivedimo1 4 3 13" xfId="23223"/>
    <cellStyle name="Ivedimo1 4 3 14" xfId="23224"/>
    <cellStyle name="Ivedimo1 4 3 15" xfId="23225"/>
    <cellStyle name="Ivedimo1 4 3 16" xfId="23226"/>
    <cellStyle name="Ivedimo1 4 3 17" xfId="23227"/>
    <cellStyle name="Ivedimo1 4 3 18" xfId="23228"/>
    <cellStyle name="Ivedimo1 4 3 2" xfId="23229"/>
    <cellStyle name="Ivedimo1 4 3 2 2" xfId="23230"/>
    <cellStyle name="Ivedimo1 4 3 2 2 2" xfId="23231"/>
    <cellStyle name="Ivedimo1 4 3 2 3" xfId="23232"/>
    <cellStyle name="Ivedimo1 4 3 2 4" xfId="23233"/>
    <cellStyle name="Ivedimo1 4 3 3" xfId="23234"/>
    <cellStyle name="Ivedimo1 4 3 3 2" xfId="23235"/>
    <cellStyle name="Ivedimo1 4 3 3 3" xfId="23236"/>
    <cellStyle name="Ivedimo1 4 3 4" xfId="23237"/>
    <cellStyle name="Ivedimo1 4 3 4 2" xfId="23238"/>
    <cellStyle name="Ivedimo1 4 3 5" xfId="23239"/>
    <cellStyle name="Ivedimo1 4 3 6" xfId="23240"/>
    <cellStyle name="Ivedimo1 4 3 7" xfId="23241"/>
    <cellStyle name="Ivedimo1 4 3 8" xfId="23242"/>
    <cellStyle name="Ivedimo1 4 3 9" xfId="23243"/>
    <cellStyle name="Ivedimo1 4 4" xfId="23244"/>
    <cellStyle name="Ivedimo1 4 4 2" xfId="23245"/>
    <cellStyle name="Ivedimo1 4 4 2 2" xfId="23246"/>
    <cellStyle name="Ivedimo1 4 4 2 3" xfId="23247"/>
    <cellStyle name="Ivedimo1 4 4 3" xfId="23248"/>
    <cellStyle name="Ivedimo1 4 4 3 2" xfId="23249"/>
    <cellStyle name="Ivedimo1 4 4 4" xfId="23250"/>
    <cellStyle name="Ivedimo1 4 4 5" xfId="23251"/>
    <cellStyle name="Ivedimo1 4 5" xfId="23252"/>
    <cellStyle name="Ivedimo1 4 5 2" xfId="23253"/>
    <cellStyle name="Ivedimo1 4 5 2 2" xfId="23254"/>
    <cellStyle name="Ivedimo1 4 5 3" xfId="23255"/>
    <cellStyle name="Ivedimo1 4 5 4" xfId="23256"/>
    <cellStyle name="Ivedimo1 4 6" xfId="23257"/>
    <cellStyle name="Ivedimo1 4 6 2" xfId="23258"/>
    <cellStyle name="Ivedimo1 4 6 3" xfId="23259"/>
    <cellStyle name="Ivedimo1 4 7" xfId="23260"/>
    <cellStyle name="Ivedimo1 4 7 2" xfId="23261"/>
    <cellStyle name="Ivedimo1 4 8" xfId="23262"/>
    <cellStyle name="Ivedimo1 4 9" xfId="23263"/>
    <cellStyle name="Ivedimo1 5" xfId="23264"/>
    <cellStyle name="Ivedimo1 5 10" xfId="23265"/>
    <cellStyle name="Ivedimo1 5 11" xfId="23266"/>
    <cellStyle name="Ivedimo1 5 12" xfId="23267"/>
    <cellStyle name="Ivedimo1 5 13" xfId="23268"/>
    <cellStyle name="Ivedimo1 5 14" xfId="23269"/>
    <cellStyle name="Ivedimo1 5 15" xfId="23270"/>
    <cellStyle name="Ivedimo1 5 2" xfId="23271"/>
    <cellStyle name="Ivedimo1 5 2 10" xfId="23272"/>
    <cellStyle name="Ivedimo1 5 2 11" xfId="23273"/>
    <cellStyle name="Ivedimo1 5 2 12" xfId="23274"/>
    <cellStyle name="Ivedimo1 5 2 13" xfId="23275"/>
    <cellStyle name="Ivedimo1 5 2 14" xfId="23276"/>
    <cellStyle name="Ivedimo1 5 2 15" xfId="23277"/>
    <cellStyle name="Ivedimo1 5 2 16" xfId="23278"/>
    <cellStyle name="Ivedimo1 5 2 17" xfId="23279"/>
    <cellStyle name="Ivedimo1 5 2 18" xfId="23280"/>
    <cellStyle name="Ivedimo1 5 2 2" xfId="23281"/>
    <cellStyle name="Ivedimo1 5 2 2 2" xfId="23282"/>
    <cellStyle name="Ivedimo1 5 2 2 2 2" xfId="23283"/>
    <cellStyle name="Ivedimo1 5 2 2 3" xfId="23284"/>
    <cellStyle name="Ivedimo1 5 2 2 4" xfId="23285"/>
    <cellStyle name="Ivedimo1 5 2 3" xfId="23286"/>
    <cellStyle name="Ivedimo1 5 2 3 2" xfId="23287"/>
    <cellStyle name="Ivedimo1 5 2 3 3" xfId="23288"/>
    <cellStyle name="Ivedimo1 5 2 4" xfId="23289"/>
    <cellStyle name="Ivedimo1 5 2 4 2" xfId="23290"/>
    <cellStyle name="Ivedimo1 5 2 5" xfId="23291"/>
    <cellStyle name="Ivedimo1 5 2 6" xfId="23292"/>
    <cellStyle name="Ivedimo1 5 2 7" xfId="23293"/>
    <cellStyle name="Ivedimo1 5 2 8" xfId="23294"/>
    <cellStyle name="Ivedimo1 5 2 9" xfId="23295"/>
    <cellStyle name="Ivedimo1 5 3" xfId="23296"/>
    <cellStyle name="Ivedimo1 5 3 10" xfId="23297"/>
    <cellStyle name="Ivedimo1 5 3 11" xfId="23298"/>
    <cellStyle name="Ivedimo1 5 3 12" xfId="23299"/>
    <cellStyle name="Ivedimo1 5 3 13" xfId="23300"/>
    <cellStyle name="Ivedimo1 5 3 14" xfId="23301"/>
    <cellStyle name="Ivedimo1 5 3 15" xfId="23302"/>
    <cellStyle name="Ivedimo1 5 3 16" xfId="23303"/>
    <cellStyle name="Ivedimo1 5 3 17" xfId="23304"/>
    <cellStyle name="Ivedimo1 5 3 18" xfId="23305"/>
    <cellStyle name="Ivedimo1 5 3 2" xfId="23306"/>
    <cellStyle name="Ivedimo1 5 3 2 2" xfId="23307"/>
    <cellStyle name="Ivedimo1 5 3 2 2 2" xfId="23308"/>
    <cellStyle name="Ivedimo1 5 3 2 3" xfId="23309"/>
    <cellStyle name="Ivedimo1 5 3 2 4" xfId="23310"/>
    <cellStyle name="Ivedimo1 5 3 3" xfId="23311"/>
    <cellStyle name="Ivedimo1 5 3 3 2" xfId="23312"/>
    <cellStyle name="Ivedimo1 5 3 3 3" xfId="23313"/>
    <cellStyle name="Ivedimo1 5 3 4" xfId="23314"/>
    <cellStyle name="Ivedimo1 5 3 4 2" xfId="23315"/>
    <cellStyle name="Ivedimo1 5 3 5" xfId="23316"/>
    <cellStyle name="Ivedimo1 5 3 6" xfId="23317"/>
    <cellStyle name="Ivedimo1 5 3 7" xfId="23318"/>
    <cellStyle name="Ivedimo1 5 3 8" xfId="23319"/>
    <cellStyle name="Ivedimo1 5 3 9" xfId="23320"/>
    <cellStyle name="Ivedimo1 5 4" xfId="23321"/>
    <cellStyle name="Ivedimo1 5 4 2" xfId="23322"/>
    <cellStyle name="Ivedimo1 5 4 2 2" xfId="23323"/>
    <cellStyle name="Ivedimo1 5 4 2 3" xfId="23324"/>
    <cellStyle name="Ivedimo1 5 4 3" xfId="23325"/>
    <cellStyle name="Ivedimo1 5 4 3 2" xfId="23326"/>
    <cellStyle name="Ivedimo1 5 4 4" xfId="23327"/>
    <cellStyle name="Ivedimo1 5 4 5" xfId="23328"/>
    <cellStyle name="Ivedimo1 5 5" xfId="23329"/>
    <cellStyle name="Ivedimo1 5 5 2" xfId="23330"/>
    <cellStyle name="Ivedimo1 5 5 2 2" xfId="23331"/>
    <cellStyle name="Ivedimo1 5 5 3" xfId="23332"/>
    <cellStyle name="Ivedimo1 5 5 4" xfId="23333"/>
    <cellStyle name="Ivedimo1 5 6" xfId="23334"/>
    <cellStyle name="Ivedimo1 5 6 2" xfId="23335"/>
    <cellStyle name="Ivedimo1 5 7" xfId="23336"/>
    <cellStyle name="Ivedimo1 5 8" xfId="23337"/>
    <cellStyle name="Ivedimo1 5 9" xfId="23338"/>
    <cellStyle name="Ivedimo1 6" xfId="23339"/>
    <cellStyle name="Ivedimo1 6 10" xfId="23340"/>
    <cellStyle name="Ivedimo1 6 11" xfId="23341"/>
    <cellStyle name="Ivedimo1 6 12" xfId="23342"/>
    <cellStyle name="Ivedimo1 6 13" xfId="23343"/>
    <cellStyle name="Ivedimo1 6 14" xfId="23344"/>
    <cellStyle name="Ivedimo1 6 15" xfId="23345"/>
    <cellStyle name="Ivedimo1 6 16" xfId="23346"/>
    <cellStyle name="Ivedimo1 6 17" xfId="23347"/>
    <cellStyle name="Ivedimo1 6 18" xfId="23348"/>
    <cellStyle name="Ivedimo1 6 2" xfId="23349"/>
    <cellStyle name="Ivedimo1 6 2 2" xfId="23350"/>
    <cellStyle name="Ivedimo1 6 2 2 2" xfId="23351"/>
    <cellStyle name="Ivedimo1 6 2 3" xfId="23352"/>
    <cellStyle name="Ivedimo1 6 2 4" xfId="23353"/>
    <cellStyle name="Ivedimo1 6 3" xfId="23354"/>
    <cellStyle name="Ivedimo1 6 3 2" xfId="23355"/>
    <cellStyle name="Ivedimo1 6 3 3" xfId="23356"/>
    <cellStyle name="Ivedimo1 6 4" xfId="23357"/>
    <cellStyle name="Ivedimo1 6 4 2" xfId="23358"/>
    <cellStyle name="Ivedimo1 6 5" xfId="23359"/>
    <cellStyle name="Ivedimo1 6 6" xfId="23360"/>
    <cellStyle name="Ivedimo1 6 7" xfId="23361"/>
    <cellStyle name="Ivedimo1 6 8" xfId="23362"/>
    <cellStyle name="Ivedimo1 6 9" xfId="23363"/>
    <cellStyle name="Ivedimo1 7" xfId="23364"/>
    <cellStyle name="Ivedimo1 7 10" xfId="23365"/>
    <cellStyle name="Ivedimo1 7 11" xfId="23366"/>
    <cellStyle name="Ivedimo1 7 12" xfId="23367"/>
    <cellStyle name="Ivedimo1 7 13" xfId="23368"/>
    <cellStyle name="Ivedimo1 7 14" xfId="23369"/>
    <cellStyle name="Ivedimo1 7 15" xfId="23370"/>
    <cellStyle name="Ivedimo1 7 16" xfId="23371"/>
    <cellStyle name="Ivedimo1 7 17" xfId="23372"/>
    <cellStyle name="Ivedimo1 7 18" xfId="23373"/>
    <cellStyle name="Ivedimo1 7 2" xfId="23374"/>
    <cellStyle name="Ivedimo1 7 2 2" xfId="23375"/>
    <cellStyle name="Ivedimo1 7 2 3" xfId="23376"/>
    <cellStyle name="Ivedimo1 7 3" xfId="23377"/>
    <cellStyle name="Ivedimo1 7 3 2" xfId="23378"/>
    <cellStyle name="Ivedimo1 7 4" xfId="23379"/>
    <cellStyle name="Ivedimo1 7 5" xfId="23380"/>
    <cellStyle name="Ivedimo1 7 6" xfId="23381"/>
    <cellStyle name="Ivedimo1 7 7" xfId="23382"/>
    <cellStyle name="Ivedimo1 7 8" xfId="23383"/>
    <cellStyle name="Ivedimo1 7 9" xfId="23384"/>
    <cellStyle name="Ivedimo1 8" xfId="23385"/>
    <cellStyle name="Ivedimo1 8 2" xfId="23386"/>
    <cellStyle name="Ivedimo1 8 2 2" xfId="23387"/>
    <cellStyle name="Ivedimo1 8 3" xfId="23388"/>
    <cellStyle name="Ivedimo1 8 4" xfId="23389"/>
    <cellStyle name="Ivedimo1 9" xfId="23390"/>
    <cellStyle name="Ivedimo2" xfId="23391"/>
    <cellStyle name="Ivedimo2 10" xfId="23392"/>
    <cellStyle name="Ivedimo2 11" xfId="23393"/>
    <cellStyle name="Ivedimo2 12" xfId="23394"/>
    <cellStyle name="Ivedimo2 13" xfId="23395"/>
    <cellStyle name="Ivedimo2 14" xfId="23396"/>
    <cellStyle name="Ivedimo2 15" xfId="23397"/>
    <cellStyle name="Ivedimo2 16" xfId="23398"/>
    <cellStyle name="Ivedimo2 17" xfId="23399"/>
    <cellStyle name="Ivedimo2 18" xfId="23400"/>
    <cellStyle name="Ivedimo2 19" xfId="23401"/>
    <cellStyle name="Ivedimo2 2" xfId="23402"/>
    <cellStyle name="Ivedimo2 2 10" xfId="23403"/>
    <cellStyle name="Ivedimo2 2 11" xfId="23404"/>
    <cellStyle name="Ivedimo2 2 12" xfId="23405"/>
    <cellStyle name="Ivedimo2 2 13" xfId="23406"/>
    <cellStyle name="Ivedimo2 2 14" xfId="23407"/>
    <cellStyle name="Ivedimo2 2 15" xfId="23408"/>
    <cellStyle name="Ivedimo2 2 16" xfId="23409"/>
    <cellStyle name="Ivedimo2 2 17" xfId="23410"/>
    <cellStyle name="Ivedimo2 2 18" xfId="23411"/>
    <cellStyle name="Ivedimo2 2 19" xfId="23412"/>
    <cellStyle name="Ivedimo2 2 2" xfId="23413"/>
    <cellStyle name="Ivedimo2 2 2 10" xfId="23414"/>
    <cellStyle name="Ivedimo2 2 2 11" xfId="23415"/>
    <cellStyle name="Ivedimo2 2 2 12" xfId="23416"/>
    <cellStyle name="Ivedimo2 2 2 13" xfId="23417"/>
    <cellStyle name="Ivedimo2 2 2 14" xfId="23418"/>
    <cellStyle name="Ivedimo2 2 2 15" xfId="23419"/>
    <cellStyle name="Ivedimo2 2 2 16" xfId="23420"/>
    <cellStyle name="Ivedimo2 2 2 17" xfId="23421"/>
    <cellStyle name="Ivedimo2 2 2 18" xfId="23422"/>
    <cellStyle name="Ivedimo2 2 2 2" xfId="23423"/>
    <cellStyle name="Ivedimo2 2 2 2 2" xfId="23424"/>
    <cellStyle name="Ivedimo2 2 2 2 2 2" xfId="23425"/>
    <cellStyle name="Ivedimo2 2 2 2 3" xfId="23426"/>
    <cellStyle name="Ivedimo2 2 2 2 4" xfId="23427"/>
    <cellStyle name="Ivedimo2 2 2 3" xfId="23428"/>
    <cellStyle name="Ivedimo2 2 2 3 2" xfId="23429"/>
    <cellStyle name="Ivedimo2 2 2 3 3" xfId="23430"/>
    <cellStyle name="Ivedimo2 2 2 4" xfId="23431"/>
    <cellStyle name="Ivedimo2 2 2 4 2" xfId="23432"/>
    <cellStyle name="Ivedimo2 2 2 5" xfId="23433"/>
    <cellStyle name="Ivedimo2 2 2 6" xfId="23434"/>
    <cellStyle name="Ivedimo2 2 2 7" xfId="23435"/>
    <cellStyle name="Ivedimo2 2 2 8" xfId="23436"/>
    <cellStyle name="Ivedimo2 2 2 9" xfId="23437"/>
    <cellStyle name="Ivedimo2 2 20" xfId="23438"/>
    <cellStyle name="Ivedimo2 2 21" xfId="23439"/>
    <cellStyle name="Ivedimo2 2 22" xfId="23440"/>
    <cellStyle name="Ivedimo2 2 23" xfId="23441"/>
    <cellStyle name="Ivedimo2 2 3" xfId="23442"/>
    <cellStyle name="Ivedimo2 2 3 10" xfId="23443"/>
    <cellStyle name="Ivedimo2 2 3 11" xfId="23444"/>
    <cellStyle name="Ivedimo2 2 3 12" xfId="23445"/>
    <cellStyle name="Ivedimo2 2 3 13" xfId="23446"/>
    <cellStyle name="Ivedimo2 2 3 14" xfId="23447"/>
    <cellStyle name="Ivedimo2 2 3 15" xfId="23448"/>
    <cellStyle name="Ivedimo2 2 3 16" xfId="23449"/>
    <cellStyle name="Ivedimo2 2 3 17" xfId="23450"/>
    <cellStyle name="Ivedimo2 2 3 18" xfId="23451"/>
    <cellStyle name="Ivedimo2 2 3 2" xfId="23452"/>
    <cellStyle name="Ivedimo2 2 3 2 2" xfId="23453"/>
    <cellStyle name="Ivedimo2 2 3 2 2 2" xfId="23454"/>
    <cellStyle name="Ivedimo2 2 3 2 3" xfId="23455"/>
    <cellStyle name="Ivedimo2 2 3 2 4" xfId="23456"/>
    <cellStyle name="Ivedimo2 2 3 3" xfId="23457"/>
    <cellStyle name="Ivedimo2 2 3 3 2" xfId="23458"/>
    <cellStyle name="Ivedimo2 2 3 3 3" xfId="23459"/>
    <cellStyle name="Ivedimo2 2 3 4" xfId="23460"/>
    <cellStyle name="Ivedimo2 2 3 4 2" xfId="23461"/>
    <cellStyle name="Ivedimo2 2 3 5" xfId="23462"/>
    <cellStyle name="Ivedimo2 2 3 6" xfId="23463"/>
    <cellStyle name="Ivedimo2 2 3 7" xfId="23464"/>
    <cellStyle name="Ivedimo2 2 3 8" xfId="23465"/>
    <cellStyle name="Ivedimo2 2 3 9" xfId="23466"/>
    <cellStyle name="Ivedimo2 2 4" xfId="23467"/>
    <cellStyle name="Ivedimo2 2 4 2" xfId="23468"/>
    <cellStyle name="Ivedimo2 2 4 2 2" xfId="23469"/>
    <cellStyle name="Ivedimo2 2 4 2 3" xfId="23470"/>
    <cellStyle name="Ivedimo2 2 4 3" xfId="23471"/>
    <cellStyle name="Ivedimo2 2 4 3 2" xfId="23472"/>
    <cellStyle name="Ivedimo2 2 4 4" xfId="23473"/>
    <cellStyle name="Ivedimo2 2 4 5" xfId="23474"/>
    <cellStyle name="Ivedimo2 2 5" xfId="23475"/>
    <cellStyle name="Ivedimo2 2 5 2" xfId="23476"/>
    <cellStyle name="Ivedimo2 2 5 2 2" xfId="23477"/>
    <cellStyle name="Ivedimo2 2 5 3" xfId="23478"/>
    <cellStyle name="Ivedimo2 2 5 4" xfId="23479"/>
    <cellStyle name="Ivedimo2 2 6" xfId="23480"/>
    <cellStyle name="Ivedimo2 2 6 2" xfId="23481"/>
    <cellStyle name="Ivedimo2 2 6 3" xfId="23482"/>
    <cellStyle name="Ivedimo2 2 7" xfId="23483"/>
    <cellStyle name="Ivedimo2 2 7 2" xfId="23484"/>
    <cellStyle name="Ivedimo2 2 8" xfId="23485"/>
    <cellStyle name="Ivedimo2 2 9" xfId="23486"/>
    <cellStyle name="Ivedimo2 20" xfId="23487"/>
    <cellStyle name="Ivedimo2 21" xfId="23488"/>
    <cellStyle name="Ivedimo2 3" xfId="23489"/>
    <cellStyle name="Ivedimo2 3 10" xfId="23490"/>
    <cellStyle name="Ivedimo2 3 11" xfId="23491"/>
    <cellStyle name="Ivedimo2 3 12" xfId="23492"/>
    <cellStyle name="Ivedimo2 3 13" xfId="23493"/>
    <cellStyle name="Ivedimo2 3 14" xfId="23494"/>
    <cellStyle name="Ivedimo2 3 15" xfId="23495"/>
    <cellStyle name="Ivedimo2 3 16" xfId="23496"/>
    <cellStyle name="Ivedimo2 3 17" xfId="23497"/>
    <cellStyle name="Ivedimo2 3 18" xfId="23498"/>
    <cellStyle name="Ivedimo2 3 19" xfId="23499"/>
    <cellStyle name="Ivedimo2 3 2" xfId="23500"/>
    <cellStyle name="Ivedimo2 3 2 10" xfId="23501"/>
    <cellStyle name="Ivedimo2 3 2 11" xfId="23502"/>
    <cellStyle name="Ivedimo2 3 2 12" xfId="23503"/>
    <cellStyle name="Ivedimo2 3 2 13" xfId="23504"/>
    <cellStyle name="Ivedimo2 3 2 14" xfId="23505"/>
    <cellStyle name="Ivedimo2 3 2 15" xfId="23506"/>
    <cellStyle name="Ivedimo2 3 2 16" xfId="23507"/>
    <cellStyle name="Ivedimo2 3 2 17" xfId="23508"/>
    <cellStyle name="Ivedimo2 3 2 18" xfId="23509"/>
    <cellStyle name="Ivedimo2 3 2 2" xfId="23510"/>
    <cellStyle name="Ivedimo2 3 2 2 2" xfId="23511"/>
    <cellStyle name="Ivedimo2 3 2 2 2 2" xfId="23512"/>
    <cellStyle name="Ivedimo2 3 2 2 3" xfId="23513"/>
    <cellStyle name="Ivedimo2 3 2 2 4" xfId="23514"/>
    <cellStyle name="Ivedimo2 3 2 3" xfId="23515"/>
    <cellStyle name="Ivedimo2 3 2 3 2" xfId="23516"/>
    <cellStyle name="Ivedimo2 3 2 3 3" xfId="23517"/>
    <cellStyle name="Ivedimo2 3 2 4" xfId="23518"/>
    <cellStyle name="Ivedimo2 3 2 4 2" xfId="23519"/>
    <cellStyle name="Ivedimo2 3 2 5" xfId="23520"/>
    <cellStyle name="Ivedimo2 3 2 6" xfId="23521"/>
    <cellStyle name="Ivedimo2 3 2 7" xfId="23522"/>
    <cellStyle name="Ivedimo2 3 2 8" xfId="23523"/>
    <cellStyle name="Ivedimo2 3 2 9" xfId="23524"/>
    <cellStyle name="Ivedimo2 3 3" xfId="23525"/>
    <cellStyle name="Ivedimo2 3 3 10" xfId="23526"/>
    <cellStyle name="Ivedimo2 3 3 11" xfId="23527"/>
    <cellStyle name="Ivedimo2 3 3 12" xfId="23528"/>
    <cellStyle name="Ivedimo2 3 3 13" xfId="23529"/>
    <cellStyle name="Ivedimo2 3 3 14" xfId="23530"/>
    <cellStyle name="Ivedimo2 3 3 15" xfId="23531"/>
    <cellStyle name="Ivedimo2 3 3 16" xfId="23532"/>
    <cellStyle name="Ivedimo2 3 3 17" xfId="23533"/>
    <cellStyle name="Ivedimo2 3 3 18" xfId="23534"/>
    <cellStyle name="Ivedimo2 3 3 2" xfId="23535"/>
    <cellStyle name="Ivedimo2 3 3 2 2" xfId="23536"/>
    <cellStyle name="Ivedimo2 3 3 2 2 2" xfId="23537"/>
    <cellStyle name="Ivedimo2 3 3 2 3" xfId="23538"/>
    <cellStyle name="Ivedimo2 3 3 2 4" xfId="23539"/>
    <cellStyle name="Ivedimo2 3 3 3" xfId="23540"/>
    <cellStyle name="Ivedimo2 3 3 3 2" xfId="23541"/>
    <cellStyle name="Ivedimo2 3 3 3 3" xfId="23542"/>
    <cellStyle name="Ivedimo2 3 3 4" xfId="23543"/>
    <cellStyle name="Ivedimo2 3 3 4 2" xfId="23544"/>
    <cellStyle name="Ivedimo2 3 3 5" xfId="23545"/>
    <cellStyle name="Ivedimo2 3 3 6" xfId="23546"/>
    <cellStyle name="Ivedimo2 3 3 7" xfId="23547"/>
    <cellStyle name="Ivedimo2 3 3 8" xfId="23548"/>
    <cellStyle name="Ivedimo2 3 3 9" xfId="23549"/>
    <cellStyle name="Ivedimo2 3 4" xfId="23550"/>
    <cellStyle name="Ivedimo2 3 4 2" xfId="23551"/>
    <cellStyle name="Ivedimo2 3 4 2 2" xfId="23552"/>
    <cellStyle name="Ivedimo2 3 4 2 3" xfId="23553"/>
    <cellStyle name="Ivedimo2 3 4 3" xfId="23554"/>
    <cellStyle name="Ivedimo2 3 4 3 2" xfId="23555"/>
    <cellStyle name="Ivedimo2 3 4 4" xfId="23556"/>
    <cellStyle name="Ivedimo2 3 4 5" xfId="23557"/>
    <cellStyle name="Ivedimo2 3 5" xfId="23558"/>
    <cellStyle name="Ivedimo2 3 5 2" xfId="23559"/>
    <cellStyle name="Ivedimo2 3 5 2 2" xfId="23560"/>
    <cellStyle name="Ivedimo2 3 5 3" xfId="23561"/>
    <cellStyle name="Ivedimo2 3 5 4" xfId="23562"/>
    <cellStyle name="Ivedimo2 3 6" xfId="23563"/>
    <cellStyle name="Ivedimo2 3 6 2" xfId="23564"/>
    <cellStyle name="Ivedimo2 3 6 3" xfId="23565"/>
    <cellStyle name="Ivedimo2 3 7" xfId="23566"/>
    <cellStyle name="Ivedimo2 3 7 2" xfId="23567"/>
    <cellStyle name="Ivedimo2 3 8" xfId="23568"/>
    <cellStyle name="Ivedimo2 3 9" xfId="23569"/>
    <cellStyle name="Ivedimo2 4" xfId="23570"/>
    <cellStyle name="Ivedimo2 4 10" xfId="23571"/>
    <cellStyle name="Ivedimo2 4 11" xfId="23572"/>
    <cellStyle name="Ivedimo2 4 12" xfId="23573"/>
    <cellStyle name="Ivedimo2 4 13" xfId="23574"/>
    <cellStyle name="Ivedimo2 4 14" xfId="23575"/>
    <cellStyle name="Ivedimo2 4 15" xfId="23576"/>
    <cellStyle name="Ivedimo2 4 16" xfId="23577"/>
    <cellStyle name="Ivedimo2 4 17" xfId="23578"/>
    <cellStyle name="Ivedimo2 4 18" xfId="23579"/>
    <cellStyle name="Ivedimo2 4 19" xfId="23580"/>
    <cellStyle name="Ivedimo2 4 2" xfId="23581"/>
    <cellStyle name="Ivedimo2 4 2 10" xfId="23582"/>
    <cellStyle name="Ivedimo2 4 2 11" xfId="23583"/>
    <cellStyle name="Ivedimo2 4 2 12" xfId="23584"/>
    <cellStyle name="Ivedimo2 4 2 13" xfId="23585"/>
    <cellStyle name="Ivedimo2 4 2 14" xfId="23586"/>
    <cellStyle name="Ivedimo2 4 2 15" xfId="23587"/>
    <cellStyle name="Ivedimo2 4 2 16" xfId="23588"/>
    <cellStyle name="Ivedimo2 4 2 17" xfId="23589"/>
    <cellStyle name="Ivedimo2 4 2 18" xfId="23590"/>
    <cellStyle name="Ivedimo2 4 2 2" xfId="23591"/>
    <cellStyle name="Ivedimo2 4 2 2 2" xfId="23592"/>
    <cellStyle name="Ivedimo2 4 2 2 2 2" xfId="23593"/>
    <cellStyle name="Ivedimo2 4 2 2 3" xfId="23594"/>
    <cellStyle name="Ivedimo2 4 2 2 4" xfId="23595"/>
    <cellStyle name="Ivedimo2 4 2 3" xfId="23596"/>
    <cellStyle name="Ivedimo2 4 2 3 2" xfId="23597"/>
    <cellStyle name="Ivedimo2 4 2 3 3" xfId="23598"/>
    <cellStyle name="Ivedimo2 4 2 4" xfId="23599"/>
    <cellStyle name="Ivedimo2 4 2 4 2" xfId="23600"/>
    <cellStyle name="Ivedimo2 4 2 5" xfId="23601"/>
    <cellStyle name="Ivedimo2 4 2 6" xfId="23602"/>
    <cellStyle name="Ivedimo2 4 2 7" xfId="23603"/>
    <cellStyle name="Ivedimo2 4 2 8" xfId="23604"/>
    <cellStyle name="Ivedimo2 4 2 9" xfId="23605"/>
    <cellStyle name="Ivedimo2 4 3" xfId="23606"/>
    <cellStyle name="Ivedimo2 4 3 10" xfId="23607"/>
    <cellStyle name="Ivedimo2 4 3 11" xfId="23608"/>
    <cellStyle name="Ivedimo2 4 3 12" xfId="23609"/>
    <cellStyle name="Ivedimo2 4 3 13" xfId="23610"/>
    <cellStyle name="Ivedimo2 4 3 14" xfId="23611"/>
    <cellStyle name="Ivedimo2 4 3 15" xfId="23612"/>
    <cellStyle name="Ivedimo2 4 3 16" xfId="23613"/>
    <cellStyle name="Ivedimo2 4 3 17" xfId="23614"/>
    <cellStyle name="Ivedimo2 4 3 18" xfId="23615"/>
    <cellStyle name="Ivedimo2 4 3 2" xfId="23616"/>
    <cellStyle name="Ivedimo2 4 3 2 2" xfId="23617"/>
    <cellStyle name="Ivedimo2 4 3 2 2 2" xfId="23618"/>
    <cellStyle name="Ivedimo2 4 3 2 3" xfId="23619"/>
    <cellStyle name="Ivedimo2 4 3 2 4" xfId="23620"/>
    <cellStyle name="Ivedimo2 4 3 3" xfId="23621"/>
    <cellStyle name="Ivedimo2 4 3 3 2" xfId="23622"/>
    <cellStyle name="Ivedimo2 4 3 3 3" xfId="23623"/>
    <cellStyle name="Ivedimo2 4 3 4" xfId="23624"/>
    <cellStyle name="Ivedimo2 4 3 4 2" xfId="23625"/>
    <cellStyle name="Ivedimo2 4 3 5" xfId="23626"/>
    <cellStyle name="Ivedimo2 4 3 6" xfId="23627"/>
    <cellStyle name="Ivedimo2 4 3 7" xfId="23628"/>
    <cellStyle name="Ivedimo2 4 3 8" xfId="23629"/>
    <cellStyle name="Ivedimo2 4 3 9" xfId="23630"/>
    <cellStyle name="Ivedimo2 4 4" xfId="23631"/>
    <cellStyle name="Ivedimo2 4 4 2" xfId="23632"/>
    <cellStyle name="Ivedimo2 4 4 2 2" xfId="23633"/>
    <cellStyle name="Ivedimo2 4 4 2 3" xfId="23634"/>
    <cellStyle name="Ivedimo2 4 4 3" xfId="23635"/>
    <cellStyle name="Ivedimo2 4 4 3 2" xfId="23636"/>
    <cellStyle name="Ivedimo2 4 4 4" xfId="23637"/>
    <cellStyle name="Ivedimo2 4 4 5" xfId="23638"/>
    <cellStyle name="Ivedimo2 4 5" xfId="23639"/>
    <cellStyle name="Ivedimo2 4 5 2" xfId="23640"/>
    <cellStyle name="Ivedimo2 4 5 2 2" xfId="23641"/>
    <cellStyle name="Ivedimo2 4 5 3" xfId="23642"/>
    <cellStyle name="Ivedimo2 4 5 4" xfId="23643"/>
    <cellStyle name="Ivedimo2 4 6" xfId="23644"/>
    <cellStyle name="Ivedimo2 4 6 2" xfId="23645"/>
    <cellStyle name="Ivedimo2 4 6 3" xfId="23646"/>
    <cellStyle name="Ivedimo2 4 7" xfId="23647"/>
    <cellStyle name="Ivedimo2 4 7 2" xfId="23648"/>
    <cellStyle name="Ivedimo2 4 8" xfId="23649"/>
    <cellStyle name="Ivedimo2 4 9" xfId="23650"/>
    <cellStyle name="Ivedimo2 5" xfId="23651"/>
    <cellStyle name="Ivedimo2 5 10" xfId="23652"/>
    <cellStyle name="Ivedimo2 5 11" xfId="23653"/>
    <cellStyle name="Ivedimo2 5 12" xfId="23654"/>
    <cellStyle name="Ivedimo2 5 13" xfId="23655"/>
    <cellStyle name="Ivedimo2 5 14" xfId="23656"/>
    <cellStyle name="Ivedimo2 5 15" xfId="23657"/>
    <cellStyle name="Ivedimo2 5 2" xfId="23658"/>
    <cellStyle name="Ivedimo2 5 2 10" xfId="23659"/>
    <cellStyle name="Ivedimo2 5 2 11" xfId="23660"/>
    <cellStyle name="Ivedimo2 5 2 12" xfId="23661"/>
    <cellStyle name="Ivedimo2 5 2 13" xfId="23662"/>
    <cellStyle name="Ivedimo2 5 2 14" xfId="23663"/>
    <cellStyle name="Ivedimo2 5 2 15" xfId="23664"/>
    <cellStyle name="Ivedimo2 5 2 16" xfId="23665"/>
    <cellStyle name="Ivedimo2 5 2 17" xfId="23666"/>
    <cellStyle name="Ivedimo2 5 2 18" xfId="23667"/>
    <cellStyle name="Ivedimo2 5 2 2" xfId="23668"/>
    <cellStyle name="Ivedimo2 5 2 2 2" xfId="23669"/>
    <cellStyle name="Ivedimo2 5 2 2 2 2" xfId="23670"/>
    <cellStyle name="Ivedimo2 5 2 2 3" xfId="23671"/>
    <cellStyle name="Ivedimo2 5 2 2 4" xfId="23672"/>
    <cellStyle name="Ivedimo2 5 2 3" xfId="23673"/>
    <cellStyle name="Ivedimo2 5 2 3 2" xfId="23674"/>
    <cellStyle name="Ivedimo2 5 2 3 3" xfId="23675"/>
    <cellStyle name="Ivedimo2 5 2 4" xfId="23676"/>
    <cellStyle name="Ivedimo2 5 2 4 2" xfId="23677"/>
    <cellStyle name="Ivedimo2 5 2 5" xfId="23678"/>
    <cellStyle name="Ivedimo2 5 2 6" xfId="23679"/>
    <cellStyle name="Ivedimo2 5 2 7" xfId="23680"/>
    <cellStyle name="Ivedimo2 5 2 8" xfId="23681"/>
    <cellStyle name="Ivedimo2 5 2 9" xfId="23682"/>
    <cellStyle name="Ivedimo2 5 3" xfId="23683"/>
    <cellStyle name="Ivedimo2 5 3 10" xfId="23684"/>
    <cellStyle name="Ivedimo2 5 3 11" xfId="23685"/>
    <cellStyle name="Ivedimo2 5 3 12" xfId="23686"/>
    <cellStyle name="Ivedimo2 5 3 13" xfId="23687"/>
    <cellStyle name="Ivedimo2 5 3 14" xfId="23688"/>
    <cellStyle name="Ivedimo2 5 3 15" xfId="23689"/>
    <cellStyle name="Ivedimo2 5 3 16" xfId="23690"/>
    <cellStyle name="Ivedimo2 5 3 17" xfId="23691"/>
    <cellStyle name="Ivedimo2 5 3 18" xfId="23692"/>
    <cellStyle name="Ivedimo2 5 3 2" xfId="23693"/>
    <cellStyle name="Ivedimo2 5 3 2 2" xfId="23694"/>
    <cellStyle name="Ivedimo2 5 3 2 2 2" xfId="23695"/>
    <cellStyle name="Ivedimo2 5 3 2 3" xfId="23696"/>
    <cellStyle name="Ivedimo2 5 3 2 4" xfId="23697"/>
    <cellStyle name="Ivedimo2 5 3 3" xfId="23698"/>
    <cellStyle name="Ivedimo2 5 3 3 2" xfId="23699"/>
    <cellStyle name="Ivedimo2 5 3 3 3" xfId="23700"/>
    <cellStyle name="Ivedimo2 5 3 4" xfId="23701"/>
    <cellStyle name="Ivedimo2 5 3 4 2" xfId="23702"/>
    <cellStyle name="Ivedimo2 5 3 5" xfId="23703"/>
    <cellStyle name="Ivedimo2 5 3 6" xfId="23704"/>
    <cellStyle name="Ivedimo2 5 3 7" xfId="23705"/>
    <cellStyle name="Ivedimo2 5 3 8" xfId="23706"/>
    <cellStyle name="Ivedimo2 5 3 9" xfId="23707"/>
    <cellStyle name="Ivedimo2 5 4" xfId="23708"/>
    <cellStyle name="Ivedimo2 5 4 2" xfId="23709"/>
    <cellStyle name="Ivedimo2 5 4 2 2" xfId="23710"/>
    <cellStyle name="Ivedimo2 5 4 2 3" xfId="23711"/>
    <cellStyle name="Ivedimo2 5 4 3" xfId="23712"/>
    <cellStyle name="Ivedimo2 5 4 3 2" xfId="23713"/>
    <cellStyle name="Ivedimo2 5 4 4" xfId="23714"/>
    <cellStyle name="Ivedimo2 5 4 5" xfId="23715"/>
    <cellStyle name="Ivedimo2 5 5" xfId="23716"/>
    <cellStyle name="Ivedimo2 5 5 2" xfId="23717"/>
    <cellStyle name="Ivedimo2 5 5 2 2" xfId="23718"/>
    <cellStyle name="Ivedimo2 5 5 3" xfId="23719"/>
    <cellStyle name="Ivedimo2 5 5 4" xfId="23720"/>
    <cellStyle name="Ivedimo2 5 6" xfId="23721"/>
    <cellStyle name="Ivedimo2 5 6 2" xfId="23722"/>
    <cellStyle name="Ivedimo2 5 7" xfId="23723"/>
    <cellStyle name="Ivedimo2 5 8" xfId="23724"/>
    <cellStyle name="Ivedimo2 5 9" xfId="23725"/>
    <cellStyle name="Ivedimo2 6" xfId="23726"/>
    <cellStyle name="Ivedimo2 6 10" xfId="23727"/>
    <cellStyle name="Ivedimo2 6 11" xfId="23728"/>
    <cellStyle name="Ivedimo2 6 12" xfId="23729"/>
    <cellStyle name="Ivedimo2 6 13" xfId="23730"/>
    <cellStyle name="Ivedimo2 6 14" xfId="23731"/>
    <cellStyle name="Ivedimo2 6 15" xfId="23732"/>
    <cellStyle name="Ivedimo2 6 16" xfId="23733"/>
    <cellStyle name="Ivedimo2 6 17" xfId="23734"/>
    <cellStyle name="Ivedimo2 6 18" xfId="23735"/>
    <cellStyle name="Ivedimo2 6 2" xfId="23736"/>
    <cellStyle name="Ivedimo2 6 2 2" xfId="23737"/>
    <cellStyle name="Ivedimo2 6 2 2 2" xfId="23738"/>
    <cellStyle name="Ivedimo2 6 2 3" xfId="23739"/>
    <cellStyle name="Ivedimo2 6 2 4" xfId="23740"/>
    <cellStyle name="Ivedimo2 6 3" xfId="23741"/>
    <cellStyle name="Ivedimo2 6 3 2" xfId="23742"/>
    <cellStyle name="Ivedimo2 6 3 3" xfId="23743"/>
    <cellStyle name="Ivedimo2 6 4" xfId="23744"/>
    <cellStyle name="Ivedimo2 6 4 2" xfId="23745"/>
    <cellStyle name="Ivedimo2 6 5" xfId="23746"/>
    <cellStyle name="Ivedimo2 6 6" xfId="23747"/>
    <cellStyle name="Ivedimo2 6 7" xfId="23748"/>
    <cellStyle name="Ivedimo2 6 8" xfId="23749"/>
    <cellStyle name="Ivedimo2 6 9" xfId="23750"/>
    <cellStyle name="Ivedimo2 7" xfId="23751"/>
    <cellStyle name="Ivedimo2 7 10" xfId="23752"/>
    <cellStyle name="Ivedimo2 7 11" xfId="23753"/>
    <cellStyle name="Ivedimo2 7 12" xfId="23754"/>
    <cellStyle name="Ivedimo2 7 13" xfId="23755"/>
    <cellStyle name="Ivedimo2 7 14" xfId="23756"/>
    <cellStyle name="Ivedimo2 7 15" xfId="23757"/>
    <cellStyle name="Ivedimo2 7 16" xfId="23758"/>
    <cellStyle name="Ivedimo2 7 17" xfId="23759"/>
    <cellStyle name="Ivedimo2 7 18" xfId="23760"/>
    <cellStyle name="Ivedimo2 7 2" xfId="23761"/>
    <cellStyle name="Ivedimo2 7 2 2" xfId="23762"/>
    <cellStyle name="Ivedimo2 7 2 3" xfId="23763"/>
    <cellStyle name="Ivedimo2 7 3" xfId="23764"/>
    <cellStyle name="Ivedimo2 7 3 2" xfId="23765"/>
    <cellStyle name="Ivedimo2 7 4" xfId="23766"/>
    <cellStyle name="Ivedimo2 7 5" xfId="23767"/>
    <cellStyle name="Ivedimo2 7 6" xfId="23768"/>
    <cellStyle name="Ivedimo2 7 7" xfId="23769"/>
    <cellStyle name="Ivedimo2 7 8" xfId="23770"/>
    <cellStyle name="Ivedimo2 7 9" xfId="23771"/>
    <cellStyle name="Ivedimo2 8" xfId="23772"/>
    <cellStyle name="Ivedimo2 8 2" xfId="23773"/>
    <cellStyle name="Ivedimo2 8 2 2" xfId="23774"/>
    <cellStyle name="Ivedimo2 8 3" xfId="23775"/>
    <cellStyle name="Ivedimo2 8 4" xfId="23776"/>
    <cellStyle name="Ivedimo2 9" xfId="23777"/>
    <cellStyle name="Ivedimo5" xfId="23778"/>
    <cellStyle name="Ivedimo5 10" xfId="23779"/>
    <cellStyle name="Ivedimo5 11" xfId="23780"/>
    <cellStyle name="Ivedimo5 12" xfId="23781"/>
    <cellStyle name="Ivedimo5 13" xfId="23782"/>
    <cellStyle name="Ivedimo5 14" xfId="23783"/>
    <cellStyle name="Ivedimo5 15" xfId="23784"/>
    <cellStyle name="Ivedimo5 16" xfId="23785"/>
    <cellStyle name="Ivedimo5 17" xfId="23786"/>
    <cellStyle name="Ivedimo5 18" xfId="23787"/>
    <cellStyle name="Ivedimo5 19" xfId="23788"/>
    <cellStyle name="Ivedimo5 2" xfId="23789"/>
    <cellStyle name="Ivedimo5 2 10" xfId="23790"/>
    <cellStyle name="Ivedimo5 2 11" xfId="23791"/>
    <cellStyle name="Ivedimo5 2 12" xfId="23792"/>
    <cellStyle name="Ivedimo5 2 13" xfId="23793"/>
    <cellStyle name="Ivedimo5 2 14" xfId="23794"/>
    <cellStyle name="Ivedimo5 2 15" xfId="23795"/>
    <cellStyle name="Ivedimo5 2 16" xfId="23796"/>
    <cellStyle name="Ivedimo5 2 17" xfId="23797"/>
    <cellStyle name="Ivedimo5 2 18" xfId="23798"/>
    <cellStyle name="Ivedimo5 2 19" xfId="23799"/>
    <cellStyle name="Ivedimo5 2 2" xfId="23800"/>
    <cellStyle name="Ivedimo5 2 2 10" xfId="23801"/>
    <cellStyle name="Ivedimo5 2 2 11" xfId="23802"/>
    <cellStyle name="Ivedimo5 2 2 12" xfId="23803"/>
    <cellStyle name="Ivedimo5 2 2 13" xfId="23804"/>
    <cellStyle name="Ivedimo5 2 2 14" xfId="23805"/>
    <cellStyle name="Ivedimo5 2 2 15" xfId="23806"/>
    <cellStyle name="Ivedimo5 2 2 16" xfId="23807"/>
    <cellStyle name="Ivedimo5 2 2 17" xfId="23808"/>
    <cellStyle name="Ivedimo5 2 2 18" xfId="23809"/>
    <cellStyle name="Ivedimo5 2 2 2" xfId="23810"/>
    <cellStyle name="Ivedimo5 2 2 2 2" xfId="23811"/>
    <cellStyle name="Ivedimo5 2 2 2 2 2" xfId="23812"/>
    <cellStyle name="Ivedimo5 2 2 2 3" xfId="23813"/>
    <cellStyle name="Ivedimo5 2 2 2 4" xfId="23814"/>
    <cellStyle name="Ivedimo5 2 2 3" xfId="23815"/>
    <cellStyle name="Ivedimo5 2 2 3 2" xfId="23816"/>
    <cellStyle name="Ivedimo5 2 2 3 3" xfId="23817"/>
    <cellStyle name="Ivedimo5 2 2 4" xfId="23818"/>
    <cellStyle name="Ivedimo5 2 2 4 2" xfId="23819"/>
    <cellStyle name="Ivedimo5 2 2 5" xfId="23820"/>
    <cellStyle name="Ivedimo5 2 2 6" xfId="23821"/>
    <cellStyle name="Ivedimo5 2 2 7" xfId="23822"/>
    <cellStyle name="Ivedimo5 2 2 8" xfId="23823"/>
    <cellStyle name="Ivedimo5 2 2 9" xfId="23824"/>
    <cellStyle name="Ivedimo5 2 20" xfId="23825"/>
    <cellStyle name="Ivedimo5 2 21" xfId="23826"/>
    <cellStyle name="Ivedimo5 2 22" xfId="23827"/>
    <cellStyle name="Ivedimo5 2 23" xfId="23828"/>
    <cellStyle name="Ivedimo5 2 3" xfId="23829"/>
    <cellStyle name="Ivedimo5 2 3 10" xfId="23830"/>
    <cellStyle name="Ivedimo5 2 3 11" xfId="23831"/>
    <cellStyle name="Ivedimo5 2 3 12" xfId="23832"/>
    <cellStyle name="Ivedimo5 2 3 13" xfId="23833"/>
    <cellStyle name="Ivedimo5 2 3 14" xfId="23834"/>
    <cellStyle name="Ivedimo5 2 3 15" xfId="23835"/>
    <cellStyle name="Ivedimo5 2 3 16" xfId="23836"/>
    <cellStyle name="Ivedimo5 2 3 17" xfId="23837"/>
    <cellStyle name="Ivedimo5 2 3 18" xfId="23838"/>
    <cellStyle name="Ivedimo5 2 3 2" xfId="23839"/>
    <cellStyle name="Ivedimo5 2 3 2 2" xfId="23840"/>
    <cellStyle name="Ivedimo5 2 3 2 2 2" xfId="23841"/>
    <cellStyle name="Ivedimo5 2 3 2 3" xfId="23842"/>
    <cellStyle name="Ivedimo5 2 3 2 4" xfId="23843"/>
    <cellStyle name="Ivedimo5 2 3 3" xfId="23844"/>
    <cellStyle name="Ivedimo5 2 3 3 2" xfId="23845"/>
    <cellStyle name="Ivedimo5 2 3 3 3" xfId="23846"/>
    <cellStyle name="Ivedimo5 2 3 4" xfId="23847"/>
    <cellStyle name="Ivedimo5 2 3 4 2" xfId="23848"/>
    <cellStyle name="Ivedimo5 2 3 5" xfId="23849"/>
    <cellStyle name="Ivedimo5 2 3 6" xfId="23850"/>
    <cellStyle name="Ivedimo5 2 3 7" xfId="23851"/>
    <cellStyle name="Ivedimo5 2 3 8" xfId="23852"/>
    <cellStyle name="Ivedimo5 2 3 9" xfId="23853"/>
    <cellStyle name="Ivedimo5 2 4" xfId="23854"/>
    <cellStyle name="Ivedimo5 2 4 2" xfId="23855"/>
    <cellStyle name="Ivedimo5 2 4 2 2" xfId="23856"/>
    <cellStyle name="Ivedimo5 2 4 2 3" xfId="23857"/>
    <cellStyle name="Ivedimo5 2 4 3" xfId="23858"/>
    <cellStyle name="Ivedimo5 2 4 3 2" xfId="23859"/>
    <cellStyle name="Ivedimo5 2 4 4" xfId="23860"/>
    <cellStyle name="Ivedimo5 2 4 5" xfId="23861"/>
    <cellStyle name="Ivedimo5 2 5" xfId="23862"/>
    <cellStyle name="Ivedimo5 2 5 2" xfId="23863"/>
    <cellStyle name="Ivedimo5 2 5 2 2" xfId="23864"/>
    <cellStyle name="Ivedimo5 2 5 3" xfId="23865"/>
    <cellStyle name="Ivedimo5 2 5 4" xfId="23866"/>
    <cellStyle name="Ivedimo5 2 6" xfId="23867"/>
    <cellStyle name="Ivedimo5 2 6 2" xfId="23868"/>
    <cellStyle name="Ivedimo5 2 6 3" xfId="23869"/>
    <cellStyle name="Ivedimo5 2 7" xfId="23870"/>
    <cellStyle name="Ivedimo5 2 7 2" xfId="23871"/>
    <cellStyle name="Ivedimo5 2 8" xfId="23872"/>
    <cellStyle name="Ivedimo5 2 9" xfId="23873"/>
    <cellStyle name="Ivedimo5 20" xfId="23874"/>
    <cellStyle name="Ivedimo5 21" xfId="23875"/>
    <cellStyle name="Ivedimo5 3" xfId="23876"/>
    <cellStyle name="Ivedimo5 3 10" xfId="23877"/>
    <cellStyle name="Ivedimo5 3 11" xfId="23878"/>
    <cellStyle name="Ivedimo5 3 12" xfId="23879"/>
    <cellStyle name="Ivedimo5 3 13" xfId="23880"/>
    <cellStyle name="Ivedimo5 3 14" xfId="23881"/>
    <cellStyle name="Ivedimo5 3 15" xfId="23882"/>
    <cellStyle name="Ivedimo5 3 16" xfId="23883"/>
    <cellStyle name="Ivedimo5 3 17" xfId="23884"/>
    <cellStyle name="Ivedimo5 3 18" xfId="23885"/>
    <cellStyle name="Ivedimo5 3 19" xfId="23886"/>
    <cellStyle name="Ivedimo5 3 2" xfId="23887"/>
    <cellStyle name="Ivedimo5 3 2 10" xfId="23888"/>
    <cellStyle name="Ivedimo5 3 2 11" xfId="23889"/>
    <cellStyle name="Ivedimo5 3 2 12" xfId="23890"/>
    <cellStyle name="Ivedimo5 3 2 13" xfId="23891"/>
    <cellStyle name="Ivedimo5 3 2 14" xfId="23892"/>
    <cellStyle name="Ivedimo5 3 2 15" xfId="23893"/>
    <cellStyle name="Ivedimo5 3 2 16" xfId="23894"/>
    <cellStyle name="Ivedimo5 3 2 17" xfId="23895"/>
    <cellStyle name="Ivedimo5 3 2 18" xfId="23896"/>
    <cellStyle name="Ivedimo5 3 2 2" xfId="23897"/>
    <cellStyle name="Ivedimo5 3 2 2 2" xfId="23898"/>
    <cellStyle name="Ivedimo5 3 2 2 2 2" xfId="23899"/>
    <cellStyle name="Ivedimo5 3 2 2 3" xfId="23900"/>
    <cellStyle name="Ivedimo5 3 2 2 4" xfId="23901"/>
    <cellStyle name="Ivedimo5 3 2 3" xfId="23902"/>
    <cellStyle name="Ivedimo5 3 2 3 2" xfId="23903"/>
    <cellStyle name="Ivedimo5 3 2 3 3" xfId="23904"/>
    <cellStyle name="Ivedimo5 3 2 4" xfId="23905"/>
    <cellStyle name="Ivedimo5 3 2 4 2" xfId="23906"/>
    <cellStyle name="Ivedimo5 3 2 5" xfId="23907"/>
    <cellStyle name="Ivedimo5 3 2 6" xfId="23908"/>
    <cellStyle name="Ivedimo5 3 2 7" xfId="23909"/>
    <cellStyle name="Ivedimo5 3 2 8" xfId="23910"/>
    <cellStyle name="Ivedimo5 3 2 9" xfId="23911"/>
    <cellStyle name="Ivedimo5 3 3" xfId="23912"/>
    <cellStyle name="Ivedimo5 3 3 10" xfId="23913"/>
    <cellStyle name="Ivedimo5 3 3 11" xfId="23914"/>
    <cellStyle name="Ivedimo5 3 3 12" xfId="23915"/>
    <cellStyle name="Ivedimo5 3 3 13" xfId="23916"/>
    <cellStyle name="Ivedimo5 3 3 14" xfId="23917"/>
    <cellStyle name="Ivedimo5 3 3 15" xfId="23918"/>
    <cellStyle name="Ivedimo5 3 3 16" xfId="23919"/>
    <cellStyle name="Ivedimo5 3 3 17" xfId="23920"/>
    <cellStyle name="Ivedimo5 3 3 18" xfId="23921"/>
    <cellStyle name="Ivedimo5 3 3 2" xfId="23922"/>
    <cellStyle name="Ivedimo5 3 3 2 2" xfId="23923"/>
    <cellStyle name="Ivedimo5 3 3 2 2 2" xfId="23924"/>
    <cellStyle name="Ivedimo5 3 3 2 3" xfId="23925"/>
    <cellStyle name="Ivedimo5 3 3 2 4" xfId="23926"/>
    <cellStyle name="Ivedimo5 3 3 3" xfId="23927"/>
    <cellStyle name="Ivedimo5 3 3 3 2" xfId="23928"/>
    <cellStyle name="Ivedimo5 3 3 3 3" xfId="23929"/>
    <cellStyle name="Ivedimo5 3 3 4" xfId="23930"/>
    <cellStyle name="Ivedimo5 3 3 4 2" xfId="23931"/>
    <cellStyle name="Ivedimo5 3 3 5" xfId="23932"/>
    <cellStyle name="Ivedimo5 3 3 6" xfId="23933"/>
    <cellStyle name="Ivedimo5 3 3 7" xfId="23934"/>
    <cellStyle name="Ivedimo5 3 3 8" xfId="23935"/>
    <cellStyle name="Ivedimo5 3 3 9" xfId="23936"/>
    <cellStyle name="Ivedimo5 3 4" xfId="23937"/>
    <cellStyle name="Ivedimo5 3 4 2" xfId="23938"/>
    <cellStyle name="Ivedimo5 3 4 2 2" xfId="23939"/>
    <cellStyle name="Ivedimo5 3 4 2 3" xfId="23940"/>
    <cellStyle name="Ivedimo5 3 4 3" xfId="23941"/>
    <cellStyle name="Ivedimo5 3 4 3 2" xfId="23942"/>
    <cellStyle name="Ivedimo5 3 4 4" xfId="23943"/>
    <cellStyle name="Ivedimo5 3 4 5" xfId="23944"/>
    <cellStyle name="Ivedimo5 3 5" xfId="23945"/>
    <cellStyle name="Ivedimo5 3 5 2" xfId="23946"/>
    <cellStyle name="Ivedimo5 3 5 2 2" xfId="23947"/>
    <cellStyle name="Ivedimo5 3 5 3" xfId="23948"/>
    <cellStyle name="Ivedimo5 3 5 4" xfId="23949"/>
    <cellStyle name="Ivedimo5 3 6" xfId="23950"/>
    <cellStyle name="Ivedimo5 3 6 2" xfId="23951"/>
    <cellStyle name="Ivedimo5 3 6 3" xfId="23952"/>
    <cellStyle name="Ivedimo5 3 7" xfId="23953"/>
    <cellStyle name="Ivedimo5 3 7 2" xfId="23954"/>
    <cellStyle name="Ivedimo5 3 8" xfId="23955"/>
    <cellStyle name="Ivedimo5 3 9" xfId="23956"/>
    <cellStyle name="Ivedimo5 4" xfId="23957"/>
    <cellStyle name="Ivedimo5 4 10" xfId="23958"/>
    <cellStyle name="Ivedimo5 4 11" xfId="23959"/>
    <cellStyle name="Ivedimo5 4 12" xfId="23960"/>
    <cellStyle name="Ivedimo5 4 13" xfId="23961"/>
    <cellStyle name="Ivedimo5 4 14" xfId="23962"/>
    <cellStyle name="Ivedimo5 4 15" xfId="23963"/>
    <cellStyle name="Ivedimo5 4 16" xfId="23964"/>
    <cellStyle name="Ivedimo5 4 17" xfId="23965"/>
    <cellStyle name="Ivedimo5 4 18" xfId="23966"/>
    <cellStyle name="Ivedimo5 4 19" xfId="23967"/>
    <cellStyle name="Ivedimo5 4 2" xfId="23968"/>
    <cellStyle name="Ivedimo5 4 2 10" xfId="23969"/>
    <cellStyle name="Ivedimo5 4 2 11" xfId="23970"/>
    <cellStyle name="Ivedimo5 4 2 12" xfId="23971"/>
    <cellStyle name="Ivedimo5 4 2 13" xfId="23972"/>
    <cellStyle name="Ivedimo5 4 2 14" xfId="23973"/>
    <cellStyle name="Ivedimo5 4 2 15" xfId="23974"/>
    <cellStyle name="Ivedimo5 4 2 16" xfId="23975"/>
    <cellStyle name="Ivedimo5 4 2 17" xfId="23976"/>
    <cellStyle name="Ivedimo5 4 2 18" xfId="23977"/>
    <cellStyle name="Ivedimo5 4 2 2" xfId="23978"/>
    <cellStyle name="Ivedimo5 4 2 2 2" xfId="23979"/>
    <cellStyle name="Ivedimo5 4 2 2 2 2" xfId="23980"/>
    <cellStyle name="Ivedimo5 4 2 2 3" xfId="23981"/>
    <cellStyle name="Ivedimo5 4 2 2 4" xfId="23982"/>
    <cellStyle name="Ivedimo5 4 2 3" xfId="23983"/>
    <cellStyle name="Ivedimo5 4 2 3 2" xfId="23984"/>
    <cellStyle name="Ivedimo5 4 2 3 3" xfId="23985"/>
    <cellStyle name="Ivedimo5 4 2 4" xfId="23986"/>
    <cellStyle name="Ivedimo5 4 2 4 2" xfId="23987"/>
    <cellStyle name="Ivedimo5 4 2 5" xfId="23988"/>
    <cellStyle name="Ivedimo5 4 2 6" xfId="23989"/>
    <cellStyle name="Ivedimo5 4 2 7" xfId="23990"/>
    <cellStyle name="Ivedimo5 4 2 8" xfId="23991"/>
    <cellStyle name="Ivedimo5 4 2 9" xfId="23992"/>
    <cellStyle name="Ivedimo5 4 3" xfId="23993"/>
    <cellStyle name="Ivedimo5 4 3 10" xfId="23994"/>
    <cellStyle name="Ivedimo5 4 3 11" xfId="23995"/>
    <cellStyle name="Ivedimo5 4 3 12" xfId="23996"/>
    <cellStyle name="Ivedimo5 4 3 13" xfId="23997"/>
    <cellStyle name="Ivedimo5 4 3 14" xfId="23998"/>
    <cellStyle name="Ivedimo5 4 3 15" xfId="23999"/>
    <cellStyle name="Ivedimo5 4 3 16" xfId="24000"/>
    <cellStyle name="Ivedimo5 4 3 17" xfId="24001"/>
    <cellStyle name="Ivedimo5 4 3 18" xfId="24002"/>
    <cellStyle name="Ivedimo5 4 3 2" xfId="24003"/>
    <cellStyle name="Ivedimo5 4 3 2 2" xfId="24004"/>
    <cellStyle name="Ivedimo5 4 3 2 2 2" xfId="24005"/>
    <cellStyle name="Ivedimo5 4 3 2 3" xfId="24006"/>
    <cellStyle name="Ivedimo5 4 3 2 4" xfId="24007"/>
    <cellStyle name="Ivedimo5 4 3 3" xfId="24008"/>
    <cellStyle name="Ivedimo5 4 3 3 2" xfId="24009"/>
    <cellStyle name="Ivedimo5 4 3 3 3" xfId="24010"/>
    <cellStyle name="Ivedimo5 4 3 4" xfId="24011"/>
    <cellStyle name="Ivedimo5 4 3 4 2" xfId="24012"/>
    <cellStyle name="Ivedimo5 4 3 5" xfId="24013"/>
    <cellStyle name="Ivedimo5 4 3 6" xfId="24014"/>
    <cellStyle name="Ivedimo5 4 3 7" xfId="24015"/>
    <cellStyle name="Ivedimo5 4 3 8" xfId="24016"/>
    <cellStyle name="Ivedimo5 4 3 9" xfId="24017"/>
    <cellStyle name="Ivedimo5 4 4" xfId="24018"/>
    <cellStyle name="Ivedimo5 4 4 2" xfId="24019"/>
    <cellStyle name="Ivedimo5 4 4 2 2" xfId="24020"/>
    <cellStyle name="Ivedimo5 4 4 2 3" xfId="24021"/>
    <cellStyle name="Ivedimo5 4 4 3" xfId="24022"/>
    <cellStyle name="Ivedimo5 4 4 3 2" xfId="24023"/>
    <cellStyle name="Ivedimo5 4 4 4" xfId="24024"/>
    <cellStyle name="Ivedimo5 4 4 5" xfId="24025"/>
    <cellStyle name="Ivedimo5 4 5" xfId="24026"/>
    <cellStyle name="Ivedimo5 4 5 2" xfId="24027"/>
    <cellStyle name="Ivedimo5 4 5 2 2" xfId="24028"/>
    <cellStyle name="Ivedimo5 4 5 3" xfId="24029"/>
    <cellStyle name="Ivedimo5 4 5 4" xfId="24030"/>
    <cellStyle name="Ivedimo5 4 6" xfId="24031"/>
    <cellStyle name="Ivedimo5 4 6 2" xfId="24032"/>
    <cellStyle name="Ivedimo5 4 6 3" xfId="24033"/>
    <cellStyle name="Ivedimo5 4 7" xfId="24034"/>
    <cellStyle name="Ivedimo5 4 7 2" xfId="24035"/>
    <cellStyle name="Ivedimo5 4 8" xfId="24036"/>
    <cellStyle name="Ivedimo5 4 9" xfId="24037"/>
    <cellStyle name="Ivedimo5 5" xfId="24038"/>
    <cellStyle name="Ivedimo5 5 10" xfId="24039"/>
    <cellStyle name="Ivedimo5 5 11" xfId="24040"/>
    <cellStyle name="Ivedimo5 5 12" xfId="24041"/>
    <cellStyle name="Ivedimo5 5 13" xfId="24042"/>
    <cellStyle name="Ivedimo5 5 14" xfId="24043"/>
    <cellStyle name="Ivedimo5 5 15" xfId="24044"/>
    <cellStyle name="Ivedimo5 5 2" xfId="24045"/>
    <cellStyle name="Ivedimo5 5 2 10" xfId="24046"/>
    <cellStyle name="Ivedimo5 5 2 11" xfId="24047"/>
    <cellStyle name="Ivedimo5 5 2 12" xfId="24048"/>
    <cellStyle name="Ivedimo5 5 2 13" xfId="24049"/>
    <cellStyle name="Ivedimo5 5 2 14" xfId="24050"/>
    <cellStyle name="Ivedimo5 5 2 15" xfId="24051"/>
    <cellStyle name="Ivedimo5 5 2 16" xfId="24052"/>
    <cellStyle name="Ivedimo5 5 2 17" xfId="24053"/>
    <cellStyle name="Ivedimo5 5 2 18" xfId="24054"/>
    <cellStyle name="Ivedimo5 5 2 2" xfId="24055"/>
    <cellStyle name="Ivedimo5 5 2 2 2" xfId="24056"/>
    <cellStyle name="Ivedimo5 5 2 2 2 2" xfId="24057"/>
    <cellStyle name="Ivedimo5 5 2 2 3" xfId="24058"/>
    <cellStyle name="Ivedimo5 5 2 2 4" xfId="24059"/>
    <cellStyle name="Ivedimo5 5 2 3" xfId="24060"/>
    <cellStyle name="Ivedimo5 5 2 3 2" xfId="24061"/>
    <cellStyle name="Ivedimo5 5 2 3 3" xfId="24062"/>
    <cellStyle name="Ivedimo5 5 2 4" xfId="24063"/>
    <cellStyle name="Ivedimo5 5 2 4 2" xfId="24064"/>
    <cellStyle name="Ivedimo5 5 2 5" xfId="24065"/>
    <cellStyle name="Ivedimo5 5 2 6" xfId="24066"/>
    <cellStyle name="Ivedimo5 5 2 7" xfId="24067"/>
    <cellStyle name="Ivedimo5 5 2 8" xfId="24068"/>
    <cellStyle name="Ivedimo5 5 2 9" xfId="24069"/>
    <cellStyle name="Ivedimo5 5 3" xfId="24070"/>
    <cellStyle name="Ivedimo5 5 3 10" xfId="24071"/>
    <cellStyle name="Ivedimo5 5 3 11" xfId="24072"/>
    <cellStyle name="Ivedimo5 5 3 12" xfId="24073"/>
    <cellStyle name="Ivedimo5 5 3 13" xfId="24074"/>
    <cellStyle name="Ivedimo5 5 3 14" xfId="24075"/>
    <cellStyle name="Ivedimo5 5 3 15" xfId="24076"/>
    <cellStyle name="Ivedimo5 5 3 16" xfId="24077"/>
    <cellStyle name="Ivedimo5 5 3 17" xfId="24078"/>
    <cellStyle name="Ivedimo5 5 3 18" xfId="24079"/>
    <cellStyle name="Ivedimo5 5 3 2" xfId="24080"/>
    <cellStyle name="Ivedimo5 5 3 2 2" xfId="24081"/>
    <cellStyle name="Ivedimo5 5 3 2 2 2" xfId="24082"/>
    <cellStyle name="Ivedimo5 5 3 2 3" xfId="24083"/>
    <cellStyle name="Ivedimo5 5 3 2 4" xfId="24084"/>
    <cellStyle name="Ivedimo5 5 3 3" xfId="24085"/>
    <cellStyle name="Ivedimo5 5 3 3 2" xfId="24086"/>
    <cellStyle name="Ivedimo5 5 3 3 3" xfId="24087"/>
    <cellStyle name="Ivedimo5 5 3 4" xfId="24088"/>
    <cellStyle name="Ivedimo5 5 3 4 2" xfId="24089"/>
    <cellStyle name="Ivedimo5 5 3 5" xfId="24090"/>
    <cellStyle name="Ivedimo5 5 3 6" xfId="24091"/>
    <cellStyle name="Ivedimo5 5 3 7" xfId="24092"/>
    <cellStyle name="Ivedimo5 5 3 8" xfId="24093"/>
    <cellStyle name="Ivedimo5 5 3 9" xfId="24094"/>
    <cellStyle name="Ivedimo5 5 4" xfId="24095"/>
    <cellStyle name="Ivedimo5 5 4 2" xfId="24096"/>
    <cellStyle name="Ivedimo5 5 4 2 2" xfId="24097"/>
    <cellStyle name="Ivedimo5 5 4 2 3" xfId="24098"/>
    <cellStyle name="Ivedimo5 5 4 3" xfId="24099"/>
    <cellStyle name="Ivedimo5 5 4 3 2" xfId="24100"/>
    <cellStyle name="Ivedimo5 5 4 4" xfId="24101"/>
    <cellStyle name="Ivedimo5 5 4 5" xfId="24102"/>
    <cellStyle name="Ivedimo5 5 5" xfId="24103"/>
    <cellStyle name="Ivedimo5 5 5 2" xfId="24104"/>
    <cellStyle name="Ivedimo5 5 5 2 2" xfId="24105"/>
    <cellStyle name="Ivedimo5 5 5 3" xfId="24106"/>
    <cellStyle name="Ivedimo5 5 5 4" xfId="24107"/>
    <cellStyle name="Ivedimo5 5 6" xfId="24108"/>
    <cellStyle name="Ivedimo5 5 6 2" xfId="24109"/>
    <cellStyle name="Ivedimo5 5 7" xfId="24110"/>
    <cellStyle name="Ivedimo5 5 8" xfId="24111"/>
    <cellStyle name="Ivedimo5 5 9" xfId="24112"/>
    <cellStyle name="Ivedimo5 6" xfId="24113"/>
    <cellStyle name="Ivedimo5 6 10" xfId="24114"/>
    <cellStyle name="Ivedimo5 6 11" xfId="24115"/>
    <cellStyle name="Ivedimo5 6 12" xfId="24116"/>
    <cellStyle name="Ivedimo5 6 13" xfId="24117"/>
    <cellStyle name="Ivedimo5 6 14" xfId="24118"/>
    <cellStyle name="Ivedimo5 6 15" xfId="24119"/>
    <cellStyle name="Ivedimo5 6 16" xfId="24120"/>
    <cellStyle name="Ivedimo5 6 17" xfId="24121"/>
    <cellStyle name="Ivedimo5 6 18" xfId="24122"/>
    <cellStyle name="Ivedimo5 6 2" xfId="24123"/>
    <cellStyle name="Ivedimo5 6 2 2" xfId="24124"/>
    <cellStyle name="Ivedimo5 6 2 2 2" xfId="24125"/>
    <cellStyle name="Ivedimo5 6 2 3" xfId="24126"/>
    <cellStyle name="Ivedimo5 6 2 4" xfId="24127"/>
    <cellStyle name="Ivedimo5 6 3" xfId="24128"/>
    <cellStyle name="Ivedimo5 6 3 2" xfId="24129"/>
    <cellStyle name="Ivedimo5 6 3 3" xfId="24130"/>
    <cellStyle name="Ivedimo5 6 4" xfId="24131"/>
    <cellStyle name="Ivedimo5 6 4 2" xfId="24132"/>
    <cellStyle name="Ivedimo5 6 5" xfId="24133"/>
    <cellStyle name="Ivedimo5 6 6" xfId="24134"/>
    <cellStyle name="Ivedimo5 6 7" xfId="24135"/>
    <cellStyle name="Ivedimo5 6 8" xfId="24136"/>
    <cellStyle name="Ivedimo5 6 9" xfId="24137"/>
    <cellStyle name="Ivedimo5 7" xfId="24138"/>
    <cellStyle name="Ivedimo5 7 10" xfId="24139"/>
    <cellStyle name="Ivedimo5 7 11" xfId="24140"/>
    <cellStyle name="Ivedimo5 7 12" xfId="24141"/>
    <cellStyle name="Ivedimo5 7 13" xfId="24142"/>
    <cellStyle name="Ivedimo5 7 14" xfId="24143"/>
    <cellStyle name="Ivedimo5 7 15" xfId="24144"/>
    <cellStyle name="Ivedimo5 7 16" xfId="24145"/>
    <cellStyle name="Ivedimo5 7 17" xfId="24146"/>
    <cellStyle name="Ivedimo5 7 18" xfId="24147"/>
    <cellStyle name="Ivedimo5 7 2" xfId="24148"/>
    <cellStyle name="Ivedimo5 7 2 2" xfId="24149"/>
    <cellStyle name="Ivedimo5 7 2 3" xfId="24150"/>
    <cellStyle name="Ivedimo5 7 3" xfId="24151"/>
    <cellStyle name="Ivedimo5 7 3 2" xfId="24152"/>
    <cellStyle name="Ivedimo5 7 4" xfId="24153"/>
    <cellStyle name="Ivedimo5 7 5" xfId="24154"/>
    <cellStyle name="Ivedimo5 7 6" xfId="24155"/>
    <cellStyle name="Ivedimo5 7 7" xfId="24156"/>
    <cellStyle name="Ivedimo5 7 8" xfId="24157"/>
    <cellStyle name="Ivedimo5 7 9" xfId="24158"/>
    <cellStyle name="Ivedimo5 8" xfId="24159"/>
    <cellStyle name="Ivedimo5 8 2" xfId="24160"/>
    <cellStyle name="Ivedimo5 8 2 2" xfId="24161"/>
    <cellStyle name="Ivedimo5 8 3" xfId="24162"/>
    <cellStyle name="Ivedimo5 8 4" xfId="24163"/>
    <cellStyle name="Ivedimo5 9" xfId="24164"/>
    <cellStyle name="Just_Table" xfId="24165"/>
    <cellStyle name="k$" xfId="24166"/>
    <cellStyle name="k$ 2" xfId="24167"/>
    <cellStyle name="kECU" xfId="24168"/>
    <cellStyle name="kHUF" xfId="24169"/>
    <cellStyle name="Kilo" xfId="24170"/>
    <cellStyle name="Kilo 2" xfId="24171"/>
    <cellStyle name="kLE" xfId="24172"/>
    <cellStyle name="Komma [0]_laroux" xfId="24173"/>
    <cellStyle name="Komma_laroux" xfId="24174"/>
    <cellStyle name="KOP" xfId="24175"/>
    <cellStyle name="KOP 2" xfId="24176"/>
    <cellStyle name="KOP2" xfId="24177"/>
    <cellStyle name="KOP2 2" xfId="24178"/>
    <cellStyle name="KOPP" xfId="24179"/>
    <cellStyle name="KOPP 2" xfId="24180"/>
    <cellStyle name="KOPP 3" xfId="24181"/>
    <cellStyle name="KPMG Heading 1" xfId="24182"/>
    <cellStyle name="KPMG Heading 2" xfId="24183"/>
    <cellStyle name="KPMG Heading 3" xfId="24184"/>
    <cellStyle name="KPMG Heading 4" xfId="24185"/>
    <cellStyle name="KPMG Normal" xfId="24186"/>
    <cellStyle name="KPMG Normal Text" xfId="24187"/>
    <cellStyle name="kpmgColHeadings" xfId="24188"/>
    <cellStyle name="kpmgCommaNeg0" xfId="24189"/>
    <cellStyle name="kpmgDateLong" xfId="24190"/>
    <cellStyle name="kpmgDateLongRu" xfId="24191"/>
    <cellStyle name="kpmgDateShort" xfId="24192"/>
    <cellStyle name="kpmgDateShortRu" xfId="24193"/>
    <cellStyle name="kpmgSheetTitle" xfId="24194"/>
    <cellStyle name="kpmgSourceNote" xfId="24195"/>
    <cellStyle name="kpmgSubsection" xfId="24196"/>
    <cellStyle name="kpmgTableTitle" xfId="24197"/>
    <cellStyle name="kpmgText" xfId="24198"/>
    <cellStyle name="LABEL Normal" xfId="24199"/>
    <cellStyle name="LABEL Note" xfId="24200"/>
    <cellStyle name="LABEL Units" xfId="24201"/>
    <cellStyle name="Label_Blue" xfId="24202"/>
    <cellStyle name="Labels - Style3" xfId="24203"/>
    <cellStyle name="Labels - Style3 10" xfId="24204"/>
    <cellStyle name="Labels - Style3 11" xfId="24205"/>
    <cellStyle name="Labels - Style3 12" xfId="24206"/>
    <cellStyle name="Labels - Style3 13" xfId="24207"/>
    <cellStyle name="Labels - Style3 14" xfId="24208"/>
    <cellStyle name="Labels - Style3 15" xfId="24209"/>
    <cellStyle name="Labels - Style3 16" xfId="24210"/>
    <cellStyle name="Labels - Style3 17" xfId="24211"/>
    <cellStyle name="Labels - Style3 18" xfId="24212"/>
    <cellStyle name="Labels - Style3 19" xfId="24213"/>
    <cellStyle name="Labels - Style3 2" xfId="24214"/>
    <cellStyle name="Labels - Style3 2 10" xfId="24215"/>
    <cellStyle name="Labels - Style3 2 11" xfId="24216"/>
    <cellStyle name="Labels - Style3 2 12" xfId="24217"/>
    <cellStyle name="Labels - Style3 2 13" xfId="24218"/>
    <cellStyle name="Labels - Style3 2 14" xfId="24219"/>
    <cellStyle name="Labels - Style3 2 15" xfId="24220"/>
    <cellStyle name="Labels - Style3 2 16" xfId="24221"/>
    <cellStyle name="Labels - Style3 2 17" xfId="24222"/>
    <cellStyle name="Labels - Style3 2 18" xfId="24223"/>
    <cellStyle name="Labels - Style3 2 19" xfId="24224"/>
    <cellStyle name="Labels - Style3 2 2" xfId="24225"/>
    <cellStyle name="Labels - Style3 2 2 10" xfId="24226"/>
    <cellStyle name="Labels - Style3 2 2 11" xfId="24227"/>
    <cellStyle name="Labels - Style3 2 2 12" xfId="24228"/>
    <cellStyle name="Labels - Style3 2 2 13" xfId="24229"/>
    <cellStyle name="Labels - Style3 2 2 14" xfId="24230"/>
    <cellStyle name="Labels - Style3 2 2 15" xfId="24231"/>
    <cellStyle name="Labels - Style3 2 2 16" xfId="24232"/>
    <cellStyle name="Labels - Style3 2 2 17" xfId="24233"/>
    <cellStyle name="Labels - Style3 2 2 18" xfId="24234"/>
    <cellStyle name="Labels - Style3 2 2 2" xfId="24235"/>
    <cellStyle name="Labels - Style3 2 2 2 2" xfId="24236"/>
    <cellStyle name="Labels - Style3 2 2 2 2 2" xfId="24237"/>
    <cellStyle name="Labels - Style3 2 2 2 3" xfId="24238"/>
    <cellStyle name="Labels - Style3 2 2 2 4" xfId="24239"/>
    <cellStyle name="Labels - Style3 2 2 3" xfId="24240"/>
    <cellStyle name="Labels - Style3 2 2 3 2" xfId="24241"/>
    <cellStyle name="Labels - Style3 2 2 3 3" xfId="24242"/>
    <cellStyle name="Labels - Style3 2 2 4" xfId="24243"/>
    <cellStyle name="Labels - Style3 2 2 4 2" xfId="24244"/>
    <cellStyle name="Labels - Style3 2 2 5" xfId="24245"/>
    <cellStyle name="Labels - Style3 2 2 6" xfId="24246"/>
    <cellStyle name="Labels - Style3 2 2 7" xfId="24247"/>
    <cellStyle name="Labels - Style3 2 2 8" xfId="24248"/>
    <cellStyle name="Labels - Style3 2 2 9" xfId="24249"/>
    <cellStyle name="Labels - Style3 2 20" xfId="24250"/>
    <cellStyle name="Labels - Style3 2 21" xfId="24251"/>
    <cellStyle name="Labels - Style3 2 22" xfId="24252"/>
    <cellStyle name="Labels - Style3 2 23" xfId="24253"/>
    <cellStyle name="Labels - Style3 2 3" xfId="24254"/>
    <cellStyle name="Labels - Style3 2 3 10" xfId="24255"/>
    <cellStyle name="Labels - Style3 2 3 11" xfId="24256"/>
    <cellStyle name="Labels - Style3 2 3 12" xfId="24257"/>
    <cellStyle name="Labels - Style3 2 3 13" xfId="24258"/>
    <cellStyle name="Labels - Style3 2 3 14" xfId="24259"/>
    <cellStyle name="Labels - Style3 2 3 15" xfId="24260"/>
    <cellStyle name="Labels - Style3 2 3 16" xfId="24261"/>
    <cellStyle name="Labels - Style3 2 3 17" xfId="24262"/>
    <cellStyle name="Labels - Style3 2 3 18" xfId="24263"/>
    <cellStyle name="Labels - Style3 2 3 2" xfId="24264"/>
    <cellStyle name="Labels - Style3 2 3 2 2" xfId="24265"/>
    <cellStyle name="Labels - Style3 2 3 2 2 2" xfId="24266"/>
    <cellStyle name="Labels - Style3 2 3 2 3" xfId="24267"/>
    <cellStyle name="Labels - Style3 2 3 2 4" xfId="24268"/>
    <cellStyle name="Labels - Style3 2 3 3" xfId="24269"/>
    <cellStyle name="Labels - Style3 2 3 3 2" xfId="24270"/>
    <cellStyle name="Labels - Style3 2 3 3 3" xfId="24271"/>
    <cellStyle name="Labels - Style3 2 3 4" xfId="24272"/>
    <cellStyle name="Labels - Style3 2 3 4 2" xfId="24273"/>
    <cellStyle name="Labels - Style3 2 3 5" xfId="24274"/>
    <cellStyle name="Labels - Style3 2 3 6" xfId="24275"/>
    <cellStyle name="Labels - Style3 2 3 7" xfId="24276"/>
    <cellStyle name="Labels - Style3 2 3 8" xfId="24277"/>
    <cellStyle name="Labels - Style3 2 3 9" xfId="24278"/>
    <cellStyle name="Labels - Style3 2 4" xfId="24279"/>
    <cellStyle name="Labels - Style3 2 4 2" xfId="24280"/>
    <cellStyle name="Labels - Style3 2 4 2 2" xfId="24281"/>
    <cellStyle name="Labels - Style3 2 4 2 3" xfId="24282"/>
    <cellStyle name="Labels - Style3 2 4 3" xfId="24283"/>
    <cellStyle name="Labels - Style3 2 4 3 2" xfId="24284"/>
    <cellStyle name="Labels - Style3 2 4 4" xfId="24285"/>
    <cellStyle name="Labels - Style3 2 4 5" xfId="24286"/>
    <cellStyle name="Labels - Style3 2 5" xfId="24287"/>
    <cellStyle name="Labels - Style3 2 5 2" xfId="24288"/>
    <cellStyle name="Labels - Style3 2 5 2 2" xfId="24289"/>
    <cellStyle name="Labels - Style3 2 5 3" xfId="24290"/>
    <cellStyle name="Labels - Style3 2 5 4" xfId="24291"/>
    <cellStyle name="Labels - Style3 2 6" xfId="24292"/>
    <cellStyle name="Labels - Style3 2 6 2" xfId="24293"/>
    <cellStyle name="Labels - Style3 2 6 3" xfId="24294"/>
    <cellStyle name="Labels - Style3 2 7" xfId="24295"/>
    <cellStyle name="Labels - Style3 2 7 2" xfId="24296"/>
    <cellStyle name="Labels - Style3 2 8" xfId="24297"/>
    <cellStyle name="Labels - Style3 2 9" xfId="24298"/>
    <cellStyle name="Labels - Style3 20" xfId="24299"/>
    <cellStyle name="Labels - Style3 21" xfId="24300"/>
    <cellStyle name="Labels - Style3 3" xfId="24301"/>
    <cellStyle name="Labels - Style3 3 10" xfId="24302"/>
    <cellStyle name="Labels - Style3 3 11" xfId="24303"/>
    <cellStyle name="Labels - Style3 3 12" xfId="24304"/>
    <cellStyle name="Labels - Style3 3 13" xfId="24305"/>
    <cellStyle name="Labels - Style3 3 14" xfId="24306"/>
    <cellStyle name="Labels - Style3 3 15" xfId="24307"/>
    <cellStyle name="Labels - Style3 3 16" xfId="24308"/>
    <cellStyle name="Labels - Style3 3 17" xfId="24309"/>
    <cellStyle name="Labels - Style3 3 18" xfId="24310"/>
    <cellStyle name="Labels - Style3 3 19" xfId="24311"/>
    <cellStyle name="Labels - Style3 3 2" xfId="24312"/>
    <cellStyle name="Labels - Style3 3 2 10" xfId="24313"/>
    <cellStyle name="Labels - Style3 3 2 11" xfId="24314"/>
    <cellStyle name="Labels - Style3 3 2 12" xfId="24315"/>
    <cellStyle name="Labels - Style3 3 2 13" xfId="24316"/>
    <cellStyle name="Labels - Style3 3 2 14" xfId="24317"/>
    <cellStyle name="Labels - Style3 3 2 15" xfId="24318"/>
    <cellStyle name="Labels - Style3 3 2 16" xfId="24319"/>
    <cellStyle name="Labels - Style3 3 2 17" xfId="24320"/>
    <cellStyle name="Labels - Style3 3 2 18" xfId="24321"/>
    <cellStyle name="Labels - Style3 3 2 2" xfId="24322"/>
    <cellStyle name="Labels - Style3 3 2 2 2" xfId="24323"/>
    <cellStyle name="Labels - Style3 3 2 2 2 2" xfId="24324"/>
    <cellStyle name="Labels - Style3 3 2 2 3" xfId="24325"/>
    <cellStyle name="Labels - Style3 3 2 2 4" xfId="24326"/>
    <cellStyle name="Labels - Style3 3 2 3" xfId="24327"/>
    <cellStyle name="Labels - Style3 3 2 3 2" xfId="24328"/>
    <cellStyle name="Labels - Style3 3 2 3 3" xfId="24329"/>
    <cellStyle name="Labels - Style3 3 2 4" xfId="24330"/>
    <cellStyle name="Labels - Style3 3 2 4 2" xfId="24331"/>
    <cellStyle name="Labels - Style3 3 2 5" xfId="24332"/>
    <cellStyle name="Labels - Style3 3 2 6" xfId="24333"/>
    <cellStyle name="Labels - Style3 3 2 7" xfId="24334"/>
    <cellStyle name="Labels - Style3 3 2 8" xfId="24335"/>
    <cellStyle name="Labels - Style3 3 2 9" xfId="24336"/>
    <cellStyle name="Labels - Style3 3 3" xfId="24337"/>
    <cellStyle name="Labels - Style3 3 3 10" xfId="24338"/>
    <cellStyle name="Labels - Style3 3 3 11" xfId="24339"/>
    <cellStyle name="Labels - Style3 3 3 12" xfId="24340"/>
    <cellStyle name="Labels - Style3 3 3 13" xfId="24341"/>
    <cellStyle name="Labels - Style3 3 3 14" xfId="24342"/>
    <cellStyle name="Labels - Style3 3 3 15" xfId="24343"/>
    <cellStyle name="Labels - Style3 3 3 16" xfId="24344"/>
    <cellStyle name="Labels - Style3 3 3 17" xfId="24345"/>
    <cellStyle name="Labels - Style3 3 3 18" xfId="24346"/>
    <cellStyle name="Labels - Style3 3 3 2" xfId="24347"/>
    <cellStyle name="Labels - Style3 3 3 2 2" xfId="24348"/>
    <cellStyle name="Labels - Style3 3 3 2 2 2" xfId="24349"/>
    <cellStyle name="Labels - Style3 3 3 2 3" xfId="24350"/>
    <cellStyle name="Labels - Style3 3 3 2 4" xfId="24351"/>
    <cellStyle name="Labels - Style3 3 3 3" xfId="24352"/>
    <cellStyle name="Labels - Style3 3 3 3 2" xfId="24353"/>
    <cellStyle name="Labels - Style3 3 3 3 3" xfId="24354"/>
    <cellStyle name="Labels - Style3 3 3 4" xfId="24355"/>
    <cellStyle name="Labels - Style3 3 3 4 2" xfId="24356"/>
    <cellStyle name="Labels - Style3 3 3 5" xfId="24357"/>
    <cellStyle name="Labels - Style3 3 3 6" xfId="24358"/>
    <cellStyle name="Labels - Style3 3 3 7" xfId="24359"/>
    <cellStyle name="Labels - Style3 3 3 8" xfId="24360"/>
    <cellStyle name="Labels - Style3 3 3 9" xfId="24361"/>
    <cellStyle name="Labels - Style3 3 4" xfId="24362"/>
    <cellStyle name="Labels - Style3 3 4 2" xfId="24363"/>
    <cellStyle name="Labels - Style3 3 4 2 2" xfId="24364"/>
    <cellStyle name="Labels - Style3 3 4 2 3" xfId="24365"/>
    <cellStyle name="Labels - Style3 3 4 3" xfId="24366"/>
    <cellStyle name="Labels - Style3 3 4 3 2" xfId="24367"/>
    <cellStyle name="Labels - Style3 3 4 4" xfId="24368"/>
    <cellStyle name="Labels - Style3 3 4 5" xfId="24369"/>
    <cellStyle name="Labels - Style3 3 5" xfId="24370"/>
    <cellStyle name="Labels - Style3 3 5 2" xfId="24371"/>
    <cellStyle name="Labels - Style3 3 5 2 2" xfId="24372"/>
    <cellStyle name="Labels - Style3 3 5 3" xfId="24373"/>
    <cellStyle name="Labels - Style3 3 5 4" xfId="24374"/>
    <cellStyle name="Labels - Style3 3 6" xfId="24375"/>
    <cellStyle name="Labels - Style3 3 6 2" xfId="24376"/>
    <cellStyle name="Labels - Style3 3 6 3" xfId="24377"/>
    <cellStyle name="Labels - Style3 3 7" xfId="24378"/>
    <cellStyle name="Labels - Style3 3 7 2" xfId="24379"/>
    <cellStyle name="Labels - Style3 3 8" xfId="24380"/>
    <cellStyle name="Labels - Style3 3 9" xfId="24381"/>
    <cellStyle name="Labels - Style3 4" xfId="24382"/>
    <cellStyle name="Labels - Style3 4 10" xfId="24383"/>
    <cellStyle name="Labels - Style3 4 11" xfId="24384"/>
    <cellStyle name="Labels - Style3 4 12" xfId="24385"/>
    <cellStyle name="Labels - Style3 4 13" xfId="24386"/>
    <cellStyle name="Labels - Style3 4 14" xfId="24387"/>
    <cellStyle name="Labels - Style3 4 15" xfId="24388"/>
    <cellStyle name="Labels - Style3 4 16" xfId="24389"/>
    <cellStyle name="Labels - Style3 4 17" xfId="24390"/>
    <cellStyle name="Labels - Style3 4 18" xfId="24391"/>
    <cellStyle name="Labels - Style3 4 19" xfId="24392"/>
    <cellStyle name="Labels - Style3 4 2" xfId="24393"/>
    <cellStyle name="Labels - Style3 4 2 10" xfId="24394"/>
    <cellStyle name="Labels - Style3 4 2 11" xfId="24395"/>
    <cellStyle name="Labels - Style3 4 2 12" xfId="24396"/>
    <cellStyle name="Labels - Style3 4 2 13" xfId="24397"/>
    <cellStyle name="Labels - Style3 4 2 14" xfId="24398"/>
    <cellStyle name="Labels - Style3 4 2 15" xfId="24399"/>
    <cellStyle name="Labels - Style3 4 2 16" xfId="24400"/>
    <cellStyle name="Labels - Style3 4 2 17" xfId="24401"/>
    <cellStyle name="Labels - Style3 4 2 18" xfId="24402"/>
    <cellStyle name="Labels - Style3 4 2 2" xfId="24403"/>
    <cellStyle name="Labels - Style3 4 2 2 2" xfId="24404"/>
    <cellStyle name="Labels - Style3 4 2 2 2 2" xfId="24405"/>
    <cellStyle name="Labels - Style3 4 2 2 3" xfId="24406"/>
    <cellStyle name="Labels - Style3 4 2 2 4" xfId="24407"/>
    <cellStyle name="Labels - Style3 4 2 3" xfId="24408"/>
    <cellStyle name="Labels - Style3 4 2 3 2" xfId="24409"/>
    <cellStyle name="Labels - Style3 4 2 3 3" xfId="24410"/>
    <cellStyle name="Labels - Style3 4 2 4" xfId="24411"/>
    <cellStyle name="Labels - Style3 4 2 4 2" xfId="24412"/>
    <cellStyle name="Labels - Style3 4 2 5" xfId="24413"/>
    <cellStyle name="Labels - Style3 4 2 6" xfId="24414"/>
    <cellStyle name="Labels - Style3 4 2 7" xfId="24415"/>
    <cellStyle name="Labels - Style3 4 2 8" xfId="24416"/>
    <cellStyle name="Labels - Style3 4 2 9" xfId="24417"/>
    <cellStyle name="Labels - Style3 4 3" xfId="24418"/>
    <cellStyle name="Labels - Style3 4 3 10" xfId="24419"/>
    <cellStyle name="Labels - Style3 4 3 11" xfId="24420"/>
    <cellStyle name="Labels - Style3 4 3 12" xfId="24421"/>
    <cellStyle name="Labels - Style3 4 3 13" xfId="24422"/>
    <cellStyle name="Labels - Style3 4 3 14" xfId="24423"/>
    <cellStyle name="Labels - Style3 4 3 15" xfId="24424"/>
    <cellStyle name="Labels - Style3 4 3 16" xfId="24425"/>
    <cellStyle name="Labels - Style3 4 3 17" xfId="24426"/>
    <cellStyle name="Labels - Style3 4 3 18" xfId="24427"/>
    <cellStyle name="Labels - Style3 4 3 2" xfId="24428"/>
    <cellStyle name="Labels - Style3 4 3 2 2" xfId="24429"/>
    <cellStyle name="Labels - Style3 4 3 2 2 2" xfId="24430"/>
    <cellStyle name="Labels - Style3 4 3 2 3" xfId="24431"/>
    <cellStyle name="Labels - Style3 4 3 2 4" xfId="24432"/>
    <cellStyle name="Labels - Style3 4 3 3" xfId="24433"/>
    <cellStyle name="Labels - Style3 4 3 3 2" xfId="24434"/>
    <cellStyle name="Labels - Style3 4 3 3 3" xfId="24435"/>
    <cellStyle name="Labels - Style3 4 3 4" xfId="24436"/>
    <cellStyle name="Labels - Style3 4 3 4 2" xfId="24437"/>
    <cellStyle name="Labels - Style3 4 3 5" xfId="24438"/>
    <cellStyle name="Labels - Style3 4 3 6" xfId="24439"/>
    <cellStyle name="Labels - Style3 4 3 7" xfId="24440"/>
    <cellStyle name="Labels - Style3 4 3 8" xfId="24441"/>
    <cellStyle name="Labels - Style3 4 3 9" xfId="24442"/>
    <cellStyle name="Labels - Style3 4 4" xfId="24443"/>
    <cellStyle name="Labels - Style3 4 4 2" xfId="24444"/>
    <cellStyle name="Labels - Style3 4 4 2 2" xfId="24445"/>
    <cellStyle name="Labels - Style3 4 4 2 3" xfId="24446"/>
    <cellStyle name="Labels - Style3 4 4 3" xfId="24447"/>
    <cellStyle name="Labels - Style3 4 4 3 2" xfId="24448"/>
    <cellStyle name="Labels - Style3 4 4 4" xfId="24449"/>
    <cellStyle name="Labels - Style3 4 4 5" xfId="24450"/>
    <cellStyle name="Labels - Style3 4 5" xfId="24451"/>
    <cellStyle name="Labels - Style3 4 5 2" xfId="24452"/>
    <cellStyle name="Labels - Style3 4 5 2 2" xfId="24453"/>
    <cellStyle name="Labels - Style3 4 5 3" xfId="24454"/>
    <cellStyle name="Labels - Style3 4 5 4" xfId="24455"/>
    <cellStyle name="Labels - Style3 4 6" xfId="24456"/>
    <cellStyle name="Labels - Style3 4 6 2" xfId="24457"/>
    <cellStyle name="Labels - Style3 4 6 3" xfId="24458"/>
    <cellStyle name="Labels - Style3 4 7" xfId="24459"/>
    <cellStyle name="Labels - Style3 4 7 2" xfId="24460"/>
    <cellStyle name="Labels - Style3 4 8" xfId="24461"/>
    <cellStyle name="Labels - Style3 4 9" xfId="24462"/>
    <cellStyle name="Labels - Style3 5" xfId="24463"/>
    <cellStyle name="Labels - Style3 5 10" xfId="24464"/>
    <cellStyle name="Labels - Style3 5 11" xfId="24465"/>
    <cellStyle name="Labels - Style3 5 12" xfId="24466"/>
    <cellStyle name="Labels - Style3 5 13" xfId="24467"/>
    <cellStyle name="Labels - Style3 5 14" xfId="24468"/>
    <cellStyle name="Labels - Style3 5 15" xfId="24469"/>
    <cellStyle name="Labels - Style3 5 2" xfId="24470"/>
    <cellStyle name="Labels - Style3 5 2 10" xfId="24471"/>
    <cellStyle name="Labels - Style3 5 2 11" xfId="24472"/>
    <cellStyle name="Labels - Style3 5 2 12" xfId="24473"/>
    <cellStyle name="Labels - Style3 5 2 13" xfId="24474"/>
    <cellStyle name="Labels - Style3 5 2 14" xfId="24475"/>
    <cellStyle name="Labels - Style3 5 2 15" xfId="24476"/>
    <cellStyle name="Labels - Style3 5 2 16" xfId="24477"/>
    <cellStyle name="Labels - Style3 5 2 17" xfId="24478"/>
    <cellStyle name="Labels - Style3 5 2 18" xfId="24479"/>
    <cellStyle name="Labels - Style3 5 2 2" xfId="24480"/>
    <cellStyle name="Labels - Style3 5 2 2 2" xfId="24481"/>
    <cellStyle name="Labels - Style3 5 2 2 2 2" xfId="24482"/>
    <cellStyle name="Labels - Style3 5 2 2 3" xfId="24483"/>
    <cellStyle name="Labels - Style3 5 2 2 4" xfId="24484"/>
    <cellStyle name="Labels - Style3 5 2 3" xfId="24485"/>
    <cellStyle name="Labels - Style3 5 2 3 2" xfId="24486"/>
    <cellStyle name="Labels - Style3 5 2 3 3" xfId="24487"/>
    <cellStyle name="Labels - Style3 5 2 4" xfId="24488"/>
    <cellStyle name="Labels - Style3 5 2 4 2" xfId="24489"/>
    <cellStyle name="Labels - Style3 5 2 5" xfId="24490"/>
    <cellStyle name="Labels - Style3 5 2 6" xfId="24491"/>
    <cellStyle name="Labels - Style3 5 2 7" xfId="24492"/>
    <cellStyle name="Labels - Style3 5 2 8" xfId="24493"/>
    <cellStyle name="Labels - Style3 5 2 9" xfId="24494"/>
    <cellStyle name="Labels - Style3 5 3" xfId="24495"/>
    <cellStyle name="Labels - Style3 5 3 10" xfId="24496"/>
    <cellStyle name="Labels - Style3 5 3 11" xfId="24497"/>
    <cellStyle name="Labels - Style3 5 3 12" xfId="24498"/>
    <cellStyle name="Labels - Style3 5 3 13" xfId="24499"/>
    <cellStyle name="Labels - Style3 5 3 14" xfId="24500"/>
    <cellStyle name="Labels - Style3 5 3 15" xfId="24501"/>
    <cellStyle name="Labels - Style3 5 3 16" xfId="24502"/>
    <cellStyle name="Labels - Style3 5 3 17" xfId="24503"/>
    <cellStyle name="Labels - Style3 5 3 18" xfId="24504"/>
    <cellStyle name="Labels - Style3 5 3 2" xfId="24505"/>
    <cellStyle name="Labels - Style3 5 3 2 2" xfId="24506"/>
    <cellStyle name="Labels - Style3 5 3 2 2 2" xfId="24507"/>
    <cellStyle name="Labels - Style3 5 3 2 3" xfId="24508"/>
    <cellStyle name="Labels - Style3 5 3 2 4" xfId="24509"/>
    <cellStyle name="Labels - Style3 5 3 3" xfId="24510"/>
    <cellStyle name="Labels - Style3 5 3 3 2" xfId="24511"/>
    <cellStyle name="Labels - Style3 5 3 3 3" xfId="24512"/>
    <cellStyle name="Labels - Style3 5 3 4" xfId="24513"/>
    <cellStyle name="Labels - Style3 5 3 4 2" xfId="24514"/>
    <cellStyle name="Labels - Style3 5 3 5" xfId="24515"/>
    <cellStyle name="Labels - Style3 5 3 6" xfId="24516"/>
    <cellStyle name="Labels - Style3 5 3 7" xfId="24517"/>
    <cellStyle name="Labels - Style3 5 3 8" xfId="24518"/>
    <cellStyle name="Labels - Style3 5 3 9" xfId="24519"/>
    <cellStyle name="Labels - Style3 5 4" xfId="24520"/>
    <cellStyle name="Labels - Style3 5 4 2" xfId="24521"/>
    <cellStyle name="Labels - Style3 5 4 2 2" xfId="24522"/>
    <cellStyle name="Labels - Style3 5 4 2 3" xfId="24523"/>
    <cellStyle name="Labels - Style3 5 4 3" xfId="24524"/>
    <cellStyle name="Labels - Style3 5 4 3 2" xfId="24525"/>
    <cellStyle name="Labels - Style3 5 4 4" xfId="24526"/>
    <cellStyle name="Labels - Style3 5 4 5" xfId="24527"/>
    <cellStyle name="Labels - Style3 5 5" xfId="24528"/>
    <cellStyle name="Labels - Style3 5 5 2" xfId="24529"/>
    <cellStyle name="Labels - Style3 5 5 2 2" xfId="24530"/>
    <cellStyle name="Labels - Style3 5 5 3" xfId="24531"/>
    <cellStyle name="Labels - Style3 5 5 4" xfId="24532"/>
    <cellStyle name="Labels - Style3 5 6" xfId="24533"/>
    <cellStyle name="Labels - Style3 5 6 2" xfId="24534"/>
    <cellStyle name="Labels - Style3 5 7" xfId="24535"/>
    <cellStyle name="Labels - Style3 5 8" xfId="24536"/>
    <cellStyle name="Labels - Style3 5 9" xfId="24537"/>
    <cellStyle name="Labels - Style3 6" xfId="24538"/>
    <cellStyle name="Labels - Style3 6 10" xfId="24539"/>
    <cellStyle name="Labels - Style3 6 11" xfId="24540"/>
    <cellStyle name="Labels - Style3 6 12" xfId="24541"/>
    <cellStyle name="Labels - Style3 6 13" xfId="24542"/>
    <cellStyle name="Labels - Style3 6 14" xfId="24543"/>
    <cellStyle name="Labels - Style3 6 15" xfId="24544"/>
    <cellStyle name="Labels - Style3 6 16" xfId="24545"/>
    <cellStyle name="Labels - Style3 6 17" xfId="24546"/>
    <cellStyle name="Labels - Style3 6 18" xfId="24547"/>
    <cellStyle name="Labels - Style3 6 2" xfId="24548"/>
    <cellStyle name="Labels - Style3 6 2 2" xfId="24549"/>
    <cellStyle name="Labels - Style3 6 2 2 2" xfId="24550"/>
    <cellStyle name="Labels - Style3 6 2 3" xfId="24551"/>
    <cellStyle name="Labels - Style3 6 2 4" xfId="24552"/>
    <cellStyle name="Labels - Style3 6 3" xfId="24553"/>
    <cellStyle name="Labels - Style3 6 3 2" xfId="24554"/>
    <cellStyle name="Labels - Style3 6 3 3" xfId="24555"/>
    <cellStyle name="Labels - Style3 6 4" xfId="24556"/>
    <cellStyle name="Labels - Style3 6 4 2" xfId="24557"/>
    <cellStyle name="Labels - Style3 6 5" xfId="24558"/>
    <cellStyle name="Labels - Style3 6 6" xfId="24559"/>
    <cellStyle name="Labels - Style3 6 7" xfId="24560"/>
    <cellStyle name="Labels - Style3 6 8" xfId="24561"/>
    <cellStyle name="Labels - Style3 6 9" xfId="24562"/>
    <cellStyle name="Labels - Style3 7" xfId="24563"/>
    <cellStyle name="Labels - Style3 7 10" xfId="24564"/>
    <cellStyle name="Labels - Style3 7 11" xfId="24565"/>
    <cellStyle name="Labels - Style3 7 12" xfId="24566"/>
    <cellStyle name="Labels - Style3 7 13" xfId="24567"/>
    <cellStyle name="Labels - Style3 7 14" xfId="24568"/>
    <cellStyle name="Labels - Style3 7 15" xfId="24569"/>
    <cellStyle name="Labels - Style3 7 16" xfId="24570"/>
    <cellStyle name="Labels - Style3 7 17" xfId="24571"/>
    <cellStyle name="Labels - Style3 7 18" xfId="24572"/>
    <cellStyle name="Labels - Style3 7 2" xfId="24573"/>
    <cellStyle name="Labels - Style3 7 2 2" xfId="24574"/>
    <cellStyle name="Labels - Style3 7 2 3" xfId="24575"/>
    <cellStyle name="Labels - Style3 7 3" xfId="24576"/>
    <cellStyle name="Labels - Style3 7 3 2" xfId="24577"/>
    <cellStyle name="Labels - Style3 7 4" xfId="24578"/>
    <cellStyle name="Labels - Style3 7 5" xfId="24579"/>
    <cellStyle name="Labels - Style3 7 6" xfId="24580"/>
    <cellStyle name="Labels - Style3 7 7" xfId="24581"/>
    <cellStyle name="Labels - Style3 7 8" xfId="24582"/>
    <cellStyle name="Labels - Style3 7 9" xfId="24583"/>
    <cellStyle name="Labels - Style3 8" xfId="24584"/>
    <cellStyle name="Labels - Style3 8 2" xfId="24585"/>
    <cellStyle name="Labels - Style3 8 2 2" xfId="24586"/>
    <cellStyle name="Labels - Style3 8 3" xfId="24587"/>
    <cellStyle name="Labels - Style3 8 4" xfId="24588"/>
    <cellStyle name="Labels - Style3 9" xfId="24589"/>
    <cellStyle name="LeftTitle" xfId="24590"/>
    <cellStyle name="LeftTitle 2" xfId="24591"/>
    <cellStyle name="Levels" xfId="24592"/>
    <cellStyle name="Levels 10" xfId="24593"/>
    <cellStyle name="Levels 11" xfId="24594"/>
    <cellStyle name="Levels 12" xfId="24595"/>
    <cellStyle name="Levels 13" xfId="24596"/>
    <cellStyle name="Levels 14" xfId="24597"/>
    <cellStyle name="Levels 15" xfId="24598"/>
    <cellStyle name="Levels 16" xfId="24599"/>
    <cellStyle name="Levels 17" xfId="24600"/>
    <cellStyle name="Levels 18" xfId="24601"/>
    <cellStyle name="Levels 19" xfId="24602"/>
    <cellStyle name="Levels 2" xfId="24603"/>
    <cellStyle name="Levels 2 10" xfId="24604"/>
    <cellStyle name="Levels 2 11" xfId="24605"/>
    <cellStyle name="Levels 2 12" xfId="24606"/>
    <cellStyle name="Levels 2 13" xfId="24607"/>
    <cellStyle name="Levels 2 14" xfId="24608"/>
    <cellStyle name="Levels 2 15" xfId="24609"/>
    <cellStyle name="Levels 2 16" xfId="24610"/>
    <cellStyle name="Levels 2 17" xfId="24611"/>
    <cellStyle name="Levels 2 18" xfId="24612"/>
    <cellStyle name="Levels 2 19" xfId="24613"/>
    <cellStyle name="Levels 2 2" xfId="24614"/>
    <cellStyle name="Levels 2 2 10" xfId="24615"/>
    <cellStyle name="Levels 2 2 11" xfId="24616"/>
    <cellStyle name="Levels 2 2 12" xfId="24617"/>
    <cellStyle name="Levels 2 2 13" xfId="24618"/>
    <cellStyle name="Levels 2 2 14" xfId="24619"/>
    <cellStyle name="Levels 2 2 15" xfId="24620"/>
    <cellStyle name="Levels 2 2 16" xfId="24621"/>
    <cellStyle name="Levels 2 2 17" xfId="24622"/>
    <cellStyle name="Levels 2 2 18" xfId="24623"/>
    <cellStyle name="Levels 2 2 2" xfId="24624"/>
    <cellStyle name="Levels 2 2 2 2" xfId="24625"/>
    <cellStyle name="Levels 2 2 2 2 2" xfId="24626"/>
    <cellStyle name="Levels 2 2 2 3" xfId="24627"/>
    <cellStyle name="Levels 2 2 2 4" xfId="24628"/>
    <cellStyle name="Levels 2 2 3" xfId="24629"/>
    <cellStyle name="Levels 2 2 3 2" xfId="24630"/>
    <cellStyle name="Levels 2 2 3 3" xfId="24631"/>
    <cellStyle name="Levels 2 2 4" xfId="24632"/>
    <cellStyle name="Levels 2 2 4 2" xfId="24633"/>
    <cellStyle name="Levels 2 2 5" xfId="24634"/>
    <cellStyle name="Levels 2 2 6" xfId="24635"/>
    <cellStyle name="Levels 2 2 7" xfId="24636"/>
    <cellStyle name="Levels 2 2 8" xfId="24637"/>
    <cellStyle name="Levels 2 2 9" xfId="24638"/>
    <cellStyle name="Levels 2 20" xfId="24639"/>
    <cellStyle name="Levels 2 21" xfId="24640"/>
    <cellStyle name="Levels 2 3" xfId="24641"/>
    <cellStyle name="Levels 2 3 10" xfId="24642"/>
    <cellStyle name="Levels 2 3 11" xfId="24643"/>
    <cellStyle name="Levels 2 3 12" xfId="24644"/>
    <cellStyle name="Levels 2 3 13" xfId="24645"/>
    <cellStyle name="Levels 2 3 14" xfId="24646"/>
    <cellStyle name="Levels 2 3 15" xfId="24647"/>
    <cellStyle name="Levels 2 3 16" xfId="24648"/>
    <cellStyle name="Levels 2 3 17" xfId="24649"/>
    <cellStyle name="Levels 2 3 18" xfId="24650"/>
    <cellStyle name="Levels 2 3 2" xfId="24651"/>
    <cellStyle name="Levels 2 3 2 2" xfId="24652"/>
    <cellStyle name="Levels 2 3 2 2 2" xfId="24653"/>
    <cellStyle name="Levels 2 3 2 3" xfId="24654"/>
    <cellStyle name="Levels 2 3 2 4" xfId="24655"/>
    <cellStyle name="Levels 2 3 3" xfId="24656"/>
    <cellStyle name="Levels 2 3 3 2" xfId="24657"/>
    <cellStyle name="Levels 2 3 3 3" xfId="24658"/>
    <cellStyle name="Levels 2 3 4" xfId="24659"/>
    <cellStyle name="Levels 2 3 4 2" xfId="24660"/>
    <cellStyle name="Levels 2 3 5" xfId="24661"/>
    <cellStyle name="Levels 2 3 6" xfId="24662"/>
    <cellStyle name="Levels 2 3 7" xfId="24663"/>
    <cellStyle name="Levels 2 3 8" xfId="24664"/>
    <cellStyle name="Levels 2 3 9" xfId="24665"/>
    <cellStyle name="Levels 2 4" xfId="24666"/>
    <cellStyle name="Levels 2 4 2" xfId="24667"/>
    <cellStyle name="Levels 2 4 2 2" xfId="24668"/>
    <cellStyle name="Levels 2 4 2 3" xfId="24669"/>
    <cellStyle name="Levels 2 4 3" xfId="24670"/>
    <cellStyle name="Levels 2 4 3 2" xfId="24671"/>
    <cellStyle name="Levels 2 4 4" xfId="24672"/>
    <cellStyle name="Levels 2 4 5" xfId="24673"/>
    <cellStyle name="Levels 2 5" xfId="24674"/>
    <cellStyle name="Levels 2 5 2" xfId="24675"/>
    <cellStyle name="Levels 2 5 2 2" xfId="24676"/>
    <cellStyle name="Levels 2 5 3" xfId="24677"/>
    <cellStyle name="Levels 2 5 4" xfId="24678"/>
    <cellStyle name="Levels 2 6" xfId="24679"/>
    <cellStyle name="Levels 2 6 2" xfId="24680"/>
    <cellStyle name="Levels 2 7" xfId="24681"/>
    <cellStyle name="Levels 2 8" xfId="24682"/>
    <cellStyle name="Levels 2 9" xfId="24683"/>
    <cellStyle name="Levels 20" xfId="24684"/>
    <cellStyle name="Levels 21" xfId="24685"/>
    <cellStyle name="Levels 22" xfId="24686"/>
    <cellStyle name="Levels 23" xfId="24687"/>
    <cellStyle name="Levels 24" xfId="24688"/>
    <cellStyle name="Levels 25" xfId="24689"/>
    <cellStyle name="Levels 3" xfId="24690"/>
    <cellStyle name="Levels 3 10" xfId="24691"/>
    <cellStyle name="Levels 3 11" xfId="24692"/>
    <cellStyle name="Levels 3 12" xfId="24693"/>
    <cellStyle name="Levels 3 13" xfId="24694"/>
    <cellStyle name="Levels 3 14" xfId="24695"/>
    <cellStyle name="Levels 3 15" xfId="24696"/>
    <cellStyle name="Levels 3 16" xfId="24697"/>
    <cellStyle name="Levels 3 17" xfId="24698"/>
    <cellStyle name="Levels 3 18" xfId="24699"/>
    <cellStyle name="Levels 3 19" xfId="24700"/>
    <cellStyle name="Levels 3 2" xfId="24701"/>
    <cellStyle name="Levels 3 2 10" xfId="24702"/>
    <cellStyle name="Levels 3 2 11" xfId="24703"/>
    <cellStyle name="Levels 3 2 12" xfId="24704"/>
    <cellStyle name="Levels 3 2 13" xfId="24705"/>
    <cellStyle name="Levels 3 2 14" xfId="24706"/>
    <cellStyle name="Levels 3 2 15" xfId="24707"/>
    <cellStyle name="Levels 3 2 16" xfId="24708"/>
    <cellStyle name="Levels 3 2 17" xfId="24709"/>
    <cellStyle name="Levels 3 2 18" xfId="24710"/>
    <cellStyle name="Levels 3 2 2" xfId="24711"/>
    <cellStyle name="Levels 3 2 2 2" xfId="24712"/>
    <cellStyle name="Levels 3 2 2 2 2" xfId="24713"/>
    <cellStyle name="Levels 3 2 2 3" xfId="24714"/>
    <cellStyle name="Levels 3 2 2 4" xfId="24715"/>
    <cellStyle name="Levels 3 2 3" xfId="24716"/>
    <cellStyle name="Levels 3 2 3 2" xfId="24717"/>
    <cellStyle name="Levels 3 2 3 3" xfId="24718"/>
    <cellStyle name="Levels 3 2 4" xfId="24719"/>
    <cellStyle name="Levels 3 2 4 2" xfId="24720"/>
    <cellStyle name="Levels 3 2 5" xfId="24721"/>
    <cellStyle name="Levels 3 2 6" xfId="24722"/>
    <cellStyle name="Levels 3 2 7" xfId="24723"/>
    <cellStyle name="Levels 3 2 8" xfId="24724"/>
    <cellStyle name="Levels 3 2 9" xfId="24725"/>
    <cellStyle name="Levels 3 20" xfId="24726"/>
    <cellStyle name="Levels 3 21" xfId="24727"/>
    <cellStyle name="Levels 3 3" xfId="24728"/>
    <cellStyle name="Levels 3 3 10" xfId="24729"/>
    <cellStyle name="Levels 3 3 11" xfId="24730"/>
    <cellStyle name="Levels 3 3 12" xfId="24731"/>
    <cellStyle name="Levels 3 3 13" xfId="24732"/>
    <cellStyle name="Levels 3 3 14" xfId="24733"/>
    <cellStyle name="Levels 3 3 15" xfId="24734"/>
    <cellStyle name="Levels 3 3 16" xfId="24735"/>
    <cellStyle name="Levels 3 3 17" xfId="24736"/>
    <cellStyle name="Levels 3 3 18" xfId="24737"/>
    <cellStyle name="Levels 3 3 2" xfId="24738"/>
    <cellStyle name="Levels 3 3 2 2" xfId="24739"/>
    <cellStyle name="Levels 3 3 2 2 2" xfId="24740"/>
    <cellStyle name="Levels 3 3 2 3" xfId="24741"/>
    <cellStyle name="Levels 3 3 2 4" xfId="24742"/>
    <cellStyle name="Levels 3 3 3" xfId="24743"/>
    <cellStyle name="Levels 3 3 3 2" xfId="24744"/>
    <cellStyle name="Levels 3 3 3 3" xfId="24745"/>
    <cellStyle name="Levels 3 3 4" xfId="24746"/>
    <cellStyle name="Levels 3 3 4 2" xfId="24747"/>
    <cellStyle name="Levels 3 3 5" xfId="24748"/>
    <cellStyle name="Levels 3 3 6" xfId="24749"/>
    <cellStyle name="Levels 3 3 7" xfId="24750"/>
    <cellStyle name="Levels 3 3 8" xfId="24751"/>
    <cellStyle name="Levels 3 3 9" xfId="24752"/>
    <cellStyle name="Levels 3 4" xfId="24753"/>
    <cellStyle name="Levels 3 4 2" xfId="24754"/>
    <cellStyle name="Levels 3 4 2 2" xfId="24755"/>
    <cellStyle name="Levels 3 4 2 3" xfId="24756"/>
    <cellStyle name="Levels 3 4 3" xfId="24757"/>
    <cellStyle name="Levels 3 4 3 2" xfId="24758"/>
    <cellStyle name="Levels 3 4 4" xfId="24759"/>
    <cellStyle name="Levels 3 4 5" xfId="24760"/>
    <cellStyle name="Levels 3 5" xfId="24761"/>
    <cellStyle name="Levels 3 5 2" xfId="24762"/>
    <cellStyle name="Levels 3 5 2 2" xfId="24763"/>
    <cellStyle name="Levels 3 5 3" xfId="24764"/>
    <cellStyle name="Levels 3 5 4" xfId="24765"/>
    <cellStyle name="Levels 3 6" xfId="24766"/>
    <cellStyle name="Levels 3 6 2" xfId="24767"/>
    <cellStyle name="Levels 3 7" xfId="24768"/>
    <cellStyle name="Levels 3 8" xfId="24769"/>
    <cellStyle name="Levels 3 9" xfId="24770"/>
    <cellStyle name="Levels 4" xfId="24771"/>
    <cellStyle name="Levels 4 10" xfId="24772"/>
    <cellStyle name="Levels 4 11" xfId="24773"/>
    <cellStyle name="Levels 4 12" xfId="24774"/>
    <cellStyle name="Levels 4 13" xfId="24775"/>
    <cellStyle name="Levels 4 14" xfId="24776"/>
    <cellStyle name="Levels 4 15" xfId="24777"/>
    <cellStyle name="Levels 4 16" xfId="24778"/>
    <cellStyle name="Levels 4 17" xfId="24779"/>
    <cellStyle name="Levels 4 18" xfId="24780"/>
    <cellStyle name="Levels 4 19" xfId="24781"/>
    <cellStyle name="Levels 4 2" xfId="24782"/>
    <cellStyle name="Levels 4 2 10" xfId="24783"/>
    <cellStyle name="Levels 4 2 11" xfId="24784"/>
    <cellStyle name="Levels 4 2 12" xfId="24785"/>
    <cellStyle name="Levels 4 2 13" xfId="24786"/>
    <cellStyle name="Levels 4 2 14" xfId="24787"/>
    <cellStyle name="Levels 4 2 15" xfId="24788"/>
    <cellStyle name="Levels 4 2 16" xfId="24789"/>
    <cellStyle name="Levels 4 2 17" xfId="24790"/>
    <cellStyle name="Levels 4 2 18" xfId="24791"/>
    <cellStyle name="Levels 4 2 2" xfId="24792"/>
    <cellStyle name="Levels 4 2 2 2" xfId="24793"/>
    <cellStyle name="Levels 4 2 2 2 2" xfId="24794"/>
    <cellStyle name="Levels 4 2 2 3" xfId="24795"/>
    <cellStyle name="Levels 4 2 2 4" xfId="24796"/>
    <cellStyle name="Levels 4 2 3" xfId="24797"/>
    <cellStyle name="Levels 4 2 3 2" xfId="24798"/>
    <cellStyle name="Levels 4 2 3 3" xfId="24799"/>
    <cellStyle name="Levels 4 2 4" xfId="24800"/>
    <cellStyle name="Levels 4 2 4 2" xfId="24801"/>
    <cellStyle name="Levels 4 2 5" xfId="24802"/>
    <cellStyle name="Levels 4 2 6" xfId="24803"/>
    <cellStyle name="Levels 4 2 7" xfId="24804"/>
    <cellStyle name="Levels 4 2 8" xfId="24805"/>
    <cellStyle name="Levels 4 2 9" xfId="24806"/>
    <cellStyle name="Levels 4 20" xfId="24807"/>
    <cellStyle name="Levels 4 21" xfId="24808"/>
    <cellStyle name="Levels 4 3" xfId="24809"/>
    <cellStyle name="Levels 4 3 10" xfId="24810"/>
    <cellStyle name="Levels 4 3 11" xfId="24811"/>
    <cellStyle name="Levels 4 3 12" xfId="24812"/>
    <cellStyle name="Levels 4 3 13" xfId="24813"/>
    <cellStyle name="Levels 4 3 14" xfId="24814"/>
    <cellStyle name="Levels 4 3 15" xfId="24815"/>
    <cellStyle name="Levels 4 3 16" xfId="24816"/>
    <cellStyle name="Levels 4 3 17" xfId="24817"/>
    <cellStyle name="Levels 4 3 18" xfId="24818"/>
    <cellStyle name="Levels 4 3 2" xfId="24819"/>
    <cellStyle name="Levels 4 3 2 2" xfId="24820"/>
    <cellStyle name="Levels 4 3 2 2 2" xfId="24821"/>
    <cellStyle name="Levels 4 3 2 3" xfId="24822"/>
    <cellStyle name="Levels 4 3 2 4" xfId="24823"/>
    <cellStyle name="Levels 4 3 3" xfId="24824"/>
    <cellStyle name="Levels 4 3 3 2" xfId="24825"/>
    <cellStyle name="Levels 4 3 3 3" xfId="24826"/>
    <cellStyle name="Levels 4 3 4" xfId="24827"/>
    <cellStyle name="Levels 4 3 4 2" xfId="24828"/>
    <cellStyle name="Levels 4 3 5" xfId="24829"/>
    <cellStyle name="Levels 4 3 6" xfId="24830"/>
    <cellStyle name="Levels 4 3 7" xfId="24831"/>
    <cellStyle name="Levels 4 3 8" xfId="24832"/>
    <cellStyle name="Levels 4 3 9" xfId="24833"/>
    <cellStyle name="Levels 4 4" xfId="24834"/>
    <cellStyle name="Levels 4 4 2" xfId="24835"/>
    <cellStyle name="Levels 4 4 2 2" xfId="24836"/>
    <cellStyle name="Levels 4 4 2 3" xfId="24837"/>
    <cellStyle name="Levels 4 4 3" xfId="24838"/>
    <cellStyle name="Levels 4 4 3 2" xfId="24839"/>
    <cellStyle name="Levels 4 4 4" xfId="24840"/>
    <cellStyle name="Levels 4 4 5" xfId="24841"/>
    <cellStyle name="Levels 4 5" xfId="24842"/>
    <cellStyle name="Levels 4 5 2" xfId="24843"/>
    <cellStyle name="Levels 4 5 2 2" xfId="24844"/>
    <cellStyle name="Levels 4 5 3" xfId="24845"/>
    <cellStyle name="Levels 4 5 4" xfId="24846"/>
    <cellStyle name="Levels 4 6" xfId="24847"/>
    <cellStyle name="Levels 4 6 2" xfId="24848"/>
    <cellStyle name="Levels 4 7" xfId="24849"/>
    <cellStyle name="Levels 4 8" xfId="24850"/>
    <cellStyle name="Levels 4 9" xfId="24851"/>
    <cellStyle name="Levels 5" xfId="24852"/>
    <cellStyle name="Levels 5 10" xfId="24853"/>
    <cellStyle name="Levels 5 11" xfId="24854"/>
    <cellStyle name="Levels 5 12" xfId="24855"/>
    <cellStyle name="Levels 5 13" xfId="24856"/>
    <cellStyle name="Levels 5 14" xfId="24857"/>
    <cellStyle name="Levels 5 15" xfId="24858"/>
    <cellStyle name="Levels 5 16" xfId="24859"/>
    <cellStyle name="Levels 5 17" xfId="24860"/>
    <cellStyle name="Levels 5 18" xfId="24861"/>
    <cellStyle name="Levels 5 19" xfId="24862"/>
    <cellStyle name="Levels 5 2" xfId="24863"/>
    <cellStyle name="Levels 5 2 10" xfId="24864"/>
    <cellStyle name="Levels 5 2 11" xfId="24865"/>
    <cellStyle name="Levels 5 2 12" xfId="24866"/>
    <cellStyle name="Levels 5 2 13" xfId="24867"/>
    <cellStyle name="Levels 5 2 14" xfId="24868"/>
    <cellStyle name="Levels 5 2 15" xfId="24869"/>
    <cellStyle name="Levels 5 2 16" xfId="24870"/>
    <cellStyle name="Levels 5 2 17" xfId="24871"/>
    <cellStyle name="Levels 5 2 18" xfId="24872"/>
    <cellStyle name="Levels 5 2 2" xfId="24873"/>
    <cellStyle name="Levels 5 2 2 2" xfId="24874"/>
    <cellStyle name="Levels 5 2 2 2 2" xfId="24875"/>
    <cellStyle name="Levels 5 2 2 3" xfId="24876"/>
    <cellStyle name="Levels 5 2 2 4" xfId="24877"/>
    <cellStyle name="Levels 5 2 3" xfId="24878"/>
    <cellStyle name="Levels 5 2 3 2" xfId="24879"/>
    <cellStyle name="Levels 5 2 3 3" xfId="24880"/>
    <cellStyle name="Levels 5 2 4" xfId="24881"/>
    <cellStyle name="Levels 5 2 4 2" xfId="24882"/>
    <cellStyle name="Levels 5 2 5" xfId="24883"/>
    <cellStyle name="Levels 5 2 6" xfId="24884"/>
    <cellStyle name="Levels 5 2 7" xfId="24885"/>
    <cellStyle name="Levels 5 2 8" xfId="24886"/>
    <cellStyle name="Levels 5 2 9" xfId="24887"/>
    <cellStyle name="Levels 5 3" xfId="24888"/>
    <cellStyle name="Levels 5 3 10" xfId="24889"/>
    <cellStyle name="Levels 5 3 11" xfId="24890"/>
    <cellStyle name="Levels 5 3 12" xfId="24891"/>
    <cellStyle name="Levels 5 3 13" xfId="24892"/>
    <cellStyle name="Levels 5 3 14" xfId="24893"/>
    <cellStyle name="Levels 5 3 15" xfId="24894"/>
    <cellStyle name="Levels 5 3 16" xfId="24895"/>
    <cellStyle name="Levels 5 3 17" xfId="24896"/>
    <cellStyle name="Levels 5 3 18" xfId="24897"/>
    <cellStyle name="Levels 5 3 2" xfId="24898"/>
    <cellStyle name="Levels 5 3 2 2" xfId="24899"/>
    <cellStyle name="Levels 5 3 2 2 2" xfId="24900"/>
    <cellStyle name="Levels 5 3 2 3" xfId="24901"/>
    <cellStyle name="Levels 5 3 2 4" xfId="24902"/>
    <cellStyle name="Levels 5 3 3" xfId="24903"/>
    <cellStyle name="Levels 5 3 3 2" xfId="24904"/>
    <cellStyle name="Levels 5 3 3 3" xfId="24905"/>
    <cellStyle name="Levels 5 3 4" xfId="24906"/>
    <cellStyle name="Levels 5 3 4 2" xfId="24907"/>
    <cellStyle name="Levels 5 3 5" xfId="24908"/>
    <cellStyle name="Levels 5 3 6" xfId="24909"/>
    <cellStyle name="Levels 5 3 7" xfId="24910"/>
    <cellStyle name="Levels 5 3 8" xfId="24911"/>
    <cellStyle name="Levels 5 3 9" xfId="24912"/>
    <cellStyle name="Levels 5 4" xfId="24913"/>
    <cellStyle name="Levels 5 4 2" xfId="24914"/>
    <cellStyle name="Levels 5 4 2 2" xfId="24915"/>
    <cellStyle name="Levels 5 4 2 3" xfId="24916"/>
    <cellStyle name="Levels 5 4 3" xfId="24917"/>
    <cellStyle name="Levels 5 4 3 2" xfId="24918"/>
    <cellStyle name="Levels 5 4 4" xfId="24919"/>
    <cellStyle name="Levels 5 4 5" xfId="24920"/>
    <cellStyle name="Levels 5 5" xfId="24921"/>
    <cellStyle name="Levels 5 5 2" xfId="24922"/>
    <cellStyle name="Levels 5 5 2 2" xfId="24923"/>
    <cellStyle name="Levels 5 5 3" xfId="24924"/>
    <cellStyle name="Levels 5 5 4" xfId="24925"/>
    <cellStyle name="Levels 5 6" xfId="24926"/>
    <cellStyle name="Levels 5 6 2" xfId="24927"/>
    <cellStyle name="Levels 5 7" xfId="24928"/>
    <cellStyle name="Levels 5 8" xfId="24929"/>
    <cellStyle name="Levels 5 9" xfId="24930"/>
    <cellStyle name="Levels 6" xfId="24931"/>
    <cellStyle name="Levels 6 10" xfId="24932"/>
    <cellStyle name="Levels 6 11" xfId="24933"/>
    <cellStyle name="Levels 6 12" xfId="24934"/>
    <cellStyle name="Levels 6 13" xfId="24935"/>
    <cellStyle name="Levels 6 14" xfId="24936"/>
    <cellStyle name="Levels 6 15" xfId="24937"/>
    <cellStyle name="Levels 6 16" xfId="24938"/>
    <cellStyle name="Levels 6 17" xfId="24939"/>
    <cellStyle name="Levels 6 18" xfId="24940"/>
    <cellStyle name="Levels 6 19" xfId="24941"/>
    <cellStyle name="Levels 6 2" xfId="24942"/>
    <cellStyle name="Levels 6 2 10" xfId="24943"/>
    <cellStyle name="Levels 6 2 11" xfId="24944"/>
    <cellStyle name="Levels 6 2 12" xfId="24945"/>
    <cellStyle name="Levels 6 2 13" xfId="24946"/>
    <cellStyle name="Levels 6 2 14" xfId="24947"/>
    <cellStyle name="Levels 6 2 15" xfId="24948"/>
    <cellStyle name="Levels 6 2 16" xfId="24949"/>
    <cellStyle name="Levels 6 2 17" xfId="24950"/>
    <cellStyle name="Levels 6 2 18" xfId="24951"/>
    <cellStyle name="Levels 6 2 2" xfId="24952"/>
    <cellStyle name="Levels 6 2 2 2" xfId="24953"/>
    <cellStyle name="Levels 6 2 2 2 2" xfId="24954"/>
    <cellStyle name="Levels 6 2 2 3" xfId="24955"/>
    <cellStyle name="Levels 6 2 2 4" xfId="24956"/>
    <cellStyle name="Levels 6 2 3" xfId="24957"/>
    <cellStyle name="Levels 6 2 3 2" xfId="24958"/>
    <cellStyle name="Levels 6 2 3 3" xfId="24959"/>
    <cellStyle name="Levels 6 2 4" xfId="24960"/>
    <cellStyle name="Levels 6 2 4 2" xfId="24961"/>
    <cellStyle name="Levels 6 2 5" xfId="24962"/>
    <cellStyle name="Levels 6 2 6" xfId="24963"/>
    <cellStyle name="Levels 6 2 7" xfId="24964"/>
    <cellStyle name="Levels 6 2 8" xfId="24965"/>
    <cellStyle name="Levels 6 2 9" xfId="24966"/>
    <cellStyle name="Levels 6 20" xfId="24967"/>
    <cellStyle name="Levels 6 3" xfId="24968"/>
    <cellStyle name="Levels 6 3 10" xfId="24969"/>
    <cellStyle name="Levels 6 3 11" xfId="24970"/>
    <cellStyle name="Levels 6 3 12" xfId="24971"/>
    <cellStyle name="Levels 6 3 13" xfId="24972"/>
    <cellStyle name="Levels 6 3 14" xfId="24973"/>
    <cellStyle name="Levels 6 3 15" xfId="24974"/>
    <cellStyle name="Levels 6 3 16" xfId="24975"/>
    <cellStyle name="Levels 6 3 17" xfId="24976"/>
    <cellStyle name="Levels 6 3 18" xfId="24977"/>
    <cellStyle name="Levels 6 3 2" xfId="24978"/>
    <cellStyle name="Levels 6 3 2 2" xfId="24979"/>
    <cellStyle name="Levels 6 3 2 2 2" xfId="24980"/>
    <cellStyle name="Levels 6 3 2 3" xfId="24981"/>
    <cellStyle name="Levels 6 3 2 4" xfId="24982"/>
    <cellStyle name="Levels 6 3 3" xfId="24983"/>
    <cellStyle name="Levels 6 3 3 2" xfId="24984"/>
    <cellStyle name="Levels 6 3 3 3" xfId="24985"/>
    <cellStyle name="Levels 6 3 4" xfId="24986"/>
    <cellStyle name="Levels 6 3 4 2" xfId="24987"/>
    <cellStyle name="Levels 6 3 5" xfId="24988"/>
    <cellStyle name="Levels 6 3 6" xfId="24989"/>
    <cellStyle name="Levels 6 3 7" xfId="24990"/>
    <cellStyle name="Levels 6 3 8" xfId="24991"/>
    <cellStyle name="Levels 6 3 9" xfId="24992"/>
    <cellStyle name="Levels 6 4" xfId="24993"/>
    <cellStyle name="Levels 6 4 2" xfId="24994"/>
    <cellStyle name="Levels 6 4 2 2" xfId="24995"/>
    <cellStyle name="Levels 6 4 2 3" xfId="24996"/>
    <cellStyle name="Levels 6 4 3" xfId="24997"/>
    <cellStyle name="Levels 6 4 3 2" xfId="24998"/>
    <cellStyle name="Levels 6 4 4" xfId="24999"/>
    <cellStyle name="Levels 6 4 5" xfId="25000"/>
    <cellStyle name="Levels 6 5" xfId="25001"/>
    <cellStyle name="Levels 6 5 2" xfId="25002"/>
    <cellStyle name="Levels 6 5 2 2" xfId="25003"/>
    <cellStyle name="Levels 6 5 3" xfId="25004"/>
    <cellStyle name="Levels 6 5 4" xfId="25005"/>
    <cellStyle name="Levels 6 6" xfId="25006"/>
    <cellStyle name="Levels 6 6 2" xfId="25007"/>
    <cellStyle name="Levels 6 7" xfId="25008"/>
    <cellStyle name="Levels 6 8" xfId="25009"/>
    <cellStyle name="Levels 6 9" xfId="25010"/>
    <cellStyle name="Levels 7" xfId="25011"/>
    <cellStyle name="Levels 7 10" xfId="25012"/>
    <cellStyle name="Levels 7 11" xfId="25013"/>
    <cellStyle name="Levels 7 12" xfId="25014"/>
    <cellStyle name="Levels 7 13" xfId="25015"/>
    <cellStyle name="Levels 7 14" xfId="25016"/>
    <cellStyle name="Levels 7 15" xfId="25017"/>
    <cellStyle name="Levels 7 16" xfId="25018"/>
    <cellStyle name="Levels 7 17" xfId="25019"/>
    <cellStyle name="Levels 7 2" xfId="25020"/>
    <cellStyle name="Levels 7 2 2" xfId="25021"/>
    <cellStyle name="Levels 7 2 2 2" xfId="25022"/>
    <cellStyle name="Levels 7 2 3" xfId="25023"/>
    <cellStyle name="Levels 7 2 4" xfId="25024"/>
    <cellStyle name="Levels 7 3" xfId="25025"/>
    <cellStyle name="Levels 7 3 2" xfId="25026"/>
    <cellStyle name="Levels 7 4" xfId="25027"/>
    <cellStyle name="Levels 7 5" xfId="25028"/>
    <cellStyle name="Levels 7 6" xfId="25029"/>
    <cellStyle name="Levels 7 7" xfId="25030"/>
    <cellStyle name="Levels 7 8" xfId="25031"/>
    <cellStyle name="Levels 7 9" xfId="25032"/>
    <cellStyle name="Levels 8" xfId="25033"/>
    <cellStyle name="Levels 8 2" xfId="25034"/>
    <cellStyle name="Levels 8 2 2" xfId="25035"/>
    <cellStyle name="Levels 8 2 2 2" xfId="25036"/>
    <cellStyle name="Levels 8 2 3" xfId="25037"/>
    <cellStyle name="Levels 8 2 4" xfId="25038"/>
    <cellStyle name="Levels 8 3" xfId="25039"/>
    <cellStyle name="Levels 8 3 2" xfId="25040"/>
    <cellStyle name="Levels 8 3 3" xfId="25041"/>
    <cellStyle name="Levels 8 4" xfId="25042"/>
    <cellStyle name="Levels 8 4 2" xfId="25043"/>
    <cellStyle name="Levels 8 5" xfId="25044"/>
    <cellStyle name="Levels 8 6" xfId="25045"/>
    <cellStyle name="Levels 9" xfId="25046"/>
    <cellStyle name="Levels 9 2" xfId="25047"/>
    <cellStyle name="Levels 9 2 2" xfId="25048"/>
    <cellStyle name="Levels 9 3" xfId="25049"/>
    <cellStyle name="Levels 9 4" xfId="25050"/>
    <cellStyle name="Line Number" xfId="25051"/>
    <cellStyle name="Line Number 2" xfId="25052"/>
    <cellStyle name="Line Number 2 2" xfId="25053"/>
    <cellStyle name="Line Number 3" xfId="25054"/>
    <cellStyle name="Line Number 3 2" xfId="25055"/>
    <cellStyle name="Line Number 4" xfId="25056"/>
    <cellStyle name="Line Number 4 2" xfId="25057"/>
    <cellStyle name="Line Number 5" xfId="25058"/>
    <cellStyle name="Line_ClosingBal" xfId="25059"/>
    <cellStyle name="Link Currency (0)" xfId="25060"/>
    <cellStyle name="Link Currency (0) 2" xfId="25061"/>
    <cellStyle name="Link Currency (0) 3" xfId="25062"/>
    <cellStyle name="Link Currency (0) 4" xfId="25063"/>
    <cellStyle name="Link Currency (0) 5" xfId="25064"/>
    <cellStyle name="Link Currency (2)" xfId="25065"/>
    <cellStyle name="Link Currency (2) 2" xfId="25066"/>
    <cellStyle name="Link Currency (2) 3" xfId="25067"/>
    <cellStyle name="Link Units (0)" xfId="25068"/>
    <cellStyle name="Link Units (0) 2" xfId="25069"/>
    <cellStyle name="Link Units (0) 3" xfId="25070"/>
    <cellStyle name="Link Units (0) 4" xfId="25071"/>
    <cellStyle name="Link Units (0) 5" xfId="25072"/>
    <cellStyle name="Link Units (1)" xfId="25073"/>
    <cellStyle name="Link Units (1) 2" xfId="25074"/>
    <cellStyle name="Link Units (1) 3" xfId="25075"/>
    <cellStyle name="Link Units (1) 4" xfId="25076"/>
    <cellStyle name="Link Units (1) 5" xfId="25077"/>
    <cellStyle name="Link Units (2)" xfId="25078"/>
    <cellStyle name="Link Units (2) 2" xfId="25079"/>
    <cellStyle name="Link Units (2) 3" xfId="25080"/>
    <cellStyle name="Linked Cell" xfId="25081"/>
    <cellStyle name="Linked Cell 2" xfId="25082"/>
    <cellStyle name="Linked Cell 3" xfId="25083"/>
    <cellStyle name="Locked Cell - PerformancePoint" xfId="25084"/>
    <cellStyle name="LP0" xfId="25085"/>
    <cellStyle name="LP0 2" xfId="25086"/>
    <cellStyle name="LP0 3" xfId="25087"/>
    <cellStyle name="lue" xfId="25088"/>
    <cellStyle name="lue 2" xfId="25089"/>
    <cellStyle name="Main text" xfId="25090"/>
    <cellStyle name="Margin" xfId="25091"/>
    <cellStyle name="Margin 2" xfId="25092"/>
    <cellStyle name="Matrix" xfId="25093"/>
    <cellStyle name="Matrix 2" xfId="25094"/>
    <cellStyle name="Matrix 2 2" xfId="25095"/>
    <cellStyle name="Matrix 3" xfId="25096"/>
    <cellStyle name="Matrix 3 2" xfId="25097"/>
    <cellStyle name="Matrix 4" xfId="25098"/>
    <cellStyle name="Matrix 4 2" xfId="25099"/>
    <cellStyle name="Matrix 5" xfId="25100"/>
    <cellStyle name="Millares [0]_FINAL-10" xfId="25101"/>
    <cellStyle name="Millares_FINAL-10" xfId="25102"/>
    <cellStyle name="millions" xfId="25103"/>
    <cellStyle name="mnb" xfId="25104"/>
    <cellStyle name="mnb 10" xfId="25105"/>
    <cellStyle name="mnb 11" xfId="25106"/>
    <cellStyle name="mnb 12" xfId="25107"/>
    <cellStyle name="mnb 13" xfId="25108"/>
    <cellStyle name="mnb 14" xfId="25109"/>
    <cellStyle name="mnb 15" xfId="25110"/>
    <cellStyle name="mnb 16" xfId="25111"/>
    <cellStyle name="mnb 17" xfId="25112"/>
    <cellStyle name="mnb 18" xfId="25113"/>
    <cellStyle name="mnb 19" xfId="25114"/>
    <cellStyle name="mnb 2" xfId="25115"/>
    <cellStyle name="mnb 2 10" xfId="25116"/>
    <cellStyle name="mnb 2 11" xfId="25117"/>
    <cellStyle name="mnb 2 12" xfId="25118"/>
    <cellStyle name="mnb 2 13" xfId="25119"/>
    <cellStyle name="mnb 2 14" xfId="25120"/>
    <cellStyle name="mnb 2 15" xfId="25121"/>
    <cellStyle name="mnb 2 16" xfId="25122"/>
    <cellStyle name="mnb 2 17" xfId="25123"/>
    <cellStyle name="mnb 2 18" xfId="25124"/>
    <cellStyle name="mnb 2 19" xfId="25125"/>
    <cellStyle name="mnb 2 2" xfId="25126"/>
    <cellStyle name="mnb 2 2 10" xfId="25127"/>
    <cellStyle name="mnb 2 2 11" xfId="25128"/>
    <cellStyle name="mnb 2 2 12" xfId="25129"/>
    <cellStyle name="mnb 2 2 13" xfId="25130"/>
    <cellStyle name="mnb 2 2 14" xfId="25131"/>
    <cellStyle name="mnb 2 2 15" xfId="25132"/>
    <cellStyle name="mnb 2 2 16" xfId="25133"/>
    <cellStyle name="mnb 2 2 17" xfId="25134"/>
    <cellStyle name="mnb 2 2 18" xfId="25135"/>
    <cellStyle name="mnb 2 2 2" xfId="25136"/>
    <cellStyle name="mnb 2 2 2 2" xfId="25137"/>
    <cellStyle name="mnb 2 2 2 2 2" xfId="25138"/>
    <cellStyle name="mnb 2 2 2 3" xfId="25139"/>
    <cellStyle name="mnb 2 2 2 4" xfId="25140"/>
    <cellStyle name="mnb 2 2 3" xfId="25141"/>
    <cellStyle name="mnb 2 2 3 2" xfId="25142"/>
    <cellStyle name="mnb 2 2 3 3" xfId="25143"/>
    <cellStyle name="mnb 2 2 4" xfId="25144"/>
    <cellStyle name="mnb 2 2 4 2" xfId="25145"/>
    <cellStyle name="mnb 2 2 5" xfId="25146"/>
    <cellStyle name="mnb 2 2 6" xfId="25147"/>
    <cellStyle name="mnb 2 2 7" xfId="25148"/>
    <cellStyle name="mnb 2 2 8" xfId="25149"/>
    <cellStyle name="mnb 2 2 9" xfId="25150"/>
    <cellStyle name="mnb 2 3" xfId="25151"/>
    <cellStyle name="mnb 2 3 10" xfId="25152"/>
    <cellStyle name="mnb 2 3 11" xfId="25153"/>
    <cellStyle name="mnb 2 3 12" xfId="25154"/>
    <cellStyle name="mnb 2 3 13" xfId="25155"/>
    <cellStyle name="mnb 2 3 14" xfId="25156"/>
    <cellStyle name="mnb 2 3 15" xfId="25157"/>
    <cellStyle name="mnb 2 3 16" xfId="25158"/>
    <cellStyle name="mnb 2 3 17" xfId="25159"/>
    <cellStyle name="mnb 2 3 18" xfId="25160"/>
    <cellStyle name="mnb 2 3 2" xfId="25161"/>
    <cellStyle name="mnb 2 3 2 2" xfId="25162"/>
    <cellStyle name="mnb 2 3 2 2 2" xfId="25163"/>
    <cellStyle name="mnb 2 3 2 3" xfId="25164"/>
    <cellStyle name="mnb 2 3 2 4" xfId="25165"/>
    <cellStyle name="mnb 2 3 3" xfId="25166"/>
    <cellStyle name="mnb 2 3 3 2" xfId="25167"/>
    <cellStyle name="mnb 2 3 3 3" xfId="25168"/>
    <cellStyle name="mnb 2 3 4" xfId="25169"/>
    <cellStyle name="mnb 2 3 4 2" xfId="25170"/>
    <cellStyle name="mnb 2 3 5" xfId="25171"/>
    <cellStyle name="mnb 2 3 6" xfId="25172"/>
    <cellStyle name="mnb 2 3 7" xfId="25173"/>
    <cellStyle name="mnb 2 3 8" xfId="25174"/>
    <cellStyle name="mnb 2 3 9" xfId="25175"/>
    <cellStyle name="mnb 2 4" xfId="25176"/>
    <cellStyle name="mnb 2 4 2" xfId="25177"/>
    <cellStyle name="mnb 2 4 2 2" xfId="25178"/>
    <cellStyle name="mnb 2 4 2 3" xfId="25179"/>
    <cellStyle name="mnb 2 4 3" xfId="25180"/>
    <cellStyle name="mnb 2 4 3 2" xfId="25181"/>
    <cellStyle name="mnb 2 4 4" xfId="25182"/>
    <cellStyle name="mnb 2 4 5" xfId="25183"/>
    <cellStyle name="mnb 2 5" xfId="25184"/>
    <cellStyle name="mnb 2 5 2" xfId="25185"/>
    <cellStyle name="mnb 2 5 2 2" xfId="25186"/>
    <cellStyle name="mnb 2 5 3" xfId="25187"/>
    <cellStyle name="mnb 2 5 4" xfId="25188"/>
    <cellStyle name="mnb 2 6" xfId="25189"/>
    <cellStyle name="mnb 2 6 2" xfId="25190"/>
    <cellStyle name="mnb 2 7" xfId="25191"/>
    <cellStyle name="mnb 2 8" xfId="25192"/>
    <cellStyle name="mnb 2 9" xfId="25193"/>
    <cellStyle name="mnb 20" xfId="25194"/>
    <cellStyle name="mnb 21" xfId="25195"/>
    <cellStyle name="mnb 22" xfId="25196"/>
    <cellStyle name="mnb 23" xfId="25197"/>
    <cellStyle name="mnb 24" xfId="25198"/>
    <cellStyle name="mnb 25" xfId="25199"/>
    <cellStyle name="mnb 3" xfId="25200"/>
    <cellStyle name="mnb 3 10" xfId="25201"/>
    <cellStyle name="mnb 3 11" xfId="25202"/>
    <cellStyle name="mnb 3 12" xfId="25203"/>
    <cellStyle name="mnb 3 13" xfId="25204"/>
    <cellStyle name="mnb 3 14" xfId="25205"/>
    <cellStyle name="mnb 3 15" xfId="25206"/>
    <cellStyle name="mnb 3 16" xfId="25207"/>
    <cellStyle name="mnb 3 17" xfId="25208"/>
    <cellStyle name="mnb 3 18" xfId="25209"/>
    <cellStyle name="mnb 3 19" xfId="25210"/>
    <cellStyle name="mnb 3 2" xfId="25211"/>
    <cellStyle name="mnb 3 2 10" xfId="25212"/>
    <cellStyle name="mnb 3 2 11" xfId="25213"/>
    <cellStyle name="mnb 3 2 12" xfId="25214"/>
    <cellStyle name="mnb 3 2 13" xfId="25215"/>
    <cellStyle name="mnb 3 2 14" xfId="25216"/>
    <cellStyle name="mnb 3 2 15" xfId="25217"/>
    <cellStyle name="mnb 3 2 16" xfId="25218"/>
    <cellStyle name="mnb 3 2 17" xfId="25219"/>
    <cellStyle name="mnb 3 2 18" xfId="25220"/>
    <cellStyle name="mnb 3 2 2" xfId="25221"/>
    <cellStyle name="mnb 3 2 2 2" xfId="25222"/>
    <cellStyle name="mnb 3 2 2 2 2" xfId="25223"/>
    <cellStyle name="mnb 3 2 2 3" xfId="25224"/>
    <cellStyle name="mnb 3 2 2 4" xfId="25225"/>
    <cellStyle name="mnb 3 2 3" xfId="25226"/>
    <cellStyle name="mnb 3 2 3 2" xfId="25227"/>
    <cellStyle name="mnb 3 2 3 3" xfId="25228"/>
    <cellStyle name="mnb 3 2 4" xfId="25229"/>
    <cellStyle name="mnb 3 2 4 2" xfId="25230"/>
    <cellStyle name="mnb 3 2 5" xfId="25231"/>
    <cellStyle name="mnb 3 2 6" xfId="25232"/>
    <cellStyle name="mnb 3 2 7" xfId="25233"/>
    <cellStyle name="mnb 3 2 8" xfId="25234"/>
    <cellStyle name="mnb 3 2 9" xfId="25235"/>
    <cellStyle name="mnb 3 20" xfId="25236"/>
    <cellStyle name="mnb 3 21" xfId="25237"/>
    <cellStyle name="mnb 3 3" xfId="25238"/>
    <cellStyle name="mnb 3 3 10" xfId="25239"/>
    <cellStyle name="mnb 3 3 11" xfId="25240"/>
    <cellStyle name="mnb 3 3 12" xfId="25241"/>
    <cellStyle name="mnb 3 3 13" xfId="25242"/>
    <cellStyle name="mnb 3 3 14" xfId="25243"/>
    <cellStyle name="mnb 3 3 15" xfId="25244"/>
    <cellStyle name="mnb 3 3 16" xfId="25245"/>
    <cellStyle name="mnb 3 3 17" xfId="25246"/>
    <cellStyle name="mnb 3 3 18" xfId="25247"/>
    <cellStyle name="mnb 3 3 2" xfId="25248"/>
    <cellStyle name="mnb 3 3 2 2" xfId="25249"/>
    <cellStyle name="mnb 3 3 2 2 2" xfId="25250"/>
    <cellStyle name="mnb 3 3 2 3" xfId="25251"/>
    <cellStyle name="mnb 3 3 2 4" xfId="25252"/>
    <cellStyle name="mnb 3 3 3" xfId="25253"/>
    <cellStyle name="mnb 3 3 3 2" xfId="25254"/>
    <cellStyle name="mnb 3 3 3 3" xfId="25255"/>
    <cellStyle name="mnb 3 3 4" xfId="25256"/>
    <cellStyle name="mnb 3 3 4 2" xfId="25257"/>
    <cellStyle name="mnb 3 3 5" xfId="25258"/>
    <cellStyle name="mnb 3 3 6" xfId="25259"/>
    <cellStyle name="mnb 3 3 7" xfId="25260"/>
    <cellStyle name="mnb 3 3 8" xfId="25261"/>
    <cellStyle name="mnb 3 3 9" xfId="25262"/>
    <cellStyle name="mnb 3 4" xfId="25263"/>
    <cellStyle name="mnb 3 4 2" xfId="25264"/>
    <cellStyle name="mnb 3 4 2 2" xfId="25265"/>
    <cellStyle name="mnb 3 4 2 3" xfId="25266"/>
    <cellStyle name="mnb 3 4 3" xfId="25267"/>
    <cellStyle name="mnb 3 4 3 2" xfId="25268"/>
    <cellStyle name="mnb 3 4 4" xfId="25269"/>
    <cellStyle name="mnb 3 4 5" xfId="25270"/>
    <cellStyle name="mnb 3 5" xfId="25271"/>
    <cellStyle name="mnb 3 5 2" xfId="25272"/>
    <cellStyle name="mnb 3 5 2 2" xfId="25273"/>
    <cellStyle name="mnb 3 5 3" xfId="25274"/>
    <cellStyle name="mnb 3 5 4" xfId="25275"/>
    <cellStyle name="mnb 3 6" xfId="25276"/>
    <cellStyle name="mnb 3 6 2" xfId="25277"/>
    <cellStyle name="mnb 3 7" xfId="25278"/>
    <cellStyle name="mnb 3 8" xfId="25279"/>
    <cellStyle name="mnb 3 9" xfId="25280"/>
    <cellStyle name="mnb 4" xfId="25281"/>
    <cellStyle name="mnb 4 10" xfId="25282"/>
    <cellStyle name="mnb 4 11" xfId="25283"/>
    <cellStyle name="mnb 4 12" xfId="25284"/>
    <cellStyle name="mnb 4 13" xfId="25285"/>
    <cellStyle name="mnb 4 14" xfId="25286"/>
    <cellStyle name="mnb 4 15" xfId="25287"/>
    <cellStyle name="mnb 4 16" xfId="25288"/>
    <cellStyle name="mnb 4 17" xfId="25289"/>
    <cellStyle name="mnb 4 18" xfId="25290"/>
    <cellStyle name="mnb 4 19" xfId="25291"/>
    <cellStyle name="mnb 4 2" xfId="25292"/>
    <cellStyle name="mnb 4 2 10" xfId="25293"/>
    <cellStyle name="mnb 4 2 11" xfId="25294"/>
    <cellStyle name="mnb 4 2 12" xfId="25295"/>
    <cellStyle name="mnb 4 2 13" xfId="25296"/>
    <cellStyle name="mnb 4 2 14" xfId="25297"/>
    <cellStyle name="mnb 4 2 15" xfId="25298"/>
    <cellStyle name="mnb 4 2 16" xfId="25299"/>
    <cellStyle name="mnb 4 2 17" xfId="25300"/>
    <cellStyle name="mnb 4 2 18" xfId="25301"/>
    <cellStyle name="mnb 4 2 2" xfId="25302"/>
    <cellStyle name="mnb 4 2 2 2" xfId="25303"/>
    <cellStyle name="mnb 4 2 2 2 2" xfId="25304"/>
    <cellStyle name="mnb 4 2 2 3" xfId="25305"/>
    <cellStyle name="mnb 4 2 2 4" xfId="25306"/>
    <cellStyle name="mnb 4 2 3" xfId="25307"/>
    <cellStyle name="mnb 4 2 3 2" xfId="25308"/>
    <cellStyle name="mnb 4 2 3 3" xfId="25309"/>
    <cellStyle name="mnb 4 2 4" xfId="25310"/>
    <cellStyle name="mnb 4 2 4 2" xfId="25311"/>
    <cellStyle name="mnb 4 2 5" xfId="25312"/>
    <cellStyle name="mnb 4 2 6" xfId="25313"/>
    <cellStyle name="mnb 4 2 7" xfId="25314"/>
    <cellStyle name="mnb 4 2 8" xfId="25315"/>
    <cellStyle name="mnb 4 2 9" xfId="25316"/>
    <cellStyle name="mnb 4 20" xfId="25317"/>
    <cellStyle name="mnb 4 21" xfId="25318"/>
    <cellStyle name="mnb 4 3" xfId="25319"/>
    <cellStyle name="mnb 4 3 10" xfId="25320"/>
    <cellStyle name="mnb 4 3 11" xfId="25321"/>
    <cellStyle name="mnb 4 3 12" xfId="25322"/>
    <cellStyle name="mnb 4 3 13" xfId="25323"/>
    <cellStyle name="mnb 4 3 14" xfId="25324"/>
    <cellStyle name="mnb 4 3 15" xfId="25325"/>
    <cellStyle name="mnb 4 3 16" xfId="25326"/>
    <cellStyle name="mnb 4 3 17" xfId="25327"/>
    <cellStyle name="mnb 4 3 18" xfId="25328"/>
    <cellStyle name="mnb 4 3 2" xfId="25329"/>
    <cellStyle name="mnb 4 3 2 2" xfId="25330"/>
    <cellStyle name="mnb 4 3 2 2 2" xfId="25331"/>
    <cellStyle name="mnb 4 3 2 3" xfId="25332"/>
    <cellStyle name="mnb 4 3 2 4" xfId="25333"/>
    <cellStyle name="mnb 4 3 3" xfId="25334"/>
    <cellStyle name="mnb 4 3 3 2" xfId="25335"/>
    <cellStyle name="mnb 4 3 3 3" xfId="25336"/>
    <cellStyle name="mnb 4 3 4" xfId="25337"/>
    <cellStyle name="mnb 4 3 4 2" xfId="25338"/>
    <cellStyle name="mnb 4 3 5" xfId="25339"/>
    <cellStyle name="mnb 4 3 6" xfId="25340"/>
    <cellStyle name="mnb 4 3 7" xfId="25341"/>
    <cellStyle name="mnb 4 3 8" xfId="25342"/>
    <cellStyle name="mnb 4 3 9" xfId="25343"/>
    <cellStyle name="mnb 4 4" xfId="25344"/>
    <cellStyle name="mnb 4 4 2" xfId="25345"/>
    <cellStyle name="mnb 4 4 2 2" xfId="25346"/>
    <cellStyle name="mnb 4 4 2 3" xfId="25347"/>
    <cellStyle name="mnb 4 4 3" xfId="25348"/>
    <cellStyle name="mnb 4 4 3 2" xfId="25349"/>
    <cellStyle name="mnb 4 4 4" xfId="25350"/>
    <cellStyle name="mnb 4 4 5" xfId="25351"/>
    <cellStyle name="mnb 4 5" xfId="25352"/>
    <cellStyle name="mnb 4 5 2" xfId="25353"/>
    <cellStyle name="mnb 4 5 2 2" xfId="25354"/>
    <cellStyle name="mnb 4 5 3" xfId="25355"/>
    <cellStyle name="mnb 4 5 4" xfId="25356"/>
    <cellStyle name="mnb 4 6" xfId="25357"/>
    <cellStyle name="mnb 4 6 2" xfId="25358"/>
    <cellStyle name="mnb 4 7" xfId="25359"/>
    <cellStyle name="mnb 4 8" xfId="25360"/>
    <cellStyle name="mnb 4 9" xfId="25361"/>
    <cellStyle name="mnb 5" xfId="25362"/>
    <cellStyle name="mnb 5 10" xfId="25363"/>
    <cellStyle name="mnb 5 11" xfId="25364"/>
    <cellStyle name="mnb 5 12" xfId="25365"/>
    <cellStyle name="mnb 5 13" xfId="25366"/>
    <cellStyle name="mnb 5 14" xfId="25367"/>
    <cellStyle name="mnb 5 15" xfId="25368"/>
    <cellStyle name="mnb 5 16" xfId="25369"/>
    <cellStyle name="mnb 5 17" xfId="25370"/>
    <cellStyle name="mnb 5 18" xfId="25371"/>
    <cellStyle name="mnb 5 19" xfId="25372"/>
    <cellStyle name="mnb 5 2" xfId="25373"/>
    <cellStyle name="mnb 5 2 10" xfId="25374"/>
    <cellStyle name="mnb 5 2 11" xfId="25375"/>
    <cellStyle name="mnb 5 2 12" xfId="25376"/>
    <cellStyle name="mnb 5 2 13" xfId="25377"/>
    <cellStyle name="mnb 5 2 14" xfId="25378"/>
    <cellStyle name="mnb 5 2 15" xfId="25379"/>
    <cellStyle name="mnb 5 2 16" xfId="25380"/>
    <cellStyle name="mnb 5 2 17" xfId="25381"/>
    <cellStyle name="mnb 5 2 18" xfId="25382"/>
    <cellStyle name="mnb 5 2 2" xfId="25383"/>
    <cellStyle name="mnb 5 2 2 2" xfId="25384"/>
    <cellStyle name="mnb 5 2 2 2 2" xfId="25385"/>
    <cellStyle name="mnb 5 2 2 3" xfId="25386"/>
    <cellStyle name="mnb 5 2 2 4" xfId="25387"/>
    <cellStyle name="mnb 5 2 3" xfId="25388"/>
    <cellStyle name="mnb 5 2 3 2" xfId="25389"/>
    <cellStyle name="mnb 5 2 3 3" xfId="25390"/>
    <cellStyle name="mnb 5 2 4" xfId="25391"/>
    <cellStyle name="mnb 5 2 4 2" xfId="25392"/>
    <cellStyle name="mnb 5 2 5" xfId="25393"/>
    <cellStyle name="mnb 5 2 6" xfId="25394"/>
    <cellStyle name="mnb 5 2 7" xfId="25395"/>
    <cellStyle name="mnb 5 2 8" xfId="25396"/>
    <cellStyle name="mnb 5 2 9" xfId="25397"/>
    <cellStyle name="mnb 5 3" xfId="25398"/>
    <cellStyle name="mnb 5 3 10" xfId="25399"/>
    <cellStyle name="mnb 5 3 11" xfId="25400"/>
    <cellStyle name="mnb 5 3 12" xfId="25401"/>
    <cellStyle name="mnb 5 3 13" xfId="25402"/>
    <cellStyle name="mnb 5 3 14" xfId="25403"/>
    <cellStyle name="mnb 5 3 15" xfId="25404"/>
    <cellStyle name="mnb 5 3 16" xfId="25405"/>
    <cellStyle name="mnb 5 3 17" xfId="25406"/>
    <cellStyle name="mnb 5 3 18" xfId="25407"/>
    <cellStyle name="mnb 5 3 2" xfId="25408"/>
    <cellStyle name="mnb 5 3 2 2" xfId="25409"/>
    <cellStyle name="mnb 5 3 2 2 2" xfId="25410"/>
    <cellStyle name="mnb 5 3 2 3" xfId="25411"/>
    <cellStyle name="mnb 5 3 2 4" xfId="25412"/>
    <cellStyle name="mnb 5 3 3" xfId="25413"/>
    <cellStyle name="mnb 5 3 3 2" xfId="25414"/>
    <cellStyle name="mnb 5 3 3 3" xfId="25415"/>
    <cellStyle name="mnb 5 3 4" xfId="25416"/>
    <cellStyle name="mnb 5 3 4 2" xfId="25417"/>
    <cellStyle name="mnb 5 3 5" xfId="25418"/>
    <cellStyle name="mnb 5 3 6" xfId="25419"/>
    <cellStyle name="mnb 5 3 7" xfId="25420"/>
    <cellStyle name="mnb 5 3 8" xfId="25421"/>
    <cellStyle name="mnb 5 3 9" xfId="25422"/>
    <cellStyle name="mnb 5 4" xfId="25423"/>
    <cellStyle name="mnb 5 4 2" xfId="25424"/>
    <cellStyle name="mnb 5 4 2 2" xfId="25425"/>
    <cellStyle name="mnb 5 4 2 3" xfId="25426"/>
    <cellStyle name="mnb 5 4 3" xfId="25427"/>
    <cellStyle name="mnb 5 4 3 2" xfId="25428"/>
    <cellStyle name="mnb 5 4 4" xfId="25429"/>
    <cellStyle name="mnb 5 4 5" xfId="25430"/>
    <cellStyle name="mnb 5 5" xfId="25431"/>
    <cellStyle name="mnb 5 5 2" xfId="25432"/>
    <cellStyle name="mnb 5 5 2 2" xfId="25433"/>
    <cellStyle name="mnb 5 5 3" xfId="25434"/>
    <cellStyle name="mnb 5 5 4" xfId="25435"/>
    <cellStyle name="mnb 5 6" xfId="25436"/>
    <cellStyle name="mnb 5 6 2" xfId="25437"/>
    <cellStyle name="mnb 5 7" xfId="25438"/>
    <cellStyle name="mnb 5 8" xfId="25439"/>
    <cellStyle name="mnb 5 9" xfId="25440"/>
    <cellStyle name="mnb 6" xfId="25441"/>
    <cellStyle name="mnb 6 10" xfId="25442"/>
    <cellStyle name="mnb 6 11" xfId="25443"/>
    <cellStyle name="mnb 6 12" xfId="25444"/>
    <cellStyle name="mnb 6 13" xfId="25445"/>
    <cellStyle name="mnb 6 14" xfId="25446"/>
    <cellStyle name="mnb 6 15" xfId="25447"/>
    <cellStyle name="mnb 6 16" xfId="25448"/>
    <cellStyle name="mnb 6 17" xfId="25449"/>
    <cellStyle name="mnb 6 18" xfId="25450"/>
    <cellStyle name="mnb 6 19" xfId="25451"/>
    <cellStyle name="mnb 6 2" xfId="25452"/>
    <cellStyle name="mnb 6 2 10" xfId="25453"/>
    <cellStyle name="mnb 6 2 11" xfId="25454"/>
    <cellStyle name="mnb 6 2 12" xfId="25455"/>
    <cellStyle name="mnb 6 2 13" xfId="25456"/>
    <cellStyle name="mnb 6 2 14" xfId="25457"/>
    <cellStyle name="mnb 6 2 15" xfId="25458"/>
    <cellStyle name="mnb 6 2 16" xfId="25459"/>
    <cellStyle name="mnb 6 2 17" xfId="25460"/>
    <cellStyle name="mnb 6 2 18" xfId="25461"/>
    <cellStyle name="mnb 6 2 2" xfId="25462"/>
    <cellStyle name="mnb 6 2 2 2" xfId="25463"/>
    <cellStyle name="mnb 6 2 2 2 2" xfId="25464"/>
    <cellStyle name="mnb 6 2 2 3" xfId="25465"/>
    <cellStyle name="mnb 6 2 2 4" xfId="25466"/>
    <cellStyle name="mnb 6 2 3" xfId="25467"/>
    <cellStyle name="mnb 6 2 3 2" xfId="25468"/>
    <cellStyle name="mnb 6 2 3 3" xfId="25469"/>
    <cellStyle name="mnb 6 2 4" xfId="25470"/>
    <cellStyle name="mnb 6 2 4 2" xfId="25471"/>
    <cellStyle name="mnb 6 2 5" xfId="25472"/>
    <cellStyle name="mnb 6 2 6" xfId="25473"/>
    <cellStyle name="mnb 6 2 7" xfId="25474"/>
    <cellStyle name="mnb 6 2 8" xfId="25475"/>
    <cellStyle name="mnb 6 2 9" xfId="25476"/>
    <cellStyle name="mnb 6 20" xfId="25477"/>
    <cellStyle name="mnb 6 3" xfId="25478"/>
    <cellStyle name="mnb 6 3 10" xfId="25479"/>
    <cellStyle name="mnb 6 3 11" xfId="25480"/>
    <cellStyle name="mnb 6 3 12" xfId="25481"/>
    <cellStyle name="mnb 6 3 13" xfId="25482"/>
    <cellStyle name="mnb 6 3 14" xfId="25483"/>
    <cellStyle name="mnb 6 3 15" xfId="25484"/>
    <cellStyle name="mnb 6 3 16" xfId="25485"/>
    <cellStyle name="mnb 6 3 17" xfId="25486"/>
    <cellStyle name="mnb 6 3 18" xfId="25487"/>
    <cellStyle name="mnb 6 3 2" xfId="25488"/>
    <cellStyle name="mnb 6 3 2 2" xfId="25489"/>
    <cellStyle name="mnb 6 3 2 2 2" xfId="25490"/>
    <cellStyle name="mnb 6 3 2 3" xfId="25491"/>
    <cellStyle name="mnb 6 3 2 4" xfId="25492"/>
    <cellStyle name="mnb 6 3 3" xfId="25493"/>
    <cellStyle name="mnb 6 3 3 2" xfId="25494"/>
    <cellStyle name="mnb 6 3 3 3" xfId="25495"/>
    <cellStyle name="mnb 6 3 4" xfId="25496"/>
    <cellStyle name="mnb 6 3 4 2" xfId="25497"/>
    <cellStyle name="mnb 6 3 5" xfId="25498"/>
    <cellStyle name="mnb 6 3 6" xfId="25499"/>
    <cellStyle name="mnb 6 3 7" xfId="25500"/>
    <cellStyle name="mnb 6 3 8" xfId="25501"/>
    <cellStyle name="mnb 6 3 9" xfId="25502"/>
    <cellStyle name="mnb 6 4" xfId="25503"/>
    <cellStyle name="mnb 6 4 2" xfId="25504"/>
    <cellStyle name="mnb 6 4 2 2" xfId="25505"/>
    <cellStyle name="mnb 6 4 2 3" xfId="25506"/>
    <cellStyle name="mnb 6 4 3" xfId="25507"/>
    <cellStyle name="mnb 6 4 3 2" xfId="25508"/>
    <cellStyle name="mnb 6 4 4" xfId="25509"/>
    <cellStyle name="mnb 6 4 5" xfId="25510"/>
    <cellStyle name="mnb 6 5" xfId="25511"/>
    <cellStyle name="mnb 6 5 2" xfId="25512"/>
    <cellStyle name="mnb 6 5 2 2" xfId="25513"/>
    <cellStyle name="mnb 6 5 3" xfId="25514"/>
    <cellStyle name="mnb 6 5 4" xfId="25515"/>
    <cellStyle name="mnb 6 6" xfId="25516"/>
    <cellStyle name="mnb 6 6 2" xfId="25517"/>
    <cellStyle name="mnb 6 7" xfId="25518"/>
    <cellStyle name="mnb 6 8" xfId="25519"/>
    <cellStyle name="mnb 6 9" xfId="25520"/>
    <cellStyle name="mnb 7" xfId="25521"/>
    <cellStyle name="mnb 7 10" xfId="25522"/>
    <cellStyle name="mnb 7 11" xfId="25523"/>
    <cellStyle name="mnb 7 12" xfId="25524"/>
    <cellStyle name="mnb 7 13" xfId="25525"/>
    <cellStyle name="mnb 7 14" xfId="25526"/>
    <cellStyle name="mnb 7 15" xfId="25527"/>
    <cellStyle name="mnb 7 16" xfId="25528"/>
    <cellStyle name="mnb 7 17" xfId="25529"/>
    <cellStyle name="mnb 7 2" xfId="25530"/>
    <cellStyle name="mnb 7 2 2" xfId="25531"/>
    <cellStyle name="mnb 7 2 2 2" xfId="25532"/>
    <cellStyle name="mnb 7 2 3" xfId="25533"/>
    <cellStyle name="mnb 7 2 4" xfId="25534"/>
    <cellStyle name="mnb 7 3" xfId="25535"/>
    <cellStyle name="mnb 7 3 2" xfId="25536"/>
    <cellStyle name="mnb 7 4" xfId="25537"/>
    <cellStyle name="mnb 7 5" xfId="25538"/>
    <cellStyle name="mnb 7 6" xfId="25539"/>
    <cellStyle name="mnb 7 7" xfId="25540"/>
    <cellStyle name="mnb 7 8" xfId="25541"/>
    <cellStyle name="mnb 7 9" xfId="25542"/>
    <cellStyle name="mnb 8" xfId="25543"/>
    <cellStyle name="mnb 8 2" xfId="25544"/>
    <cellStyle name="mnb 8 2 2" xfId="25545"/>
    <cellStyle name="mnb 8 2 2 2" xfId="25546"/>
    <cellStyle name="mnb 8 2 3" xfId="25547"/>
    <cellStyle name="mnb 8 2 4" xfId="25548"/>
    <cellStyle name="mnb 8 3" xfId="25549"/>
    <cellStyle name="mnb 8 3 2" xfId="25550"/>
    <cellStyle name="mnb 8 3 3" xfId="25551"/>
    <cellStyle name="mnb 8 4" xfId="25552"/>
    <cellStyle name="mnb 8 4 2" xfId="25553"/>
    <cellStyle name="mnb 8 5" xfId="25554"/>
    <cellStyle name="mnb 8 6" xfId="25555"/>
    <cellStyle name="mnb 9" xfId="25556"/>
    <cellStyle name="mnb 9 2" xfId="25557"/>
    <cellStyle name="mnb 9 2 2" xfId="25558"/>
    <cellStyle name="mnb 9 3" xfId="25559"/>
    <cellStyle name="mnb 9 4" xfId="25560"/>
    <cellStyle name="Model" xfId="25561"/>
    <cellStyle name="Model 2" xfId="25562"/>
    <cellStyle name="Model 3" xfId="25563"/>
    <cellStyle name="Model 4" xfId="25564"/>
    <cellStyle name="Moneda [0]_FINAL-10" xfId="25565"/>
    <cellStyle name="Moneda_FINAL-10" xfId="25566"/>
    <cellStyle name="Month-Year" xfId="25567"/>
    <cellStyle name="multiple" xfId="25568"/>
    <cellStyle name="Multiple [0]" xfId="25569"/>
    <cellStyle name="Multiple [0] 2" xfId="25570"/>
    <cellStyle name="Multiple [1]" xfId="25571"/>
    <cellStyle name="Multiple [1] 2" xfId="25572"/>
    <cellStyle name="Multiple [2]" xfId="25573"/>
    <cellStyle name="Multiple [2] 2" xfId="25574"/>
    <cellStyle name="Multiple [3]" xfId="25575"/>
    <cellStyle name="Multiple [3] 2" xfId="25576"/>
    <cellStyle name="multiple 2" xfId="25577"/>
    <cellStyle name="Multiple, 1 dec" xfId="25578"/>
    <cellStyle name="Multiple, 1 dec 2" xfId="25579"/>
    <cellStyle name="Multiple, 2 dec" xfId="25580"/>
    <cellStyle name="Multiple, 2 dec 2" xfId="25581"/>
    <cellStyle name="Multiple_Dalsvyaz_Total" xfId="25582"/>
    <cellStyle name="n" xfId="25583"/>
    <cellStyle name="n 2" xfId="25584"/>
    <cellStyle name="Name_Input" xfId="25585"/>
    <cellStyle name="Neutral" xfId="25586"/>
    <cellStyle name="Neutral 2" xfId="25587"/>
    <cellStyle name="Neutral 2 2" xfId="25588"/>
    <cellStyle name="Neutral 3" xfId="25589"/>
    <cellStyle name="Neutral 4" xfId="25590"/>
    <cellStyle name="Neutral_7-р_Из_Системы" xfId="25591"/>
    <cellStyle name="No_Input" xfId="25592"/>
    <cellStyle name="Nonr" xfId="25593"/>
    <cellStyle name="nor" xfId="25594"/>
    <cellStyle name="nor 2" xfId="25595"/>
    <cellStyle name="Norma11l" xfId="25596"/>
    <cellStyle name="Norma11l 10" xfId="25597"/>
    <cellStyle name="Norma11l 2" xfId="25598"/>
    <cellStyle name="Norma11l 2 2" xfId="25599"/>
    <cellStyle name="Norma11l 2 3" xfId="25600"/>
    <cellStyle name="Norma11l 3" xfId="25601"/>
    <cellStyle name="Norma11l 3 2" xfId="25602"/>
    <cellStyle name="Norma11l 3 3" xfId="25603"/>
    <cellStyle name="Norma11l 4" xfId="25604"/>
    <cellStyle name="Norma11l 4 2" xfId="25605"/>
    <cellStyle name="Norma11l 4 3" xfId="25606"/>
    <cellStyle name="Norma11l 5" xfId="25607"/>
    <cellStyle name="Norma11l 5 2" xfId="25608"/>
    <cellStyle name="Norma11l 5 3" xfId="25609"/>
    <cellStyle name="Norma11l 6" xfId="25610"/>
    <cellStyle name="Norma11l 6 2" xfId="25611"/>
    <cellStyle name="Norma11l 6 3" xfId="25612"/>
    <cellStyle name="Norma11l 7" xfId="25613"/>
    <cellStyle name="Norma11l 7 2" xfId="25614"/>
    <cellStyle name="Norma11l 7 3" xfId="25615"/>
    <cellStyle name="Norma11l 8" xfId="25616"/>
    <cellStyle name="Norma11l 8 2" xfId="25617"/>
    <cellStyle name="Norma11l 8 3" xfId="25618"/>
    <cellStyle name="Norma11l 9" xfId="25619"/>
    <cellStyle name="Norma11l 9 2" xfId="25620"/>
    <cellStyle name="Norma11l 9 3" xfId="25621"/>
    <cellStyle name="Norma11l_Итоговая 04 10" xfId="25622"/>
    <cellStyle name="normail" xfId="25623"/>
    <cellStyle name="normail 2" xfId="25624"/>
    <cellStyle name="Normal - Style1" xfId="25625"/>
    <cellStyle name="Normal - Style1 2" xfId="25626"/>
    <cellStyle name="Normal - Style2" xfId="25627"/>
    <cellStyle name="Normal - Style3" xfId="25628"/>
    <cellStyle name="Normal - Style4" xfId="25629"/>
    <cellStyle name="Normal - Style5" xfId="25630"/>
    <cellStyle name="Normal - Style6" xfId="25631"/>
    <cellStyle name="Normal - Style7" xfId="25632"/>
    <cellStyle name="Normal - Style8" xfId="25633"/>
    <cellStyle name="Normal 11 2" xfId="25634"/>
    <cellStyle name="Normal 2" xfId="25635"/>
    <cellStyle name="Normal 2 2" xfId="25636"/>
    <cellStyle name="Normal 2 2 10" xfId="25637"/>
    <cellStyle name="Normal 2 2 11" xfId="25638"/>
    <cellStyle name="Normal 2 2 12" xfId="25639"/>
    <cellStyle name="Normal 2 2 13" xfId="25640"/>
    <cellStyle name="Normal 2 2 14" xfId="25641"/>
    <cellStyle name="Normal 2 2 15" xfId="25642"/>
    <cellStyle name="Normal 2 2 16" xfId="25643"/>
    <cellStyle name="Normal 2 2 17" xfId="25644"/>
    <cellStyle name="Normal 2 2 18" xfId="25645"/>
    <cellStyle name="Normal 2 2 19" xfId="25646"/>
    <cellStyle name="Normal 2 2 2" xfId="25647"/>
    <cellStyle name="Normal 2 2 2 2" xfId="25648"/>
    <cellStyle name="Normal 2 2 2 2 2" xfId="25649"/>
    <cellStyle name="Normal 2 2 2 3" xfId="25650"/>
    <cellStyle name="Normal 2 2 2 4" xfId="25651"/>
    <cellStyle name="Normal 2 2 2 5" xfId="25652"/>
    <cellStyle name="Normal 2 2 20" xfId="25653"/>
    <cellStyle name="Normal 2 2 21" xfId="25654"/>
    <cellStyle name="Normal 2 2 22" xfId="25655"/>
    <cellStyle name="Normal 2 2 3" xfId="25656"/>
    <cellStyle name="Normal 2 2 3 2" xfId="25657"/>
    <cellStyle name="Normal 2 2 4" xfId="25658"/>
    <cellStyle name="Normal 2 2 5" xfId="25659"/>
    <cellStyle name="Normal 2 2 6" xfId="25660"/>
    <cellStyle name="Normal 2 2 7" xfId="25661"/>
    <cellStyle name="Normal 2 2 8" xfId="25662"/>
    <cellStyle name="Normal 2 2 9" xfId="25663"/>
    <cellStyle name="Normal 2 3" xfId="25664"/>
    <cellStyle name="Normal 2 3 2" xfId="25665"/>
    <cellStyle name="Normal 2 3 2 2" xfId="25666"/>
    <cellStyle name="Normal 2 3 2 2 2" xfId="25667"/>
    <cellStyle name="Normal 2 3 2 3" xfId="25668"/>
    <cellStyle name="Normal 2 3 2 4" xfId="25669"/>
    <cellStyle name="Normal 2 3 3" xfId="25670"/>
    <cellStyle name="Normal 2 3 3 2" xfId="25671"/>
    <cellStyle name="Normal 2 3 3 3" xfId="25672"/>
    <cellStyle name="Normal 2 3 4" xfId="25673"/>
    <cellStyle name="Normal 2 3 4 2" xfId="25674"/>
    <cellStyle name="Normal 2 3 5" xfId="25675"/>
    <cellStyle name="Normal 2 3 6" xfId="25676"/>
    <cellStyle name="Normal 2 3 7" xfId="25677"/>
    <cellStyle name="Normal 2 4" xfId="25678"/>
    <cellStyle name="Normal 2 4 2" xfId="25679"/>
    <cellStyle name="Normal 2 4 2 2" xfId="25680"/>
    <cellStyle name="Normal 2 4 3" xfId="25681"/>
    <cellStyle name="Normal 2 4 4" xfId="25682"/>
    <cellStyle name="Normal 2 5" xfId="25683"/>
    <cellStyle name="Normal 2 6" xfId="25684"/>
    <cellStyle name="Normal 2 7" xfId="25685"/>
    <cellStyle name="Normal 3" xfId="25686"/>
    <cellStyle name="Normal 3 2" xfId="25687"/>
    <cellStyle name="Normal 4" xfId="25688"/>
    <cellStyle name="Normal 5" xfId="25689"/>
    <cellStyle name="Normal 8" xfId="25690"/>
    <cellStyle name="Normal Bold" xfId="25691"/>
    <cellStyle name="Normal Bold 2" xfId="25692"/>
    <cellStyle name="Normal Date" xfId="25693"/>
    <cellStyle name="Normal Title" xfId="25694"/>
    <cellStyle name="Normal." xfId="25695"/>
    <cellStyle name="Normal1" xfId="25696"/>
    <cellStyle name="Normal1 2" xfId="25697"/>
    <cellStyle name="Normal1 3" xfId="25698"/>
    <cellStyle name="Normale_MODELLO DI CONSOLIDAMENTO" xfId="25699"/>
    <cellStyle name="normální_Rozvaha - aktiva" xfId="25700"/>
    <cellStyle name="Normalny_0" xfId="25701"/>
    <cellStyle name="normбlnм_laroux" xfId="25702"/>
    <cellStyle name="normбlnн_laroux" xfId="25703"/>
    <cellStyle name="Note" xfId="25704"/>
    <cellStyle name="Note 2" xfId="25705"/>
    <cellStyle name="Note 2 2" xfId="25706"/>
    <cellStyle name="Note 3" xfId="25707"/>
    <cellStyle name="Note 3 2" xfId="25708"/>
    <cellStyle name="Note 4" xfId="25709"/>
    <cellStyle name="Note 4 2" xfId="25710"/>
    <cellStyle name="Note 5" xfId="25711"/>
    <cellStyle name="Note_7-р_Из_Системы" xfId="25712"/>
    <cellStyle name="Nr 0 dec" xfId="25713"/>
    <cellStyle name="Nr 0 dec - Input" xfId="25714"/>
    <cellStyle name="Nr 0 dec - Input 2" xfId="25715"/>
    <cellStyle name="Nr 0 dec - Subtotal" xfId="25716"/>
    <cellStyle name="Nr 0 dec - Subtotal 2" xfId="25717"/>
    <cellStyle name="Nr 0 dec - Subtotal 2 10" xfId="25718"/>
    <cellStyle name="Nr 0 dec - Subtotal 2 11" xfId="25719"/>
    <cellStyle name="Nr 0 dec - Subtotal 2 12" xfId="25720"/>
    <cellStyle name="Nr 0 dec - Subtotal 2 13" xfId="25721"/>
    <cellStyle name="Nr 0 dec - Subtotal 2 14" xfId="25722"/>
    <cellStyle name="Nr 0 dec - Subtotal 2 15" xfId="25723"/>
    <cellStyle name="Nr 0 dec - Subtotal 2 16" xfId="25724"/>
    <cellStyle name="Nr 0 dec - Subtotal 2 17" xfId="25725"/>
    <cellStyle name="Nr 0 dec - Subtotal 2 18" xfId="25726"/>
    <cellStyle name="Nr 0 dec - Subtotal 2 19" xfId="25727"/>
    <cellStyle name="Nr 0 dec - Subtotal 2 2" xfId="25728"/>
    <cellStyle name="Nr 0 dec - Subtotal 2 2 2" xfId="25729"/>
    <cellStyle name="Nr 0 dec - Subtotal 2 2 2 2" xfId="25730"/>
    <cellStyle name="Nr 0 dec - Subtotal 2 2 3" xfId="25731"/>
    <cellStyle name="Nr 0 dec - Subtotal 2 2 4" xfId="25732"/>
    <cellStyle name="Nr 0 dec - Subtotal 2 20" xfId="25733"/>
    <cellStyle name="Nr 0 dec - Subtotal 2 21" xfId="25734"/>
    <cellStyle name="Nr 0 dec - Subtotal 2 3" xfId="25735"/>
    <cellStyle name="Nr 0 dec - Subtotal 2 3 2" xfId="25736"/>
    <cellStyle name="Nr 0 dec - Subtotal 2 4" xfId="25737"/>
    <cellStyle name="Nr 0 dec - Subtotal 2 5" xfId="25738"/>
    <cellStyle name="Nr 0 dec - Subtotal 2 6" xfId="25739"/>
    <cellStyle name="Nr 0 dec - Subtotal 2 7" xfId="25740"/>
    <cellStyle name="Nr 0 dec - Subtotal 2 8" xfId="25741"/>
    <cellStyle name="Nr 0 dec - Subtotal 2 9" xfId="25742"/>
    <cellStyle name="Nr 0 dec - Subtotal 3" xfId="25743"/>
    <cellStyle name="Nr 0 dec - Subtotal 3 2" xfId="25744"/>
    <cellStyle name="Nr 0 dec - Subtotal 3 2 2" xfId="25745"/>
    <cellStyle name="Nr 0 dec - Subtotal 3 2 2 2" xfId="25746"/>
    <cellStyle name="Nr 0 dec - Subtotal 3 2 3" xfId="25747"/>
    <cellStyle name="Nr 0 dec - Subtotal 3 2 4" xfId="25748"/>
    <cellStyle name="Nr 0 dec - Subtotal 3 3" xfId="25749"/>
    <cellStyle name="Nr 0 dec - Subtotal 3 3 2" xfId="25750"/>
    <cellStyle name="Nr 0 dec - Subtotal 3 3 3" xfId="25751"/>
    <cellStyle name="Nr 0 dec - Subtotal 3 4" xfId="25752"/>
    <cellStyle name="Nr 0 dec - Subtotal 3 4 2" xfId="25753"/>
    <cellStyle name="Nr 0 dec - Subtotal 3 5" xfId="25754"/>
    <cellStyle name="Nr 0 dec - Subtotal 3 6" xfId="25755"/>
    <cellStyle name="Nr 0 dec - Subtotal 4" xfId="25756"/>
    <cellStyle name="Nr 0 dec - Subtotal 4 2" xfId="25757"/>
    <cellStyle name="Nr 0 dec - Subtotal 4 2 2" xfId="25758"/>
    <cellStyle name="Nr 0 dec - Subtotal 4 3" xfId="25759"/>
    <cellStyle name="Nr 0 dec - Subtotal 4 4" xfId="25760"/>
    <cellStyle name="Nr 0 dec - Subtotal 5" xfId="25761"/>
    <cellStyle name="Nr 0 dec - Subtotal 6" xfId="25762"/>
    <cellStyle name="Nr 0 dec - Subtotal 7" xfId="25763"/>
    <cellStyle name="Nr 0 dec 2" xfId="25764"/>
    <cellStyle name="Nr 0 dec_Data" xfId="25765"/>
    <cellStyle name="Nr 1 dec" xfId="25766"/>
    <cellStyle name="Nr 1 dec - Input" xfId="25767"/>
    <cellStyle name="Nr 1 dec - Input 2" xfId="25768"/>
    <cellStyle name="Nr 1 dec 2" xfId="25769"/>
    <cellStyle name="Nr 1 dec 3" xfId="25770"/>
    <cellStyle name="Nr 1 dec 4" xfId="25771"/>
    <cellStyle name="Nr 1 dec 5" xfId="25772"/>
    <cellStyle name="Nr 1 dec 6" xfId="25773"/>
    <cellStyle name="Nr, 0 dec" xfId="25774"/>
    <cellStyle name="Nr, 0 dec 2" xfId="25775"/>
    <cellStyle name="Number" xfId="25776"/>
    <cellStyle name="Number entry" xfId="25777"/>
    <cellStyle name="Number entry 10" xfId="25778"/>
    <cellStyle name="Number entry 11" xfId="25779"/>
    <cellStyle name="Number entry 12" xfId="25780"/>
    <cellStyle name="Number entry 13" xfId="25781"/>
    <cellStyle name="Number entry 14" xfId="25782"/>
    <cellStyle name="Number entry 15" xfId="25783"/>
    <cellStyle name="Number entry 16" xfId="25784"/>
    <cellStyle name="Number entry 17" xfId="25785"/>
    <cellStyle name="Number entry 18" xfId="25786"/>
    <cellStyle name="Number entry 19" xfId="25787"/>
    <cellStyle name="Number entry 2" xfId="25788"/>
    <cellStyle name="Number entry 2 10" xfId="25789"/>
    <cellStyle name="Number entry 2 11" xfId="25790"/>
    <cellStyle name="Number entry 2 12" xfId="25791"/>
    <cellStyle name="Number entry 2 13" xfId="25792"/>
    <cellStyle name="Number entry 2 14" xfId="25793"/>
    <cellStyle name="Number entry 2 15" xfId="25794"/>
    <cellStyle name="Number entry 2 16" xfId="25795"/>
    <cellStyle name="Number entry 2 17" xfId="25796"/>
    <cellStyle name="Number entry 2 18" xfId="25797"/>
    <cellStyle name="Number entry 2 19" xfId="25798"/>
    <cellStyle name="Number entry 2 2" xfId="25799"/>
    <cellStyle name="Number entry 2 2 10" xfId="25800"/>
    <cellStyle name="Number entry 2 2 11" xfId="25801"/>
    <cellStyle name="Number entry 2 2 12" xfId="25802"/>
    <cellStyle name="Number entry 2 2 13" xfId="25803"/>
    <cellStyle name="Number entry 2 2 14" xfId="25804"/>
    <cellStyle name="Number entry 2 2 15" xfId="25805"/>
    <cellStyle name="Number entry 2 2 16" xfId="25806"/>
    <cellStyle name="Number entry 2 2 17" xfId="25807"/>
    <cellStyle name="Number entry 2 2 18" xfId="25808"/>
    <cellStyle name="Number entry 2 2 2" xfId="25809"/>
    <cellStyle name="Number entry 2 2 2 2" xfId="25810"/>
    <cellStyle name="Number entry 2 2 2 2 2" xfId="25811"/>
    <cellStyle name="Number entry 2 2 2 3" xfId="25812"/>
    <cellStyle name="Number entry 2 2 2 4" xfId="25813"/>
    <cellStyle name="Number entry 2 2 3" xfId="25814"/>
    <cellStyle name="Number entry 2 2 3 2" xfId="25815"/>
    <cellStyle name="Number entry 2 2 3 3" xfId="25816"/>
    <cellStyle name="Number entry 2 2 4" xfId="25817"/>
    <cellStyle name="Number entry 2 2 4 2" xfId="25818"/>
    <cellStyle name="Number entry 2 2 5" xfId="25819"/>
    <cellStyle name="Number entry 2 2 6" xfId="25820"/>
    <cellStyle name="Number entry 2 2 7" xfId="25821"/>
    <cellStyle name="Number entry 2 2 8" xfId="25822"/>
    <cellStyle name="Number entry 2 2 9" xfId="25823"/>
    <cellStyle name="Number entry 2 3" xfId="25824"/>
    <cellStyle name="Number entry 2 3 10" xfId="25825"/>
    <cellStyle name="Number entry 2 3 11" xfId="25826"/>
    <cellStyle name="Number entry 2 3 12" xfId="25827"/>
    <cellStyle name="Number entry 2 3 13" xfId="25828"/>
    <cellStyle name="Number entry 2 3 14" xfId="25829"/>
    <cellStyle name="Number entry 2 3 15" xfId="25830"/>
    <cellStyle name="Number entry 2 3 16" xfId="25831"/>
    <cellStyle name="Number entry 2 3 17" xfId="25832"/>
    <cellStyle name="Number entry 2 3 18" xfId="25833"/>
    <cellStyle name="Number entry 2 3 2" xfId="25834"/>
    <cellStyle name="Number entry 2 3 2 2" xfId="25835"/>
    <cellStyle name="Number entry 2 3 2 2 2" xfId="25836"/>
    <cellStyle name="Number entry 2 3 2 3" xfId="25837"/>
    <cellStyle name="Number entry 2 3 2 4" xfId="25838"/>
    <cellStyle name="Number entry 2 3 3" xfId="25839"/>
    <cellStyle name="Number entry 2 3 3 2" xfId="25840"/>
    <cellStyle name="Number entry 2 3 3 3" xfId="25841"/>
    <cellStyle name="Number entry 2 3 4" xfId="25842"/>
    <cellStyle name="Number entry 2 3 4 2" xfId="25843"/>
    <cellStyle name="Number entry 2 3 5" xfId="25844"/>
    <cellStyle name="Number entry 2 3 6" xfId="25845"/>
    <cellStyle name="Number entry 2 3 7" xfId="25846"/>
    <cellStyle name="Number entry 2 3 8" xfId="25847"/>
    <cellStyle name="Number entry 2 3 9" xfId="25848"/>
    <cellStyle name="Number entry 2 4" xfId="25849"/>
    <cellStyle name="Number entry 2 4 2" xfId="25850"/>
    <cellStyle name="Number entry 2 4 2 2" xfId="25851"/>
    <cellStyle name="Number entry 2 4 2 3" xfId="25852"/>
    <cellStyle name="Number entry 2 4 3" xfId="25853"/>
    <cellStyle name="Number entry 2 4 3 2" xfId="25854"/>
    <cellStyle name="Number entry 2 4 4" xfId="25855"/>
    <cellStyle name="Number entry 2 4 5" xfId="25856"/>
    <cellStyle name="Number entry 2 5" xfId="25857"/>
    <cellStyle name="Number entry 2 5 2" xfId="25858"/>
    <cellStyle name="Number entry 2 5 2 2" xfId="25859"/>
    <cellStyle name="Number entry 2 5 3" xfId="25860"/>
    <cellStyle name="Number entry 2 5 4" xfId="25861"/>
    <cellStyle name="Number entry 2 6" xfId="25862"/>
    <cellStyle name="Number entry 2 6 2" xfId="25863"/>
    <cellStyle name="Number entry 2 7" xfId="25864"/>
    <cellStyle name="Number entry 2 8" xfId="25865"/>
    <cellStyle name="Number entry 2 9" xfId="25866"/>
    <cellStyle name="Number entry 20" xfId="25867"/>
    <cellStyle name="Number entry 21" xfId="25868"/>
    <cellStyle name="Number entry 22" xfId="25869"/>
    <cellStyle name="Number entry 23" xfId="25870"/>
    <cellStyle name="Number entry 24" xfId="25871"/>
    <cellStyle name="Number entry 25" xfId="25872"/>
    <cellStyle name="Number entry 3" xfId="25873"/>
    <cellStyle name="Number entry 3 10" xfId="25874"/>
    <cellStyle name="Number entry 3 11" xfId="25875"/>
    <cellStyle name="Number entry 3 12" xfId="25876"/>
    <cellStyle name="Number entry 3 13" xfId="25877"/>
    <cellStyle name="Number entry 3 14" xfId="25878"/>
    <cellStyle name="Number entry 3 15" xfId="25879"/>
    <cellStyle name="Number entry 3 16" xfId="25880"/>
    <cellStyle name="Number entry 3 17" xfId="25881"/>
    <cellStyle name="Number entry 3 18" xfId="25882"/>
    <cellStyle name="Number entry 3 19" xfId="25883"/>
    <cellStyle name="Number entry 3 2" xfId="25884"/>
    <cellStyle name="Number entry 3 2 10" xfId="25885"/>
    <cellStyle name="Number entry 3 2 11" xfId="25886"/>
    <cellStyle name="Number entry 3 2 12" xfId="25887"/>
    <cellStyle name="Number entry 3 2 13" xfId="25888"/>
    <cellStyle name="Number entry 3 2 14" xfId="25889"/>
    <cellStyle name="Number entry 3 2 15" xfId="25890"/>
    <cellStyle name="Number entry 3 2 16" xfId="25891"/>
    <cellStyle name="Number entry 3 2 17" xfId="25892"/>
    <cellStyle name="Number entry 3 2 18" xfId="25893"/>
    <cellStyle name="Number entry 3 2 2" xfId="25894"/>
    <cellStyle name="Number entry 3 2 2 2" xfId="25895"/>
    <cellStyle name="Number entry 3 2 2 2 2" xfId="25896"/>
    <cellStyle name="Number entry 3 2 2 3" xfId="25897"/>
    <cellStyle name="Number entry 3 2 2 4" xfId="25898"/>
    <cellStyle name="Number entry 3 2 3" xfId="25899"/>
    <cellStyle name="Number entry 3 2 3 2" xfId="25900"/>
    <cellStyle name="Number entry 3 2 3 3" xfId="25901"/>
    <cellStyle name="Number entry 3 2 4" xfId="25902"/>
    <cellStyle name="Number entry 3 2 4 2" xfId="25903"/>
    <cellStyle name="Number entry 3 2 5" xfId="25904"/>
    <cellStyle name="Number entry 3 2 6" xfId="25905"/>
    <cellStyle name="Number entry 3 2 7" xfId="25906"/>
    <cellStyle name="Number entry 3 2 8" xfId="25907"/>
    <cellStyle name="Number entry 3 2 9" xfId="25908"/>
    <cellStyle name="Number entry 3 20" xfId="25909"/>
    <cellStyle name="Number entry 3 21" xfId="25910"/>
    <cellStyle name="Number entry 3 3" xfId="25911"/>
    <cellStyle name="Number entry 3 3 10" xfId="25912"/>
    <cellStyle name="Number entry 3 3 11" xfId="25913"/>
    <cellStyle name="Number entry 3 3 12" xfId="25914"/>
    <cellStyle name="Number entry 3 3 13" xfId="25915"/>
    <cellStyle name="Number entry 3 3 14" xfId="25916"/>
    <cellStyle name="Number entry 3 3 15" xfId="25917"/>
    <cellStyle name="Number entry 3 3 16" xfId="25918"/>
    <cellStyle name="Number entry 3 3 17" xfId="25919"/>
    <cellStyle name="Number entry 3 3 18" xfId="25920"/>
    <cellStyle name="Number entry 3 3 2" xfId="25921"/>
    <cellStyle name="Number entry 3 3 2 2" xfId="25922"/>
    <cellStyle name="Number entry 3 3 2 2 2" xfId="25923"/>
    <cellStyle name="Number entry 3 3 2 3" xfId="25924"/>
    <cellStyle name="Number entry 3 3 2 4" xfId="25925"/>
    <cellStyle name="Number entry 3 3 3" xfId="25926"/>
    <cellStyle name="Number entry 3 3 3 2" xfId="25927"/>
    <cellStyle name="Number entry 3 3 3 3" xfId="25928"/>
    <cellStyle name="Number entry 3 3 4" xfId="25929"/>
    <cellStyle name="Number entry 3 3 4 2" xfId="25930"/>
    <cellStyle name="Number entry 3 3 5" xfId="25931"/>
    <cellStyle name="Number entry 3 3 6" xfId="25932"/>
    <cellStyle name="Number entry 3 3 7" xfId="25933"/>
    <cellStyle name="Number entry 3 3 8" xfId="25934"/>
    <cellStyle name="Number entry 3 3 9" xfId="25935"/>
    <cellStyle name="Number entry 3 4" xfId="25936"/>
    <cellStyle name="Number entry 3 4 2" xfId="25937"/>
    <cellStyle name="Number entry 3 4 2 2" xfId="25938"/>
    <cellStyle name="Number entry 3 4 2 3" xfId="25939"/>
    <cellStyle name="Number entry 3 4 3" xfId="25940"/>
    <cellStyle name="Number entry 3 4 3 2" xfId="25941"/>
    <cellStyle name="Number entry 3 4 4" xfId="25942"/>
    <cellStyle name="Number entry 3 4 5" xfId="25943"/>
    <cellStyle name="Number entry 3 5" xfId="25944"/>
    <cellStyle name="Number entry 3 5 2" xfId="25945"/>
    <cellStyle name="Number entry 3 5 2 2" xfId="25946"/>
    <cellStyle name="Number entry 3 5 3" xfId="25947"/>
    <cellStyle name="Number entry 3 5 4" xfId="25948"/>
    <cellStyle name="Number entry 3 6" xfId="25949"/>
    <cellStyle name="Number entry 3 6 2" xfId="25950"/>
    <cellStyle name="Number entry 3 7" xfId="25951"/>
    <cellStyle name="Number entry 3 8" xfId="25952"/>
    <cellStyle name="Number entry 3 9" xfId="25953"/>
    <cellStyle name="Number entry 4" xfId="25954"/>
    <cellStyle name="Number entry 4 10" xfId="25955"/>
    <cellStyle name="Number entry 4 11" xfId="25956"/>
    <cellStyle name="Number entry 4 12" xfId="25957"/>
    <cellStyle name="Number entry 4 13" xfId="25958"/>
    <cellStyle name="Number entry 4 14" xfId="25959"/>
    <cellStyle name="Number entry 4 15" xfId="25960"/>
    <cellStyle name="Number entry 4 16" xfId="25961"/>
    <cellStyle name="Number entry 4 17" xfId="25962"/>
    <cellStyle name="Number entry 4 18" xfId="25963"/>
    <cellStyle name="Number entry 4 19" xfId="25964"/>
    <cellStyle name="Number entry 4 2" xfId="25965"/>
    <cellStyle name="Number entry 4 2 10" xfId="25966"/>
    <cellStyle name="Number entry 4 2 11" xfId="25967"/>
    <cellStyle name="Number entry 4 2 12" xfId="25968"/>
    <cellStyle name="Number entry 4 2 13" xfId="25969"/>
    <cellStyle name="Number entry 4 2 14" xfId="25970"/>
    <cellStyle name="Number entry 4 2 15" xfId="25971"/>
    <cellStyle name="Number entry 4 2 16" xfId="25972"/>
    <cellStyle name="Number entry 4 2 17" xfId="25973"/>
    <cellStyle name="Number entry 4 2 18" xfId="25974"/>
    <cellStyle name="Number entry 4 2 2" xfId="25975"/>
    <cellStyle name="Number entry 4 2 2 2" xfId="25976"/>
    <cellStyle name="Number entry 4 2 2 2 2" xfId="25977"/>
    <cellStyle name="Number entry 4 2 2 3" xfId="25978"/>
    <cellStyle name="Number entry 4 2 2 4" xfId="25979"/>
    <cellStyle name="Number entry 4 2 3" xfId="25980"/>
    <cellStyle name="Number entry 4 2 3 2" xfId="25981"/>
    <cellStyle name="Number entry 4 2 3 3" xfId="25982"/>
    <cellStyle name="Number entry 4 2 4" xfId="25983"/>
    <cellStyle name="Number entry 4 2 4 2" xfId="25984"/>
    <cellStyle name="Number entry 4 2 5" xfId="25985"/>
    <cellStyle name="Number entry 4 2 6" xfId="25986"/>
    <cellStyle name="Number entry 4 2 7" xfId="25987"/>
    <cellStyle name="Number entry 4 2 8" xfId="25988"/>
    <cellStyle name="Number entry 4 2 9" xfId="25989"/>
    <cellStyle name="Number entry 4 20" xfId="25990"/>
    <cellStyle name="Number entry 4 21" xfId="25991"/>
    <cellStyle name="Number entry 4 3" xfId="25992"/>
    <cellStyle name="Number entry 4 3 10" xfId="25993"/>
    <cellStyle name="Number entry 4 3 11" xfId="25994"/>
    <cellStyle name="Number entry 4 3 12" xfId="25995"/>
    <cellStyle name="Number entry 4 3 13" xfId="25996"/>
    <cellStyle name="Number entry 4 3 14" xfId="25997"/>
    <cellStyle name="Number entry 4 3 15" xfId="25998"/>
    <cellStyle name="Number entry 4 3 16" xfId="25999"/>
    <cellStyle name="Number entry 4 3 17" xfId="26000"/>
    <cellStyle name="Number entry 4 3 18" xfId="26001"/>
    <cellStyle name="Number entry 4 3 2" xfId="26002"/>
    <cellStyle name="Number entry 4 3 2 2" xfId="26003"/>
    <cellStyle name="Number entry 4 3 2 2 2" xfId="26004"/>
    <cellStyle name="Number entry 4 3 2 3" xfId="26005"/>
    <cellStyle name="Number entry 4 3 2 4" xfId="26006"/>
    <cellStyle name="Number entry 4 3 3" xfId="26007"/>
    <cellStyle name="Number entry 4 3 3 2" xfId="26008"/>
    <cellStyle name="Number entry 4 3 3 3" xfId="26009"/>
    <cellStyle name="Number entry 4 3 4" xfId="26010"/>
    <cellStyle name="Number entry 4 3 4 2" xfId="26011"/>
    <cellStyle name="Number entry 4 3 5" xfId="26012"/>
    <cellStyle name="Number entry 4 3 6" xfId="26013"/>
    <cellStyle name="Number entry 4 3 7" xfId="26014"/>
    <cellStyle name="Number entry 4 3 8" xfId="26015"/>
    <cellStyle name="Number entry 4 3 9" xfId="26016"/>
    <cellStyle name="Number entry 4 4" xfId="26017"/>
    <cellStyle name="Number entry 4 4 2" xfId="26018"/>
    <cellStyle name="Number entry 4 4 2 2" xfId="26019"/>
    <cellStyle name="Number entry 4 4 2 3" xfId="26020"/>
    <cellStyle name="Number entry 4 4 3" xfId="26021"/>
    <cellStyle name="Number entry 4 4 3 2" xfId="26022"/>
    <cellStyle name="Number entry 4 4 4" xfId="26023"/>
    <cellStyle name="Number entry 4 4 5" xfId="26024"/>
    <cellStyle name="Number entry 4 5" xfId="26025"/>
    <cellStyle name="Number entry 4 5 2" xfId="26026"/>
    <cellStyle name="Number entry 4 5 2 2" xfId="26027"/>
    <cellStyle name="Number entry 4 5 3" xfId="26028"/>
    <cellStyle name="Number entry 4 5 4" xfId="26029"/>
    <cellStyle name="Number entry 4 6" xfId="26030"/>
    <cellStyle name="Number entry 4 6 2" xfId="26031"/>
    <cellStyle name="Number entry 4 7" xfId="26032"/>
    <cellStyle name="Number entry 4 8" xfId="26033"/>
    <cellStyle name="Number entry 4 9" xfId="26034"/>
    <cellStyle name="Number entry 5" xfId="26035"/>
    <cellStyle name="Number entry 5 10" xfId="26036"/>
    <cellStyle name="Number entry 5 11" xfId="26037"/>
    <cellStyle name="Number entry 5 12" xfId="26038"/>
    <cellStyle name="Number entry 5 13" xfId="26039"/>
    <cellStyle name="Number entry 5 14" xfId="26040"/>
    <cellStyle name="Number entry 5 15" xfId="26041"/>
    <cellStyle name="Number entry 5 16" xfId="26042"/>
    <cellStyle name="Number entry 5 17" xfId="26043"/>
    <cellStyle name="Number entry 5 18" xfId="26044"/>
    <cellStyle name="Number entry 5 19" xfId="26045"/>
    <cellStyle name="Number entry 5 2" xfId="26046"/>
    <cellStyle name="Number entry 5 2 10" xfId="26047"/>
    <cellStyle name="Number entry 5 2 11" xfId="26048"/>
    <cellStyle name="Number entry 5 2 12" xfId="26049"/>
    <cellStyle name="Number entry 5 2 13" xfId="26050"/>
    <cellStyle name="Number entry 5 2 14" xfId="26051"/>
    <cellStyle name="Number entry 5 2 15" xfId="26052"/>
    <cellStyle name="Number entry 5 2 16" xfId="26053"/>
    <cellStyle name="Number entry 5 2 17" xfId="26054"/>
    <cellStyle name="Number entry 5 2 18" xfId="26055"/>
    <cellStyle name="Number entry 5 2 2" xfId="26056"/>
    <cellStyle name="Number entry 5 2 2 2" xfId="26057"/>
    <cellStyle name="Number entry 5 2 2 2 2" xfId="26058"/>
    <cellStyle name="Number entry 5 2 2 3" xfId="26059"/>
    <cellStyle name="Number entry 5 2 2 4" xfId="26060"/>
    <cellStyle name="Number entry 5 2 3" xfId="26061"/>
    <cellStyle name="Number entry 5 2 3 2" xfId="26062"/>
    <cellStyle name="Number entry 5 2 3 3" xfId="26063"/>
    <cellStyle name="Number entry 5 2 4" xfId="26064"/>
    <cellStyle name="Number entry 5 2 4 2" xfId="26065"/>
    <cellStyle name="Number entry 5 2 5" xfId="26066"/>
    <cellStyle name="Number entry 5 2 6" xfId="26067"/>
    <cellStyle name="Number entry 5 2 7" xfId="26068"/>
    <cellStyle name="Number entry 5 2 8" xfId="26069"/>
    <cellStyle name="Number entry 5 2 9" xfId="26070"/>
    <cellStyle name="Number entry 5 3" xfId="26071"/>
    <cellStyle name="Number entry 5 3 10" xfId="26072"/>
    <cellStyle name="Number entry 5 3 11" xfId="26073"/>
    <cellStyle name="Number entry 5 3 12" xfId="26074"/>
    <cellStyle name="Number entry 5 3 13" xfId="26075"/>
    <cellStyle name="Number entry 5 3 14" xfId="26076"/>
    <cellStyle name="Number entry 5 3 15" xfId="26077"/>
    <cellStyle name="Number entry 5 3 16" xfId="26078"/>
    <cellStyle name="Number entry 5 3 17" xfId="26079"/>
    <cellStyle name="Number entry 5 3 18" xfId="26080"/>
    <cellStyle name="Number entry 5 3 2" xfId="26081"/>
    <cellStyle name="Number entry 5 3 2 2" xfId="26082"/>
    <cellStyle name="Number entry 5 3 2 2 2" xfId="26083"/>
    <cellStyle name="Number entry 5 3 2 3" xfId="26084"/>
    <cellStyle name="Number entry 5 3 2 4" xfId="26085"/>
    <cellStyle name="Number entry 5 3 3" xfId="26086"/>
    <cellStyle name="Number entry 5 3 3 2" xfId="26087"/>
    <cellStyle name="Number entry 5 3 3 3" xfId="26088"/>
    <cellStyle name="Number entry 5 3 4" xfId="26089"/>
    <cellStyle name="Number entry 5 3 4 2" xfId="26090"/>
    <cellStyle name="Number entry 5 3 5" xfId="26091"/>
    <cellStyle name="Number entry 5 3 6" xfId="26092"/>
    <cellStyle name="Number entry 5 3 7" xfId="26093"/>
    <cellStyle name="Number entry 5 3 8" xfId="26094"/>
    <cellStyle name="Number entry 5 3 9" xfId="26095"/>
    <cellStyle name="Number entry 5 4" xfId="26096"/>
    <cellStyle name="Number entry 5 4 2" xfId="26097"/>
    <cellStyle name="Number entry 5 4 2 2" xfId="26098"/>
    <cellStyle name="Number entry 5 4 2 3" xfId="26099"/>
    <cellStyle name="Number entry 5 4 3" xfId="26100"/>
    <cellStyle name="Number entry 5 4 3 2" xfId="26101"/>
    <cellStyle name="Number entry 5 4 4" xfId="26102"/>
    <cellStyle name="Number entry 5 4 5" xfId="26103"/>
    <cellStyle name="Number entry 5 5" xfId="26104"/>
    <cellStyle name="Number entry 5 5 2" xfId="26105"/>
    <cellStyle name="Number entry 5 5 2 2" xfId="26106"/>
    <cellStyle name="Number entry 5 5 3" xfId="26107"/>
    <cellStyle name="Number entry 5 5 4" xfId="26108"/>
    <cellStyle name="Number entry 5 6" xfId="26109"/>
    <cellStyle name="Number entry 5 6 2" xfId="26110"/>
    <cellStyle name="Number entry 5 7" xfId="26111"/>
    <cellStyle name="Number entry 5 8" xfId="26112"/>
    <cellStyle name="Number entry 5 9" xfId="26113"/>
    <cellStyle name="Number entry 6" xfId="26114"/>
    <cellStyle name="Number entry 6 10" xfId="26115"/>
    <cellStyle name="Number entry 6 11" xfId="26116"/>
    <cellStyle name="Number entry 6 12" xfId="26117"/>
    <cellStyle name="Number entry 6 13" xfId="26118"/>
    <cellStyle name="Number entry 6 14" xfId="26119"/>
    <cellStyle name="Number entry 6 15" xfId="26120"/>
    <cellStyle name="Number entry 6 16" xfId="26121"/>
    <cellStyle name="Number entry 6 17" xfId="26122"/>
    <cellStyle name="Number entry 6 18" xfId="26123"/>
    <cellStyle name="Number entry 6 19" xfId="26124"/>
    <cellStyle name="Number entry 6 2" xfId="26125"/>
    <cellStyle name="Number entry 6 2 10" xfId="26126"/>
    <cellStyle name="Number entry 6 2 11" xfId="26127"/>
    <cellStyle name="Number entry 6 2 12" xfId="26128"/>
    <cellStyle name="Number entry 6 2 13" xfId="26129"/>
    <cellStyle name="Number entry 6 2 14" xfId="26130"/>
    <cellStyle name="Number entry 6 2 15" xfId="26131"/>
    <cellStyle name="Number entry 6 2 16" xfId="26132"/>
    <cellStyle name="Number entry 6 2 17" xfId="26133"/>
    <cellStyle name="Number entry 6 2 18" xfId="26134"/>
    <cellStyle name="Number entry 6 2 2" xfId="26135"/>
    <cellStyle name="Number entry 6 2 2 2" xfId="26136"/>
    <cellStyle name="Number entry 6 2 2 2 2" xfId="26137"/>
    <cellStyle name="Number entry 6 2 2 3" xfId="26138"/>
    <cellStyle name="Number entry 6 2 2 4" xfId="26139"/>
    <cellStyle name="Number entry 6 2 3" xfId="26140"/>
    <cellStyle name="Number entry 6 2 3 2" xfId="26141"/>
    <cellStyle name="Number entry 6 2 3 3" xfId="26142"/>
    <cellStyle name="Number entry 6 2 4" xfId="26143"/>
    <cellStyle name="Number entry 6 2 4 2" xfId="26144"/>
    <cellStyle name="Number entry 6 2 5" xfId="26145"/>
    <cellStyle name="Number entry 6 2 6" xfId="26146"/>
    <cellStyle name="Number entry 6 2 7" xfId="26147"/>
    <cellStyle name="Number entry 6 2 8" xfId="26148"/>
    <cellStyle name="Number entry 6 2 9" xfId="26149"/>
    <cellStyle name="Number entry 6 20" xfId="26150"/>
    <cellStyle name="Number entry 6 3" xfId="26151"/>
    <cellStyle name="Number entry 6 3 10" xfId="26152"/>
    <cellStyle name="Number entry 6 3 11" xfId="26153"/>
    <cellStyle name="Number entry 6 3 12" xfId="26154"/>
    <cellStyle name="Number entry 6 3 13" xfId="26155"/>
    <cellStyle name="Number entry 6 3 14" xfId="26156"/>
    <cellStyle name="Number entry 6 3 15" xfId="26157"/>
    <cellStyle name="Number entry 6 3 16" xfId="26158"/>
    <cellStyle name="Number entry 6 3 17" xfId="26159"/>
    <cellStyle name="Number entry 6 3 18" xfId="26160"/>
    <cellStyle name="Number entry 6 3 2" xfId="26161"/>
    <cellStyle name="Number entry 6 3 2 2" xfId="26162"/>
    <cellStyle name="Number entry 6 3 2 2 2" xfId="26163"/>
    <cellStyle name="Number entry 6 3 2 3" xfId="26164"/>
    <cellStyle name="Number entry 6 3 2 4" xfId="26165"/>
    <cellStyle name="Number entry 6 3 3" xfId="26166"/>
    <cellStyle name="Number entry 6 3 3 2" xfId="26167"/>
    <cellStyle name="Number entry 6 3 3 3" xfId="26168"/>
    <cellStyle name="Number entry 6 3 4" xfId="26169"/>
    <cellStyle name="Number entry 6 3 4 2" xfId="26170"/>
    <cellStyle name="Number entry 6 3 5" xfId="26171"/>
    <cellStyle name="Number entry 6 3 6" xfId="26172"/>
    <cellStyle name="Number entry 6 3 7" xfId="26173"/>
    <cellStyle name="Number entry 6 3 8" xfId="26174"/>
    <cellStyle name="Number entry 6 3 9" xfId="26175"/>
    <cellStyle name="Number entry 6 4" xfId="26176"/>
    <cellStyle name="Number entry 6 4 2" xfId="26177"/>
    <cellStyle name="Number entry 6 4 2 2" xfId="26178"/>
    <cellStyle name="Number entry 6 4 2 3" xfId="26179"/>
    <cellStyle name="Number entry 6 4 3" xfId="26180"/>
    <cellStyle name="Number entry 6 4 3 2" xfId="26181"/>
    <cellStyle name="Number entry 6 4 4" xfId="26182"/>
    <cellStyle name="Number entry 6 4 5" xfId="26183"/>
    <cellStyle name="Number entry 6 5" xfId="26184"/>
    <cellStyle name="Number entry 6 5 2" xfId="26185"/>
    <cellStyle name="Number entry 6 5 2 2" xfId="26186"/>
    <cellStyle name="Number entry 6 5 3" xfId="26187"/>
    <cellStyle name="Number entry 6 5 4" xfId="26188"/>
    <cellStyle name="Number entry 6 6" xfId="26189"/>
    <cellStyle name="Number entry 6 6 2" xfId="26190"/>
    <cellStyle name="Number entry 6 7" xfId="26191"/>
    <cellStyle name="Number entry 6 8" xfId="26192"/>
    <cellStyle name="Number entry 6 9" xfId="26193"/>
    <cellStyle name="Number entry 7" xfId="26194"/>
    <cellStyle name="Number entry 7 10" xfId="26195"/>
    <cellStyle name="Number entry 7 11" xfId="26196"/>
    <cellStyle name="Number entry 7 12" xfId="26197"/>
    <cellStyle name="Number entry 7 13" xfId="26198"/>
    <cellStyle name="Number entry 7 14" xfId="26199"/>
    <cellStyle name="Number entry 7 15" xfId="26200"/>
    <cellStyle name="Number entry 7 16" xfId="26201"/>
    <cellStyle name="Number entry 7 17" xfId="26202"/>
    <cellStyle name="Number entry 7 2" xfId="26203"/>
    <cellStyle name="Number entry 7 2 2" xfId="26204"/>
    <cellStyle name="Number entry 7 2 2 2" xfId="26205"/>
    <cellStyle name="Number entry 7 2 3" xfId="26206"/>
    <cellStyle name="Number entry 7 2 4" xfId="26207"/>
    <cellStyle name="Number entry 7 3" xfId="26208"/>
    <cellStyle name="Number entry 7 3 2" xfId="26209"/>
    <cellStyle name="Number entry 7 4" xfId="26210"/>
    <cellStyle name="Number entry 7 5" xfId="26211"/>
    <cellStyle name="Number entry 7 6" xfId="26212"/>
    <cellStyle name="Number entry 7 7" xfId="26213"/>
    <cellStyle name="Number entry 7 8" xfId="26214"/>
    <cellStyle name="Number entry 7 9" xfId="26215"/>
    <cellStyle name="Number entry 8" xfId="26216"/>
    <cellStyle name="Number entry 8 2" xfId="26217"/>
    <cellStyle name="Number entry 8 2 2" xfId="26218"/>
    <cellStyle name="Number entry 8 2 2 2" xfId="26219"/>
    <cellStyle name="Number entry 8 2 3" xfId="26220"/>
    <cellStyle name="Number entry 8 2 4" xfId="26221"/>
    <cellStyle name="Number entry 8 3" xfId="26222"/>
    <cellStyle name="Number entry 8 3 2" xfId="26223"/>
    <cellStyle name="Number entry 8 3 3" xfId="26224"/>
    <cellStyle name="Number entry 8 4" xfId="26225"/>
    <cellStyle name="Number entry 8 4 2" xfId="26226"/>
    <cellStyle name="Number entry 8 5" xfId="26227"/>
    <cellStyle name="Number entry 8 6" xfId="26228"/>
    <cellStyle name="Number entry 9" xfId="26229"/>
    <cellStyle name="Number entry 9 2" xfId="26230"/>
    <cellStyle name="Number entry 9 2 2" xfId="26231"/>
    <cellStyle name="Number entry 9 3" xfId="26232"/>
    <cellStyle name="Number entry 9 4" xfId="26233"/>
    <cellStyle name="Number entry dec" xfId="26234"/>
    <cellStyle name="Number entry dec 10" xfId="26235"/>
    <cellStyle name="Number entry dec 11" xfId="26236"/>
    <cellStyle name="Number entry dec 12" xfId="26237"/>
    <cellStyle name="Number entry dec 13" xfId="26238"/>
    <cellStyle name="Number entry dec 14" xfId="26239"/>
    <cellStyle name="Number entry dec 15" xfId="26240"/>
    <cellStyle name="Number entry dec 16" xfId="26241"/>
    <cellStyle name="Number entry dec 17" xfId="26242"/>
    <cellStyle name="Number entry dec 18" xfId="26243"/>
    <cellStyle name="Number entry dec 19" xfId="26244"/>
    <cellStyle name="Number entry dec 2" xfId="26245"/>
    <cellStyle name="Number entry dec 2 10" xfId="26246"/>
    <cellStyle name="Number entry dec 2 11" xfId="26247"/>
    <cellStyle name="Number entry dec 2 12" xfId="26248"/>
    <cellStyle name="Number entry dec 2 13" xfId="26249"/>
    <cellStyle name="Number entry dec 2 14" xfId="26250"/>
    <cellStyle name="Number entry dec 2 15" xfId="26251"/>
    <cellStyle name="Number entry dec 2 16" xfId="26252"/>
    <cellStyle name="Number entry dec 2 17" xfId="26253"/>
    <cellStyle name="Number entry dec 2 18" xfId="26254"/>
    <cellStyle name="Number entry dec 2 19" xfId="26255"/>
    <cellStyle name="Number entry dec 2 2" xfId="26256"/>
    <cellStyle name="Number entry dec 2 2 10" xfId="26257"/>
    <cellStyle name="Number entry dec 2 2 11" xfId="26258"/>
    <cellStyle name="Number entry dec 2 2 12" xfId="26259"/>
    <cellStyle name="Number entry dec 2 2 13" xfId="26260"/>
    <cellStyle name="Number entry dec 2 2 14" xfId="26261"/>
    <cellStyle name="Number entry dec 2 2 15" xfId="26262"/>
    <cellStyle name="Number entry dec 2 2 16" xfId="26263"/>
    <cellStyle name="Number entry dec 2 2 17" xfId="26264"/>
    <cellStyle name="Number entry dec 2 2 18" xfId="26265"/>
    <cellStyle name="Number entry dec 2 2 2" xfId="26266"/>
    <cellStyle name="Number entry dec 2 2 2 2" xfId="26267"/>
    <cellStyle name="Number entry dec 2 2 2 2 2" xfId="26268"/>
    <cellStyle name="Number entry dec 2 2 2 3" xfId="26269"/>
    <cellStyle name="Number entry dec 2 2 2 4" xfId="26270"/>
    <cellStyle name="Number entry dec 2 2 3" xfId="26271"/>
    <cellStyle name="Number entry dec 2 2 3 2" xfId="26272"/>
    <cellStyle name="Number entry dec 2 2 3 3" xfId="26273"/>
    <cellStyle name="Number entry dec 2 2 4" xfId="26274"/>
    <cellStyle name="Number entry dec 2 2 4 2" xfId="26275"/>
    <cellStyle name="Number entry dec 2 2 5" xfId="26276"/>
    <cellStyle name="Number entry dec 2 2 6" xfId="26277"/>
    <cellStyle name="Number entry dec 2 2 7" xfId="26278"/>
    <cellStyle name="Number entry dec 2 2 8" xfId="26279"/>
    <cellStyle name="Number entry dec 2 2 9" xfId="26280"/>
    <cellStyle name="Number entry dec 2 3" xfId="26281"/>
    <cellStyle name="Number entry dec 2 3 10" xfId="26282"/>
    <cellStyle name="Number entry dec 2 3 11" xfId="26283"/>
    <cellStyle name="Number entry dec 2 3 12" xfId="26284"/>
    <cellStyle name="Number entry dec 2 3 13" xfId="26285"/>
    <cellStyle name="Number entry dec 2 3 14" xfId="26286"/>
    <cellStyle name="Number entry dec 2 3 15" xfId="26287"/>
    <cellStyle name="Number entry dec 2 3 16" xfId="26288"/>
    <cellStyle name="Number entry dec 2 3 17" xfId="26289"/>
    <cellStyle name="Number entry dec 2 3 18" xfId="26290"/>
    <cellStyle name="Number entry dec 2 3 2" xfId="26291"/>
    <cellStyle name="Number entry dec 2 3 2 2" xfId="26292"/>
    <cellStyle name="Number entry dec 2 3 2 2 2" xfId="26293"/>
    <cellStyle name="Number entry dec 2 3 2 3" xfId="26294"/>
    <cellStyle name="Number entry dec 2 3 2 4" xfId="26295"/>
    <cellStyle name="Number entry dec 2 3 3" xfId="26296"/>
    <cellStyle name="Number entry dec 2 3 3 2" xfId="26297"/>
    <cellStyle name="Number entry dec 2 3 3 3" xfId="26298"/>
    <cellStyle name="Number entry dec 2 3 4" xfId="26299"/>
    <cellStyle name="Number entry dec 2 3 4 2" xfId="26300"/>
    <cellStyle name="Number entry dec 2 3 5" xfId="26301"/>
    <cellStyle name="Number entry dec 2 3 6" xfId="26302"/>
    <cellStyle name="Number entry dec 2 3 7" xfId="26303"/>
    <cellStyle name="Number entry dec 2 3 8" xfId="26304"/>
    <cellStyle name="Number entry dec 2 3 9" xfId="26305"/>
    <cellStyle name="Number entry dec 2 4" xfId="26306"/>
    <cellStyle name="Number entry dec 2 4 2" xfId="26307"/>
    <cellStyle name="Number entry dec 2 4 2 2" xfId="26308"/>
    <cellStyle name="Number entry dec 2 4 2 3" xfId="26309"/>
    <cellStyle name="Number entry dec 2 4 3" xfId="26310"/>
    <cellStyle name="Number entry dec 2 4 3 2" xfId="26311"/>
    <cellStyle name="Number entry dec 2 4 4" xfId="26312"/>
    <cellStyle name="Number entry dec 2 4 5" xfId="26313"/>
    <cellStyle name="Number entry dec 2 5" xfId="26314"/>
    <cellStyle name="Number entry dec 2 5 2" xfId="26315"/>
    <cellStyle name="Number entry dec 2 5 2 2" xfId="26316"/>
    <cellStyle name="Number entry dec 2 5 3" xfId="26317"/>
    <cellStyle name="Number entry dec 2 5 4" xfId="26318"/>
    <cellStyle name="Number entry dec 2 6" xfId="26319"/>
    <cellStyle name="Number entry dec 2 6 2" xfId="26320"/>
    <cellStyle name="Number entry dec 2 7" xfId="26321"/>
    <cellStyle name="Number entry dec 2 8" xfId="26322"/>
    <cellStyle name="Number entry dec 2 9" xfId="26323"/>
    <cellStyle name="Number entry dec 20" xfId="26324"/>
    <cellStyle name="Number entry dec 21" xfId="26325"/>
    <cellStyle name="Number entry dec 22" xfId="26326"/>
    <cellStyle name="Number entry dec 23" xfId="26327"/>
    <cellStyle name="Number entry dec 24" xfId="26328"/>
    <cellStyle name="Number entry dec 25" xfId="26329"/>
    <cellStyle name="Number entry dec 3" xfId="26330"/>
    <cellStyle name="Number entry dec 3 10" xfId="26331"/>
    <cellStyle name="Number entry dec 3 11" xfId="26332"/>
    <cellStyle name="Number entry dec 3 12" xfId="26333"/>
    <cellStyle name="Number entry dec 3 13" xfId="26334"/>
    <cellStyle name="Number entry dec 3 14" xfId="26335"/>
    <cellStyle name="Number entry dec 3 15" xfId="26336"/>
    <cellStyle name="Number entry dec 3 16" xfId="26337"/>
    <cellStyle name="Number entry dec 3 17" xfId="26338"/>
    <cellStyle name="Number entry dec 3 18" xfId="26339"/>
    <cellStyle name="Number entry dec 3 19" xfId="26340"/>
    <cellStyle name="Number entry dec 3 2" xfId="26341"/>
    <cellStyle name="Number entry dec 3 2 10" xfId="26342"/>
    <cellStyle name="Number entry dec 3 2 11" xfId="26343"/>
    <cellStyle name="Number entry dec 3 2 12" xfId="26344"/>
    <cellStyle name="Number entry dec 3 2 13" xfId="26345"/>
    <cellStyle name="Number entry dec 3 2 14" xfId="26346"/>
    <cellStyle name="Number entry dec 3 2 15" xfId="26347"/>
    <cellStyle name="Number entry dec 3 2 16" xfId="26348"/>
    <cellStyle name="Number entry dec 3 2 17" xfId="26349"/>
    <cellStyle name="Number entry dec 3 2 18" xfId="26350"/>
    <cellStyle name="Number entry dec 3 2 2" xfId="26351"/>
    <cellStyle name="Number entry dec 3 2 2 2" xfId="26352"/>
    <cellStyle name="Number entry dec 3 2 2 2 2" xfId="26353"/>
    <cellStyle name="Number entry dec 3 2 2 3" xfId="26354"/>
    <cellStyle name="Number entry dec 3 2 2 4" xfId="26355"/>
    <cellStyle name="Number entry dec 3 2 3" xfId="26356"/>
    <cellStyle name="Number entry dec 3 2 3 2" xfId="26357"/>
    <cellStyle name="Number entry dec 3 2 3 3" xfId="26358"/>
    <cellStyle name="Number entry dec 3 2 4" xfId="26359"/>
    <cellStyle name="Number entry dec 3 2 4 2" xfId="26360"/>
    <cellStyle name="Number entry dec 3 2 5" xfId="26361"/>
    <cellStyle name="Number entry dec 3 2 6" xfId="26362"/>
    <cellStyle name="Number entry dec 3 2 7" xfId="26363"/>
    <cellStyle name="Number entry dec 3 2 8" xfId="26364"/>
    <cellStyle name="Number entry dec 3 2 9" xfId="26365"/>
    <cellStyle name="Number entry dec 3 20" xfId="26366"/>
    <cellStyle name="Number entry dec 3 21" xfId="26367"/>
    <cellStyle name="Number entry dec 3 3" xfId="26368"/>
    <cellStyle name="Number entry dec 3 3 10" xfId="26369"/>
    <cellStyle name="Number entry dec 3 3 11" xfId="26370"/>
    <cellStyle name="Number entry dec 3 3 12" xfId="26371"/>
    <cellStyle name="Number entry dec 3 3 13" xfId="26372"/>
    <cellStyle name="Number entry dec 3 3 14" xfId="26373"/>
    <cellStyle name="Number entry dec 3 3 15" xfId="26374"/>
    <cellStyle name="Number entry dec 3 3 16" xfId="26375"/>
    <cellStyle name="Number entry dec 3 3 17" xfId="26376"/>
    <cellStyle name="Number entry dec 3 3 18" xfId="26377"/>
    <cellStyle name="Number entry dec 3 3 2" xfId="26378"/>
    <cellStyle name="Number entry dec 3 3 2 2" xfId="26379"/>
    <cellStyle name="Number entry dec 3 3 2 2 2" xfId="26380"/>
    <cellStyle name="Number entry dec 3 3 2 3" xfId="26381"/>
    <cellStyle name="Number entry dec 3 3 2 4" xfId="26382"/>
    <cellStyle name="Number entry dec 3 3 3" xfId="26383"/>
    <cellStyle name="Number entry dec 3 3 3 2" xfId="26384"/>
    <cellStyle name="Number entry dec 3 3 3 3" xfId="26385"/>
    <cellStyle name="Number entry dec 3 3 4" xfId="26386"/>
    <cellStyle name="Number entry dec 3 3 4 2" xfId="26387"/>
    <cellStyle name="Number entry dec 3 3 5" xfId="26388"/>
    <cellStyle name="Number entry dec 3 3 6" xfId="26389"/>
    <cellStyle name="Number entry dec 3 3 7" xfId="26390"/>
    <cellStyle name="Number entry dec 3 3 8" xfId="26391"/>
    <cellStyle name="Number entry dec 3 3 9" xfId="26392"/>
    <cellStyle name="Number entry dec 3 4" xfId="26393"/>
    <cellStyle name="Number entry dec 3 4 2" xfId="26394"/>
    <cellStyle name="Number entry dec 3 4 2 2" xfId="26395"/>
    <cellStyle name="Number entry dec 3 4 2 3" xfId="26396"/>
    <cellStyle name="Number entry dec 3 4 3" xfId="26397"/>
    <cellStyle name="Number entry dec 3 4 3 2" xfId="26398"/>
    <cellStyle name="Number entry dec 3 4 4" xfId="26399"/>
    <cellStyle name="Number entry dec 3 4 5" xfId="26400"/>
    <cellStyle name="Number entry dec 3 5" xfId="26401"/>
    <cellStyle name="Number entry dec 3 5 2" xfId="26402"/>
    <cellStyle name="Number entry dec 3 5 2 2" xfId="26403"/>
    <cellStyle name="Number entry dec 3 5 3" xfId="26404"/>
    <cellStyle name="Number entry dec 3 5 4" xfId="26405"/>
    <cellStyle name="Number entry dec 3 6" xfId="26406"/>
    <cellStyle name="Number entry dec 3 6 2" xfId="26407"/>
    <cellStyle name="Number entry dec 3 7" xfId="26408"/>
    <cellStyle name="Number entry dec 3 8" xfId="26409"/>
    <cellStyle name="Number entry dec 3 9" xfId="26410"/>
    <cellStyle name="Number entry dec 4" xfId="26411"/>
    <cellStyle name="Number entry dec 4 10" xfId="26412"/>
    <cellStyle name="Number entry dec 4 11" xfId="26413"/>
    <cellStyle name="Number entry dec 4 12" xfId="26414"/>
    <cellStyle name="Number entry dec 4 13" xfId="26415"/>
    <cellStyle name="Number entry dec 4 14" xfId="26416"/>
    <cellStyle name="Number entry dec 4 15" xfId="26417"/>
    <cellStyle name="Number entry dec 4 16" xfId="26418"/>
    <cellStyle name="Number entry dec 4 17" xfId="26419"/>
    <cellStyle name="Number entry dec 4 18" xfId="26420"/>
    <cellStyle name="Number entry dec 4 19" xfId="26421"/>
    <cellStyle name="Number entry dec 4 2" xfId="26422"/>
    <cellStyle name="Number entry dec 4 2 10" xfId="26423"/>
    <cellStyle name="Number entry dec 4 2 11" xfId="26424"/>
    <cellStyle name="Number entry dec 4 2 12" xfId="26425"/>
    <cellStyle name="Number entry dec 4 2 13" xfId="26426"/>
    <cellStyle name="Number entry dec 4 2 14" xfId="26427"/>
    <cellStyle name="Number entry dec 4 2 15" xfId="26428"/>
    <cellStyle name="Number entry dec 4 2 16" xfId="26429"/>
    <cellStyle name="Number entry dec 4 2 17" xfId="26430"/>
    <cellStyle name="Number entry dec 4 2 18" xfId="26431"/>
    <cellStyle name="Number entry dec 4 2 2" xfId="26432"/>
    <cellStyle name="Number entry dec 4 2 2 2" xfId="26433"/>
    <cellStyle name="Number entry dec 4 2 2 2 2" xfId="26434"/>
    <cellStyle name="Number entry dec 4 2 2 3" xfId="26435"/>
    <cellStyle name="Number entry dec 4 2 2 4" xfId="26436"/>
    <cellStyle name="Number entry dec 4 2 3" xfId="26437"/>
    <cellStyle name="Number entry dec 4 2 3 2" xfId="26438"/>
    <cellStyle name="Number entry dec 4 2 3 3" xfId="26439"/>
    <cellStyle name="Number entry dec 4 2 4" xfId="26440"/>
    <cellStyle name="Number entry dec 4 2 4 2" xfId="26441"/>
    <cellStyle name="Number entry dec 4 2 5" xfId="26442"/>
    <cellStyle name="Number entry dec 4 2 6" xfId="26443"/>
    <cellStyle name="Number entry dec 4 2 7" xfId="26444"/>
    <cellStyle name="Number entry dec 4 2 8" xfId="26445"/>
    <cellStyle name="Number entry dec 4 2 9" xfId="26446"/>
    <cellStyle name="Number entry dec 4 20" xfId="26447"/>
    <cellStyle name="Number entry dec 4 21" xfId="26448"/>
    <cellStyle name="Number entry dec 4 3" xfId="26449"/>
    <cellStyle name="Number entry dec 4 3 10" xfId="26450"/>
    <cellStyle name="Number entry dec 4 3 11" xfId="26451"/>
    <cellStyle name="Number entry dec 4 3 12" xfId="26452"/>
    <cellStyle name="Number entry dec 4 3 13" xfId="26453"/>
    <cellStyle name="Number entry dec 4 3 14" xfId="26454"/>
    <cellStyle name="Number entry dec 4 3 15" xfId="26455"/>
    <cellStyle name="Number entry dec 4 3 16" xfId="26456"/>
    <cellStyle name="Number entry dec 4 3 17" xfId="26457"/>
    <cellStyle name="Number entry dec 4 3 18" xfId="26458"/>
    <cellStyle name="Number entry dec 4 3 2" xfId="26459"/>
    <cellStyle name="Number entry dec 4 3 2 2" xfId="26460"/>
    <cellStyle name="Number entry dec 4 3 2 2 2" xfId="26461"/>
    <cellStyle name="Number entry dec 4 3 2 3" xfId="26462"/>
    <cellStyle name="Number entry dec 4 3 2 4" xfId="26463"/>
    <cellStyle name="Number entry dec 4 3 3" xfId="26464"/>
    <cellStyle name="Number entry dec 4 3 3 2" xfId="26465"/>
    <cellStyle name="Number entry dec 4 3 3 3" xfId="26466"/>
    <cellStyle name="Number entry dec 4 3 4" xfId="26467"/>
    <cellStyle name="Number entry dec 4 3 4 2" xfId="26468"/>
    <cellStyle name="Number entry dec 4 3 5" xfId="26469"/>
    <cellStyle name="Number entry dec 4 3 6" xfId="26470"/>
    <cellStyle name="Number entry dec 4 3 7" xfId="26471"/>
    <cellStyle name="Number entry dec 4 3 8" xfId="26472"/>
    <cellStyle name="Number entry dec 4 3 9" xfId="26473"/>
    <cellStyle name="Number entry dec 4 4" xfId="26474"/>
    <cellStyle name="Number entry dec 4 4 2" xfId="26475"/>
    <cellStyle name="Number entry dec 4 4 2 2" xfId="26476"/>
    <cellStyle name="Number entry dec 4 4 2 3" xfId="26477"/>
    <cellStyle name="Number entry dec 4 4 3" xfId="26478"/>
    <cellStyle name="Number entry dec 4 4 3 2" xfId="26479"/>
    <cellStyle name="Number entry dec 4 4 4" xfId="26480"/>
    <cellStyle name="Number entry dec 4 4 5" xfId="26481"/>
    <cellStyle name="Number entry dec 4 5" xfId="26482"/>
    <cellStyle name="Number entry dec 4 5 2" xfId="26483"/>
    <cellStyle name="Number entry dec 4 5 2 2" xfId="26484"/>
    <cellStyle name="Number entry dec 4 5 3" xfId="26485"/>
    <cellStyle name="Number entry dec 4 5 4" xfId="26486"/>
    <cellStyle name="Number entry dec 4 6" xfId="26487"/>
    <cellStyle name="Number entry dec 4 6 2" xfId="26488"/>
    <cellStyle name="Number entry dec 4 7" xfId="26489"/>
    <cellStyle name="Number entry dec 4 8" xfId="26490"/>
    <cellStyle name="Number entry dec 4 9" xfId="26491"/>
    <cellStyle name="Number entry dec 5" xfId="26492"/>
    <cellStyle name="Number entry dec 5 10" xfId="26493"/>
    <cellStyle name="Number entry dec 5 11" xfId="26494"/>
    <cellStyle name="Number entry dec 5 12" xfId="26495"/>
    <cellStyle name="Number entry dec 5 13" xfId="26496"/>
    <cellStyle name="Number entry dec 5 14" xfId="26497"/>
    <cellStyle name="Number entry dec 5 15" xfId="26498"/>
    <cellStyle name="Number entry dec 5 16" xfId="26499"/>
    <cellStyle name="Number entry dec 5 17" xfId="26500"/>
    <cellStyle name="Number entry dec 5 18" xfId="26501"/>
    <cellStyle name="Number entry dec 5 19" xfId="26502"/>
    <cellStyle name="Number entry dec 5 2" xfId="26503"/>
    <cellStyle name="Number entry dec 5 2 10" xfId="26504"/>
    <cellStyle name="Number entry dec 5 2 11" xfId="26505"/>
    <cellStyle name="Number entry dec 5 2 12" xfId="26506"/>
    <cellStyle name="Number entry dec 5 2 13" xfId="26507"/>
    <cellStyle name="Number entry dec 5 2 14" xfId="26508"/>
    <cellStyle name="Number entry dec 5 2 15" xfId="26509"/>
    <cellStyle name="Number entry dec 5 2 16" xfId="26510"/>
    <cellStyle name="Number entry dec 5 2 17" xfId="26511"/>
    <cellStyle name="Number entry dec 5 2 18" xfId="26512"/>
    <cellStyle name="Number entry dec 5 2 2" xfId="26513"/>
    <cellStyle name="Number entry dec 5 2 2 2" xfId="26514"/>
    <cellStyle name="Number entry dec 5 2 2 2 2" xfId="26515"/>
    <cellStyle name="Number entry dec 5 2 2 3" xfId="26516"/>
    <cellStyle name="Number entry dec 5 2 2 4" xfId="26517"/>
    <cellStyle name="Number entry dec 5 2 3" xfId="26518"/>
    <cellStyle name="Number entry dec 5 2 3 2" xfId="26519"/>
    <cellStyle name="Number entry dec 5 2 3 3" xfId="26520"/>
    <cellStyle name="Number entry dec 5 2 4" xfId="26521"/>
    <cellStyle name="Number entry dec 5 2 4 2" xfId="26522"/>
    <cellStyle name="Number entry dec 5 2 5" xfId="26523"/>
    <cellStyle name="Number entry dec 5 2 6" xfId="26524"/>
    <cellStyle name="Number entry dec 5 2 7" xfId="26525"/>
    <cellStyle name="Number entry dec 5 2 8" xfId="26526"/>
    <cellStyle name="Number entry dec 5 2 9" xfId="26527"/>
    <cellStyle name="Number entry dec 5 3" xfId="26528"/>
    <cellStyle name="Number entry dec 5 3 10" xfId="26529"/>
    <cellStyle name="Number entry dec 5 3 11" xfId="26530"/>
    <cellStyle name="Number entry dec 5 3 12" xfId="26531"/>
    <cellStyle name="Number entry dec 5 3 13" xfId="26532"/>
    <cellStyle name="Number entry dec 5 3 14" xfId="26533"/>
    <cellStyle name="Number entry dec 5 3 15" xfId="26534"/>
    <cellStyle name="Number entry dec 5 3 16" xfId="26535"/>
    <cellStyle name="Number entry dec 5 3 17" xfId="26536"/>
    <cellStyle name="Number entry dec 5 3 18" xfId="26537"/>
    <cellStyle name="Number entry dec 5 3 2" xfId="26538"/>
    <cellStyle name="Number entry dec 5 3 2 2" xfId="26539"/>
    <cellStyle name="Number entry dec 5 3 2 2 2" xfId="26540"/>
    <cellStyle name="Number entry dec 5 3 2 3" xfId="26541"/>
    <cellStyle name="Number entry dec 5 3 2 4" xfId="26542"/>
    <cellStyle name="Number entry dec 5 3 3" xfId="26543"/>
    <cellStyle name="Number entry dec 5 3 3 2" xfId="26544"/>
    <cellStyle name="Number entry dec 5 3 3 3" xfId="26545"/>
    <cellStyle name="Number entry dec 5 3 4" xfId="26546"/>
    <cellStyle name="Number entry dec 5 3 4 2" xfId="26547"/>
    <cellStyle name="Number entry dec 5 3 5" xfId="26548"/>
    <cellStyle name="Number entry dec 5 3 6" xfId="26549"/>
    <cellStyle name="Number entry dec 5 3 7" xfId="26550"/>
    <cellStyle name="Number entry dec 5 3 8" xfId="26551"/>
    <cellStyle name="Number entry dec 5 3 9" xfId="26552"/>
    <cellStyle name="Number entry dec 5 4" xfId="26553"/>
    <cellStyle name="Number entry dec 5 4 2" xfId="26554"/>
    <cellStyle name="Number entry dec 5 4 2 2" xfId="26555"/>
    <cellStyle name="Number entry dec 5 4 2 3" xfId="26556"/>
    <cellStyle name="Number entry dec 5 4 3" xfId="26557"/>
    <cellStyle name="Number entry dec 5 4 3 2" xfId="26558"/>
    <cellStyle name="Number entry dec 5 4 4" xfId="26559"/>
    <cellStyle name="Number entry dec 5 4 5" xfId="26560"/>
    <cellStyle name="Number entry dec 5 5" xfId="26561"/>
    <cellStyle name="Number entry dec 5 5 2" xfId="26562"/>
    <cellStyle name="Number entry dec 5 5 2 2" xfId="26563"/>
    <cellStyle name="Number entry dec 5 5 3" xfId="26564"/>
    <cellStyle name="Number entry dec 5 5 4" xfId="26565"/>
    <cellStyle name="Number entry dec 5 6" xfId="26566"/>
    <cellStyle name="Number entry dec 5 6 2" xfId="26567"/>
    <cellStyle name="Number entry dec 5 7" xfId="26568"/>
    <cellStyle name="Number entry dec 5 8" xfId="26569"/>
    <cellStyle name="Number entry dec 5 9" xfId="26570"/>
    <cellStyle name="Number entry dec 6" xfId="26571"/>
    <cellStyle name="Number entry dec 6 10" xfId="26572"/>
    <cellStyle name="Number entry dec 6 11" xfId="26573"/>
    <cellStyle name="Number entry dec 6 12" xfId="26574"/>
    <cellStyle name="Number entry dec 6 13" xfId="26575"/>
    <cellStyle name="Number entry dec 6 14" xfId="26576"/>
    <cellStyle name="Number entry dec 6 15" xfId="26577"/>
    <cellStyle name="Number entry dec 6 16" xfId="26578"/>
    <cellStyle name="Number entry dec 6 17" xfId="26579"/>
    <cellStyle name="Number entry dec 6 18" xfId="26580"/>
    <cellStyle name="Number entry dec 6 19" xfId="26581"/>
    <cellStyle name="Number entry dec 6 2" xfId="26582"/>
    <cellStyle name="Number entry dec 6 2 10" xfId="26583"/>
    <cellStyle name="Number entry dec 6 2 11" xfId="26584"/>
    <cellStyle name="Number entry dec 6 2 12" xfId="26585"/>
    <cellStyle name="Number entry dec 6 2 13" xfId="26586"/>
    <cellStyle name="Number entry dec 6 2 14" xfId="26587"/>
    <cellStyle name="Number entry dec 6 2 15" xfId="26588"/>
    <cellStyle name="Number entry dec 6 2 16" xfId="26589"/>
    <cellStyle name="Number entry dec 6 2 17" xfId="26590"/>
    <cellStyle name="Number entry dec 6 2 18" xfId="26591"/>
    <cellStyle name="Number entry dec 6 2 2" xfId="26592"/>
    <cellStyle name="Number entry dec 6 2 2 2" xfId="26593"/>
    <cellStyle name="Number entry dec 6 2 2 2 2" xfId="26594"/>
    <cellStyle name="Number entry dec 6 2 2 3" xfId="26595"/>
    <cellStyle name="Number entry dec 6 2 2 4" xfId="26596"/>
    <cellStyle name="Number entry dec 6 2 3" xfId="26597"/>
    <cellStyle name="Number entry dec 6 2 3 2" xfId="26598"/>
    <cellStyle name="Number entry dec 6 2 3 3" xfId="26599"/>
    <cellStyle name="Number entry dec 6 2 4" xfId="26600"/>
    <cellStyle name="Number entry dec 6 2 4 2" xfId="26601"/>
    <cellStyle name="Number entry dec 6 2 5" xfId="26602"/>
    <cellStyle name="Number entry dec 6 2 6" xfId="26603"/>
    <cellStyle name="Number entry dec 6 2 7" xfId="26604"/>
    <cellStyle name="Number entry dec 6 2 8" xfId="26605"/>
    <cellStyle name="Number entry dec 6 2 9" xfId="26606"/>
    <cellStyle name="Number entry dec 6 20" xfId="26607"/>
    <cellStyle name="Number entry dec 6 3" xfId="26608"/>
    <cellStyle name="Number entry dec 6 3 10" xfId="26609"/>
    <cellStyle name="Number entry dec 6 3 11" xfId="26610"/>
    <cellStyle name="Number entry dec 6 3 12" xfId="26611"/>
    <cellStyle name="Number entry dec 6 3 13" xfId="26612"/>
    <cellStyle name="Number entry dec 6 3 14" xfId="26613"/>
    <cellStyle name="Number entry dec 6 3 15" xfId="26614"/>
    <cellStyle name="Number entry dec 6 3 16" xfId="26615"/>
    <cellStyle name="Number entry dec 6 3 17" xfId="26616"/>
    <cellStyle name="Number entry dec 6 3 18" xfId="26617"/>
    <cellStyle name="Number entry dec 6 3 2" xfId="26618"/>
    <cellStyle name="Number entry dec 6 3 2 2" xfId="26619"/>
    <cellStyle name="Number entry dec 6 3 2 2 2" xfId="26620"/>
    <cellStyle name="Number entry dec 6 3 2 3" xfId="26621"/>
    <cellStyle name="Number entry dec 6 3 2 4" xfId="26622"/>
    <cellStyle name="Number entry dec 6 3 3" xfId="26623"/>
    <cellStyle name="Number entry dec 6 3 3 2" xfId="26624"/>
    <cellStyle name="Number entry dec 6 3 3 3" xfId="26625"/>
    <cellStyle name="Number entry dec 6 3 4" xfId="26626"/>
    <cellStyle name="Number entry dec 6 3 4 2" xfId="26627"/>
    <cellStyle name="Number entry dec 6 3 5" xfId="26628"/>
    <cellStyle name="Number entry dec 6 3 6" xfId="26629"/>
    <cellStyle name="Number entry dec 6 3 7" xfId="26630"/>
    <cellStyle name="Number entry dec 6 3 8" xfId="26631"/>
    <cellStyle name="Number entry dec 6 3 9" xfId="26632"/>
    <cellStyle name="Number entry dec 6 4" xfId="26633"/>
    <cellStyle name="Number entry dec 6 4 2" xfId="26634"/>
    <cellStyle name="Number entry dec 6 4 2 2" xfId="26635"/>
    <cellStyle name="Number entry dec 6 4 2 3" xfId="26636"/>
    <cellStyle name="Number entry dec 6 4 3" xfId="26637"/>
    <cellStyle name="Number entry dec 6 4 3 2" xfId="26638"/>
    <cellStyle name="Number entry dec 6 4 4" xfId="26639"/>
    <cellStyle name="Number entry dec 6 4 5" xfId="26640"/>
    <cellStyle name="Number entry dec 6 5" xfId="26641"/>
    <cellStyle name="Number entry dec 6 5 2" xfId="26642"/>
    <cellStyle name="Number entry dec 6 5 2 2" xfId="26643"/>
    <cellStyle name="Number entry dec 6 5 3" xfId="26644"/>
    <cellStyle name="Number entry dec 6 5 4" xfId="26645"/>
    <cellStyle name="Number entry dec 6 6" xfId="26646"/>
    <cellStyle name="Number entry dec 6 6 2" xfId="26647"/>
    <cellStyle name="Number entry dec 6 7" xfId="26648"/>
    <cellStyle name="Number entry dec 6 8" xfId="26649"/>
    <cellStyle name="Number entry dec 6 9" xfId="26650"/>
    <cellStyle name="Number entry dec 7" xfId="26651"/>
    <cellStyle name="Number entry dec 7 10" xfId="26652"/>
    <cellStyle name="Number entry dec 7 11" xfId="26653"/>
    <cellStyle name="Number entry dec 7 12" xfId="26654"/>
    <cellStyle name="Number entry dec 7 13" xfId="26655"/>
    <cellStyle name="Number entry dec 7 14" xfId="26656"/>
    <cellStyle name="Number entry dec 7 15" xfId="26657"/>
    <cellStyle name="Number entry dec 7 16" xfId="26658"/>
    <cellStyle name="Number entry dec 7 17" xfId="26659"/>
    <cellStyle name="Number entry dec 7 2" xfId="26660"/>
    <cellStyle name="Number entry dec 7 2 2" xfId="26661"/>
    <cellStyle name="Number entry dec 7 2 2 2" xfId="26662"/>
    <cellStyle name="Number entry dec 7 2 3" xfId="26663"/>
    <cellStyle name="Number entry dec 7 2 4" xfId="26664"/>
    <cellStyle name="Number entry dec 7 3" xfId="26665"/>
    <cellStyle name="Number entry dec 7 3 2" xfId="26666"/>
    <cellStyle name="Number entry dec 7 4" xfId="26667"/>
    <cellStyle name="Number entry dec 7 5" xfId="26668"/>
    <cellStyle name="Number entry dec 7 6" xfId="26669"/>
    <cellStyle name="Number entry dec 7 7" xfId="26670"/>
    <cellStyle name="Number entry dec 7 8" xfId="26671"/>
    <cellStyle name="Number entry dec 7 9" xfId="26672"/>
    <cellStyle name="Number entry dec 8" xfId="26673"/>
    <cellStyle name="Number entry dec 8 2" xfId="26674"/>
    <cellStyle name="Number entry dec 8 2 2" xfId="26675"/>
    <cellStyle name="Number entry dec 8 2 2 2" xfId="26676"/>
    <cellStyle name="Number entry dec 8 2 3" xfId="26677"/>
    <cellStyle name="Number entry dec 8 2 4" xfId="26678"/>
    <cellStyle name="Number entry dec 8 3" xfId="26679"/>
    <cellStyle name="Number entry dec 8 3 2" xfId="26680"/>
    <cellStyle name="Number entry dec 8 3 3" xfId="26681"/>
    <cellStyle name="Number entry dec 8 4" xfId="26682"/>
    <cellStyle name="Number entry dec 8 4 2" xfId="26683"/>
    <cellStyle name="Number entry dec 8 5" xfId="26684"/>
    <cellStyle name="Number entry dec 8 6" xfId="26685"/>
    <cellStyle name="Number entry dec 9" xfId="26686"/>
    <cellStyle name="Number entry dec 9 2" xfId="26687"/>
    <cellStyle name="Number entry dec 9 2 2" xfId="26688"/>
    <cellStyle name="Number entry dec 9 3" xfId="26689"/>
    <cellStyle name="Number entry dec 9 4" xfId="26690"/>
    <cellStyle name="Number, 0 dec" xfId="26691"/>
    <cellStyle name="Number, 0 dec 2" xfId="26692"/>
    <cellStyle name="Number, 1 dec" xfId="26693"/>
    <cellStyle name="Number, 1 dec 2" xfId="26694"/>
    <cellStyle name="Number, 2 dec" xfId="26695"/>
    <cellStyle name="Number, 2 dec 2" xfId="26696"/>
    <cellStyle name="№йєРАІ_±вЕё" xfId="26697"/>
    <cellStyle name="Oeiainiaue [0]_?anoiau" xfId="26698"/>
    <cellStyle name="Oeiainiaue_?anoiau" xfId="26699"/>
    <cellStyle name="OffSheet" xfId="26700"/>
    <cellStyle name="OffSheet 2" xfId="26701"/>
    <cellStyle name="Option" xfId="26702"/>
    <cellStyle name="Option 2" xfId="26703"/>
    <cellStyle name="Option 2 2" xfId="26704"/>
    <cellStyle name="Option 3" xfId="26705"/>
    <cellStyle name="Option 3 2" xfId="26706"/>
    <cellStyle name="Option 4" xfId="26707"/>
    <cellStyle name="Option 4 2" xfId="26708"/>
    <cellStyle name="Option 5" xfId="26709"/>
    <cellStyle name="OptionHeading" xfId="26710"/>
    <cellStyle name="OptionHeading 2" xfId="26711"/>
    <cellStyle name="Organization" xfId="26712"/>
    <cellStyle name="Organization 10" xfId="26713"/>
    <cellStyle name="Organization 11" xfId="26714"/>
    <cellStyle name="Organization 12" xfId="26715"/>
    <cellStyle name="Organization 13" xfId="26716"/>
    <cellStyle name="Organization 14" xfId="26717"/>
    <cellStyle name="Organization 15" xfId="26718"/>
    <cellStyle name="Organization 16" xfId="26719"/>
    <cellStyle name="Organization 17" xfId="26720"/>
    <cellStyle name="Organization 18" xfId="26721"/>
    <cellStyle name="Organization 19" xfId="26722"/>
    <cellStyle name="Organization 2" xfId="26723"/>
    <cellStyle name="Organization 2 10" xfId="26724"/>
    <cellStyle name="Organization 2 11" xfId="26725"/>
    <cellStyle name="Organization 2 12" xfId="26726"/>
    <cellStyle name="Organization 2 13" xfId="26727"/>
    <cellStyle name="Organization 2 14" xfId="26728"/>
    <cellStyle name="Organization 2 15" xfId="26729"/>
    <cellStyle name="Organization 2 16" xfId="26730"/>
    <cellStyle name="Organization 2 17" xfId="26731"/>
    <cellStyle name="Organization 2 18" xfId="26732"/>
    <cellStyle name="Organization 2 19" xfId="26733"/>
    <cellStyle name="Organization 2 2" xfId="26734"/>
    <cellStyle name="Organization 2 2 10" xfId="26735"/>
    <cellStyle name="Organization 2 2 11" xfId="26736"/>
    <cellStyle name="Organization 2 2 12" xfId="26737"/>
    <cellStyle name="Organization 2 2 13" xfId="26738"/>
    <cellStyle name="Organization 2 2 14" xfId="26739"/>
    <cellStyle name="Organization 2 2 15" xfId="26740"/>
    <cellStyle name="Organization 2 2 16" xfId="26741"/>
    <cellStyle name="Organization 2 2 17" xfId="26742"/>
    <cellStyle name="Organization 2 2 18" xfId="26743"/>
    <cellStyle name="Organization 2 2 2" xfId="26744"/>
    <cellStyle name="Organization 2 2 2 2" xfId="26745"/>
    <cellStyle name="Organization 2 2 2 2 2" xfId="26746"/>
    <cellStyle name="Organization 2 2 2 3" xfId="26747"/>
    <cellStyle name="Organization 2 2 2 4" xfId="26748"/>
    <cellStyle name="Organization 2 2 3" xfId="26749"/>
    <cellStyle name="Organization 2 2 3 2" xfId="26750"/>
    <cellStyle name="Organization 2 2 3 3" xfId="26751"/>
    <cellStyle name="Organization 2 2 4" xfId="26752"/>
    <cellStyle name="Organization 2 2 4 2" xfId="26753"/>
    <cellStyle name="Organization 2 2 5" xfId="26754"/>
    <cellStyle name="Organization 2 2 6" xfId="26755"/>
    <cellStyle name="Organization 2 2 7" xfId="26756"/>
    <cellStyle name="Organization 2 2 8" xfId="26757"/>
    <cellStyle name="Organization 2 2 9" xfId="26758"/>
    <cellStyle name="Organization 2 20" xfId="26759"/>
    <cellStyle name="Organization 2 21" xfId="26760"/>
    <cellStyle name="Organization 2 3" xfId="26761"/>
    <cellStyle name="Organization 2 3 10" xfId="26762"/>
    <cellStyle name="Organization 2 3 11" xfId="26763"/>
    <cellStyle name="Organization 2 3 12" xfId="26764"/>
    <cellStyle name="Organization 2 3 13" xfId="26765"/>
    <cellStyle name="Organization 2 3 14" xfId="26766"/>
    <cellStyle name="Organization 2 3 15" xfId="26767"/>
    <cellStyle name="Organization 2 3 16" xfId="26768"/>
    <cellStyle name="Organization 2 3 17" xfId="26769"/>
    <cellStyle name="Organization 2 3 18" xfId="26770"/>
    <cellStyle name="Organization 2 3 2" xfId="26771"/>
    <cellStyle name="Organization 2 3 2 2" xfId="26772"/>
    <cellStyle name="Organization 2 3 2 2 2" xfId="26773"/>
    <cellStyle name="Organization 2 3 2 3" xfId="26774"/>
    <cellStyle name="Organization 2 3 2 4" xfId="26775"/>
    <cellStyle name="Organization 2 3 3" xfId="26776"/>
    <cellStyle name="Organization 2 3 3 2" xfId="26777"/>
    <cellStyle name="Organization 2 3 3 3" xfId="26778"/>
    <cellStyle name="Organization 2 3 4" xfId="26779"/>
    <cellStyle name="Organization 2 3 4 2" xfId="26780"/>
    <cellStyle name="Organization 2 3 5" xfId="26781"/>
    <cellStyle name="Organization 2 3 6" xfId="26782"/>
    <cellStyle name="Organization 2 3 7" xfId="26783"/>
    <cellStyle name="Organization 2 3 8" xfId="26784"/>
    <cellStyle name="Organization 2 3 9" xfId="26785"/>
    <cellStyle name="Organization 2 4" xfId="26786"/>
    <cellStyle name="Organization 2 4 2" xfId="26787"/>
    <cellStyle name="Organization 2 4 2 2" xfId="26788"/>
    <cellStyle name="Organization 2 4 2 3" xfId="26789"/>
    <cellStyle name="Organization 2 4 3" xfId="26790"/>
    <cellStyle name="Organization 2 4 3 2" xfId="26791"/>
    <cellStyle name="Organization 2 4 4" xfId="26792"/>
    <cellStyle name="Organization 2 4 5" xfId="26793"/>
    <cellStyle name="Organization 2 5" xfId="26794"/>
    <cellStyle name="Organization 2 5 2" xfId="26795"/>
    <cellStyle name="Organization 2 5 2 2" xfId="26796"/>
    <cellStyle name="Organization 2 5 3" xfId="26797"/>
    <cellStyle name="Organization 2 5 4" xfId="26798"/>
    <cellStyle name="Organization 2 6" xfId="26799"/>
    <cellStyle name="Organization 2 6 2" xfId="26800"/>
    <cellStyle name="Organization 2 7" xfId="26801"/>
    <cellStyle name="Organization 2 8" xfId="26802"/>
    <cellStyle name="Organization 2 9" xfId="26803"/>
    <cellStyle name="Organization 20" xfId="26804"/>
    <cellStyle name="Organization 21" xfId="26805"/>
    <cellStyle name="Organization 22" xfId="26806"/>
    <cellStyle name="Organization 23" xfId="26807"/>
    <cellStyle name="Organization 24" xfId="26808"/>
    <cellStyle name="Organization 25" xfId="26809"/>
    <cellStyle name="Organization 3" xfId="26810"/>
    <cellStyle name="Organization 3 10" xfId="26811"/>
    <cellStyle name="Organization 3 11" xfId="26812"/>
    <cellStyle name="Organization 3 12" xfId="26813"/>
    <cellStyle name="Organization 3 13" xfId="26814"/>
    <cellStyle name="Organization 3 14" xfId="26815"/>
    <cellStyle name="Organization 3 15" xfId="26816"/>
    <cellStyle name="Organization 3 16" xfId="26817"/>
    <cellStyle name="Organization 3 17" xfId="26818"/>
    <cellStyle name="Organization 3 18" xfId="26819"/>
    <cellStyle name="Organization 3 19" xfId="26820"/>
    <cellStyle name="Organization 3 2" xfId="26821"/>
    <cellStyle name="Organization 3 2 10" xfId="26822"/>
    <cellStyle name="Organization 3 2 11" xfId="26823"/>
    <cellStyle name="Organization 3 2 12" xfId="26824"/>
    <cellStyle name="Organization 3 2 13" xfId="26825"/>
    <cellStyle name="Organization 3 2 14" xfId="26826"/>
    <cellStyle name="Organization 3 2 15" xfId="26827"/>
    <cellStyle name="Organization 3 2 16" xfId="26828"/>
    <cellStyle name="Organization 3 2 17" xfId="26829"/>
    <cellStyle name="Organization 3 2 18" xfId="26830"/>
    <cellStyle name="Organization 3 2 2" xfId="26831"/>
    <cellStyle name="Organization 3 2 2 2" xfId="26832"/>
    <cellStyle name="Organization 3 2 2 2 2" xfId="26833"/>
    <cellStyle name="Organization 3 2 2 3" xfId="26834"/>
    <cellStyle name="Organization 3 2 2 4" xfId="26835"/>
    <cellStyle name="Organization 3 2 3" xfId="26836"/>
    <cellStyle name="Organization 3 2 3 2" xfId="26837"/>
    <cellStyle name="Organization 3 2 3 3" xfId="26838"/>
    <cellStyle name="Organization 3 2 4" xfId="26839"/>
    <cellStyle name="Organization 3 2 4 2" xfId="26840"/>
    <cellStyle name="Organization 3 2 5" xfId="26841"/>
    <cellStyle name="Organization 3 2 6" xfId="26842"/>
    <cellStyle name="Organization 3 2 7" xfId="26843"/>
    <cellStyle name="Organization 3 2 8" xfId="26844"/>
    <cellStyle name="Organization 3 2 9" xfId="26845"/>
    <cellStyle name="Organization 3 20" xfId="26846"/>
    <cellStyle name="Organization 3 21" xfId="26847"/>
    <cellStyle name="Organization 3 3" xfId="26848"/>
    <cellStyle name="Organization 3 3 10" xfId="26849"/>
    <cellStyle name="Organization 3 3 11" xfId="26850"/>
    <cellStyle name="Organization 3 3 12" xfId="26851"/>
    <cellStyle name="Organization 3 3 13" xfId="26852"/>
    <cellStyle name="Organization 3 3 14" xfId="26853"/>
    <cellStyle name="Organization 3 3 15" xfId="26854"/>
    <cellStyle name="Organization 3 3 16" xfId="26855"/>
    <cellStyle name="Organization 3 3 17" xfId="26856"/>
    <cellStyle name="Organization 3 3 18" xfId="26857"/>
    <cellStyle name="Organization 3 3 2" xfId="26858"/>
    <cellStyle name="Organization 3 3 2 2" xfId="26859"/>
    <cellStyle name="Organization 3 3 2 2 2" xfId="26860"/>
    <cellStyle name="Organization 3 3 2 3" xfId="26861"/>
    <cellStyle name="Organization 3 3 2 4" xfId="26862"/>
    <cellStyle name="Organization 3 3 3" xfId="26863"/>
    <cellStyle name="Organization 3 3 3 2" xfId="26864"/>
    <cellStyle name="Organization 3 3 3 3" xfId="26865"/>
    <cellStyle name="Organization 3 3 4" xfId="26866"/>
    <cellStyle name="Organization 3 3 4 2" xfId="26867"/>
    <cellStyle name="Organization 3 3 5" xfId="26868"/>
    <cellStyle name="Organization 3 3 6" xfId="26869"/>
    <cellStyle name="Organization 3 3 7" xfId="26870"/>
    <cellStyle name="Organization 3 3 8" xfId="26871"/>
    <cellStyle name="Organization 3 3 9" xfId="26872"/>
    <cellStyle name="Organization 3 4" xfId="26873"/>
    <cellStyle name="Organization 3 4 2" xfId="26874"/>
    <cellStyle name="Organization 3 4 2 2" xfId="26875"/>
    <cellStyle name="Organization 3 4 2 3" xfId="26876"/>
    <cellStyle name="Organization 3 4 3" xfId="26877"/>
    <cellStyle name="Organization 3 4 3 2" xfId="26878"/>
    <cellStyle name="Organization 3 4 4" xfId="26879"/>
    <cellStyle name="Organization 3 4 5" xfId="26880"/>
    <cellStyle name="Organization 3 5" xfId="26881"/>
    <cellStyle name="Organization 3 5 2" xfId="26882"/>
    <cellStyle name="Organization 3 5 2 2" xfId="26883"/>
    <cellStyle name="Organization 3 5 3" xfId="26884"/>
    <cellStyle name="Organization 3 5 4" xfId="26885"/>
    <cellStyle name="Organization 3 6" xfId="26886"/>
    <cellStyle name="Organization 3 6 2" xfId="26887"/>
    <cellStyle name="Organization 3 7" xfId="26888"/>
    <cellStyle name="Organization 3 8" xfId="26889"/>
    <cellStyle name="Organization 3 9" xfId="26890"/>
    <cellStyle name="Organization 4" xfId="26891"/>
    <cellStyle name="Organization 4 10" xfId="26892"/>
    <cellStyle name="Organization 4 11" xfId="26893"/>
    <cellStyle name="Organization 4 12" xfId="26894"/>
    <cellStyle name="Organization 4 13" xfId="26895"/>
    <cellStyle name="Organization 4 14" xfId="26896"/>
    <cellStyle name="Organization 4 15" xfId="26897"/>
    <cellStyle name="Organization 4 16" xfId="26898"/>
    <cellStyle name="Organization 4 17" xfId="26899"/>
    <cellStyle name="Organization 4 18" xfId="26900"/>
    <cellStyle name="Organization 4 19" xfId="26901"/>
    <cellStyle name="Organization 4 2" xfId="26902"/>
    <cellStyle name="Organization 4 2 10" xfId="26903"/>
    <cellStyle name="Organization 4 2 11" xfId="26904"/>
    <cellStyle name="Organization 4 2 12" xfId="26905"/>
    <cellStyle name="Organization 4 2 13" xfId="26906"/>
    <cellStyle name="Organization 4 2 14" xfId="26907"/>
    <cellStyle name="Organization 4 2 15" xfId="26908"/>
    <cellStyle name="Organization 4 2 16" xfId="26909"/>
    <cellStyle name="Organization 4 2 17" xfId="26910"/>
    <cellStyle name="Organization 4 2 18" xfId="26911"/>
    <cellStyle name="Organization 4 2 2" xfId="26912"/>
    <cellStyle name="Organization 4 2 2 2" xfId="26913"/>
    <cellStyle name="Organization 4 2 2 2 2" xfId="26914"/>
    <cellStyle name="Organization 4 2 2 3" xfId="26915"/>
    <cellStyle name="Organization 4 2 2 4" xfId="26916"/>
    <cellStyle name="Organization 4 2 3" xfId="26917"/>
    <cellStyle name="Organization 4 2 3 2" xfId="26918"/>
    <cellStyle name="Organization 4 2 3 3" xfId="26919"/>
    <cellStyle name="Organization 4 2 4" xfId="26920"/>
    <cellStyle name="Organization 4 2 4 2" xfId="26921"/>
    <cellStyle name="Organization 4 2 5" xfId="26922"/>
    <cellStyle name="Organization 4 2 6" xfId="26923"/>
    <cellStyle name="Organization 4 2 7" xfId="26924"/>
    <cellStyle name="Organization 4 2 8" xfId="26925"/>
    <cellStyle name="Organization 4 2 9" xfId="26926"/>
    <cellStyle name="Organization 4 20" xfId="26927"/>
    <cellStyle name="Organization 4 21" xfId="26928"/>
    <cellStyle name="Organization 4 3" xfId="26929"/>
    <cellStyle name="Organization 4 3 10" xfId="26930"/>
    <cellStyle name="Organization 4 3 11" xfId="26931"/>
    <cellStyle name="Organization 4 3 12" xfId="26932"/>
    <cellStyle name="Organization 4 3 13" xfId="26933"/>
    <cellStyle name="Organization 4 3 14" xfId="26934"/>
    <cellStyle name="Organization 4 3 15" xfId="26935"/>
    <cellStyle name="Organization 4 3 16" xfId="26936"/>
    <cellStyle name="Organization 4 3 17" xfId="26937"/>
    <cellStyle name="Organization 4 3 18" xfId="26938"/>
    <cellStyle name="Organization 4 3 2" xfId="26939"/>
    <cellStyle name="Organization 4 3 2 2" xfId="26940"/>
    <cellStyle name="Organization 4 3 2 2 2" xfId="26941"/>
    <cellStyle name="Organization 4 3 2 3" xfId="26942"/>
    <cellStyle name="Organization 4 3 2 4" xfId="26943"/>
    <cellStyle name="Organization 4 3 3" xfId="26944"/>
    <cellStyle name="Organization 4 3 3 2" xfId="26945"/>
    <cellStyle name="Organization 4 3 3 3" xfId="26946"/>
    <cellStyle name="Organization 4 3 4" xfId="26947"/>
    <cellStyle name="Organization 4 3 4 2" xfId="26948"/>
    <cellStyle name="Organization 4 3 5" xfId="26949"/>
    <cellStyle name="Organization 4 3 6" xfId="26950"/>
    <cellStyle name="Organization 4 3 7" xfId="26951"/>
    <cellStyle name="Organization 4 3 8" xfId="26952"/>
    <cellStyle name="Organization 4 3 9" xfId="26953"/>
    <cellStyle name="Organization 4 4" xfId="26954"/>
    <cellStyle name="Organization 4 4 2" xfId="26955"/>
    <cellStyle name="Organization 4 4 2 2" xfId="26956"/>
    <cellStyle name="Organization 4 4 2 3" xfId="26957"/>
    <cellStyle name="Organization 4 4 3" xfId="26958"/>
    <cellStyle name="Organization 4 4 3 2" xfId="26959"/>
    <cellStyle name="Organization 4 4 4" xfId="26960"/>
    <cellStyle name="Organization 4 4 5" xfId="26961"/>
    <cellStyle name="Organization 4 5" xfId="26962"/>
    <cellStyle name="Organization 4 5 2" xfId="26963"/>
    <cellStyle name="Organization 4 5 2 2" xfId="26964"/>
    <cellStyle name="Organization 4 5 3" xfId="26965"/>
    <cellStyle name="Organization 4 5 4" xfId="26966"/>
    <cellStyle name="Organization 4 6" xfId="26967"/>
    <cellStyle name="Organization 4 6 2" xfId="26968"/>
    <cellStyle name="Organization 4 7" xfId="26969"/>
    <cellStyle name="Organization 4 8" xfId="26970"/>
    <cellStyle name="Organization 4 9" xfId="26971"/>
    <cellStyle name="Organization 5" xfId="26972"/>
    <cellStyle name="Organization 5 10" xfId="26973"/>
    <cellStyle name="Organization 5 11" xfId="26974"/>
    <cellStyle name="Organization 5 12" xfId="26975"/>
    <cellStyle name="Organization 5 13" xfId="26976"/>
    <cellStyle name="Organization 5 14" xfId="26977"/>
    <cellStyle name="Organization 5 15" xfId="26978"/>
    <cellStyle name="Organization 5 16" xfId="26979"/>
    <cellStyle name="Organization 5 17" xfId="26980"/>
    <cellStyle name="Organization 5 18" xfId="26981"/>
    <cellStyle name="Organization 5 19" xfId="26982"/>
    <cellStyle name="Organization 5 2" xfId="26983"/>
    <cellStyle name="Organization 5 2 10" xfId="26984"/>
    <cellStyle name="Organization 5 2 11" xfId="26985"/>
    <cellStyle name="Organization 5 2 12" xfId="26986"/>
    <cellStyle name="Organization 5 2 13" xfId="26987"/>
    <cellStyle name="Organization 5 2 14" xfId="26988"/>
    <cellStyle name="Organization 5 2 15" xfId="26989"/>
    <cellStyle name="Organization 5 2 16" xfId="26990"/>
    <cellStyle name="Organization 5 2 17" xfId="26991"/>
    <cellStyle name="Organization 5 2 18" xfId="26992"/>
    <cellStyle name="Organization 5 2 2" xfId="26993"/>
    <cellStyle name="Organization 5 2 2 2" xfId="26994"/>
    <cellStyle name="Organization 5 2 2 2 2" xfId="26995"/>
    <cellStyle name="Organization 5 2 2 3" xfId="26996"/>
    <cellStyle name="Organization 5 2 2 4" xfId="26997"/>
    <cellStyle name="Organization 5 2 3" xfId="26998"/>
    <cellStyle name="Organization 5 2 3 2" xfId="26999"/>
    <cellStyle name="Organization 5 2 3 3" xfId="27000"/>
    <cellStyle name="Organization 5 2 4" xfId="27001"/>
    <cellStyle name="Organization 5 2 4 2" xfId="27002"/>
    <cellStyle name="Organization 5 2 5" xfId="27003"/>
    <cellStyle name="Organization 5 2 6" xfId="27004"/>
    <cellStyle name="Organization 5 2 7" xfId="27005"/>
    <cellStyle name="Organization 5 2 8" xfId="27006"/>
    <cellStyle name="Organization 5 2 9" xfId="27007"/>
    <cellStyle name="Organization 5 3" xfId="27008"/>
    <cellStyle name="Organization 5 3 10" xfId="27009"/>
    <cellStyle name="Organization 5 3 11" xfId="27010"/>
    <cellStyle name="Organization 5 3 12" xfId="27011"/>
    <cellStyle name="Organization 5 3 13" xfId="27012"/>
    <cellStyle name="Organization 5 3 14" xfId="27013"/>
    <cellStyle name="Organization 5 3 15" xfId="27014"/>
    <cellStyle name="Organization 5 3 16" xfId="27015"/>
    <cellStyle name="Organization 5 3 17" xfId="27016"/>
    <cellStyle name="Organization 5 3 18" xfId="27017"/>
    <cellStyle name="Organization 5 3 2" xfId="27018"/>
    <cellStyle name="Organization 5 3 2 2" xfId="27019"/>
    <cellStyle name="Organization 5 3 2 2 2" xfId="27020"/>
    <cellStyle name="Organization 5 3 2 3" xfId="27021"/>
    <cellStyle name="Organization 5 3 2 4" xfId="27022"/>
    <cellStyle name="Organization 5 3 3" xfId="27023"/>
    <cellStyle name="Organization 5 3 3 2" xfId="27024"/>
    <cellStyle name="Organization 5 3 3 3" xfId="27025"/>
    <cellStyle name="Organization 5 3 4" xfId="27026"/>
    <cellStyle name="Organization 5 3 4 2" xfId="27027"/>
    <cellStyle name="Organization 5 3 5" xfId="27028"/>
    <cellStyle name="Organization 5 3 6" xfId="27029"/>
    <cellStyle name="Organization 5 3 7" xfId="27030"/>
    <cellStyle name="Organization 5 3 8" xfId="27031"/>
    <cellStyle name="Organization 5 3 9" xfId="27032"/>
    <cellStyle name="Organization 5 4" xfId="27033"/>
    <cellStyle name="Organization 5 4 2" xfId="27034"/>
    <cellStyle name="Organization 5 4 2 2" xfId="27035"/>
    <cellStyle name="Organization 5 4 2 3" xfId="27036"/>
    <cellStyle name="Organization 5 4 3" xfId="27037"/>
    <cellStyle name="Organization 5 4 3 2" xfId="27038"/>
    <cellStyle name="Organization 5 4 4" xfId="27039"/>
    <cellStyle name="Organization 5 4 5" xfId="27040"/>
    <cellStyle name="Organization 5 5" xfId="27041"/>
    <cellStyle name="Organization 5 5 2" xfId="27042"/>
    <cellStyle name="Organization 5 5 2 2" xfId="27043"/>
    <cellStyle name="Organization 5 5 3" xfId="27044"/>
    <cellStyle name="Organization 5 5 4" xfId="27045"/>
    <cellStyle name="Organization 5 6" xfId="27046"/>
    <cellStyle name="Organization 5 6 2" xfId="27047"/>
    <cellStyle name="Organization 5 7" xfId="27048"/>
    <cellStyle name="Organization 5 8" xfId="27049"/>
    <cellStyle name="Organization 5 9" xfId="27050"/>
    <cellStyle name="Organization 6" xfId="27051"/>
    <cellStyle name="Organization 6 10" xfId="27052"/>
    <cellStyle name="Organization 6 11" xfId="27053"/>
    <cellStyle name="Organization 6 12" xfId="27054"/>
    <cellStyle name="Organization 6 13" xfId="27055"/>
    <cellStyle name="Organization 6 14" xfId="27056"/>
    <cellStyle name="Organization 6 15" xfId="27057"/>
    <cellStyle name="Organization 6 16" xfId="27058"/>
    <cellStyle name="Organization 6 17" xfId="27059"/>
    <cellStyle name="Organization 6 18" xfId="27060"/>
    <cellStyle name="Organization 6 19" xfId="27061"/>
    <cellStyle name="Organization 6 2" xfId="27062"/>
    <cellStyle name="Organization 6 2 10" xfId="27063"/>
    <cellStyle name="Organization 6 2 11" xfId="27064"/>
    <cellStyle name="Organization 6 2 12" xfId="27065"/>
    <cellStyle name="Organization 6 2 13" xfId="27066"/>
    <cellStyle name="Organization 6 2 14" xfId="27067"/>
    <cellStyle name="Organization 6 2 15" xfId="27068"/>
    <cellStyle name="Organization 6 2 16" xfId="27069"/>
    <cellStyle name="Organization 6 2 17" xfId="27070"/>
    <cellStyle name="Organization 6 2 18" xfId="27071"/>
    <cellStyle name="Organization 6 2 2" xfId="27072"/>
    <cellStyle name="Organization 6 2 2 2" xfId="27073"/>
    <cellStyle name="Organization 6 2 2 2 2" xfId="27074"/>
    <cellStyle name="Organization 6 2 2 3" xfId="27075"/>
    <cellStyle name="Organization 6 2 2 4" xfId="27076"/>
    <cellStyle name="Organization 6 2 3" xfId="27077"/>
    <cellStyle name="Organization 6 2 3 2" xfId="27078"/>
    <cellStyle name="Organization 6 2 3 3" xfId="27079"/>
    <cellStyle name="Organization 6 2 4" xfId="27080"/>
    <cellStyle name="Organization 6 2 4 2" xfId="27081"/>
    <cellStyle name="Organization 6 2 5" xfId="27082"/>
    <cellStyle name="Organization 6 2 6" xfId="27083"/>
    <cellStyle name="Organization 6 2 7" xfId="27084"/>
    <cellStyle name="Organization 6 2 8" xfId="27085"/>
    <cellStyle name="Organization 6 2 9" xfId="27086"/>
    <cellStyle name="Organization 6 20" xfId="27087"/>
    <cellStyle name="Organization 6 3" xfId="27088"/>
    <cellStyle name="Organization 6 3 10" xfId="27089"/>
    <cellStyle name="Organization 6 3 11" xfId="27090"/>
    <cellStyle name="Organization 6 3 12" xfId="27091"/>
    <cellStyle name="Organization 6 3 13" xfId="27092"/>
    <cellStyle name="Organization 6 3 14" xfId="27093"/>
    <cellStyle name="Organization 6 3 15" xfId="27094"/>
    <cellStyle name="Organization 6 3 16" xfId="27095"/>
    <cellStyle name="Organization 6 3 17" xfId="27096"/>
    <cellStyle name="Organization 6 3 18" xfId="27097"/>
    <cellStyle name="Organization 6 3 2" xfId="27098"/>
    <cellStyle name="Organization 6 3 2 2" xfId="27099"/>
    <cellStyle name="Organization 6 3 2 2 2" xfId="27100"/>
    <cellStyle name="Organization 6 3 2 3" xfId="27101"/>
    <cellStyle name="Organization 6 3 2 4" xfId="27102"/>
    <cellStyle name="Organization 6 3 3" xfId="27103"/>
    <cellStyle name="Organization 6 3 3 2" xfId="27104"/>
    <cellStyle name="Organization 6 3 3 3" xfId="27105"/>
    <cellStyle name="Organization 6 3 4" xfId="27106"/>
    <cellStyle name="Organization 6 3 4 2" xfId="27107"/>
    <cellStyle name="Organization 6 3 5" xfId="27108"/>
    <cellStyle name="Organization 6 3 6" xfId="27109"/>
    <cellStyle name="Organization 6 3 7" xfId="27110"/>
    <cellStyle name="Organization 6 3 8" xfId="27111"/>
    <cellStyle name="Organization 6 3 9" xfId="27112"/>
    <cellStyle name="Organization 6 4" xfId="27113"/>
    <cellStyle name="Organization 6 4 2" xfId="27114"/>
    <cellStyle name="Organization 6 4 2 2" xfId="27115"/>
    <cellStyle name="Organization 6 4 2 3" xfId="27116"/>
    <cellStyle name="Organization 6 4 3" xfId="27117"/>
    <cellStyle name="Organization 6 4 3 2" xfId="27118"/>
    <cellStyle name="Organization 6 4 4" xfId="27119"/>
    <cellStyle name="Organization 6 4 5" xfId="27120"/>
    <cellStyle name="Organization 6 5" xfId="27121"/>
    <cellStyle name="Organization 6 5 2" xfId="27122"/>
    <cellStyle name="Organization 6 5 2 2" xfId="27123"/>
    <cellStyle name="Organization 6 5 3" xfId="27124"/>
    <cellStyle name="Organization 6 5 4" xfId="27125"/>
    <cellStyle name="Organization 6 6" xfId="27126"/>
    <cellStyle name="Organization 6 6 2" xfId="27127"/>
    <cellStyle name="Organization 6 7" xfId="27128"/>
    <cellStyle name="Organization 6 8" xfId="27129"/>
    <cellStyle name="Organization 6 9" xfId="27130"/>
    <cellStyle name="Organization 7" xfId="27131"/>
    <cellStyle name="Organization 7 10" xfId="27132"/>
    <cellStyle name="Organization 7 11" xfId="27133"/>
    <cellStyle name="Organization 7 12" xfId="27134"/>
    <cellStyle name="Organization 7 13" xfId="27135"/>
    <cellStyle name="Organization 7 14" xfId="27136"/>
    <cellStyle name="Organization 7 15" xfId="27137"/>
    <cellStyle name="Organization 7 16" xfId="27138"/>
    <cellStyle name="Organization 7 17" xfId="27139"/>
    <cellStyle name="Organization 7 2" xfId="27140"/>
    <cellStyle name="Organization 7 2 2" xfId="27141"/>
    <cellStyle name="Organization 7 2 2 2" xfId="27142"/>
    <cellStyle name="Organization 7 2 3" xfId="27143"/>
    <cellStyle name="Organization 7 2 4" xfId="27144"/>
    <cellStyle name="Organization 7 3" xfId="27145"/>
    <cellStyle name="Organization 7 3 2" xfId="27146"/>
    <cellStyle name="Organization 7 4" xfId="27147"/>
    <cellStyle name="Organization 7 5" xfId="27148"/>
    <cellStyle name="Organization 7 6" xfId="27149"/>
    <cellStyle name="Organization 7 7" xfId="27150"/>
    <cellStyle name="Organization 7 8" xfId="27151"/>
    <cellStyle name="Organization 7 9" xfId="27152"/>
    <cellStyle name="Organization 8" xfId="27153"/>
    <cellStyle name="Organization 8 2" xfId="27154"/>
    <cellStyle name="Organization 8 2 2" xfId="27155"/>
    <cellStyle name="Organization 8 2 2 2" xfId="27156"/>
    <cellStyle name="Organization 8 2 3" xfId="27157"/>
    <cellStyle name="Organization 8 2 4" xfId="27158"/>
    <cellStyle name="Organization 8 3" xfId="27159"/>
    <cellStyle name="Organization 8 3 2" xfId="27160"/>
    <cellStyle name="Organization 8 3 3" xfId="27161"/>
    <cellStyle name="Organization 8 4" xfId="27162"/>
    <cellStyle name="Organization 8 4 2" xfId="27163"/>
    <cellStyle name="Organization 8 5" xfId="27164"/>
    <cellStyle name="Organization 8 6" xfId="27165"/>
    <cellStyle name="Organization 9" xfId="27166"/>
    <cellStyle name="Organization 9 2" xfId="27167"/>
    <cellStyle name="Organization 9 2 2" xfId="27168"/>
    <cellStyle name="Organization 9 3" xfId="27169"/>
    <cellStyle name="Organization 9 4" xfId="27170"/>
    <cellStyle name="Ouny?e [0]_?anoiau" xfId="27171"/>
    <cellStyle name="Ouny?e_?anoiau" xfId="27172"/>
    <cellStyle name="Output" xfId="27173"/>
    <cellStyle name="Output 10" xfId="27174"/>
    <cellStyle name="Output 11" xfId="27175"/>
    <cellStyle name="Output 12" xfId="27176"/>
    <cellStyle name="Output 13" xfId="27177"/>
    <cellStyle name="Output 14" xfId="27178"/>
    <cellStyle name="Output 15" xfId="27179"/>
    <cellStyle name="Output 16" xfId="27180"/>
    <cellStyle name="Output 17" xfId="27181"/>
    <cellStyle name="Output 18" xfId="27182"/>
    <cellStyle name="Output 19" xfId="27183"/>
    <cellStyle name="Output 2" xfId="27184"/>
    <cellStyle name="Output 2 10" xfId="27185"/>
    <cellStyle name="Output 2 11" xfId="27186"/>
    <cellStyle name="Output 2 12" xfId="27187"/>
    <cellStyle name="Output 2 13" xfId="27188"/>
    <cellStyle name="Output 2 14" xfId="27189"/>
    <cellStyle name="Output 2 15" xfId="27190"/>
    <cellStyle name="Output 2 16" xfId="27191"/>
    <cellStyle name="Output 2 17" xfId="27192"/>
    <cellStyle name="Output 2 18" xfId="27193"/>
    <cellStyle name="Output 2 19" xfId="27194"/>
    <cellStyle name="Output 2 2" xfId="27195"/>
    <cellStyle name="Output 2 2 10" xfId="27196"/>
    <cellStyle name="Output 2 2 11" xfId="27197"/>
    <cellStyle name="Output 2 2 12" xfId="27198"/>
    <cellStyle name="Output 2 2 13" xfId="27199"/>
    <cellStyle name="Output 2 2 14" xfId="27200"/>
    <cellStyle name="Output 2 2 15" xfId="27201"/>
    <cellStyle name="Output 2 2 16" xfId="27202"/>
    <cellStyle name="Output 2 2 17" xfId="27203"/>
    <cellStyle name="Output 2 2 18" xfId="27204"/>
    <cellStyle name="Output 2 2 2" xfId="27205"/>
    <cellStyle name="Output 2 2 2 2" xfId="27206"/>
    <cellStyle name="Output 2 2 2 2 2" xfId="27207"/>
    <cellStyle name="Output 2 2 2 3" xfId="27208"/>
    <cellStyle name="Output 2 2 2 4" xfId="27209"/>
    <cellStyle name="Output 2 2 3" xfId="27210"/>
    <cellStyle name="Output 2 2 3 2" xfId="27211"/>
    <cellStyle name="Output 2 2 3 3" xfId="27212"/>
    <cellStyle name="Output 2 2 4" xfId="27213"/>
    <cellStyle name="Output 2 2 4 2" xfId="27214"/>
    <cellStyle name="Output 2 2 5" xfId="27215"/>
    <cellStyle name="Output 2 2 6" xfId="27216"/>
    <cellStyle name="Output 2 2 7" xfId="27217"/>
    <cellStyle name="Output 2 2 8" xfId="27218"/>
    <cellStyle name="Output 2 2 9" xfId="27219"/>
    <cellStyle name="Output 2 20" xfId="27220"/>
    <cellStyle name="Output 2 21" xfId="27221"/>
    <cellStyle name="Output 2 22" xfId="27222"/>
    <cellStyle name="Output 2 23" xfId="27223"/>
    <cellStyle name="Output 2 24" xfId="27224"/>
    <cellStyle name="Output 2 3" xfId="27225"/>
    <cellStyle name="Output 2 3 10" xfId="27226"/>
    <cellStyle name="Output 2 3 11" xfId="27227"/>
    <cellStyle name="Output 2 3 12" xfId="27228"/>
    <cellStyle name="Output 2 3 13" xfId="27229"/>
    <cellStyle name="Output 2 3 14" xfId="27230"/>
    <cellStyle name="Output 2 3 15" xfId="27231"/>
    <cellStyle name="Output 2 3 16" xfId="27232"/>
    <cellStyle name="Output 2 3 17" xfId="27233"/>
    <cellStyle name="Output 2 3 18" xfId="27234"/>
    <cellStyle name="Output 2 3 2" xfId="27235"/>
    <cellStyle name="Output 2 3 2 2" xfId="27236"/>
    <cellStyle name="Output 2 3 2 2 2" xfId="27237"/>
    <cellStyle name="Output 2 3 2 3" xfId="27238"/>
    <cellStyle name="Output 2 3 2 4" xfId="27239"/>
    <cellStyle name="Output 2 3 3" xfId="27240"/>
    <cellStyle name="Output 2 3 3 2" xfId="27241"/>
    <cellStyle name="Output 2 3 3 3" xfId="27242"/>
    <cellStyle name="Output 2 3 4" xfId="27243"/>
    <cellStyle name="Output 2 3 4 2" xfId="27244"/>
    <cellStyle name="Output 2 3 5" xfId="27245"/>
    <cellStyle name="Output 2 3 6" xfId="27246"/>
    <cellStyle name="Output 2 3 7" xfId="27247"/>
    <cellStyle name="Output 2 3 8" xfId="27248"/>
    <cellStyle name="Output 2 3 9" xfId="27249"/>
    <cellStyle name="Output 2 4" xfId="27250"/>
    <cellStyle name="Output 2 4 2" xfId="27251"/>
    <cellStyle name="Output 2 4 2 2" xfId="27252"/>
    <cellStyle name="Output 2 4 2 3" xfId="27253"/>
    <cellStyle name="Output 2 4 3" xfId="27254"/>
    <cellStyle name="Output 2 4 3 2" xfId="27255"/>
    <cellStyle name="Output 2 4 4" xfId="27256"/>
    <cellStyle name="Output 2 4 5" xfId="27257"/>
    <cellStyle name="Output 2 5" xfId="27258"/>
    <cellStyle name="Output 2 5 2" xfId="27259"/>
    <cellStyle name="Output 2 5 2 2" xfId="27260"/>
    <cellStyle name="Output 2 5 3" xfId="27261"/>
    <cellStyle name="Output 2 5 4" xfId="27262"/>
    <cellStyle name="Output 2 6" xfId="27263"/>
    <cellStyle name="Output 2 6 2" xfId="27264"/>
    <cellStyle name="Output 2 6 3" xfId="27265"/>
    <cellStyle name="Output 2 7" xfId="27266"/>
    <cellStyle name="Output 2 7 2" xfId="27267"/>
    <cellStyle name="Output 2 8" xfId="27268"/>
    <cellStyle name="Output 2 9" xfId="27269"/>
    <cellStyle name="Output 3" xfId="27270"/>
    <cellStyle name="Output 3 10" xfId="27271"/>
    <cellStyle name="Output 3 11" xfId="27272"/>
    <cellStyle name="Output 3 12" xfId="27273"/>
    <cellStyle name="Output 3 13" xfId="27274"/>
    <cellStyle name="Output 3 14" xfId="27275"/>
    <cellStyle name="Output 3 15" xfId="27276"/>
    <cellStyle name="Output 3 16" xfId="27277"/>
    <cellStyle name="Output 3 17" xfId="27278"/>
    <cellStyle name="Output 3 18" xfId="27279"/>
    <cellStyle name="Output 3 19" xfId="27280"/>
    <cellStyle name="Output 3 2" xfId="27281"/>
    <cellStyle name="Output 3 2 10" xfId="27282"/>
    <cellStyle name="Output 3 2 11" xfId="27283"/>
    <cellStyle name="Output 3 2 12" xfId="27284"/>
    <cellStyle name="Output 3 2 13" xfId="27285"/>
    <cellStyle name="Output 3 2 14" xfId="27286"/>
    <cellStyle name="Output 3 2 15" xfId="27287"/>
    <cellStyle name="Output 3 2 16" xfId="27288"/>
    <cellStyle name="Output 3 2 17" xfId="27289"/>
    <cellStyle name="Output 3 2 18" xfId="27290"/>
    <cellStyle name="Output 3 2 2" xfId="27291"/>
    <cellStyle name="Output 3 2 2 2" xfId="27292"/>
    <cellStyle name="Output 3 2 2 2 2" xfId="27293"/>
    <cellStyle name="Output 3 2 2 3" xfId="27294"/>
    <cellStyle name="Output 3 2 2 4" xfId="27295"/>
    <cellStyle name="Output 3 2 3" xfId="27296"/>
    <cellStyle name="Output 3 2 3 2" xfId="27297"/>
    <cellStyle name="Output 3 2 3 3" xfId="27298"/>
    <cellStyle name="Output 3 2 4" xfId="27299"/>
    <cellStyle name="Output 3 2 4 2" xfId="27300"/>
    <cellStyle name="Output 3 2 5" xfId="27301"/>
    <cellStyle name="Output 3 2 6" xfId="27302"/>
    <cellStyle name="Output 3 2 7" xfId="27303"/>
    <cellStyle name="Output 3 2 8" xfId="27304"/>
    <cellStyle name="Output 3 2 9" xfId="27305"/>
    <cellStyle name="Output 3 20" xfId="27306"/>
    <cellStyle name="Output 3 3" xfId="27307"/>
    <cellStyle name="Output 3 3 10" xfId="27308"/>
    <cellStyle name="Output 3 3 11" xfId="27309"/>
    <cellStyle name="Output 3 3 12" xfId="27310"/>
    <cellStyle name="Output 3 3 13" xfId="27311"/>
    <cellStyle name="Output 3 3 14" xfId="27312"/>
    <cellStyle name="Output 3 3 15" xfId="27313"/>
    <cellStyle name="Output 3 3 16" xfId="27314"/>
    <cellStyle name="Output 3 3 17" xfId="27315"/>
    <cellStyle name="Output 3 3 18" xfId="27316"/>
    <cellStyle name="Output 3 3 2" xfId="27317"/>
    <cellStyle name="Output 3 3 2 2" xfId="27318"/>
    <cellStyle name="Output 3 3 2 2 2" xfId="27319"/>
    <cellStyle name="Output 3 3 2 3" xfId="27320"/>
    <cellStyle name="Output 3 3 2 4" xfId="27321"/>
    <cellStyle name="Output 3 3 3" xfId="27322"/>
    <cellStyle name="Output 3 3 3 2" xfId="27323"/>
    <cellStyle name="Output 3 3 3 3" xfId="27324"/>
    <cellStyle name="Output 3 3 4" xfId="27325"/>
    <cellStyle name="Output 3 3 4 2" xfId="27326"/>
    <cellStyle name="Output 3 3 5" xfId="27327"/>
    <cellStyle name="Output 3 3 6" xfId="27328"/>
    <cellStyle name="Output 3 3 7" xfId="27329"/>
    <cellStyle name="Output 3 3 8" xfId="27330"/>
    <cellStyle name="Output 3 3 9" xfId="27331"/>
    <cellStyle name="Output 3 4" xfId="27332"/>
    <cellStyle name="Output 3 4 2" xfId="27333"/>
    <cellStyle name="Output 3 4 2 2" xfId="27334"/>
    <cellStyle name="Output 3 4 2 3" xfId="27335"/>
    <cellStyle name="Output 3 4 3" xfId="27336"/>
    <cellStyle name="Output 3 4 3 2" xfId="27337"/>
    <cellStyle name="Output 3 4 4" xfId="27338"/>
    <cellStyle name="Output 3 4 5" xfId="27339"/>
    <cellStyle name="Output 3 5" xfId="27340"/>
    <cellStyle name="Output 3 5 2" xfId="27341"/>
    <cellStyle name="Output 3 5 2 2" xfId="27342"/>
    <cellStyle name="Output 3 5 3" xfId="27343"/>
    <cellStyle name="Output 3 5 4" xfId="27344"/>
    <cellStyle name="Output 3 6" xfId="27345"/>
    <cellStyle name="Output 3 6 2" xfId="27346"/>
    <cellStyle name="Output 3 6 3" xfId="27347"/>
    <cellStyle name="Output 3 7" xfId="27348"/>
    <cellStyle name="Output 3 7 2" xfId="27349"/>
    <cellStyle name="Output 3 8" xfId="27350"/>
    <cellStyle name="Output 3 9" xfId="27351"/>
    <cellStyle name="Output 4" xfId="27352"/>
    <cellStyle name="Output 4 10" xfId="27353"/>
    <cellStyle name="Output 4 11" xfId="27354"/>
    <cellStyle name="Output 4 12" xfId="27355"/>
    <cellStyle name="Output 4 13" xfId="27356"/>
    <cellStyle name="Output 4 14" xfId="27357"/>
    <cellStyle name="Output 4 15" xfId="27358"/>
    <cellStyle name="Output 4 16" xfId="27359"/>
    <cellStyle name="Output 4 17" xfId="27360"/>
    <cellStyle name="Output 4 18" xfId="27361"/>
    <cellStyle name="Output 4 19" xfId="27362"/>
    <cellStyle name="Output 4 2" xfId="27363"/>
    <cellStyle name="Output 4 2 10" xfId="27364"/>
    <cellStyle name="Output 4 2 11" xfId="27365"/>
    <cellStyle name="Output 4 2 12" xfId="27366"/>
    <cellStyle name="Output 4 2 13" xfId="27367"/>
    <cellStyle name="Output 4 2 14" xfId="27368"/>
    <cellStyle name="Output 4 2 15" xfId="27369"/>
    <cellStyle name="Output 4 2 16" xfId="27370"/>
    <cellStyle name="Output 4 2 17" xfId="27371"/>
    <cellStyle name="Output 4 2 18" xfId="27372"/>
    <cellStyle name="Output 4 2 2" xfId="27373"/>
    <cellStyle name="Output 4 2 2 2" xfId="27374"/>
    <cellStyle name="Output 4 2 2 2 2" xfId="27375"/>
    <cellStyle name="Output 4 2 2 3" xfId="27376"/>
    <cellStyle name="Output 4 2 2 4" xfId="27377"/>
    <cellStyle name="Output 4 2 3" xfId="27378"/>
    <cellStyle name="Output 4 2 3 2" xfId="27379"/>
    <cellStyle name="Output 4 2 3 3" xfId="27380"/>
    <cellStyle name="Output 4 2 4" xfId="27381"/>
    <cellStyle name="Output 4 2 4 2" xfId="27382"/>
    <cellStyle name="Output 4 2 5" xfId="27383"/>
    <cellStyle name="Output 4 2 6" xfId="27384"/>
    <cellStyle name="Output 4 2 7" xfId="27385"/>
    <cellStyle name="Output 4 2 8" xfId="27386"/>
    <cellStyle name="Output 4 2 9" xfId="27387"/>
    <cellStyle name="Output 4 20" xfId="27388"/>
    <cellStyle name="Output 4 3" xfId="27389"/>
    <cellStyle name="Output 4 3 10" xfId="27390"/>
    <cellStyle name="Output 4 3 11" xfId="27391"/>
    <cellStyle name="Output 4 3 12" xfId="27392"/>
    <cellStyle name="Output 4 3 13" xfId="27393"/>
    <cellStyle name="Output 4 3 14" xfId="27394"/>
    <cellStyle name="Output 4 3 15" xfId="27395"/>
    <cellStyle name="Output 4 3 16" xfId="27396"/>
    <cellStyle name="Output 4 3 17" xfId="27397"/>
    <cellStyle name="Output 4 3 18" xfId="27398"/>
    <cellStyle name="Output 4 3 2" xfId="27399"/>
    <cellStyle name="Output 4 3 2 2" xfId="27400"/>
    <cellStyle name="Output 4 3 2 2 2" xfId="27401"/>
    <cellStyle name="Output 4 3 2 3" xfId="27402"/>
    <cellStyle name="Output 4 3 2 4" xfId="27403"/>
    <cellStyle name="Output 4 3 3" xfId="27404"/>
    <cellStyle name="Output 4 3 3 2" xfId="27405"/>
    <cellStyle name="Output 4 3 3 3" xfId="27406"/>
    <cellStyle name="Output 4 3 4" xfId="27407"/>
    <cellStyle name="Output 4 3 4 2" xfId="27408"/>
    <cellStyle name="Output 4 3 5" xfId="27409"/>
    <cellStyle name="Output 4 3 6" xfId="27410"/>
    <cellStyle name="Output 4 3 7" xfId="27411"/>
    <cellStyle name="Output 4 3 8" xfId="27412"/>
    <cellStyle name="Output 4 3 9" xfId="27413"/>
    <cellStyle name="Output 4 4" xfId="27414"/>
    <cellStyle name="Output 4 4 2" xfId="27415"/>
    <cellStyle name="Output 4 4 2 2" xfId="27416"/>
    <cellStyle name="Output 4 4 2 3" xfId="27417"/>
    <cellStyle name="Output 4 4 3" xfId="27418"/>
    <cellStyle name="Output 4 4 3 2" xfId="27419"/>
    <cellStyle name="Output 4 4 4" xfId="27420"/>
    <cellStyle name="Output 4 4 5" xfId="27421"/>
    <cellStyle name="Output 4 5" xfId="27422"/>
    <cellStyle name="Output 4 5 2" xfId="27423"/>
    <cellStyle name="Output 4 5 2 2" xfId="27424"/>
    <cellStyle name="Output 4 5 3" xfId="27425"/>
    <cellStyle name="Output 4 5 4" xfId="27426"/>
    <cellStyle name="Output 4 6" xfId="27427"/>
    <cellStyle name="Output 4 6 2" xfId="27428"/>
    <cellStyle name="Output 4 6 3" xfId="27429"/>
    <cellStyle name="Output 4 7" xfId="27430"/>
    <cellStyle name="Output 4 7 2" xfId="27431"/>
    <cellStyle name="Output 4 8" xfId="27432"/>
    <cellStyle name="Output 4 9" xfId="27433"/>
    <cellStyle name="Output 5" xfId="27434"/>
    <cellStyle name="Output 5 10" xfId="27435"/>
    <cellStyle name="Output 5 11" xfId="27436"/>
    <cellStyle name="Output 5 12" xfId="27437"/>
    <cellStyle name="Output 5 13" xfId="27438"/>
    <cellStyle name="Output 5 14" xfId="27439"/>
    <cellStyle name="Output 5 15" xfId="27440"/>
    <cellStyle name="Output 5 16" xfId="27441"/>
    <cellStyle name="Output 5 17" xfId="27442"/>
    <cellStyle name="Output 5 18" xfId="27443"/>
    <cellStyle name="Output 5 19" xfId="27444"/>
    <cellStyle name="Output 5 2" xfId="27445"/>
    <cellStyle name="Output 5 2 10" xfId="27446"/>
    <cellStyle name="Output 5 2 11" xfId="27447"/>
    <cellStyle name="Output 5 2 12" xfId="27448"/>
    <cellStyle name="Output 5 2 13" xfId="27449"/>
    <cellStyle name="Output 5 2 14" xfId="27450"/>
    <cellStyle name="Output 5 2 15" xfId="27451"/>
    <cellStyle name="Output 5 2 16" xfId="27452"/>
    <cellStyle name="Output 5 2 17" xfId="27453"/>
    <cellStyle name="Output 5 2 18" xfId="27454"/>
    <cellStyle name="Output 5 2 2" xfId="27455"/>
    <cellStyle name="Output 5 2 2 2" xfId="27456"/>
    <cellStyle name="Output 5 2 2 2 2" xfId="27457"/>
    <cellStyle name="Output 5 2 2 3" xfId="27458"/>
    <cellStyle name="Output 5 2 2 4" xfId="27459"/>
    <cellStyle name="Output 5 2 3" xfId="27460"/>
    <cellStyle name="Output 5 2 3 2" xfId="27461"/>
    <cellStyle name="Output 5 2 3 3" xfId="27462"/>
    <cellStyle name="Output 5 2 4" xfId="27463"/>
    <cellStyle name="Output 5 2 4 2" xfId="27464"/>
    <cellStyle name="Output 5 2 5" xfId="27465"/>
    <cellStyle name="Output 5 2 6" xfId="27466"/>
    <cellStyle name="Output 5 2 7" xfId="27467"/>
    <cellStyle name="Output 5 2 8" xfId="27468"/>
    <cellStyle name="Output 5 2 9" xfId="27469"/>
    <cellStyle name="Output 5 20" xfId="27470"/>
    <cellStyle name="Output 5 3" xfId="27471"/>
    <cellStyle name="Output 5 3 10" xfId="27472"/>
    <cellStyle name="Output 5 3 11" xfId="27473"/>
    <cellStyle name="Output 5 3 12" xfId="27474"/>
    <cellStyle name="Output 5 3 13" xfId="27475"/>
    <cellStyle name="Output 5 3 14" xfId="27476"/>
    <cellStyle name="Output 5 3 15" xfId="27477"/>
    <cellStyle name="Output 5 3 16" xfId="27478"/>
    <cellStyle name="Output 5 3 17" xfId="27479"/>
    <cellStyle name="Output 5 3 18" xfId="27480"/>
    <cellStyle name="Output 5 3 2" xfId="27481"/>
    <cellStyle name="Output 5 3 2 2" xfId="27482"/>
    <cellStyle name="Output 5 3 2 2 2" xfId="27483"/>
    <cellStyle name="Output 5 3 2 3" xfId="27484"/>
    <cellStyle name="Output 5 3 2 4" xfId="27485"/>
    <cellStyle name="Output 5 3 3" xfId="27486"/>
    <cellStyle name="Output 5 3 3 2" xfId="27487"/>
    <cellStyle name="Output 5 3 3 3" xfId="27488"/>
    <cellStyle name="Output 5 3 4" xfId="27489"/>
    <cellStyle name="Output 5 3 4 2" xfId="27490"/>
    <cellStyle name="Output 5 3 5" xfId="27491"/>
    <cellStyle name="Output 5 3 6" xfId="27492"/>
    <cellStyle name="Output 5 3 7" xfId="27493"/>
    <cellStyle name="Output 5 3 8" xfId="27494"/>
    <cellStyle name="Output 5 3 9" xfId="27495"/>
    <cellStyle name="Output 5 4" xfId="27496"/>
    <cellStyle name="Output 5 4 2" xfId="27497"/>
    <cellStyle name="Output 5 4 2 2" xfId="27498"/>
    <cellStyle name="Output 5 4 2 3" xfId="27499"/>
    <cellStyle name="Output 5 4 3" xfId="27500"/>
    <cellStyle name="Output 5 4 3 2" xfId="27501"/>
    <cellStyle name="Output 5 4 4" xfId="27502"/>
    <cellStyle name="Output 5 4 5" xfId="27503"/>
    <cellStyle name="Output 5 5" xfId="27504"/>
    <cellStyle name="Output 5 5 2" xfId="27505"/>
    <cellStyle name="Output 5 5 2 2" xfId="27506"/>
    <cellStyle name="Output 5 5 3" xfId="27507"/>
    <cellStyle name="Output 5 5 4" xfId="27508"/>
    <cellStyle name="Output 5 6" xfId="27509"/>
    <cellStyle name="Output 5 6 2" xfId="27510"/>
    <cellStyle name="Output 5 6 3" xfId="27511"/>
    <cellStyle name="Output 5 7" xfId="27512"/>
    <cellStyle name="Output 5 7 2" xfId="27513"/>
    <cellStyle name="Output 5 8" xfId="27514"/>
    <cellStyle name="Output 5 9" xfId="27515"/>
    <cellStyle name="Output 6" xfId="27516"/>
    <cellStyle name="Output 6 10" xfId="27517"/>
    <cellStyle name="Output 6 11" xfId="27518"/>
    <cellStyle name="Output 6 12" xfId="27519"/>
    <cellStyle name="Output 6 13" xfId="27520"/>
    <cellStyle name="Output 6 2" xfId="27521"/>
    <cellStyle name="Output 6 2 10" xfId="27522"/>
    <cellStyle name="Output 6 2 11" xfId="27523"/>
    <cellStyle name="Output 6 2 12" xfId="27524"/>
    <cellStyle name="Output 6 2 13" xfId="27525"/>
    <cellStyle name="Output 6 2 14" xfId="27526"/>
    <cellStyle name="Output 6 2 15" xfId="27527"/>
    <cellStyle name="Output 6 2 16" xfId="27528"/>
    <cellStyle name="Output 6 2 17" xfId="27529"/>
    <cellStyle name="Output 6 2 18" xfId="27530"/>
    <cellStyle name="Output 6 2 2" xfId="27531"/>
    <cellStyle name="Output 6 2 2 2" xfId="27532"/>
    <cellStyle name="Output 6 2 2 2 2" xfId="27533"/>
    <cellStyle name="Output 6 2 2 3" xfId="27534"/>
    <cellStyle name="Output 6 2 2 4" xfId="27535"/>
    <cellStyle name="Output 6 2 3" xfId="27536"/>
    <cellStyle name="Output 6 2 3 2" xfId="27537"/>
    <cellStyle name="Output 6 2 3 3" xfId="27538"/>
    <cellStyle name="Output 6 2 4" xfId="27539"/>
    <cellStyle name="Output 6 2 4 2" xfId="27540"/>
    <cellStyle name="Output 6 2 5" xfId="27541"/>
    <cellStyle name="Output 6 2 6" xfId="27542"/>
    <cellStyle name="Output 6 2 7" xfId="27543"/>
    <cellStyle name="Output 6 2 8" xfId="27544"/>
    <cellStyle name="Output 6 2 9" xfId="27545"/>
    <cellStyle name="Output 6 3" xfId="27546"/>
    <cellStyle name="Output 6 3 10" xfId="27547"/>
    <cellStyle name="Output 6 3 11" xfId="27548"/>
    <cellStyle name="Output 6 3 12" xfId="27549"/>
    <cellStyle name="Output 6 3 13" xfId="27550"/>
    <cellStyle name="Output 6 3 14" xfId="27551"/>
    <cellStyle name="Output 6 3 15" xfId="27552"/>
    <cellStyle name="Output 6 3 16" xfId="27553"/>
    <cellStyle name="Output 6 3 17" xfId="27554"/>
    <cellStyle name="Output 6 3 18" xfId="27555"/>
    <cellStyle name="Output 6 3 2" xfId="27556"/>
    <cellStyle name="Output 6 3 2 2" xfId="27557"/>
    <cellStyle name="Output 6 3 2 2 2" xfId="27558"/>
    <cellStyle name="Output 6 3 2 3" xfId="27559"/>
    <cellStyle name="Output 6 3 2 4" xfId="27560"/>
    <cellStyle name="Output 6 3 3" xfId="27561"/>
    <cellStyle name="Output 6 3 3 2" xfId="27562"/>
    <cellStyle name="Output 6 3 3 3" xfId="27563"/>
    <cellStyle name="Output 6 3 4" xfId="27564"/>
    <cellStyle name="Output 6 3 4 2" xfId="27565"/>
    <cellStyle name="Output 6 3 5" xfId="27566"/>
    <cellStyle name="Output 6 3 6" xfId="27567"/>
    <cellStyle name="Output 6 3 7" xfId="27568"/>
    <cellStyle name="Output 6 3 8" xfId="27569"/>
    <cellStyle name="Output 6 3 9" xfId="27570"/>
    <cellStyle name="Output 6 4" xfId="27571"/>
    <cellStyle name="Output 6 4 2" xfId="27572"/>
    <cellStyle name="Output 6 4 2 2" xfId="27573"/>
    <cellStyle name="Output 6 4 3" xfId="27574"/>
    <cellStyle name="Output 6 4 4" xfId="27575"/>
    <cellStyle name="Output 6 5" xfId="27576"/>
    <cellStyle name="Output 6 5 2" xfId="27577"/>
    <cellStyle name="Output 6 6" xfId="27578"/>
    <cellStyle name="Output 6 7" xfId="27579"/>
    <cellStyle name="Output 6 8" xfId="27580"/>
    <cellStyle name="Output 6 9" xfId="27581"/>
    <cellStyle name="Output 7" xfId="27582"/>
    <cellStyle name="Output 7 10" xfId="27583"/>
    <cellStyle name="Output 7 11" xfId="27584"/>
    <cellStyle name="Output 7 12" xfId="27585"/>
    <cellStyle name="Output 7 13" xfId="27586"/>
    <cellStyle name="Output 7 14" xfId="27587"/>
    <cellStyle name="Output 7 15" xfId="27588"/>
    <cellStyle name="Output 7 16" xfId="27589"/>
    <cellStyle name="Output 7 17" xfId="27590"/>
    <cellStyle name="Output 7 18" xfId="27591"/>
    <cellStyle name="Output 7 2" xfId="27592"/>
    <cellStyle name="Output 7 3" xfId="27593"/>
    <cellStyle name="Output 7 4" xfId="27594"/>
    <cellStyle name="Output 7 5" xfId="27595"/>
    <cellStyle name="Output 7 6" xfId="27596"/>
    <cellStyle name="Output 7 7" xfId="27597"/>
    <cellStyle name="Output 7 8" xfId="27598"/>
    <cellStyle name="Output 7 9" xfId="27599"/>
    <cellStyle name="Output 8" xfId="27600"/>
    <cellStyle name="Output 9" xfId="27601"/>
    <cellStyle name="p/n" xfId="27602"/>
    <cellStyle name="p/n 2" xfId="27603"/>
    <cellStyle name="Paaotsikko" xfId="27604"/>
    <cellStyle name="Paaotsikko 2" xfId="27605"/>
    <cellStyle name="Page Number" xfId="27606"/>
    <cellStyle name="Page Number 2" xfId="27607"/>
    <cellStyle name="PageHeading" xfId="27608"/>
    <cellStyle name="PageHeading 2" xfId="27609"/>
    <cellStyle name="PageTitle" xfId="27610"/>
    <cellStyle name="pb_page_heading_LS" xfId="27611"/>
    <cellStyle name="PctLine" xfId="27612"/>
    <cellStyle name="PctLine 2" xfId="27613"/>
    <cellStyle name="perc" xfId="27614"/>
    <cellStyle name="perc 2" xfId="27615"/>
    <cellStyle name="Percen - Style1" xfId="27616"/>
    <cellStyle name="Percent [0]" xfId="27617"/>
    <cellStyle name="Percent [0] 2" xfId="27618"/>
    <cellStyle name="Percent [0] 3" xfId="27619"/>
    <cellStyle name="Percent [00]" xfId="27620"/>
    <cellStyle name="Percent [00] 2" xfId="27621"/>
    <cellStyle name="Percent [00] 3" xfId="27622"/>
    <cellStyle name="Percent [1]" xfId="27623"/>
    <cellStyle name="Percent [1] 2" xfId="27624"/>
    <cellStyle name="Percent [2]" xfId="27625"/>
    <cellStyle name="Percent [2] 2" xfId="27626"/>
    <cellStyle name="Percent [3]" xfId="27627"/>
    <cellStyle name="Percent [3] 2" xfId="27628"/>
    <cellStyle name="Percent 1 dec" xfId="27629"/>
    <cellStyle name="Percent 1 dec - Input" xfId="27630"/>
    <cellStyle name="Percent 1 dec - Input 2" xfId="27631"/>
    <cellStyle name="Percent 1 dec 2" xfId="27632"/>
    <cellStyle name="Percent 1 dec_Data" xfId="27633"/>
    <cellStyle name="Percent 2" xfId="27634"/>
    <cellStyle name="Percent 3" xfId="27635"/>
    <cellStyle name="Percent Comma" xfId="27636"/>
    <cellStyle name="Percent Comma 2" xfId="27637"/>
    <cellStyle name="Percent Hard" xfId="27638"/>
    <cellStyle name="Percent Hard 2" xfId="27639"/>
    <cellStyle name="Percent Hard 3" xfId="27640"/>
    <cellStyle name="Percent hard no" xfId="27641"/>
    <cellStyle name="Percent hard no 2" xfId="27642"/>
    <cellStyle name="Percent(1)" xfId="27643"/>
    <cellStyle name="Percent(1) 2" xfId="27644"/>
    <cellStyle name="Percent(2)" xfId="27645"/>
    <cellStyle name="Percent(2) 2" xfId="27646"/>
    <cellStyle name="Percent, 0 dec" xfId="27647"/>
    <cellStyle name="Percent, 0 dec 2" xfId="27648"/>
    <cellStyle name="Percent, 1 dec" xfId="27649"/>
    <cellStyle name="Percent, 1 dec 2" xfId="27650"/>
    <cellStyle name="Percent, 2 dec" xfId="27651"/>
    <cellStyle name="Percent, 2 dec 2" xfId="27652"/>
    <cellStyle name="Percent, bp" xfId="27653"/>
    <cellStyle name="Percent, bp 2" xfId="27654"/>
    <cellStyle name="Percentage" xfId="27655"/>
    <cellStyle name="PercentChange" xfId="27656"/>
    <cellStyle name="perecnt" xfId="27657"/>
    <cellStyle name="perecnt 2" xfId="27658"/>
    <cellStyle name="PillarData" xfId="27659"/>
    <cellStyle name="PillarData 2" xfId="27660"/>
    <cellStyle name="PillarText" xfId="27661"/>
    <cellStyle name="PillarText 2" xfId="27662"/>
    <cellStyle name="precent" xfId="27663"/>
    <cellStyle name="precent 2" xfId="27664"/>
    <cellStyle name="PrePop Currency (0)" xfId="27665"/>
    <cellStyle name="PrePop Currency (0) 2" xfId="27666"/>
    <cellStyle name="PrePop Currency (0) 3" xfId="27667"/>
    <cellStyle name="PrePop Currency (0) 4" xfId="27668"/>
    <cellStyle name="PrePop Currency (0) 5" xfId="27669"/>
    <cellStyle name="PrePop Currency (2)" xfId="27670"/>
    <cellStyle name="PrePop Currency (2) 2" xfId="27671"/>
    <cellStyle name="PrePop Currency (2) 3" xfId="27672"/>
    <cellStyle name="PrePop Units (0)" xfId="27673"/>
    <cellStyle name="PrePop Units (0) 2" xfId="27674"/>
    <cellStyle name="PrePop Units (0) 3" xfId="27675"/>
    <cellStyle name="PrePop Units (0) 4" xfId="27676"/>
    <cellStyle name="PrePop Units (0) 5" xfId="27677"/>
    <cellStyle name="PrePop Units (1)" xfId="27678"/>
    <cellStyle name="PrePop Units (1) 2" xfId="27679"/>
    <cellStyle name="PrePop Units (1) 3" xfId="27680"/>
    <cellStyle name="PrePop Units (1) 4" xfId="27681"/>
    <cellStyle name="PrePop Units (1) 5" xfId="27682"/>
    <cellStyle name="PrePop Units (2)" xfId="27683"/>
    <cellStyle name="PrePop Units (2) 2" xfId="27684"/>
    <cellStyle name="PrePop Units (2) 3" xfId="27685"/>
    <cellStyle name="Price" xfId="27686"/>
    <cellStyle name="Price 2" xfId="27687"/>
    <cellStyle name="Price 2 2" xfId="27688"/>
    <cellStyle name="Price 3" xfId="27689"/>
    <cellStyle name="Price 3 2" xfId="27690"/>
    <cellStyle name="Price 4" xfId="27691"/>
    <cellStyle name="Price 4 2" xfId="27692"/>
    <cellStyle name="Price 5" xfId="27693"/>
    <cellStyle name="Procent 2" xfId="27694"/>
    <cellStyle name="prochrek" xfId="27695"/>
    <cellStyle name="prochrek 10" xfId="27696"/>
    <cellStyle name="prochrek 11" xfId="27697"/>
    <cellStyle name="prochrek 12" xfId="27698"/>
    <cellStyle name="prochrek 13" xfId="27699"/>
    <cellStyle name="prochrek 2" xfId="27700"/>
    <cellStyle name="prochrek 2 10" xfId="27701"/>
    <cellStyle name="prochrek 2 11" xfId="27702"/>
    <cellStyle name="prochrek 2 2" xfId="27703"/>
    <cellStyle name="prochrek 2 2 10" xfId="27704"/>
    <cellStyle name="prochrek 2 2 11" xfId="27705"/>
    <cellStyle name="prochrek 2 2 12" xfId="27706"/>
    <cellStyle name="prochrek 2 2 13" xfId="27707"/>
    <cellStyle name="prochrek 2 2 14" xfId="27708"/>
    <cellStyle name="prochrek 2 2 15" xfId="27709"/>
    <cellStyle name="prochrek 2 2 16" xfId="27710"/>
    <cellStyle name="prochrek 2 2 17" xfId="27711"/>
    <cellStyle name="prochrek 2 2 2" xfId="27712"/>
    <cellStyle name="prochrek 2 2 2 2" xfId="27713"/>
    <cellStyle name="prochrek 2 2 2 2 2" xfId="27714"/>
    <cellStyle name="prochrek 2 2 2 3" xfId="27715"/>
    <cellStyle name="prochrek 2 2 2 4" xfId="27716"/>
    <cellStyle name="prochrek 2 2 3" xfId="27717"/>
    <cellStyle name="prochrek 2 2 3 2" xfId="27718"/>
    <cellStyle name="prochrek 2 2 3 3" xfId="27719"/>
    <cellStyle name="prochrek 2 2 4" xfId="27720"/>
    <cellStyle name="prochrek 2 2 4 2" xfId="27721"/>
    <cellStyle name="prochrek 2 2 5" xfId="27722"/>
    <cellStyle name="prochrek 2 2 6" xfId="27723"/>
    <cellStyle name="prochrek 2 2 7" xfId="27724"/>
    <cellStyle name="prochrek 2 2 8" xfId="27725"/>
    <cellStyle name="prochrek 2 2 9" xfId="27726"/>
    <cellStyle name="prochrek 2 3" xfId="27727"/>
    <cellStyle name="prochrek 2 3 10" xfId="27728"/>
    <cellStyle name="prochrek 2 3 11" xfId="27729"/>
    <cellStyle name="prochrek 2 3 12" xfId="27730"/>
    <cellStyle name="prochrek 2 3 13" xfId="27731"/>
    <cellStyle name="prochrek 2 3 14" xfId="27732"/>
    <cellStyle name="prochrek 2 3 15" xfId="27733"/>
    <cellStyle name="prochrek 2 3 16" xfId="27734"/>
    <cellStyle name="prochrek 2 3 17" xfId="27735"/>
    <cellStyle name="prochrek 2 3 18" xfId="27736"/>
    <cellStyle name="prochrek 2 3 2" xfId="27737"/>
    <cellStyle name="prochrek 2 3 2 2" xfId="27738"/>
    <cellStyle name="prochrek 2 3 2 2 2" xfId="27739"/>
    <cellStyle name="prochrek 2 3 2 3" xfId="27740"/>
    <cellStyle name="prochrek 2 3 2 4" xfId="27741"/>
    <cellStyle name="prochrek 2 3 3" xfId="27742"/>
    <cellStyle name="prochrek 2 3 3 2" xfId="27743"/>
    <cellStyle name="prochrek 2 3 3 3" xfId="27744"/>
    <cellStyle name="prochrek 2 3 4" xfId="27745"/>
    <cellStyle name="prochrek 2 3 4 2" xfId="27746"/>
    <cellStyle name="prochrek 2 3 5" xfId="27747"/>
    <cellStyle name="prochrek 2 3 6" xfId="27748"/>
    <cellStyle name="prochrek 2 3 7" xfId="27749"/>
    <cellStyle name="prochrek 2 3 8" xfId="27750"/>
    <cellStyle name="prochrek 2 3 9" xfId="27751"/>
    <cellStyle name="prochrek 2 4" xfId="27752"/>
    <cellStyle name="prochrek 2 4 2" xfId="27753"/>
    <cellStyle name="prochrek 2 4 2 2" xfId="27754"/>
    <cellStyle name="prochrek 2 4 2 3" xfId="27755"/>
    <cellStyle name="prochrek 2 4 3" xfId="27756"/>
    <cellStyle name="prochrek 2 4 3 2" xfId="27757"/>
    <cellStyle name="prochrek 2 4 4" xfId="27758"/>
    <cellStyle name="prochrek 2 4 5" xfId="27759"/>
    <cellStyle name="prochrek 2 5" xfId="27760"/>
    <cellStyle name="prochrek 2 5 2" xfId="27761"/>
    <cellStyle name="prochrek 2 5 2 2" xfId="27762"/>
    <cellStyle name="prochrek 2 5 3" xfId="27763"/>
    <cellStyle name="prochrek 2 5 4" xfId="27764"/>
    <cellStyle name="prochrek 2 6" xfId="27765"/>
    <cellStyle name="prochrek 2 6 2" xfId="27766"/>
    <cellStyle name="prochrek 2 6 3" xfId="27767"/>
    <cellStyle name="prochrek 2 7" xfId="27768"/>
    <cellStyle name="prochrek 2 7 2" xfId="27769"/>
    <cellStyle name="prochrek 2 8" xfId="27770"/>
    <cellStyle name="prochrek 2 9" xfId="27771"/>
    <cellStyle name="prochrek 3" xfId="27772"/>
    <cellStyle name="prochrek 3 10" xfId="27773"/>
    <cellStyle name="prochrek 3 11" xfId="27774"/>
    <cellStyle name="prochrek 3 12" xfId="27775"/>
    <cellStyle name="prochrek 3 13" xfId="27776"/>
    <cellStyle name="prochrek 3 14" xfId="27777"/>
    <cellStyle name="prochrek 3 15" xfId="27778"/>
    <cellStyle name="prochrek 3 2" xfId="27779"/>
    <cellStyle name="prochrek 3 2 10" xfId="27780"/>
    <cellStyle name="prochrek 3 2 11" xfId="27781"/>
    <cellStyle name="prochrek 3 2 12" xfId="27782"/>
    <cellStyle name="prochrek 3 2 13" xfId="27783"/>
    <cellStyle name="prochrek 3 2 14" xfId="27784"/>
    <cellStyle name="prochrek 3 2 15" xfId="27785"/>
    <cellStyle name="prochrek 3 2 16" xfId="27786"/>
    <cellStyle name="prochrek 3 2 17" xfId="27787"/>
    <cellStyle name="prochrek 3 2 18" xfId="27788"/>
    <cellStyle name="prochrek 3 2 2" xfId="27789"/>
    <cellStyle name="prochrek 3 2 2 2" xfId="27790"/>
    <cellStyle name="prochrek 3 2 2 2 2" xfId="27791"/>
    <cellStyle name="prochrek 3 2 2 3" xfId="27792"/>
    <cellStyle name="prochrek 3 2 2 4" xfId="27793"/>
    <cellStyle name="prochrek 3 2 3" xfId="27794"/>
    <cellStyle name="prochrek 3 2 3 2" xfId="27795"/>
    <cellStyle name="prochrek 3 2 3 3" xfId="27796"/>
    <cellStyle name="prochrek 3 2 4" xfId="27797"/>
    <cellStyle name="prochrek 3 2 4 2" xfId="27798"/>
    <cellStyle name="prochrek 3 2 5" xfId="27799"/>
    <cellStyle name="prochrek 3 2 6" xfId="27800"/>
    <cellStyle name="prochrek 3 2 7" xfId="27801"/>
    <cellStyle name="prochrek 3 2 8" xfId="27802"/>
    <cellStyle name="prochrek 3 2 9" xfId="27803"/>
    <cellStyle name="prochrek 3 3" xfId="27804"/>
    <cellStyle name="prochrek 3 3 10" xfId="27805"/>
    <cellStyle name="prochrek 3 3 11" xfId="27806"/>
    <cellStyle name="prochrek 3 3 12" xfId="27807"/>
    <cellStyle name="prochrek 3 3 13" xfId="27808"/>
    <cellStyle name="prochrek 3 3 14" xfId="27809"/>
    <cellStyle name="prochrek 3 3 15" xfId="27810"/>
    <cellStyle name="prochrek 3 3 16" xfId="27811"/>
    <cellStyle name="prochrek 3 3 17" xfId="27812"/>
    <cellStyle name="prochrek 3 3 18" xfId="27813"/>
    <cellStyle name="prochrek 3 3 2" xfId="27814"/>
    <cellStyle name="prochrek 3 3 2 2" xfId="27815"/>
    <cellStyle name="prochrek 3 3 2 2 2" xfId="27816"/>
    <cellStyle name="prochrek 3 3 2 3" xfId="27817"/>
    <cellStyle name="prochrek 3 3 2 4" xfId="27818"/>
    <cellStyle name="prochrek 3 3 3" xfId="27819"/>
    <cellStyle name="prochrek 3 3 3 2" xfId="27820"/>
    <cellStyle name="prochrek 3 3 3 3" xfId="27821"/>
    <cellStyle name="prochrek 3 3 4" xfId="27822"/>
    <cellStyle name="prochrek 3 3 4 2" xfId="27823"/>
    <cellStyle name="prochrek 3 3 5" xfId="27824"/>
    <cellStyle name="prochrek 3 3 6" xfId="27825"/>
    <cellStyle name="prochrek 3 3 7" xfId="27826"/>
    <cellStyle name="prochrek 3 3 8" xfId="27827"/>
    <cellStyle name="prochrek 3 3 9" xfId="27828"/>
    <cellStyle name="prochrek 3 4" xfId="27829"/>
    <cellStyle name="prochrek 3 4 2" xfId="27830"/>
    <cellStyle name="prochrek 3 4 2 2" xfId="27831"/>
    <cellStyle name="prochrek 3 4 3" xfId="27832"/>
    <cellStyle name="prochrek 3 4 4" xfId="27833"/>
    <cellStyle name="prochrek 3 5" xfId="27834"/>
    <cellStyle name="prochrek 3 5 2" xfId="27835"/>
    <cellStyle name="prochrek 3 5 3" xfId="27836"/>
    <cellStyle name="prochrek 3 6" xfId="27837"/>
    <cellStyle name="prochrek 3 6 2" xfId="27838"/>
    <cellStyle name="prochrek 3 7" xfId="27839"/>
    <cellStyle name="prochrek 3 8" xfId="27840"/>
    <cellStyle name="prochrek 3 9" xfId="27841"/>
    <cellStyle name="prochrek 4" xfId="27842"/>
    <cellStyle name="prochrek 4 10" xfId="27843"/>
    <cellStyle name="prochrek 4 11" xfId="27844"/>
    <cellStyle name="prochrek 4 12" xfId="27845"/>
    <cellStyle name="prochrek 4 13" xfId="27846"/>
    <cellStyle name="prochrek 4 14" xfId="27847"/>
    <cellStyle name="prochrek 4 15" xfId="27848"/>
    <cellStyle name="prochrek 4 16" xfId="27849"/>
    <cellStyle name="prochrek 4 2" xfId="27850"/>
    <cellStyle name="prochrek 4 2 10" xfId="27851"/>
    <cellStyle name="prochrek 4 2 11" xfId="27852"/>
    <cellStyle name="prochrek 4 2 12" xfId="27853"/>
    <cellStyle name="prochrek 4 2 13" xfId="27854"/>
    <cellStyle name="prochrek 4 2 14" xfId="27855"/>
    <cellStyle name="prochrek 4 2 15" xfId="27856"/>
    <cellStyle name="prochrek 4 2 16" xfId="27857"/>
    <cellStyle name="prochrek 4 2 17" xfId="27858"/>
    <cellStyle name="prochrek 4 2 18" xfId="27859"/>
    <cellStyle name="prochrek 4 2 2" xfId="27860"/>
    <cellStyle name="prochrek 4 2 2 2" xfId="27861"/>
    <cellStyle name="prochrek 4 2 2 2 2" xfId="27862"/>
    <cellStyle name="prochrek 4 2 2 3" xfId="27863"/>
    <cellStyle name="prochrek 4 2 2 4" xfId="27864"/>
    <cellStyle name="prochrek 4 2 3" xfId="27865"/>
    <cellStyle name="prochrek 4 2 3 2" xfId="27866"/>
    <cellStyle name="prochrek 4 2 3 3" xfId="27867"/>
    <cellStyle name="prochrek 4 2 4" xfId="27868"/>
    <cellStyle name="prochrek 4 2 4 2" xfId="27869"/>
    <cellStyle name="prochrek 4 2 5" xfId="27870"/>
    <cellStyle name="prochrek 4 2 6" xfId="27871"/>
    <cellStyle name="prochrek 4 2 7" xfId="27872"/>
    <cellStyle name="prochrek 4 2 8" xfId="27873"/>
    <cellStyle name="prochrek 4 2 9" xfId="27874"/>
    <cellStyle name="prochrek 4 3" xfId="27875"/>
    <cellStyle name="prochrek 4 3 10" xfId="27876"/>
    <cellStyle name="prochrek 4 3 11" xfId="27877"/>
    <cellStyle name="prochrek 4 3 12" xfId="27878"/>
    <cellStyle name="prochrek 4 3 13" xfId="27879"/>
    <cellStyle name="prochrek 4 3 14" xfId="27880"/>
    <cellStyle name="prochrek 4 3 15" xfId="27881"/>
    <cellStyle name="prochrek 4 3 16" xfId="27882"/>
    <cellStyle name="prochrek 4 3 17" xfId="27883"/>
    <cellStyle name="prochrek 4 3 18" xfId="27884"/>
    <cellStyle name="prochrek 4 3 2" xfId="27885"/>
    <cellStyle name="prochrek 4 3 2 2" xfId="27886"/>
    <cellStyle name="prochrek 4 3 2 2 2" xfId="27887"/>
    <cellStyle name="prochrek 4 3 2 3" xfId="27888"/>
    <cellStyle name="prochrek 4 3 2 4" xfId="27889"/>
    <cellStyle name="prochrek 4 3 3" xfId="27890"/>
    <cellStyle name="prochrek 4 3 3 2" xfId="27891"/>
    <cellStyle name="prochrek 4 3 3 3" xfId="27892"/>
    <cellStyle name="prochrek 4 3 4" xfId="27893"/>
    <cellStyle name="prochrek 4 3 4 2" xfId="27894"/>
    <cellStyle name="prochrek 4 3 5" xfId="27895"/>
    <cellStyle name="prochrek 4 3 6" xfId="27896"/>
    <cellStyle name="prochrek 4 3 7" xfId="27897"/>
    <cellStyle name="prochrek 4 3 8" xfId="27898"/>
    <cellStyle name="prochrek 4 3 9" xfId="27899"/>
    <cellStyle name="prochrek 4 4" xfId="27900"/>
    <cellStyle name="prochrek 4 4 2" xfId="27901"/>
    <cellStyle name="prochrek 4 4 2 2" xfId="27902"/>
    <cellStyle name="prochrek 4 4 2 3" xfId="27903"/>
    <cellStyle name="prochrek 4 4 3" xfId="27904"/>
    <cellStyle name="prochrek 4 4 3 2" xfId="27905"/>
    <cellStyle name="prochrek 4 4 4" xfId="27906"/>
    <cellStyle name="prochrek 4 4 5" xfId="27907"/>
    <cellStyle name="prochrek 4 5" xfId="27908"/>
    <cellStyle name="prochrek 4 5 2" xfId="27909"/>
    <cellStyle name="prochrek 4 5 2 2" xfId="27910"/>
    <cellStyle name="prochrek 4 5 3" xfId="27911"/>
    <cellStyle name="prochrek 4 5 4" xfId="27912"/>
    <cellStyle name="prochrek 4 6" xfId="27913"/>
    <cellStyle name="prochrek 4 6 2" xfId="27914"/>
    <cellStyle name="prochrek 4 6 3" xfId="27915"/>
    <cellStyle name="prochrek 4 7" xfId="27916"/>
    <cellStyle name="prochrek 4 7 2" xfId="27917"/>
    <cellStyle name="prochrek 4 8" xfId="27918"/>
    <cellStyle name="prochrek 4 9" xfId="27919"/>
    <cellStyle name="prochrek 5" xfId="27920"/>
    <cellStyle name="prochrek 5 10" xfId="27921"/>
    <cellStyle name="prochrek 5 11" xfId="27922"/>
    <cellStyle name="prochrek 5 12" xfId="27923"/>
    <cellStyle name="prochrek 5 13" xfId="27924"/>
    <cellStyle name="prochrek 5 14" xfId="27925"/>
    <cellStyle name="prochrek 5 2" xfId="27926"/>
    <cellStyle name="prochrek 5 2 10" xfId="27927"/>
    <cellStyle name="prochrek 5 2 11" xfId="27928"/>
    <cellStyle name="prochrek 5 2 12" xfId="27929"/>
    <cellStyle name="prochrek 5 2 13" xfId="27930"/>
    <cellStyle name="prochrek 5 2 14" xfId="27931"/>
    <cellStyle name="prochrek 5 2 15" xfId="27932"/>
    <cellStyle name="prochrek 5 2 16" xfId="27933"/>
    <cellStyle name="prochrek 5 2 17" xfId="27934"/>
    <cellStyle name="prochrek 5 2 18" xfId="27935"/>
    <cellStyle name="prochrek 5 2 2" xfId="27936"/>
    <cellStyle name="prochrek 5 2 2 2" xfId="27937"/>
    <cellStyle name="prochrek 5 2 2 2 2" xfId="27938"/>
    <cellStyle name="prochrek 5 2 2 3" xfId="27939"/>
    <cellStyle name="prochrek 5 2 2 4" xfId="27940"/>
    <cellStyle name="prochrek 5 2 3" xfId="27941"/>
    <cellStyle name="prochrek 5 2 3 2" xfId="27942"/>
    <cellStyle name="prochrek 5 2 3 3" xfId="27943"/>
    <cellStyle name="prochrek 5 2 4" xfId="27944"/>
    <cellStyle name="prochrek 5 2 4 2" xfId="27945"/>
    <cellStyle name="prochrek 5 2 5" xfId="27946"/>
    <cellStyle name="prochrek 5 2 6" xfId="27947"/>
    <cellStyle name="prochrek 5 2 7" xfId="27948"/>
    <cellStyle name="prochrek 5 2 8" xfId="27949"/>
    <cellStyle name="prochrek 5 2 9" xfId="27950"/>
    <cellStyle name="prochrek 5 3" xfId="27951"/>
    <cellStyle name="prochrek 5 3 10" xfId="27952"/>
    <cellStyle name="prochrek 5 3 11" xfId="27953"/>
    <cellStyle name="prochrek 5 3 12" xfId="27954"/>
    <cellStyle name="prochrek 5 3 13" xfId="27955"/>
    <cellStyle name="prochrek 5 3 14" xfId="27956"/>
    <cellStyle name="prochrek 5 3 15" xfId="27957"/>
    <cellStyle name="prochrek 5 3 16" xfId="27958"/>
    <cellStyle name="prochrek 5 3 17" xfId="27959"/>
    <cellStyle name="prochrek 5 3 18" xfId="27960"/>
    <cellStyle name="prochrek 5 3 2" xfId="27961"/>
    <cellStyle name="prochrek 5 3 2 2" xfId="27962"/>
    <cellStyle name="prochrek 5 3 2 2 2" xfId="27963"/>
    <cellStyle name="prochrek 5 3 2 3" xfId="27964"/>
    <cellStyle name="prochrek 5 3 2 4" xfId="27965"/>
    <cellStyle name="prochrek 5 3 3" xfId="27966"/>
    <cellStyle name="prochrek 5 3 3 2" xfId="27967"/>
    <cellStyle name="prochrek 5 3 3 3" xfId="27968"/>
    <cellStyle name="prochrek 5 3 4" xfId="27969"/>
    <cellStyle name="prochrek 5 3 4 2" xfId="27970"/>
    <cellStyle name="prochrek 5 3 5" xfId="27971"/>
    <cellStyle name="prochrek 5 3 6" xfId="27972"/>
    <cellStyle name="prochrek 5 3 7" xfId="27973"/>
    <cellStyle name="prochrek 5 3 8" xfId="27974"/>
    <cellStyle name="prochrek 5 3 9" xfId="27975"/>
    <cellStyle name="prochrek 5 4" xfId="27976"/>
    <cellStyle name="prochrek 5 4 2" xfId="27977"/>
    <cellStyle name="prochrek 5 4 2 2" xfId="27978"/>
    <cellStyle name="prochrek 5 4 2 3" xfId="27979"/>
    <cellStyle name="prochrek 5 4 3" xfId="27980"/>
    <cellStyle name="prochrek 5 4 3 2" xfId="27981"/>
    <cellStyle name="prochrek 5 4 4" xfId="27982"/>
    <cellStyle name="prochrek 5 4 5" xfId="27983"/>
    <cellStyle name="prochrek 5 5" xfId="27984"/>
    <cellStyle name="prochrek 5 5 2" xfId="27985"/>
    <cellStyle name="prochrek 5 5 2 2" xfId="27986"/>
    <cellStyle name="prochrek 5 5 3" xfId="27987"/>
    <cellStyle name="prochrek 5 5 4" xfId="27988"/>
    <cellStyle name="prochrek 5 6" xfId="27989"/>
    <cellStyle name="prochrek 5 6 2" xfId="27990"/>
    <cellStyle name="prochrek 5 6 3" xfId="27991"/>
    <cellStyle name="prochrek 5 7" xfId="27992"/>
    <cellStyle name="prochrek 5 7 2" xfId="27993"/>
    <cellStyle name="prochrek 5 8" xfId="27994"/>
    <cellStyle name="prochrek 5 9" xfId="27995"/>
    <cellStyle name="prochrek 6" xfId="27996"/>
    <cellStyle name="prochrek 6 10" xfId="27997"/>
    <cellStyle name="prochrek 6 11" xfId="27998"/>
    <cellStyle name="prochrek 6 12" xfId="27999"/>
    <cellStyle name="prochrek 6 13" xfId="28000"/>
    <cellStyle name="prochrek 6 14" xfId="28001"/>
    <cellStyle name="prochrek 6 15" xfId="28002"/>
    <cellStyle name="prochrek 6 16" xfId="28003"/>
    <cellStyle name="prochrek 6 17" xfId="28004"/>
    <cellStyle name="prochrek 6 2" xfId="28005"/>
    <cellStyle name="prochrek 6 2 2" xfId="28006"/>
    <cellStyle name="prochrek 6 3" xfId="28007"/>
    <cellStyle name="prochrek 6 4" xfId="28008"/>
    <cellStyle name="prochrek 6 5" xfId="28009"/>
    <cellStyle name="prochrek 6 6" xfId="28010"/>
    <cellStyle name="prochrek 6 7" xfId="28011"/>
    <cellStyle name="prochrek 6 8" xfId="28012"/>
    <cellStyle name="prochrek 6 9" xfId="28013"/>
    <cellStyle name="prochrek 7" xfId="28014"/>
    <cellStyle name="prochrek 8" xfId="28015"/>
    <cellStyle name="prochrek 9" xfId="28016"/>
    <cellStyle name="Profit figure" xfId="28017"/>
    <cellStyle name="Profit figure 2" xfId="28018"/>
    <cellStyle name="Profit figure 2 2" xfId="28019"/>
    <cellStyle name="Profit figure 3" xfId="28020"/>
    <cellStyle name="Profit figure 3 2" xfId="28021"/>
    <cellStyle name="Profit figure 4" xfId="28022"/>
    <cellStyle name="Profit figure 4 2" xfId="28023"/>
    <cellStyle name="Profit figure 5" xfId="28024"/>
    <cellStyle name="PropBorderData" xfId="28025"/>
    <cellStyle name="PropBorderData 10" xfId="28026"/>
    <cellStyle name="PropBorderData 11" xfId="28027"/>
    <cellStyle name="PropBorderData 12" xfId="28028"/>
    <cellStyle name="PropBorderData 13" xfId="28029"/>
    <cellStyle name="PropBorderData 14" xfId="28030"/>
    <cellStyle name="PropBorderData 15" xfId="28031"/>
    <cellStyle name="PropBorderData 16" xfId="28032"/>
    <cellStyle name="PropBorderData 17" xfId="28033"/>
    <cellStyle name="PropBorderData 18" xfId="28034"/>
    <cellStyle name="PropBorderData 19" xfId="28035"/>
    <cellStyle name="PropBorderData 2" xfId="28036"/>
    <cellStyle name="PropBorderData 2 10" xfId="28037"/>
    <cellStyle name="PropBorderData 2 11" xfId="28038"/>
    <cellStyle name="PropBorderData 2 12" xfId="28039"/>
    <cellStyle name="PropBorderData 2 13" xfId="28040"/>
    <cellStyle name="PropBorderData 2 14" xfId="28041"/>
    <cellStyle name="PropBorderData 2 15" xfId="28042"/>
    <cellStyle name="PropBorderData 2 16" xfId="28043"/>
    <cellStyle name="PropBorderData 2 17" xfId="28044"/>
    <cellStyle name="PropBorderData 2 18" xfId="28045"/>
    <cellStyle name="PropBorderData 2 19" xfId="28046"/>
    <cellStyle name="PropBorderData 2 2" xfId="28047"/>
    <cellStyle name="PropBorderData 2 2 10" xfId="28048"/>
    <cellStyle name="PropBorderData 2 2 11" xfId="28049"/>
    <cellStyle name="PropBorderData 2 2 12" xfId="28050"/>
    <cellStyle name="PropBorderData 2 2 13" xfId="28051"/>
    <cellStyle name="PropBorderData 2 2 14" xfId="28052"/>
    <cellStyle name="PropBorderData 2 2 15" xfId="28053"/>
    <cellStyle name="PropBorderData 2 2 16" xfId="28054"/>
    <cellStyle name="PropBorderData 2 2 17" xfId="28055"/>
    <cellStyle name="PropBorderData 2 2 18" xfId="28056"/>
    <cellStyle name="PropBorderData 2 2 2" xfId="28057"/>
    <cellStyle name="PropBorderData 2 2 2 2" xfId="28058"/>
    <cellStyle name="PropBorderData 2 2 2 2 2" xfId="28059"/>
    <cellStyle name="PropBorderData 2 2 2 3" xfId="28060"/>
    <cellStyle name="PropBorderData 2 2 2 4" xfId="28061"/>
    <cellStyle name="PropBorderData 2 2 3" xfId="28062"/>
    <cellStyle name="PropBorderData 2 2 3 2" xfId="28063"/>
    <cellStyle name="PropBorderData 2 2 3 3" xfId="28064"/>
    <cellStyle name="PropBorderData 2 2 4" xfId="28065"/>
    <cellStyle name="PropBorderData 2 2 4 2" xfId="28066"/>
    <cellStyle name="PropBorderData 2 2 5" xfId="28067"/>
    <cellStyle name="PropBorderData 2 2 6" xfId="28068"/>
    <cellStyle name="PropBorderData 2 2 7" xfId="28069"/>
    <cellStyle name="PropBorderData 2 2 8" xfId="28070"/>
    <cellStyle name="PropBorderData 2 2 9" xfId="28071"/>
    <cellStyle name="PropBorderData 2 20" xfId="28072"/>
    <cellStyle name="PropBorderData 2 21" xfId="28073"/>
    <cellStyle name="PropBorderData 2 3" xfId="28074"/>
    <cellStyle name="PropBorderData 2 3 10" xfId="28075"/>
    <cellStyle name="PropBorderData 2 3 11" xfId="28076"/>
    <cellStyle name="PropBorderData 2 3 12" xfId="28077"/>
    <cellStyle name="PropBorderData 2 3 13" xfId="28078"/>
    <cellStyle name="PropBorderData 2 3 14" xfId="28079"/>
    <cellStyle name="PropBorderData 2 3 15" xfId="28080"/>
    <cellStyle name="PropBorderData 2 3 16" xfId="28081"/>
    <cellStyle name="PropBorderData 2 3 17" xfId="28082"/>
    <cellStyle name="PropBorderData 2 3 18" xfId="28083"/>
    <cellStyle name="PropBorderData 2 3 2" xfId="28084"/>
    <cellStyle name="PropBorderData 2 3 2 2" xfId="28085"/>
    <cellStyle name="PropBorderData 2 3 2 2 2" xfId="28086"/>
    <cellStyle name="PropBorderData 2 3 2 3" xfId="28087"/>
    <cellStyle name="PropBorderData 2 3 2 4" xfId="28088"/>
    <cellStyle name="PropBorderData 2 3 3" xfId="28089"/>
    <cellStyle name="PropBorderData 2 3 3 2" xfId="28090"/>
    <cellStyle name="PropBorderData 2 3 3 3" xfId="28091"/>
    <cellStyle name="PropBorderData 2 3 4" xfId="28092"/>
    <cellStyle name="PropBorderData 2 3 4 2" xfId="28093"/>
    <cellStyle name="PropBorderData 2 3 5" xfId="28094"/>
    <cellStyle name="PropBorderData 2 3 6" xfId="28095"/>
    <cellStyle name="PropBorderData 2 3 7" xfId="28096"/>
    <cellStyle name="PropBorderData 2 3 8" xfId="28097"/>
    <cellStyle name="PropBorderData 2 3 9" xfId="28098"/>
    <cellStyle name="PropBorderData 2 4" xfId="28099"/>
    <cellStyle name="PropBorderData 2 4 2" xfId="28100"/>
    <cellStyle name="PropBorderData 2 4 2 2" xfId="28101"/>
    <cellStyle name="PropBorderData 2 4 2 3" xfId="28102"/>
    <cellStyle name="PropBorderData 2 4 3" xfId="28103"/>
    <cellStyle name="PropBorderData 2 4 3 2" xfId="28104"/>
    <cellStyle name="PropBorderData 2 4 4" xfId="28105"/>
    <cellStyle name="PropBorderData 2 4 5" xfId="28106"/>
    <cellStyle name="PropBorderData 2 5" xfId="28107"/>
    <cellStyle name="PropBorderData 2 5 2" xfId="28108"/>
    <cellStyle name="PropBorderData 2 5 2 2" xfId="28109"/>
    <cellStyle name="PropBorderData 2 5 3" xfId="28110"/>
    <cellStyle name="PropBorderData 2 5 4" xfId="28111"/>
    <cellStyle name="PropBorderData 2 6" xfId="28112"/>
    <cellStyle name="PropBorderData 2 6 2" xfId="28113"/>
    <cellStyle name="PropBorderData 2 7" xfId="28114"/>
    <cellStyle name="PropBorderData 2 8" xfId="28115"/>
    <cellStyle name="PropBorderData 2 9" xfId="28116"/>
    <cellStyle name="PropBorderData 20" xfId="28117"/>
    <cellStyle name="PropBorderData 21" xfId="28118"/>
    <cellStyle name="PropBorderData 22" xfId="28119"/>
    <cellStyle name="PropBorderData 23" xfId="28120"/>
    <cellStyle name="PropBorderData 24" xfId="28121"/>
    <cellStyle name="PropBorderData 25" xfId="28122"/>
    <cellStyle name="PropBorderData 3" xfId="28123"/>
    <cellStyle name="PropBorderData 3 10" xfId="28124"/>
    <cellStyle name="PropBorderData 3 11" xfId="28125"/>
    <cellStyle name="PropBorderData 3 12" xfId="28126"/>
    <cellStyle name="PropBorderData 3 13" xfId="28127"/>
    <cellStyle name="PropBorderData 3 14" xfId="28128"/>
    <cellStyle name="PropBorderData 3 15" xfId="28129"/>
    <cellStyle name="PropBorderData 3 16" xfId="28130"/>
    <cellStyle name="PropBorderData 3 17" xfId="28131"/>
    <cellStyle name="PropBorderData 3 18" xfId="28132"/>
    <cellStyle name="PropBorderData 3 19" xfId="28133"/>
    <cellStyle name="PropBorderData 3 2" xfId="28134"/>
    <cellStyle name="PropBorderData 3 2 10" xfId="28135"/>
    <cellStyle name="PropBorderData 3 2 11" xfId="28136"/>
    <cellStyle name="PropBorderData 3 2 12" xfId="28137"/>
    <cellStyle name="PropBorderData 3 2 13" xfId="28138"/>
    <cellStyle name="PropBorderData 3 2 14" xfId="28139"/>
    <cellStyle name="PropBorderData 3 2 15" xfId="28140"/>
    <cellStyle name="PropBorderData 3 2 16" xfId="28141"/>
    <cellStyle name="PropBorderData 3 2 17" xfId="28142"/>
    <cellStyle name="PropBorderData 3 2 18" xfId="28143"/>
    <cellStyle name="PropBorderData 3 2 2" xfId="28144"/>
    <cellStyle name="PropBorderData 3 2 2 2" xfId="28145"/>
    <cellStyle name="PropBorderData 3 2 2 2 2" xfId="28146"/>
    <cellStyle name="PropBorderData 3 2 2 3" xfId="28147"/>
    <cellStyle name="PropBorderData 3 2 2 4" xfId="28148"/>
    <cellStyle name="PropBorderData 3 2 3" xfId="28149"/>
    <cellStyle name="PropBorderData 3 2 3 2" xfId="28150"/>
    <cellStyle name="PropBorderData 3 2 3 3" xfId="28151"/>
    <cellStyle name="PropBorderData 3 2 4" xfId="28152"/>
    <cellStyle name="PropBorderData 3 2 4 2" xfId="28153"/>
    <cellStyle name="PropBorderData 3 2 5" xfId="28154"/>
    <cellStyle name="PropBorderData 3 2 6" xfId="28155"/>
    <cellStyle name="PropBorderData 3 2 7" xfId="28156"/>
    <cellStyle name="PropBorderData 3 2 8" xfId="28157"/>
    <cellStyle name="PropBorderData 3 2 9" xfId="28158"/>
    <cellStyle name="PropBorderData 3 20" xfId="28159"/>
    <cellStyle name="PropBorderData 3 21" xfId="28160"/>
    <cellStyle name="PropBorderData 3 3" xfId="28161"/>
    <cellStyle name="PropBorderData 3 3 10" xfId="28162"/>
    <cellStyle name="PropBorderData 3 3 11" xfId="28163"/>
    <cellStyle name="PropBorderData 3 3 12" xfId="28164"/>
    <cellStyle name="PropBorderData 3 3 13" xfId="28165"/>
    <cellStyle name="PropBorderData 3 3 14" xfId="28166"/>
    <cellStyle name="PropBorderData 3 3 15" xfId="28167"/>
    <cellStyle name="PropBorderData 3 3 16" xfId="28168"/>
    <cellStyle name="PropBorderData 3 3 17" xfId="28169"/>
    <cellStyle name="PropBorderData 3 3 18" xfId="28170"/>
    <cellStyle name="PropBorderData 3 3 2" xfId="28171"/>
    <cellStyle name="PropBorderData 3 3 2 2" xfId="28172"/>
    <cellStyle name="PropBorderData 3 3 2 2 2" xfId="28173"/>
    <cellStyle name="PropBorderData 3 3 2 3" xfId="28174"/>
    <cellStyle name="PropBorderData 3 3 2 4" xfId="28175"/>
    <cellStyle name="PropBorderData 3 3 3" xfId="28176"/>
    <cellStyle name="PropBorderData 3 3 3 2" xfId="28177"/>
    <cellStyle name="PropBorderData 3 3 3 3" xfId="28178"/>
    <cellStyle name="PropBorderData 3 3 4" xfId="28179"/>
    <cellStyle name="PropBorderData 3 3 4 2" xfId="28180"/>
    <cellStyle name="PropBorderData 3 3 5" xfId="28181"/>
    <cellStyle name="PropBorderData 3 3 6" xfId="28182"/>
    <cellStyle name="PropBorderData 3 3 7" xfId="28183"/>
    <cellStyle name="PropBorderData 3 3 8" xfId="28184"/>
    <cellStyle name="PropBorderData 3 3 9" xfId="28185"/>
    <cellStyle name="PropBorderData 3 4" xfId="28186"/>
    <cellStyle name="PropBorderData 3 4 2" xfId="28187"/>
    <cellStyle name="PropBorderData 3 4 2 2" xfId="28188"/>
    <cellStyle name="PropBorderData 3 4 2 3" xfId="28189"/>
    <cellStyle name="PropBorderData 3 4 3" xfId="28190"/>
    <cellStyle name="PropBorderData 3 4 3 2" xfId="28191"/>
    <cellStyle name="PropBorderData 3 4 4" xfId="28192"/>
    <cellStyle name="PropBorderData 3 4 5" xfId="28193"/>
    <cellStyle name="PropBorderData 3 5" xfId="28194"/>
    <cellStyle name="PropBorderData 3 5 2" xfId="28195"/>
    <cellStyle name="PropBorderData 3 5 2 2" xfId="28196"/>
    <cellStyle name="PropBorderData 3 5 3" xfId="28197"/>
    <cellStyle name="PropBorderData 3 5 4" xfId="28198"/>
    <cellStyle name="PropBorderData 3 6" xfId="28199"/>
    <cellStyle name="PropBorderData 3 6 2" xfId="28200"/>
    <cellStyle name="PropBorderData 3 7" xfId="28201"/>
    <cellStyle name="PropBorderData 3 8" xfId="28202"/>
    <cellStyle name="PropBorderData 3 9" xfId="28203"/>
    <cellStyle name="PropBorderData 4" xfId="28204"/>
    <cellStyle name="PropBorderData 4 10" xfId="28205"/>
    <cellStyle name="PropBorderData 4 11" xfId="28206"/>
    <cellStyle name="PropBorderData 4 12" xfId="28207"/>
    <cellStyle name="PropBorderData 4 13" xfId="28208"/>
    <cellStyle name="PropBorderData 4 14" xfId="28209"/>
    <cellStyle name="PropBorderData 4 15" xfId="28210"/>
    <cellStyle name="PropBorderData 4 16" xfId="28211"/>
    <cellStyle name="PropBorderData 4 17" xfId="28212"/>
    <cellStyle name="PropBorderData 4 18" xfId="28213"/>
    <cellStyle name="PropBorderData 4 19" xfId="28214"/>
    <cellStyle name="PropBorderData 4 2" xfId="28215"/>
    <cellStyle name="PropBorderData 4 2 10" xfId="28216"/>
    <cellStyle name="PropBorderData 4 2 11" xfId="28217"/>
    <cellStyle name="PropBorderData 4 2 12" xfId="28218"/>
    <cellStyle name="PropBorderData 4 2 13" xfId="28219"/>
    <cellStyle name="PropBorderData 4 2 14" xfId="28220"/>
    <cellStyle name="PropBorderData 4 2 15" xfId="28221"/>
    <cellStyle name="PropBorderData 4 2 16" xfId="28222"/>
    <cellStyle name="PropBorderData 4 2 17" xfId="28223"/>
    <cellStyle name="PropBorderData 4 2 18" xfId="28224"/>
    <cellStyle name="PropBorderData 4 2 2" xfId="28225"/>
    <cellStyle name="PropBorderData 4 2 2 2" xfId="28226"/>
    <cellStyle name="PropBorderData 4 2 2 2 2" xfId="28227"/>
    <cellStyle name="PropBorderData 4 2 2 3" xfId="28228"/>
    <cellStyle name="PropBorderData 4 2 2 4" xfId="28229"/>
    <cellStyle name="PropBorderData 4 2 3" xfId="28230"/>
    <cellStyle name="PropBorderData 4 2 3 2" xfId="28231"/>
    <cellStyle name="PropBorderData 4 2 3 3" xfId="28232"/>
    <cellStyle name="PropBorderData 4 2 4" xfId="28233"/>
    <cellStyle name="PropBorderData 4 2 4 2" xfId="28234"/>
    <cellStyle name="PropBorderData 4 2 5" xfId="28235"/>
    <cellStyle name="PropBorderData 4 2 6" xfId="28236"/>
    <cellStyle name="PropBorderData 4 2 7" xfId="28237"/>
    <cellStyle name="PropBorderData 4 2 8" xfId="28238"/>
    <cellStyle name="PropBorderData 4 2 9" xfId="28239"/>
    <cellStyle name="PropBorderData 4 20" xfId="28240"/>
    <cellStyle name="PropBorderData 4 21" xfId="28241"/>
    <cellStyle name="PropBorderData 4 3" xfId="28242"/>
    <cellStyle name="PropBorderData 4 3 10" xfId="28243"/>
    <cellStyle name="PropBorderData 4 3 11" xfId="28244"/>
    <cellStyle name="PropBorderData 4 3 12" xfId="28245"/>
    <cellStyle name="PropBorderData 4 3 13" xfId="28246"/>
    <cellStyle name="PropBorderData 4 3 14" xfId="28247"/>
    <cellStyle name="PropBorderData 4 3 15" xfId="28248"/>
    <cellStyle name="PropBorderData 4 3 16" xfId="28249"/>
    <cellStyle name="PropBorderData 4 3 17" xfId="28250"/>
    <cellStyle name="PropBorderData 4 3 18" xfId="28251"/>
    <cellStyle name="PropBorderData 4 3 2" xfId="28252"/>
    <cellStyle name="PropBorderData 4 3 2 2" xfId="28253"/>
    <cellStyle name="PropBorderData 4 3 2 2 2" xfId="28254"/>
    <cellStyle name="PropBorderData 4 3 2 3" xfId="28255"/>
    <cellStyle name="PropBorderData 4 3 2 4" xfId="28256"/>
    <cellStyle name="PropBorderData 4 3 3" xfId="28257"/>
    <cellStyle name="PropBorderData 4 3 3 2" xfId="28258"/>
    <cellStyle name="PropBorderData 4 3 3 3" xfId="28259"/>
    <cellStyle name="PropBorderData 4 3 4" xfId="28260"/>
    <cellStyle name="PropBorderData 4 3 4 2" xfId="28261"/>
    <cellStyle name="PropBorderData 4 3 5" xfId="28262"/>
    <cellStyle name="PropBorderData 4 3 6" xfId="28263"/>
    <cellStyle name="PropBorderData 4 3 7" xfId="28264"/>
    <cellStyle name="PropBorderData 4 3 8" xfId="28265"/>
    <cellStyle name="PropBorderData 4 3 9" xfId="28266"/>
    <cellStyle name="PropBorderData 4 4" xfId="28267"/>
    <cellStyle name="PropBorderData 4 4 2" xfId="28268"/>
    <cellStyle name="PropBorderData 4 4 2 2" xfId="28269"/>
    <cellStyle name="PropBorderData 4 4 2 3" xfId="28270"/>
    <cellStyle name="PropBorderData 4 4 3" xfId="28271"/>
    <cellStyle name="PropBorderData 4 4 3 2" xfId="28272"/>
    <cellStyle name="PropBorderData 4 4 4" xfId="28273"/>
    <cellStyle name="PropBorderData 4 4 5" xfId="28274"/>
    <cellStyle name="PropBorderData 4 5" xfId="28275"/>
    <cellStyle name="PropBorderData 4 5 2" xfId="28276"/>
    <cellStyle name="PropBorderData 4 5 2 2" xfId="28277"/>
    <cellStyle name="PropBorderData 4 5 3" xfId="28278"/>
    <cellStyle name="PropBorderData 4 5 4" xfId="28279"/>
    <cellStyle name="PropBorderData 4 6" xfId="28280"/>
    <cellStyle name="PropBorderData 4 6 2" xfId="28281"/>
    <cellStyle name="PropBorderData 4 7" xfId="28282"/>
    <cellStyle name="PropBorderData 4 8" xfId="28283"/>
    <cellStyle name="PropBorderData 4 9" xfId="28284"/>
    <cellStyle name="PropBorderData 5" xfId="28285"/>
    <cellStyle name="PropBorderData 5 10" xfId="28286"/>
    <cellStyle name="PropBorderData 5 11" xfId="28287"/>
    <cellStyle name="PropBorderData 5 12" xfId="28288"/>
    <cellStyle name="PropBorderData 5 13" xfId="28289"/>
    <cellStyle name="PropBorderData 5 14" xfId="28290"/>
    <cellStyle name="PropBorderData 5 15" xfId="28291"/>
    <cellStyle name="PropBorderData 5 16" xfId="28292"/>
    <cellStyle name="PropBorderData 5 17" xfId="28293"/>
    <cellStyle name="PropBorderData 5 18" xfId="28294"/>
    <cellStyle name="PropBorderData 5 19" xfId="28295"/>
    <cellStyle name="PropBorderData 5 2" xfId="28296"/>
    <cellStyle name="PropBorderData 5 2 10" xfId="28297"/>
    <cellStyle name="PropBorderData 5 2 11" xfId="28298"/>
    <cellStyle name="PropBorderData 5 2 12" xfId="28299"/>
    <cellStyle name="PropBorderData 5 2 13" xfId="28300"/>
    <cellStyle name="PropBorderData 5 2 14" xfId="28301"/>
    <cellStyle name="PropBorderData 5 2 15" xfId="28302"/>
    <cellStyle name="PropBorderData 5 2 16" xfId="28303"/>
    <cellStyle name="PropBorderData 5 2 17" xfId="28304"/>
    <cellStyle name="PropBorderData 5 2 18" xfId="28305"/>
    <cellStyle name="PropBorderData 5 2 2" xfId="28306"/>
    <cellStyle name="PropBorderData 5 2 2 2" xfId="28307"/>
    <cellStyle name="PropBorderData 5 2 2 2 2" xfId="28308"/>
    <cellStyle name="PropBorderData 5 2 2 3" xfId="28309"/>
    <cellStyle name="PropBorderData 5 2 2 4" xfId="28310"/>
    <cellStyle name="PropBorderData 5 2 3" xfId="28311"/>
    <cellStyle name="PropBorderData 5 2 3 2" xfId="28312"/>
    <cellStyle name="PropBorderData 5 2 3 3" xfId="28313"/>
    <cellStyle name="PropBorderData 5 2 4" xfId="28314"/>
    <cellStyle name="PropBorderData 5 2 4 2" xfId="28315"/>
    <cellStyle name="PropBorderData 5 2 5" xfId="28316"/>
    <cellStyle name="PropBorderData 5 2 6" xfId="28317"/>
    <cellStyle name="PropBorderData 5 2 7" xfId="28318"/>
    <cellStyle name="PropBorderData 5 2 8" xfId="28319"/>
    <cellStyle name="PropBorderData 5 2 9" xfId="28320"/>
    <cellStyle name="PropBorderData 5 3" xfId="28321"/>
    <cellStyle name="PropBorderData 5 3 10" xfId="28322"/>
    <cellStyle name="PropBorderData 5 3 11" xfId="28323"/>
    <cellStyle name="PropBorderData 5 3 12" xfId="28324"/>
    <cellStyle name="PropBorderData 5 3 13" xfId="28325"/>
    <cellStyle name="PropBorderData 5 3 14" xfId="28326"/>
    <cellStyle name="PropBorderData 5 3 15" xfId="28327"/>
    <cellStyle name="PropBorderData 5 3 16" xfId="28328"/>
    <cellStyle name="PropBorderData 5 3 17" xfId="28329"/>
    <cellStyle name="PropBorderData 5 3 18" xfId="28330"/>
    <cellStyle name="PropBorderData 5 3 2" xfId="28331"/>
    <cellStyle name="PropBorderData 5 3 2 2" xfId="28332"/>
    <cellStyle name="PropBorderData 5 3 2 2 2" xfId="28333"/>
    <cellStyle name="PropBorderData 5 3 2 3" xfId="28334"/>
    <cellStyle name="PropBorderData 5 3 2 4" xfId="28335"/>
    <cellStyle name="PropBorderData 5 3 3" xfId="28336"/>
    <cellStyle name="PropBorderData 5 3 3 2" xfId="28337"/>
    <cellStyle name="PropBorderData 5 3 3 3" xfId="28338"/>
    <cellStyle name="PropBorderData 5 3 4" xfId="28339"/>
    <cellStyle name="PropBorderData 5 3 4 2" xfId="28340"/>
    <cellStyle name="PropBorderData 5 3 5" xfId="28341"/>
    <cellStyle name="PropBorderData 5 3 6" xfId="28342"/>
    <cellStyle name="PropBorderData 5 3 7" xfId="28343"/>
    <cellStyle name="PropBorderData 5 3 8" xfId="28344"/>
    <cellStyle name="PropBorderData 5 3 9" xfId="28345"/>
    <cellStyle name="PropBorderData 5 4" xfId="28346"/>
    <cellStyle name="PropBorderData 5 4 2" xfId="28347"/>
    <cellStyle name="PropBorderData 5 4 2 2" xfId="28348"/>
    <cellStyle name="PropBorderData 5 4 2 3" xfId="28349"/>
    <cellStyle name="PropBorderData 5 4 3" xfId="28350"/>
    <cellStyle name="PropBorderData 5 4 3 2" xfId="28351"/>
    <cellStyle name="PropBorderData 5 4 4" xfId="28352"/>
    <cellStyle name="PropBorderData 5 4 5" xfId="28353"/>
    <cellStyle name="PropBorderData 5 5" xfId="28354"/>
    <cellStyle name="PropBorderData 5 5 2" xfId="28355"/>
    <cellStyle name="PropBorderData 5 5 2 2" xfId="28356"/>
    <cellStyle name="PropBorderData 5 5 3" xfId="28357"/>
    <cellStyle name="PropBorderData 5 5 4" xfId="28358"/>
    <cellStyle name="PropBorderData 5 6" xfId="28359"/>
    <cellStyle name="PropBorderData 5 6 2" xfId="28360"/>
    <cellStyle name="PropBorderData 5 7" xfId="28361"/>
    <cellStyle name="PropBorderData 5 8" xfId="28362"/>
    <cellStyle name="PropBorderData 5 9" xfId="28363"/>
    <cellStyle name="PropBorderData 6" xfId="28364"/>
    <cellStyle name="PropBorderData 6 10" xfId="28365"/>
    <cellStyle name="PropBorderData 6 11" xfId="28366"/>
    <cellStyle name="PropBorderData 6 12" xfId="28367"/>
    <cellStyle name="PropBorderData 6 13" xfId="28368"/>
    <cellStyle name="PropBorderData 6 14" xfId="28369"/>
    <cellStyle name="PropBorderData 6 15" xfId="28370"/>
    <cellStyle name="PropBorderData 6 16" xfId="28371"/>
    <cellStyle name="PropBorderData 6 17" xfId="28372"/>
    <cellStyle name="PropBorderData 6 18" xfId="28373"/>
    <cellStyle name="PropBorderData 6 19" xfId="28374"/>
    <cellStyle name="PropBorderData 6 2" xfId="28375"/>
    <cellStyle name="PropBorderData 6 2 10" xfId="28376"/>
    <cellStyle name="PropBorderData 6 2 11" xfId="28377"/>
    <cellStyle name="PropBorderData 6 2 12" xfId="28378"/>
    <cellStyle name="PropBorderData 6 2 13" xfId="28379"/>
    <cellStyle name="PropBorderData 6 2 14" xfId="28380"/>
    <cellStyle name="PropBorderData 6 2 15" xfId="28381"/>
    <cellStyle name="PropBorderData 6 2 16" xfId="28382"/>
    <cellStyle name="PropBorderData 6 2 17" xfId="28383"/>
    <cellStyle name="PropBorderData 6 2 18" xfId="28384"/>
    <cellStyle name="PropBorderData 6 2 2" xfId="28385"/>
    <cellStyle name="PropBorderData 6 2 2 2" xfId="28386"/>
    <cellStyle name="PropBorderData 6 2 2 2 2" xfId="28387"/>
    <cellStyle name="PropBorderData 6 2 2 3" xfId="28388"/>
    <cellStyle name="PropBorderData 6 2 2 4" xfId="28389"/>
    <cellStyle name="PropBorderData 6 2 3" xfId="28390"/>
    <cellStyle name="PropBorderData 6 2 3 2" xfId="28391"/>
    <cellStyle name="PropBorderData 6 2 3 3" xfId="28392"/>
    <cellStyle name="PropBorderData 6 2 4" xfId="28393"/>
    <cellStyle name="PropBorderData 6 2 4 2" xfId="28394"/>
    <cellStyle name="PropBorderData 6 2 5" xfId="28395"/>
    <cellStyle name="PropBorderData 6 2 6" xfId="28396"/>
    <cellStyle name="PropBorderData 6 2 7" xfId="28397"/>
    <cellStyle name="PropBorderData 6 2 8" xfId="28398"/>
    <cellStyle name="PropBorderData 6 2 9" xfId="28399"/>
    <cellStyle name="PropBorderData 6 20" xfId="28400"/>
    <cellStyle name="PropBorderData 6 3" xfId="28401"/>
    <cellStyle name="PropBorderData 6 3 10" xfId="28402"/>
    <cellStyle name="PropBorderData 6 3 11" xfId="28403"/>
    <cellStyle name="PropBorderData 6 3 12" xfId="28404"/>
    <cellStyle name="PropBorderData 6 3 13" xfId="28405"/>
    <cellStyle name="PropBorderData 6 3 14" xfId="28406"/>
    <cellStyle name="PropBorderData 6 3 15" xfId="28407"/>
    <cellStyle name="PropBorderData 6 3 16" xfId="28408"/>
    <cellStyle name="PropBorderData 6 3 17" xfId="28409"/>
    <cellStyle name="PropBorderData 6 3 18" xfId="28410"/>
    <cellStyle name="PropBorderData 6 3 2" xfId="28411"/>
    <cellStyle name="PropBorderData 6 3 2 2" xfId="28412"/>
    <cellStyle name="PropBorderData 6 3 2 2 2" xfId="28413"/>
    <cellStyle name="PropBorderData 6 3 2 3" xfId="28414"/>
    <cellStyle name="PropBorderData 6 3 2 4" xfId="28415"/>
    <cellStyle name="PropBorderData 6 3 3" xfId="28416"/>
    <cellStyle name="PropBorderData 6 3 3 2" xfId="28417"/>
    <cellStyle name="PropBorderData 6 3 3 3" xfId="28418"/>
    <cellStyle name="PropBorderData 6 3 4" xfId="28419"/>
    <cellStyle name="PropBorderData 6 3 4 2" xfId="28420"/>
    <cellStyle name="PropBorderData 6 3 5" xfId="28421"/>
    <cellStyle name="PropBorderData 6 3 6" xfId="28422"/>
    <cellStyle name="PropBorderData 6 3 7" xfId="28423"/>
    <cellStyle name="PropBorderData 6 3 8" xfId="28424"/>
    <cellStyle name="PropBorderData 6 3 9" xfId="28425"/>
    <cellStyle name="PropBorderData 6 4" xfId="28426"/>
    <cellStyle name="PropBorderData 6 4 2" xfId="28427"/>
    <cellStyle name="PropBorderData 6 4 2 2" xfId="28428"/>
    <cellStyle name="PropBorderData 6 4 2 3" xfId="28429"/>
    <cellStyle name="PropBorderData 6 4 3" xfId="28430"/>
    <cellStyle name="PropBorderData 6 4 3 2" xfId="28431"/>
    <cellStyle name="PropBorderData 6 4 4" xfId="28432"/>
    <cellStyle name="PropBorderData 6 4 5" xfId="28433"/>
    <cellStyle name="PropBorderData 6 5" xfId="28434"/>
    <cellStyle name="PropBorderData 6 5 2" xfId="28435"/>
    <cellStyle name="PropBorderData 6 5 2 2" xfId="28436"/>
    <cellStyle name="PropBorderData 6 5 3" xfId="28437"/>
    <cellStyle name="PropBorderData 6 5 4" xfId="28438"/>
    <cellStyle name="PropBorderData 6 6" xfId="28439"/>
    <cellStyle name="PropBorderData 6 6 2" xfId="28440"/>
    <cellStyle name="PropBorderData 6 7" xfId="28441"/>
    <cellStyle name="PropBorderData 6 8" xfId="28442"/>
    <cellStyle name="PropBorderData 6 9" xfId="28443"/>
    <cellStyle name="PropBorderData 7" xfId="28444"/>
    <cellStyle name="PropBorderData 7 10" xfId="28445"/>
    <cellStyle name="PropBorderData 7 11" xfId="28446"/>
    <cellStyle name="PropBorderData 7 12" xfId="28447"/>
    <cellStyle name="PropBorderData 7 13" xfId="28448"/>
    <cellStyle name="PropBorderData 7 14" xfId="28449"/>
    <cellStyle name="PropBorderData 7 15" xfId="28450"/>
    <cellStyle name="PropBorderData 7 16" xfId="28451"/>
    <cellStyle name="PropBorderData 7 17" xfId="28452"/>
    <cellStyle name="PropBorderData 7 2" xfId="28453"/>
    <cellStyle name="PropBorderData 7 2 2" xfId="28454"/>
    <cellStyle name="PropBorderData 7 2 2 2" xfId="28455"/>
    <cellStyle name="PropBorderData 7 2 3" xfId="28456"/>
    <cellStyle name="PropBorderData 7 2 4" xfId="28457"/>
    <cellStyle name="PropBorderData 7 3" xfId="28458"/>
    <cellStyle name="PropBorderData 7 3 2" xfId="28459"/>
    <cellStyle name="PropBorderData 7 4" xfId="28460"/>
    <cellStyle name="PropBorderData 7 5" xfId="28461"/>
    <cellStyle name="PropBorderData 7 6" xfId="28462"/>
    <cellStyle name="PropBorderData 7 7" xfId="28463"/>
    <cellStyle name="PropBorderData 7 8" xfId="28464"/>
    <cellStyle name="PropBorderData 7 9" xfId="28465"/>
    <cellStyle name="PropBorderData 8" xfId="28466"/>
    <cellStyle name="PropBorderData 8 2" xfId="28467"/>
    <cellStyle name="PropBorderData 8 2 2" xfId="28468"/>
    <cellStyle name="PropBorderData 8 2 2 2" xfId="28469"/>
    <cellStyle name="PropBorderData 8 2 3" xfId="28470"/>
    <cellStyle name="PropBorderData 8 2 4" xfId="28471"/>
    <cellStyle name="PropBorderData 8 3" xfId="28472"/>
    <cellStyle name="PropBorderData 8 3 2" xfId="28473"/>
    <cellStyle name="PropBorderData 8 3 3" xfId="28474"/>
    <cellStyle name="PropBorderData 8 4" xfId="28475"/>
    <cellStyle name="PropBorderData 8 4 2" xfId="28476"/>
    <cellStyle name="PropBorderData 8 5" xfId="28477"/>
    <cellStyle name="PropBorderData 8 6" xfId="28478"/>
    <cellStyle name="PropBorderData 9" xfId="28479"/>
    <cellStyle name="PropBorderData 9 2" xfId="28480"/>
    <cellStyle name="PropBorderData 9 2 2" xfId="28481"/>
    <cellStyle name="PropBorderData 9 3" xfId="28482"/>
    <cellStyle name="PropBorderData 9 4" xfId="28483"/>
    <cellStyle name="Prosent_DS" xfId="28484"/>
    <cellStyle name="Puslapis1" xfId="28485"/>
    <cellStyle name="Puslapis2" xfId="28486"/>
    <cellStyle name="Pддotsikko" xfId="28487"/>
    <cellStyle name="Pддotsikko 2" xfId="28488"/>
    <cellStyle name="QTitle" xfId="28489"/>
    <cellStyle name="QTitle 10" xfId="28490"/>
    <cellStyle name="QTitle 10 10" xfId="28491"/>
    <cellStyle name="QTitle 10 11" xfId="28492"/>
    <cellStyle name="QTitle 10 12" xfId="28493"/>
    <cellStyle name="QTitle 10 13" xfId="28494"/>
    <cellStyle name="QTitle 10 14" xfId="28495"/>
    <cellStyle name="QTitle 10 15" xfId="28496"/>
    <cellStyle name="QTitle 10 16" xfId="28497"/>
    <cellStyle name="QTitle 10 17" xfId="28498"/>
    <cellStyle name="QTitle 10 2" xfId="28499"/>
    <cellStyle name="QTitle 10 2 2" xfId="28500"/>
    <cellStyle name="QTitle 10 2 2 2" xfId="28501"/>
    <cellStyle name="QTitle 10 2 3" xfId="28502"/>
    <cellStyle name="QTitle 10 2 4" xfId="28503"/>
    <cellStyle name="QTitle 10 3" xfId="28504"/>
    <cellStyle name="QTitle 10 3 2" xfId="28505"/>
    <cellStyle name="QTitle 10 4" xfId="28506"/>
    <cellStyle name="QTitle 10 5" xfId="28507"/>
    <cellStyle name="QTitle 10 6" xfId="28508"/>
    <cellStyle name="QTitle 10 7" xfId="28509"/>
    <cellStyle name="QTitle 10 8" xfId="28510"/>
    <cellStyle name="QTitle 10 9" xfId="28511"/>
    <cellStyle name="QTitle 11" xfId="28512"/>
    <cellStyle name="QTitle 11 2" xfId="28513"/>
    <cellStyle name="QTitle 11 2 2" xfId="28514"/>
    <cellStyle name="QTitle 11 2 2 2" xfId="28515"/>
    <cellStyle name="QTitle 11 2 3" xfId="28516"/>
    <cellStyle name="QTitle 11 2 4" xfId="28517"/>
    <cellStyle name="QTitle 11 3" xfId="28518"/>
    <cellStyle name="QTitle 11 3 2" xfId="28519"/>
    <cellStyle name="QTitle 11 3 3" xfId="28520"/>
    <cellStyle name="QTitle 11 4" xfId="28521"/>
    <cellStyle name="QTitle 11 4 2" xfId="28522"/>
    <cellStyle name="QTitle 11 5" xfId="28523"/>
    <cellStyle name="QTitle 11 6" xfId="28524"/>
    <cellStyle name="QTitle 12" xfId="28525"/>
    <cellStyle name="QTitle 12 2" xfId="28526"/>
    <cellStyle name="QTitle 12 2 2" xfId="28527"/>
    <cellStyle name="QTitle 12 3" xfId="28528"/>
    <cellStyle name="QTitle 12 4" xfId="28529"/>
    <cellStyle name="QTitle 13" xfId="28530"/>
    <cellStyle name="QTitle 14" xfId="28531"/>
    <cellStyle name="QTitle 15" xfId="28532"/>
    <cellStyle name="QTitle 16" xfId="28533"/>
    <cellStyle name="QTitle 17" xfId="28534"/>
    <cellStyle name="QTitle 18" xfId="28535"/>
    <cellStyle name="QTitle 19" xfId="28536"/>
    <cellStyle name="QTitle 2" xfId="28537"/>
    <cellStyle name="QTitle 2 10" xfId="28538"/>
    <cellStyle name="QTitle 2 11" xfId="28539"/>
    <cellStyle name="QTitle 2 12" xfId="28540"/>
    <cellStyle name="QTitle 2 13" xfId="28541"/>
    <cellStyle name="QTitle 2 14" xfId="28542"/>
    <cellStyle name="QTitle 2 15" xfId="28543"/>
    <cellStyle name="QTitle 2 16" xfId="28544"/>
    <cellStyle name="QTitle 2 17" xfId="28545"/>
    <cellStyle name="QTitle 2 18" xfId="28546"/>
    <cellStyle name="QTitle 2 19" xfId="28547"/>
    <cellStyle name="QTitle 2 2" xfId="28548"/>
    <cellStyle name="QTitle 2 2 10" xfId="28549"/>
    <cellStyle name="QTitle 2 2 11" xfId="28550"/>
    <cellStyle name="QTitle 2 2 12" xfId="28551"/>
    <cellStyle name="QTitle 2 2 13" xfId="28552"/>
    <cellStyle name="QTitle 2 2 14" xfId="28553"/>
    <cellStyle name="QTitle 2 2 15" xfId="28554"/>
    <cellStyle name="QTitle 2 2 16" xfId="28555"/>
    <cellStyle name="QTitle 2 2 17" xfId="28556"/>
    <cellStyle name="QTitle 2 2 18" xfId="28557"/>
    <cellStyle name="QTitle 2 2 19" xfId="28558"/>
    <cellStyle name="QTitle 2 2 2" xfId="28559"/>
    <cellStyle name="QTitle 2 2 2 10" xfId="28560"/>
    <cellStyle name="QTitle 2 2 2 11" xfId="28561"/>
    <cellStyle name="QTitle 2 2 2 12" xfId="28562"/>
    <cellStyle name="QTitle 2 2 2 13" xfId="28563"/>
    <cellStyle name="QTitle 2 2 2 14" xfId="28564"/>
    <cellStyle name="QTitle 2 2 2 15" xfId="28565"/>
    <cellStyle name="QTitle 2 2 2 16" xfId="28566"/>
    <cellStyle name="QTitle 2 2 2 17" xfId="28567"/>
    <cellStyle name="QTitle 2 2 2 18" xfId="28568"/>
    <cellStyle name="QTitle 2 2 2 2" xfId="28569"/>
    <cellStyle name="QTitle 2 2 2 2 2" xfId="28570"/>
    <cellStyle name="QTitle 2 2 2 2 2 2" xfId="28571"/>
    <cellStyle name="QTitle 2 2 2 2 3" xfId="28572"/>
    <cellStyle name="QTitle 2 2 2 2 4" xfId="28573"/>
    <cellStyle name="QTitle 2 2 2 3" xfId="28574"/>
    <cellStyle name="QTitle 2 2 2 3 2" xfId="28575"/>
    <cellStyle name="QTitle 2 2 2 3 3" xfId="28576"/>
    <cellStyle name="QTitle 2 2 2 4" xfId="28577"/>
    <cellStyle name="QTitle 2 2 2 4 2" xfId="28578"/>
    <cellStyle name="QTitle 2 2 2 5" xfId="28579"/>
    <cellStyle name="QTitle 2 2 2 6" xfId="28580"/>
    <cellStyle name="QTitle 2 2 2 7" xfId="28581"/>
    <cellStyle name="QTitle 2 2 2 8" xfId="28582"/>
    <cellStyle name="QTitle 2 2 2 9" xfId="28583"/>
    <cellStyle name="QTitle 2 2 3" xfId="28584"/>
    <cellStyle name="QTitle 2 2 3 10" xfId="28585"/>
    <cellStyle name="QTitle 2 2 3 11" xfId="28586"/>
    <cellStyle name="QTitle 2 2 3 12" xfId="28587"/>
    <cellStyle name="QTitle 2 2 3 13" xfId="28588"/>
    <cellStyle name="QTitle 2 2 3 14" xfId="28589"/>
    <cellStyle name="QTitle 2 2 3 15" xfId="28590"/>
    <cellStyle name="QTitle 2 2 3 16" xfId="28591"/>
    <cellStyle name="QTitle 2 2 3 17" xfId="28592"/>
    <cellStyle name="QTitle 2 2 3 18" xfId="28593"/>
    <cellStyle name="QTitle 2 2 3 2" xfId="28594"/>
    <cellStyle name="QTitle 2 2 3 2 2" xfId="28595"/>
    <cellStyle name="QTitle 2 2 3 2 2 2" xfId="28596"/>
    <cellStyle name="QTitle 2 2 3 2 3" xfId="28597"/>
    <cellStyle name="QTitle 2 2 3 2 4" xfId="28598"/>
    <cellStyle name="QTitle 2 2 3 3" xfId="28599"/>
    <cellStyle name="QTitle 2 2 3 3 2" xfId="28600"/>
    <cellStyle name="QTitle 2 2 3 3 3" xfId="28601"/>
    <cellStyle name="QTitle 2 2 3 4" xfId="28602"/>
    <cellStyle name="QTitle 2 2 3 4 2" xfId="28603"/>
    <cellStyle name="QTitle 2 2 3 5" xfId="28604"/>
    <cellStyle name="QTitle 2 2 3 6" xfId="28605"/>
    <cellStyle name="QTitle 2 2 3 7" xfId="28606"/>
    <cellStyle name="QTitle 2 2 3 8" xfId="28607"/>
    <cellStyle name="QTitle 2 2 3 9" xfId="28608"/>
    <cellStyle name="QTitle 2 2 4" xfId="28609"/>
    <cellStyle name="QTitle 2 2 4 2" xfId="28610"/>
    <cellStyle name="QTitle 2 2 4 2 2" xfId="28611"/>
    <cellStyle name="QTitle 2 2 4 2 3" xfId="28612"/>
    <cellStyle name="QTitle 2 2 4 3" xfId="28613"/>
    <cellStyle name="QTitle 2 2 4 3 2" xfId="28614"/>
    <cellStyle name="QTitle 2 2 4 4" xfId="28615"/>
    <cellStyle name="QTitle 2 2 4 5" xfId="28616"/>
    <cellStyle name="QTitle 2 2 5" xfId="28617"/>
    <cellStyle name="QTitle 2 2 5 2" xfId="28618"/>
    <cellStyle name="QTitle 2 2 5 2 2" xfId="28619"/>
    <cellStyle name="QTitle 2 2 5 3" xfId="28620"/>
    <cellStyle name="QTitle 2 2 5 4" xfId="28621"/>
    <cellStyle name="QTitle 2 2 6" xfId="28622"/>
    <cellStyle name="QTitle 2 2 6 2" xfId="28623"/>
    <cellStyle name="QTitle 2 2 7" xfId="28624"/>
    <cellStyle name="QTitle 2 2 8" xfId="28625"/>
    <cellStyle name="QTitle 2 2 9" xfId="28626"/>
    <cellStyle name="QTitle 2 20" xfId="28627"/>
    <cellStyle name="QTitle 2 21" xfId="28628"/>
    <cellStyle name="QTitle 2 22" xfId="28629"/>
    <cellStyle name="QTitle 2 23" xfId="28630"/>
    <cellStyle name="QTitle 2 24" xfId="28631"/>
    <cellStyle name="QTitle 2 25" xfId="28632"/>
    <cellStyle name="QTitle 2 3" xfId="28633"/>
    <cellStyle name="QTitle 2 3 10" xfId="28634"/>
    <cellStyle name="QTitle 2 3 11" xfId="28635"/>
    <cellStyle name="QTitle 2 3 12" xfId="28636"/>
    <cellStyle name="QTitle 2 3 13" xfId="28637"/>
    <cellStyle name="QTitle 2 3 14" xfId="28638"/>
    <cellStyle name="QTitle 2 3 15" xfId="28639"/>
    <cellStyle name="QTitle 2 3 16" xfId="28640"/>
    <cellStyle name="QTitle 2 3 17" xfId="28641"/>
    <cellStyle name="QTitle 2 3 18" xfId="28642"/>
    <cellStyle name="QTitle 2 3 19" xfId="28643"/>
    <cellStyle name="QTitle 2 3 2" xfId="28644"/>
    <cellStyle name="QTitle 2 3 2 10" xfId="28645"/>
    <cellStyle name="QTitle 2 3 2 11" xfId="28646"/>
    <cellStyle name="QTitle 2 3 2 12" xfId="28647"/>
    <cellStyle name="QTitle 2 3 2 13" xfId="28648"/>
    <cellStyle name="QTitle 2 3 2 14" xfId="28649"/>
    <cellStyle name="QTitle 2 3 2 15" xfId="28650"/>
    <cellStyle name="QTitle 2 3 2 16" xfId="28651"/>
    <cellStyle name="QTitle 2 3 2 17" xfId="28652"/>
    <cellStyle name="QTitle 2 3 2 18" xfId="28653"/>
    <cellStyle name="QTitle 2 3 2 2" xfId="28654"/>
    <cellStyle name="QTitle 2 3 2 2 2" xfId="28655"/>
    <cellStyle name="QTitle 2 3 2 2 2 2" xfId="28656"/>
    <cellStyle name="QTitle 2 3 2 2 3" xfId="28657"/>
    <cellStyle name="QTitle 2 3 2 2 4" xfId="28658"/>
    <cellStyle name="QTitle 2 3 2 3" xfId="28659"/>
    <cellStyle name="QTitle 2 3 2 3 2" xfId="28660"/>
    <cellStyle name="QTitle 2 3 2 3 3" xfId="28661"/>
    <cellStyle name="QTitle 2 3 2 4" xfId="28662"/>
    <cellStyle name="QTitle 2 3 2 4 2" xfId="28663"/>
    <cellStyle name="QTitle 2 3 2 5" xfId="28664"/>
    <cellStyle name="QTitle 2 3 2 6" xfId="28665"/>
    <cellStyle name="QTitle 2 3 2 7" xfId="28666"/>
    <cellStyle name="QTitle 2 3 2 8" xfId="28667"/>
    <cellStyle name="QTitle 2 3 2 9" xfId="28668"/>
    <cellStyle name="QTitle 2 3 20" xfId="28669"/>
    <cellStyle name="QTitle 2 3 21" xfId="28670"/>
    <cellStyle name="QTitle 2 3 3" xfId="28671"/>
    <cellStyle name="QTitle 2 3 3 10" xfId="28672"/>
    <cellStyle name="QTitle 2 3 3 11" xfId="28673"/>
    <cellStyle name="QTitle 2 3 3 12" xfId="28674"/>
    <cellStyle name="QTitle 2 3 3 13" xfId="28675"/>
    <cellStyle name="QTitle 2 3 3 14" xfId="28676"/>
    <cellStyle name="QTitle 2 3 3 15" xfId="28677"/>
    <cellStyle name="QTitle 2 3 3 16" xfId="28678"/>
    <cellStyle name="QTitle 2 3 3 17" xfId="28679"/>
    <cellStyle name="QTitle 2 3 3 18" xfId="28680"/>
    <cellStyle name="QTitle 2 3 3 2" xfId="28681"/>
    <cellStyle name="QTitle 2 3 3 2 2" xfId="28682"/>
    <cellStyle name="QTitle 2 3 3 2 2 2" xfId="28683"/>
    <cellStyle name="QTitle 2 3 3 2 3" xfId="28684"/>
    <cellStyle name="QTitle 2 3 3 2 4" xfId="28685"/>
    <cellStyle name="QTitle 2 3 3 3" xfId="28686"/>
    <cellStyle name="QTitle 2 3 3 3 2" xfId="28687"/>
    <cellStyle name="QTitle 2 3 3 3 3" xfId="28688"/>
    <cellStyle name="QTitle 2 3 3 4" xfId="28689"/>
    <cellStyle name="QTitle 2 3 3 4 2" xfId="28690"/>
    <cellStyle name="QTitle 2 3 3 5" xfId="28691"/>
    <cellStyle name="QTitle 2 3 3 6" xfId="28692"/>
    <cellStyle name="QTitle 2 3 3 7" xfId="28693"/>
    <cellStyle name="QTitle 2 3 3 8" xfId="28694"/>
    <cellStyle name="QTitle 2 3 3 9" xfId="28695"/>
    <cellStyle name="QTitle 2 3 4" xfId="28696"/>
    <cellStyle name="QTitle 2 3 4 2" xfId="28697"/>
    <cellStyle name="QTitle 2 3 4 2 2" xfId="28698"/>
    <cellStyle name="QTitle 2 3 4 2 3" xfId="28699"/>
    <cellStyle name="QTitle 2 3 4 3" xfId="28700"/>
    <cellStyle name="QTitle 2 3 4 3 2" xfId="28701"/>
    <cellStyle name="QTitle 2 3 4 4" xfId="28702"/>
    <cellStyle name="QTitle 2 3 4 5" xfId="28703"/>
    <cellStyle name="QTitle 2 3 5" xfId="28704"/>
    <cellStyle name="QTitle 2 3 5 2" xfId="28705"/>
    <cellStyle name="QTitle 2 3 5 2 2" xfId="28706"/>
    <cellStyle name="QTitle 2 3 5 3" xfId="28707"/>
    <cellStyle name="QTitle 2 3 5 4" xfId="28708"/>
    <cellStyle name="QTitle 2 3 6" xfId="28709"/>
    <cellStyle name="QTitle 2 3 6 2" xfId="28710"/>
    <cellStyle name="QTitle 2 3 7" xfId="28711"/>
    <cellStyle name="QTitle 2 3 8" xfId="28712"/>
    <cellStyle name="QTitle 2 3 9" xfId="28713"/>
    <cellStyle name="QTitle 2 4" xfId="28714"/>
    <cellStyle name="QTitle 2 4 10" xfId="28715"/>
    <cellStyle name="QTitle 2 4 11" xfId="28716"/>
    <cellStyle name="QTitle 2 4 12" xfId="28717"/>
    <cellStyle name="QTitle 2 4 13" xfId="28718"/>
    <cellStyle name="QTitle 2 4 14" xfId="28719"/>
    <cellStyle name="QTitle 2 4 15" xfId="28720"/>
    <cellStyle name="QTitle 2 4 16" xfId="28721"/>
    <cellStyle name="QTitle 2 4 17" xfId="28722"/>
    <cellStyle name="QTitle 2 4 18" xfId="28723"/>
    <cellStyle name="QTitle 2 4 19" xfId="28724"/>
    <cellStyle name="QTitle 2 4 2" xfId="28725"/>
    <cellStyle name="QTitle 2 4 2 10" xfId="28726"/>
    <cellStyle name="QTitle 2 4 2 11" xfId="28727"/>
    <cellStyle name="QTitle 2 4 2 12" xfId="28728"/>
    <cellStyle name="QTitle 2 4 2 13" xfId="28729"/>
    <cellStyle name="QTitle 2 4 2 14" xfId="28730"/>
    <cellStyle name="QTitle 2 4 2 15" xfId="28731"/>
    <cellStyle name="QTitle 2 4 2 16" xfId="28732"/>
    <cellStyle name="QTitle 2 4 2 17" xfId="28733"/>
    <cellStyle name="QTitle 2 4 2 18" xfId="28734"/>
    <cellStyle name="QTitle 2 4 2 2" xfId="28735"/>
    <cellStyle name="QTitle 2 4 2 2 2" xfId="28736"/>
    <cellStyle name="QTitle 2 4 2 2 2 2" xfId="28737"/>
    <cellStyle name="QTitle 2 4 2 2 3" xfId="28738"/>
    <cellStyle name="QTitle 2 4 2 2 4" xfId="28739"/>
    <cellStyle name="QTitle 2 4 2 3" xfId="28740"/>
    <cellStyle name="QTitle 2 4 2 3 2" xfId="28741"/>
    <cellStyle name="QTitle 2 4 2 3 3" xfId="28742"/>
    <cellStyle name="QTitle 2 4 2 4" xfId="28743"/>
    <cellStyle name="QTitle 2 4 2 4 2" xfId="28744"/>
    <cellStyle name="QTitle 2 4 2 5" xfId="28745"/>
    <cellStyle name="QTitle 2 4 2 6" xfId="28746"/>
    <cellStyle name="QTitle 2 4 2 7" xfId="28747"/>
    <cellStyle name="QTitle 2 4 2 8" xfId="28748"/>
    <cellStyle name="QTitle 2 4 2 9" xfId="28749"/>
    <cellStyle name="QTitle 2 4 20" xfId="28750"/>
    <cellStyle name="QTitle 2 4 21" xfId="28751"/>
    <cellStyle name="QTitle 2 4 3" xfId="28752"/>
    <cellStyle name="QTitle 2 4 3 10" xfId="28753"/>
    <cellStyle name="QTitle 2 4 3 11" xfId="28754"/>
    <cellStyle name="QTitle 2 4 3 12" xfId="28755"/>
    <cellStyle name="QTitle 2 4 3 13" xfId="28756"/>
    <cellStyle name="QTitle 2 4 3 14" xfId="28757"/>
    <cellStyle name="QTitle 2 4 3 15" xfId="28758"/>
    <cellStyle name="QTitle 2 4 3 16" xfId="28759"/>
    <cellStyle name="QTitle 2 4 3 17" xfId="28760"/>
    <cellStyle name="QTitle 2 4 3 18" xfId="28761"/>
    <cellStyle name="QTitle 2 4 3 2" xfId="28762"/>
    <cellStyle name="QTitle 2 4 3 2 2" xfId="28763"/>
    <cellStyle name="QTitle 2 4 3 2 2 2" xfId="28764"/>
    <cellStyle name="QTitle 2 4 3 2 3" xfId="28765"/>
    <cellStyle name="QTitle 2 4 3 2 4" xfId="28766"/>
    <cellStyle name="QTitle 2 4 3 3" xfId="28767"/>
    <cellStyle name="QTitle 2 4 3 3 2" xfId="28768"/>
    <cellStyle name="QTitle 2 4 3 3 3" xfId="28769"/>
    <cellStyle name="QTitle 2 4 3 4" xfId="28770"/>
    <cellStyle name="QTitle 2 4 3 4 2" xfId="28771"/>
    <cellStyle name="QTitle 2 4 3 5" xfId="28772"/>
    <cellStyle name="QTitle 2 4 3 6" xfId="28773"/>
    <cellStyle name="QTitle 2 4 3 7" xfId="28774"/>
    <cellStyle name="QTitle 2 4 3 8" xfId="28775"/>
    <cellStyle name="QTitle 2 4 3 9" xfId="28776"/>
    <cellStyle name="QTitle 2 4 4" xfId="28777"/>
    <cellStyle name="QTitle 2 4 4 2" xfId="28778"/>
    <cellStyle name="QTitle 2 4 4 2 2" xfId="28779"/>
    <cellStyle name="QTitle 2 4 4 2 3" xfId="28780"/>
    <cellStyle name="QTitle 2 4 4 3" xfId="28781"/>
    <cellStyle name="QTitle 2 4 4 3 2" xfId="28782"/>
    <cellStyle name="QTitle 2 4 4 4" xfId="28783"/>
    <cellStyle name="QTitle 2 4 4 5" xfId="28784"/>
    <cellStyle name="QTitle 2 4 5" xfId="28785"/>
    <cellStyle name="QTitle 2 4 5 2" xfId="28786"/>
    <cellStyle name="QTitle 2 4 5 2 2" xfId="28787"/>
    <cellStyle name="QTitle 2 4 5 3" xfId="28788"/>
    <cellStyle name="QTitle 2 4 5 4" xfId="28789"/>
    <cellStyle name="QTitle 2 4 6" xfId="28790"/>
    <cellStyle name="QTitle 2 4 6 2" xfId="28791"/>
    <cellStyle name="QTitle 2 4 7" xfId="28792"/>
    <cellStyle name="QTitle 2 4 8" xfId="28793"/>
    <cellStyle name="QTitle 2 4 9" xfId="28794"/>
    <cellStyle name="QTitle 2 5" xfId="28795"/>
    <cellStyle name="QTitle 2 5 10" xfId="28796"/>
    <cellStyle name="QTitle 2 5 11" xfId="28797"/>
    <cellStyle name="QTitle 2 5 12" xfId="28798"/>
    <cellStyle name="QTitle 2 5 13" xfId="28799"/>
    <cellStyle name="QTitle 2 5 14" xfId="28800"/>
    <cellStyle name="QTitle 2 5 15" xfId="28801"/>
    <cellStyle name="QTitle 2 5 16" xfId="28802"/>
    <cellStyle name="QTitle 2 5 17" xfId="28803"/>
    <cellStyle name="QTitle 2 5 18" xfId="28804"/>
    <cellStyle name="QTitle 2 5 19" xfId="28805"/>
    <cellStyle name="QTitle 2 5 2" xfId="28806"/>
    <cellStyle name="QTitle 2 5 2 10" xfId="28807"/>
    <cellStyle name="QTitle 2 5 2 11" xfId="28808"/>
    <cellStyle name="QTitle 2 5 2 12" xfId="28809"/>
    <cellStyle name="QTitle 2 5 2 13" xfId="28810"/>
    <cellStyle name="QTitle 2 5 2 14" xfId="28811"/>
    <cellStyle name="QTitle 2 5 2 15" xfId="28812"/>
    <cellStyle name="QTitle 2 5 2 16" xfId="28813"/>
    <cellStyle name="QTitle 2 5 2 17" xfId="28814"/>
    <cellStyle name="QTitle 2 5 2 18" xfId="28815"/>
    <cellStyle name="QTitle 2 5 2 2" xfId="28816"/>
    <cellStyle name="QTitle 2 5 2 2 2" xfId="28817"/>
    <cellStyle name="QTitle 2 5 2 2 2 2" xfId="28818"/>
    <cellStyle name="QTitle 2 5 2 2 3" xfId="28819"/>
    <cellStyle name="QTitle 2 5 2 2 4" xfId="28820"/>
    <cellStyle name="QTitle 2 5 2 3" xfId="28821"/>
    <cellStyle name="QTitle 2 5 2 3 2" xfId="28822"/>
    <cellStyle name="QTitle 2 5 2 3 3" xfId="28823"/>
    <cellStyle name="QTitle 2 5 2 4" xfId="28824"/>
    <cellStyle name="QTitle 2 5 2 4 2" xfId="28825"/>
    <cellStyle name="QTitle 2 5 2 5" xfId="28826"/>
    <cellStyle name="QTitle 2 5 2 6" xfId="28827"/>
    <cellStyle name="QTitle 2 5 2 7" xfId="28828"/>
    <cellStyle name="QTitle 2 5 2 8" xfId="28829"/>
    <cellStyle name="QTitle 2 5 2 9" xfId="28830"/>
    <cellStyle name="QTitle 2 5 3" xfId="28831"/>
    <cellStyle name="QTitle 2 5 3 10" xfId="28832"/>
    <cellStyle name="QTitle 2 5 3 11" xfId="28833"/>
    <cellStyle name="QTitle 2 5 3 12" xfId="28834"/>
    <cellStyle name="QTitle 2 5 3 13" xfId="28835"/>
    <cellStyle name="QTitle 2 5 3 14" xfId="28836"/>
    <cellStyle name="QTitle 2 5 3 15" xfId="28837"/>
    <cellStyle name="QTitle 2 5 3 16" xfId="28838"/>
    <cellStyle name="QTitle 2 5 3 17" xfId="28839"/>
    <cellStyle name="QTitle 2 5 3 18" xfId="28840"/>
    <cellStyle name="QTitle 2 5 3 2" xfId="28841"/>
    <cellStyle name="QTitle 2 5 3 2 2" xfId="28842"/>
    <cellStyle name="QTitle 2 5 3 2 2 2" xfId="28843"/>
    <cellStyle name="QTitle 2 5 3 2 3" xfId="28844"/>
    <cellStyle name="QTitle 2 5 3 2 4" xfId="28845"/>
    <cellStyle name="QTitle 2 5 3 3" xfId="28846"/>
    <cellStyle name="QTitle 2 5 3 3 2" xfId="28847"/>
    <cellStyle name="QTitle 2 5 3 3 3" xfId="28848"/>
    <cellStyle name="QTitle 2 5 3 4" xfId="28849"/>
    <cellStyle name="QTitle 2 5 3 4 2" xfId="28850"/>
    <cellStyle name="QTitle 2 5 3 5" xfId="28851"/>
    <cellStyle name="QTitle 2 5 3 6" xfId="28852"/>
    <cellStyle name="QTitle 2 5 3 7" xfId="28853"/>
    <cellStyle name="QTitle 2 5 3 8" xfId="28854"/>
    <cellStyle name="QTitle 2 5 3 9" xfId="28855"/>
    <cellStyle name="QTitle 2 5 4" xfId="28856"/>
    <cellStyle name="QTitle 2 5 4 2" xfId="28857"/>
    <cellStyle name="QTitle 2 5 4 2 2" xfId="28858"/>
    <cellStyle name="QTitle 2 5 4 2 3" xfId="28859"/>
    <cellStyle name="QTitle 2 5 4 3" xfId="28860"/>
    <cellStyle name="QTitle 2 5 4 3 2" xfId="28861"/>
    <cellStyle name="QTitle 2 5 4 4" xfId="28862"/>
    <cellStyle name="QTitle 2 5 4 5" xfId="28863"/>
    <cellStyle name="QTitle 2 5 5" xfId="28864"/>
    <cellStyle name="QTitle 2 5 5 2" xfId="28865"/>
    <cellStyle name="QTitle 2 5 5 2 2" xfId="28866"/>
    <cellStyle name="QTitle 2 5 5 3" xfId="28867"/>
    <cellStyle name="QTitle 2 5 5 4" xfId="28868"/>
    <cellStyle name="QTitle 2 5 6" xfId="28869"/>
    <cellStyle name="QTitle 2 5 6 2" xfId="28870"/>
    <cellStyle name="QTitle 2 5 7" xfId="28871"/>
    <cellStyle name="QTitle 2 5 8" xfId="28872"/>
    <cellStyle name="QTitle 2 5 9" xfId="28873"/>
    <cellStyle name="QTitle 2 6" xfId="28874"/>
    <cellStyle name="QTitle 2 6 10" xfId="28875"/>
    <cellStyle name="QTitle 2 6 11" xfId="28876"/>
    <cellStyle name="QTitle 2 6 12" xfId="28877"/>
    <cellStyle name="QTitle 2 6 13" xfId="28878"/>
    <cellStyle name="QTitle 2 6 14" xfId="28879"/>
    <cellStyle name="QTitle 2 6 15" xfId="28880"/>
    <cellStyle name="QTitle 2 6 16" xfId="28881"/>
    <cellStyle name="QTitle 2 6 17" xfId="28882"/>
    <cellStyle name="QTitle 2 6 18" xfId="28883"/>
    <cellStyle name="QTitle 2 6 19" xfId="28884"/>
    <cellStyle name="QTitle 2 6 2" xfId="28885"/>
    <cellStyle name="QTitle 2 6 2 10" xfId="28886"/>
    <cellStyle name="QTitle 2 6 2 11" xfId="28887"/>
    <cellStyle name="QTitle 2 6 2 12" xfId="28888"/>
    <cellStyle name="QTitle 2 6 2 13" xfId="28889"/>
    <cellStyle name="QTitle 2 6 2 14" xfId="28890"/>
    <cellStyle name="QTitle 2 6 2 15" xfId="28891"/>
    <cellStyle name="QTitle 2 6 2 16" xfId="28892"/>
    <cellStyle name="QTitle 2 6 2 17" xfId="28893"/>
    <cellStyle name="QTitle 2 6 2 18" xfId="28894"/>
    <cellStyle name="QTitle 2 6 2 2" xfId="28895"/>
    <cellStyle name="QTitle 2 6 2 2 2" xfId="28896"/>
    <cellStyle name="QTitle 2 6 2 2 2 2" xfId="28897"/>
    <cellStyle name="QTitle 2 6 2 2 3" xfId="28898"/>
    <cellStyle name="QTitle 2 6 2 2 4" xfId="28899"/>
    <cellStyle name="QTitle 2 6 2 3" xfId="28900"/>
    <cellStyle name="QTitle 2 6 2 3 2" xfId="28901"/>
    <cellStyle name="QTitle 2 6 2 3 3" xfId="28902"/>
    <cellStyle name="QTitle 2 6 2 4" xfId="28903"/>
    <cellStyle name="QTitle 2 6 2 4 2" xfId="28904"/>
    <cellStyle name="QTitle 2 6 2 5" xfId="28905"/>
    <cellStyle name="QTitle 2 6 2 6" xfId="28906"/>
    <cellStyle name="QTitle 2 6 2 7" xfId="28907"/>
    <cellStyle name="QTitle 2 6 2 8" xfId="28908"/>
    <cellStyle name="QTitle 2 6 2 9" xfId="28909"/>
    <cellStyle name="QTitle 2 6 20" xfId="28910"/>
    <cellStyle name="QTitle 2 6 3" xfId="28911"/>
    <cellStyle name="QTitle 2 6 3 10" xfId="28912"/>
    <cellStyle name="QTitle 2 6 3 11" xfId="28913"/>
    <cellStyle name="QTitle 2 6 3 12" xfId="28914"/>
    <cellStyle name="QTitle 2 6 3 13" xfId="28915"/>
    <cellStyle name="QTitle 2 6 3 14" xfId="28916"/>
    <cellStyle name="QTitle 2 6 3 15" xfId="28917"/>
    <cellStyle name="QTitle 2 6 3 16" xfId="28918"/>
    <cellStyle name="QTitle 2 6 3 17" xfId="28919"/>
    <cellStyle name="QTitle 2 6 3 18" xfId="28920"/>
    <cellStyle name="QTitle 2 6 3 2" xfId="28921"/>
    <cellStyle name="QTitle 2 6 3 2 2" xfId="28922"/>
    <cellStyle name="QTitle 2 6 3 2 2 2" xfId="28923"/>
    <cellStyle name="QTitle 2 6 3 2 3" xfId="28924"/>
    <cellStyle name="QTitle 2 6 3 2 4" xfId="28925"/>
    <cellStyle name="QTitle 2 6 3 3" xfId="28926"/>
    <cellStyle name="QTitle 2 6 3 3 2" xfId="28927"/>
    <cellStyle name="QTitle 2 6 3 3 3" xfId="28928"/>
    <cellStyle name="QTitle 2 6 3 4" xfId="28929"/>
    <cellStyle name="QTitle 2 6 3 4 2" xfId="28930"/>
    <cellStyle name="QTitle 2 6 3 5" xfId="28931"/>
    <cellStyle name="QTitle 2 6 3 6" xfId="28932"/>
    <cellStyle name="QTitle 2 6 3 7" xfId="28933"/>
    <cellStyle name="QTitle 2 6 3 8" xfId="28934"/>
    <cellStyle name="QTitle 2 6 3 9" xfId="28935"/>
    <cellStyle name="QTitle 2 6 4" xfId="28936"/>
    <cellStyle name="QTitle 2 6 4 2" xfId="28937"/>
    <cellStyle name="QTitle 2 6 4 2 2" xfId="28938"/>
    <cellStyle name="QTitle 2 6 4 2 3" xfId="28939"/>
    <cellStyle name="QTitle 2 6 4 3" xfId="28940"/>
    <cellStyle name="QTitle 2 6 4 3 2" xfId="28941"/>
    <cellStyle name="QTitle 2 6 4 4" xfId="28942"/>
    <cellStyle name="QTitle 2 6 4 5" xfId="28943"/>
    <cellStyle name="QTitle 2 6 5" xfId="28944"/>
    <cellStyle name="QTitle 2 6 5 2" xfId="28945"/>
    <cellStyle name="QTitle 2 6 5 2 2" xfId="28946"/>
    <cellStyle name="QTitle 2 6 5 3" xfId="28947"/>
    <cellStyle name="QTitle 2 6 5 4" xfId="28948"/>
    <cellStyle name="QTitle 2 6 6" xfId="28949"/>
    <cellStyle name="QTitle 2 6 6 2" xfId="28950"/>
    <cellStyle name="QTitle 2 6 7" xfId="28951"/>
    <cellStyle name="QTitle 2 6 8" xfId="28952"/>
    <cellStyle name="QTitle 2 6 9" xfId="28953"/>
    <cellStyle name="QTitle 2 7" xfId="28954"/>
    <cellStyle name="QTitle 2 7 10" xfId="28955"/>
    <cellStyle name="QTitle 2 7 11" xfId="28956"/>
    <cellStyle name="QTitle 2 7 12" xfId="28957"/>
    <cellStyle name="QTitle 2 7 13" xfId="28958"/>
    <cellStyle name="QTitle 2 7 14" xfId="28959"/>
    <cellStyle name="QTitle 2 7 15" xfId="28960"/>
    <cellStyle name="QTitle 2 7 16" xfId="28961"/>
    <cellStyle name="QTitle 2 7 17" xfId="28962"/>
    <cellStyle name="QTitle 2 7 2" xfId="28963"/>
    <cellStyle name="QTitle 2 7 2 2" xfId="28964"/>
    <cellStyle name="QTitle 2 7 2 2 2" xfId="28965"/>
    <cellStyle name="QTitle 2 7 2 3" xfId="28966"/>
    <cellStyle name="QTitle 2 7 2 4" xfId="28967"/>
    <cellStyle name="QTitle 2 7 3" xfId="28968"/>
    <cellStyle name="QTitle 2 7 3 2" xfId="28969"/>
    <cellStyle name="QTitle 2 7 4" xfId="28970"/>
    <cellStyle name="QTitle 2 7 5" xfId="28971"/>
    <cellStyle name="QTitle 2 7 6" xfId="28972"/>
    <cellStyle name="QTitle 2 7 7" xfId="28973"/>
    <cellStyle name="QTitle 2 7 8" xfId="28974"/>
    <cellStyle name="QTitle 2 7 9" xfId="28975"/>
    <cellStyle name="QTitle 2 8" xfId="28976"/>
    <cellStyle name="QTitle 2 8 2" xfId="28977"/>
    <cellStyle name="QTitle 2 8 2 2" xfId="28978"/>
    <cellStyle name="QTitle 2 8 2 2 2" xfId="28979"/>
    <cellStyle name="QTitle 2 8 2 3" xfId="28980"/>
    <cellStyle name="QTitle 2 8 2 4" xfId="28981"/>
    <cellStyle name="QTitle 2 8 3" xfId="28982"/>
    <cellStyle name="QTitle 2 8 3 2" xfId="28983"/>
    <cellStyle name="QTitle 2 8 3 3" xfId="28984"/>
    <cellStyle name="QTitle 2 8 4" xfId="28985"/>
    <cellStyle name="QTitle 2 8 4 2" xfId="28986"/>
    <cellStyle name="QTitle 2 8 5" xfId="28987"/>
    <cellStyle name="QTitle 2 8 6" xfId="28988"/>
    <cellStyle name="QTitle 2 9" xfId="28989"/>
    <cellStyle name="QTitle 2 9 2" xfId="28990"/>
    <cellStyle name="QTitle 2 9 2 2" xfId="28991"/>
    <cellStyle name="QTitle 2 9 3" xfId="28992"/>
    <cellStyle name="QTitle 2 9 4" xfId="28993"/>
    <cellStyle name="QTitle 20" xfId="28994"/>
    <cellStyle name="QTitle 21" xfId="28995"/>
    <cellStyle name="QTitle 22" xfId="28996"/>
    <cellStyle name="QTitle 23" xfId="28997"/>
    <cellStyle name="QTitle 24" xfId="28998"/>
    <cellStyle name="QTitle 25" xfId="28999"/>
    <cellStyle name="QTitle 26" xfId="29000"/>
    <cellStyle name="QTitle 27" xfId="29001"/>
    <cellStyle name="QTitle 28" xfId="29002"/>
    <cellStyle name="QTitle 3" xfId="29003"/>
    <cellStyle name="QTitle 3 10" xfId="29004"/>
    <cellStyle name="QTitle 3 11" xfId="29005"/>
    <cellStyle name="QTitle 3 12" xfId="29006"/>
    <cellStyle name="QTitle 3 13" xfId="29007"/>
    <cellStyle name="QTitle 3 14" xfId="29008"/>
    <cellStyle name="QTitle 3 15" xfId="29009"/>
    <cellStyle name="QTitle 3 16" xfId="29010"/>
    <cellStyle name="QTitle 3 17" xfId="29011"/>
    <cellStyle name="QTitle 3 18" xfId="29012"/>
    <cellStyle name="QTitle 3 19" xfId="29013"/>
    <cellStyle name="QTitle 3 2" xfId="29014"/>
    <cellStyle name="QTitle 3 2 10" xfId="29015"/>
    <cellStyle name="QTitle 3 2 11" xfId="29016"/>
    <cellStyle name="QTitle 3 2 12" xfId="29017"/>
    <cellStyle name="QTitle 3 2 13" xfId="29018"/>
    <cellStyle name="QTitle 3 2 14" xfId="29019"/>
    <cellStyle name="QTitle 3 2 15" xfId="29020"/>
    <cellStyle name="QTitle 3 2 16" xfId="29021"/>
    <cellStyle name="QTitle 3 2 17" xfId="29022"/>
    <cellStyle name="QTitle 3 2 18" xfId="29023"/>
    <cellStyle name="QTitle 3 2 19" xfId="29024"/>
    <cellStyle name="QTitle 3 2 2" xfId="29025"/>
    <cellStyle name="QTitle 3 2 2 10" xfId="29026"/>
    <cellStyle name="QTitle 3 2 2 11" xfId="29027"/>
    <cellStyle name="QTitle 3 2 2 12" xfId="29028"/>
    <cellStyle name="QTitle 3 2 2 13" xfId="29029"/>
    <cellStyle name="QTitle 3 2 2 14" xfId="29030"/>
    <cellStyle name="QTitle 3 2 2 15" xfId="29031"/>
    <cellStyle name="QTitle 3 2 2 16" xfId="29032"/>
    <cellStyle name="QTitle 3 2 2 17" xfId="29033"/>
    <cellStyle name="QTitle 3 2 2 18" xfId="29034"/>
    <cellStyle name="QTitle 3 2 2 2" xfId="29035"/>
    <cellStyle name="QTitle 3 2 2 2 2" xfId="29036"/>
    <cellStyle name="QTitle 3 2 2 2 2 2" xfId="29037"/>
    <cellStyle name="QTitle 3 2 2 2 3" xfId="29038"/>
    <cellStyle name="QTitle 3 2 2 2 4" xfId="29039"/>
    <cellStyle name="QTitle 3 2 2 3" xfId="29040"/>
    <cellStyle name="QTitle 3 2 2 3 2" xfId="29041"/>
    <cellStyle name="QTitle 3 2 2 3 3" xfId="29042"/>
    <cellStyle name="QTitle 3 2 2 4" xfId="29043"/>
    <cellStyle name="QTitle 3 2 2 4 2" xfId="29044"/>
    <cellStyle name="QTitle 3 2 2 5" xfId="29045"/>
    <cellStyle name="QTitle 3 2 2 6" xfId="29046"/>
    <cellStyle name="QTitle 3 2 2 7" xfId="29047"/>
    <cellStyle name="QTitle 3 2 2 8" xfId="29048"/>
    <cellStyle name="QTitle 3 2 2 9" xfId="29049"/>
    <cellStyle name="QTitle 3 2 3" xfId="29050"/>
    <cellStyle name="QTitle 3 2 3 10" xfId="29051"/>
    <cellStyle name="QTitle 3 2 3 11" xfId="29052"/>
    <cellStyle name="QTitle 3 2 3 12" xfId="29053"/>
    <cellStyle name="QTitle 3 2 3 13" xfId="29054"/>
    <cellStyle name="QTitle 3 2 3 14" xfId="29055"/>
    <cellStyle name="QTitle 3 2 3 15" xfId="29056"/>
    <cellStyle name="QTitle 3 2 3 16" xfId="29057"/>
    <cellStyle name="QTitle 3 2 3 17" xfId="29058"/>
    <cellStyle name="QTitle 3 2 3 18" xfId="29059"/>
    <cellStyle name="QTitle 3 2 3 2" xfId="29060"/>
    <cellStyle name="QTitle 3 2 3 2 2" xfId="29061"/>
    <cellStyle name="QTitle 3 2 3 2 2 2" xfId="29062"/>
    <cellStyle name="QTitle 3 2 3 2 3" xfId="29063"/>
    <cellStyle name="QTitle 3 2 3 2 4" xfId="29064"/>
    <cellStyle name="QTitle 3 2 3 3" xfId="29065"/>
    <cellStyle name="QTitle 3 2 3 3 2" xfId="29066"/>
    <cellStyle name="QTitle 3 2 3 3 3" xfId="29067"/>
    <cellStyle name="QTitle 3 2 3 4" xfId="29068"/>
    <cellStyle name="QTitle 3 2 3 4 2" xfId="29069"/>
    <cellStyle name="QTitle 3 2 3 5" xfId="29070"/>
    <cellStyle name="QTitle 3 2 3 6" xfId="29071"/>
    <cellStyle name="QTitle 3 2 3 7" xfId="29072"/>
    <cellStyle name="QTitle 3 2 3 8" xfId="29073"/>
    <cellStyle name="QTitle 3 2 3 9" xfId="29074"/>
    <cellStyle name="QTitle 3 2 4" xfId="29075"/>
    <cellStyle name="QTitle 3 2 4 2" xfId="29076"/>
    <cellStyle name="QTitle 3 2 4 2 2" xfId="29077"/>
    <cellStyle name="QTitle 3 2 4 2 3" xfId="29078"/>
    <cellStyle name="QTitle 3 2 4 3" xfId="29079"/>
    <cellStyle name="QTitle 3 2 4 3 2" xfId="29080"/>
    <cellStyle name="QTitle 3 2 4 4" xfId="29081"/>
    <cellStyle name="QTitle 3 2 4 5" xfId="29082"/>
    <cellStyle name="QTitle 3 2 5" xfId="29083"/>
    <cellStyle name="QTitle 3 2 5 2" xfId="29084"/>
    <cellStyle name="QTitle 3 2 5 2 2" xfId="29085"/>
    <cellStyle name="QTitle 3 2 5 3" xfId="29086"/>
    <cellStyle name="QTitle 3 2 5 4" xfId="29087"/>
    <cellStyle name="QTitle 3 2 6" xfId="29088"/>
    <cellStyle name="QTitle 3 2 6 2" xfId="29089"/>
    <cellStyle name="QTitle 3 2 7" xfId="29090"/>
    <cellStyle name="QTitle 3 2 8" xfId="29091"/>
    <cellStyle name="QTitle 3 2 9" xfId="29092"/>
    <cellStyle name="QTitle 3 20" xfId="29093"/>
    <cellStyle name="QTitle 3 21" xfId="29094"/>
    <cellStyle name="QTitle 3 22" xfId="29095"/>
    <cellStyle name="QTitle 3 23" xfId="29096"/>
    <cellStyle name="QTitle 3 24" xfId="29097"/>
    <cellStyle name="QTitle 3 25" xfId="29098"/>
    <cellStyle name="QTitle 3 3" xfId="29099"/>
    <cellStyle name="QTitle 3 3 10" xfId="29100"/>
    <cellStyle name="QTitle 3 3 11" xfId="29101"/>
    <cellStyle name="QTitle 3 3 12" xfId="29102"/>
    <cellStyle name="QTitle 3 3 13" xfId="29103"/>
    <cellStyle name="QTitle 3 3 14" xfId="29104"/>
    <cellStyle name="QTitle 3 3 15" xfId="29105"/>
    <cellStyle name="QTitle 3 3 16" xfId="29106"/>
    <cellStyle name="QTitle 3 3 17" xfId="29107"/>
    <cellStyle name="QTitle 3 3 18" xfId="29108"/>
    <cellStyle name="QTitle 3 3 19" xfId="29109"/>
    <cellStyle name="QTitle 3 3 2" xfId="29110"/>
    <cellStyle name="QTitle 3 3 2 10" xfId="29111"/>
    <cellStyle name="QTitle 3 3 2 11" xfId="29112"/>
    <cellStyle name="QTitle 3 3 2 12" xfId="29113"/>
    <cellStyle name="QTitle 3 3 2 13" xfId="29114"/>
    <cellStyle name="QTitle 3 3 2 14" xfId="29115"/>
    <cellStyle name="QTitle 3 3 2 15" xfId="29116"/>
    <cellStyle name="QTitle 3 3 2 16" xfId="29117"/>
    <cellStyle name="QTitle 3 3 2 17" xfId="29118"/>
    <cellStyle name="QTitle 3 3 2 18" xfId="29119"/>
    <cellStyle name="QTitle 3 3 2 2" xfId="29120"/>
    <cellStyle name="QTitle 3 3 2 2 2" xfId="29121"/>
    <cellStyle name="QTitle 3 3 2 2 2 2" xfId="29122"/>
    <cellStyle name="QTitle 3 3 2 2 3" xfId="29123"/>
    <cellStyle name="QTitle 3 3 2 2 4" xfId="29124"/>
    <cellStyle name="QTitle 3 3 2 3" xfId="29125"/>
    <cellStyle name="QTitle 3 3 2 3 2" xfId="29126"/>
    <cellStyle name="QTitle 3 3 2 3 3" xfId="29127"/>
    <cellStyle name="QTitle 3 3 2 4" xfId="29128"/>
    <cellStyle name="QTitle 3 3 2 4 2" xfId="29129"/>
    <cellStyle name="QTitle 3 3 2 5" xfId="29130"/>
    <cellStyle name="QTitle 3 3 2 6" xfId="29131"/>
    <cellStyle name="QTitle 3 3 2 7" xfId="29132"/>
    <cellStyle name="QTitle 3 3 2 8" xfId="29133"/>
    <cellStyle name="QTitle 3 3 2 9" xfId="29134"/>
    <cellStyle name="QTitle 3 3 20" xfId="29135"/>
    <cellStyle name="QTitle 3 3 21" xfId="29136"/>
    <cellStyle name="QTitle 3 3 3" xfId="29137"/>
    <cellStyle name="QTitle 3 3 3 10" xfId="29138"/>
    <cellStyle name="QTitle 3 3 3 11" xfId="29139"/>
    <cellStyle name="QTitle 3 3 3 12" xfId="29140"/>
    <cellStyle name="QTitle 3 3 3 13" xfId="29141"/>
    <cellStyle name="QTitle 3 3 3 14" xfId="29142"/>
    <cellStyle name="QTitle 3 3 3 15" xfId="29143"/>
    <cellStyle name="QTitle 3 3 3 16" xfId="29144"/>
    <cellStyle name="QTitle 3 3 3 17" xfId="29145"/>
    <cellStyle name="QTitle 3 3 3 18" xfId="29146"/>
    <cellStyle name="QTitle 3 3 3 2" xfId="29147"/>
    <cellStyle name="QTitle 3 3 3 2 2" xfId="29148"/>
    <cellStyle name="QTitle 3 3 3 2 2 2" xfId="29149"/>
    <cellStyle name="QTitle 3 3 3 2 3" xfId="29150"/>
    <cellStyle name="QTitle 3 3 3 2 4" xfId="29151"/>
    <cellStyle name="QTitle 3 3 3 3" xfId="29152"/>
    <cellStyle name="QTitle 3 3 3 3 2" xfId="29153"/>
    <cellStyle name="QTitle 3 3 3 3 3" xfId="29154"/>
    <cellStyle name="QTitle 3 3 3 4" xfId="29155"/>
    <cellStyle name="QTitle 3 3 3 4 2" xfId="29156"/>
    <cellStyle name="QTitle 3 3 3 5" xfId="29157"/>
    <cellStyle name="QTitle 3 3 3 6" xfId="29158"/>
    <cellStyle name="QTitle 3 3 3 7" xfId="29159"/>
    <cellStyle name="QTitle 3 3 3 8" xfId="29160"/>
    <cellStyle name="QTitle 3 3 3 9" xfId="29161"/>
    <cellStyle name="QTitle 3 3 4" xfId="29162"/>
    <cellStyle name="QTitle 3 3 4 2" xfId="29163"/>
    <cellStyle name="QTitle 3 3 4 2 2" xfId="29164"/>
    <cellStyle name="QTitle 3 3 4 2 3" xfId="29165"/>
    <cellStyle name="QTitle 3 3 4 3" xfId="29166"/>
    <cellStyle name="QTitle 3 3 4 3 2" xfId="29167"/>
    <cellStyle name="QTitle 3 3 4 4" xfId="29168"/>
    <cellStyle name="QTitle 3 3 4 5" xfId="29169"/>
    <cellStyle name="QTitle 3 3 5" xfId="29170"/>
    <cellStyle name="QTitle 3 3 5 2" xfId="29171"/>
    <cellStyle name="QTitle 3 3 5 2 2" xfId="29172"/>
    <cellStyle name="QTitle 3 3 5 3" xfId="29173"/>
    <cellStyle name="QTitle 3 3 5 4" xfId="29174"/>
    <cellStyle name="QTitle 3 3 6" xfId="29175"/>
    <cellStyle name="QTitle 3 3 6 2" xfId="29176"/>
    <cellStyle name="QTitle 3 3 7" xfId="29177"/>
    <cellStyle name="QTitle 3 3 8" xfId="29178"/>
    <cellStyle name="QTitle 3 3 9" xfId="29179"/>
    <cellStyle name="QTitle 3 4" xfId="29180"/>
    <cellStyle name="QTitle 3 4 10" xfId="29181"/>
    <cellStyle name="QTitle 3 4 11" xfId="29182"/>
    <cellStyle name="QTitle 3 4 12" xfId="29183"/>
    <cellStyle name="QTitle 3 4 13" xfId="29184"/>
    <cellStyle name="QTitle 3 4 14" xfId="29185"/>
    <cellStyle name="QTitle 3 4 15" xfId="29186"/>
    <cellStyle name="QTitle 3 4 16" xfId="29187"/>
    <cellStyle name="QTitle 3 4 17" xfId="29188"/>
    <cellStyle name="QTitle 3 4 18" xfId="29189"/>
    <cellStyle name="QTitle 3 4 19" xfId="29190"/>
    <cellStyle name="QTitle 3 4 2" xfId="29191"/>
    <cellStyle name="QTitle 3 4 2 10" xfId="29192"/>
    <cellStyle name="QTitle 3 4 2 11" xfId="29193"/>
    <cellStyle name="QTitle 3 4 2 12" xfId="29194"/>
    <cellStyle name="QTitle 3 4 2 13" xfId="29195"/>
    <cellStyle name="QTitle 3 4 2 14" xfId="29196"/>
    <cellStyle name="QTitle 3 4 2 15" xfId="29197"/>
    <cellStyle name="QTitle 3 4 2 16" xfId="29198"/>
    <cellStyle name="QTitle 3 4 2 17" xfId="29199"/>
    <cellStyle name="QTitle 3 4 2 18" xfId="29200"/>
    <cellStyle name="QTitle 3 4 2 2" xfId="29201"/>
    <cellStyle name="QTitle 3 4 2 2 2" xfId="29202"/>
    <cellStyle name="QTitle 3 4 2 2 2 2" xfId="29203"/>
    <cellStyle name="QTitle 3 4 2 2 3" xfId="29204"/>
    <cellStyle name="QTitle 3 4 2 2 4" xfId="29205"/>
    <cellStyle name="QTitle 3 4 2 3" xfId="29206"/>
    <cellStyle name="QTitle 3 4 2 3 2" xfId="29207"/>
    <cellStyle name="QTitle 3 4 2 3 3" xfId="29208"/>
    <cellStyle name="QTitle 3 4 2 4" xfId="29209"/>
    <cellStyle name="QTitle 3 4 2 4 2" xfId="29210"/>
    <cellStyle name="QTitle 3 4 2 5" xfId="29211"/>
    <cellStyle name="QTitle 3 4 2 6" xfId="29212"/>
    <cellStyle name="QTitle 3 4 2 7" xfId="29213"/>
    <cellStyle name="QTitle 3 4 2 8" xfId="29214"/>
    <cellStyle name="QTitle 3 4 2 9" xfId="29215"/>
    <cellStyle name="QTitle 3 4 20" xfId="29216"/>
    <cellStyle name="QTitle 3 4 21" xfId="29217"/>
    <cellStyle name="QTitle 3 4 3" xfId="29218"/>
    <cellStyle name="QTitle 3 4 3 10" xfId="29219"/>
    <cellStyle name="QTitle 3 4 3 11" xfId="29220"/>
    <cellStyle name="QTitle 3 4 3 12" xfId="29221"/>
    <cellStyle name="QTitle 3 4 3 13" xfId="29222"/>
    <cellStyle name="QTitle 3 4 3 14" xfId="29223"/>
    <cellStyle name="QTitle 3 4 3 15" xfId="29224"/>
    <cellStyle name="QTitle 3 4 3 16" xfId="29225"/>
    <cellStyle name="QTitle 3 4 3 17" xfId="29226"/>
    <cellStyle name="QTitle 3 4 3 18" xfId="29227"/>
    <cellStyle name="QTitle 3 4 3 2" xfId="29228"/>
    <cellStyle name="QTitle 3 4 3 2 2" xfId="29229"/>
    <cellStyle name="QTitle 3 4 3 2 2 2" xfId="29230"/>
    <cellStyle name="QTitle 3 4 3 2 3" xfId="29231"/>
    <cellStyle name="QTitle 3 4 3 2 4" xfId="29232"/>
    <cellStyle name="QTitle 3 4 3 3" xfId="29233"/>
    <cellStyle name="QTitle 3 4 3 3 2" xfId="29234"/>
    <cellStyle name="QTitle 3 4 3 3 3" xfId="29235"/>
    <cellStyle name="QTitle 3 4 3 4" xfId="29236"/>
    <cellStyle name="QTitle 3 4 3 4 2" xfId="29237"/>
    <cellStyle name="QTitle 3 4 3 5" xfId="29238"/>
    <cellStyle name="QTitle 3 4 3 6" xfId="29239"/>
    <cellStyle name="QTitle 3 4 3 7" xfId="29240"/>
    <cellStyle name="QTitle 3 4 3 8" xfId="29241"/>
    <cellStyle name="QTitle 3 4 3 9" xfId="29242"/>
    <cellStyle name="QTitle 3 4 4" xfId="29243"/>
    <cellStyle name="QTitle 3 4 4 2" xfId="29244"/>
    <cellStyle name="QTitle 3 4 4 2 2" xfId="29245"/>
    <cellStyle name="QTitle 3 4 4 2 3" xfId="29246"/>
    <cellStyle name="QTitle 3 4 4 3" xfId="29247"/>
    <cellStyle name="QTitle 3 4 4 3 2" xfId="29248"/>
    <cellStyle name="QTitle 3 4 4 4" xfId="29249"/>
    <cellStyle name="QTitle 3 4 4 5" xfId="29250"/>
    <cellStyle name="QTitle 3 4 5" xfId="29251"/>
    <cellStyle name="QTitle 3 4 5 2" xfId="29252"/>
    <cellStyle name="QTitle 3 4 5 2 2" xfId="29253"/>
    <cellStyle name="QTitle 3 4 5 3" xfId="29254"/>
    <cellStyle name="QTitle 3 4 5 4" xfId="29255"/>
    <cellStyle name="QTitle 3 4 6" xfId="29256"/>
    <cellStyle name="QTitle 3 4 6 2" xfId="29257"/>
    <cellStyle name="QTitle 3 4 7" xfId="29258"/>
    <cellStyle name="QTitle 3 4 8" xfId="29259"/>
    <cellStyle name="QTitle 3 4 9" xfId="29260"/>
    <cellStyle name="QTitle 3 5" xfId="29261"/>
    <cellStyle name="QTitle 3 5 10" xfId="29262"/>
    <cellStyle name="QTitle 3 5 11" xfId="29263"/>
    <cellStyle name="QTitle 3 5 12" xfId="29264"/>
    <cellStyle name="QTitle 3 5 13" xfId="29265"/>
    <cellStyle name="QTitle 3 5 14" xfId="29266"/>
    <cellStyle name="QTitle 3 5 15" xfId="29267"/>
    <cellStyle name="QTitle 3 5 16" xfId="29268"/>
    <cellStyle name="QTitle 3 5 17" xfId="29269"/>
    <cellStyle name="QTitle 3 5 18" xfId="29270"/>
    <cellStyle name="QTitle 3 5 19" xfId="29271"/>
    <cellStyle name="QTitle 3 5 2" xfId="29272"/>
    <cellStyle name="QTitle 3 5 2 10" xfId="29273"/>
    <cellStyle name="QTitle 3 5 2 11" xfId="29274"/>
    <cellStyle name="QTitle 3 5 2 12" xfId="29275"/>
    <cellStyle name="QTitle 3 5 2 13" xfId="29276"/>
    <cellStyle name="QTitle 3 5 2 14" xfId="29277"/>
    <cellStyle name="QTitle 3 5 2 15" xfId="29278"/>
    <cellStyle name="QTitle 3 5 2 16" xfId="29279"/>
    <cellStyle name="QTitle 3 5 2 17" xfId="29280"/>
    <cellStyle name="QTitle 3 5 2 18" xfId="29281"/>
    <cellStyle name="QTitle 3 5 2 2" xfId="29282"/>
    <cellStyle name="QTitle 3 5 2 2 2" xfId="29283"/>
    <cellStyle name="QTitle 3 5 2 2 2 2" xfId="29284"/>
    <cellStyle name="QTitle 3 5 2 2 3" xfId="29285"/>
    <cellStyle name="QTitle 3 5 2 2 4" xfId="29286"/>
    <cellStyle name="QTitle 3 5 2 3" xfId="29287"/>
    <cellStyle name="QTitle 3 5 2 3 2" xfId="29288"/>
    <cellStyle name="QTitle 3 5 2 3 3" xfId="29289"/>
    <cellStyle name="QTitle 3 5 2 4" xfId="29290"/>
    <cellStyle name="QTitle 3 5 2 4 2" xfId="29291"/>
    <cellStyle name="QTitle 3 5 2 5" xfId="29292"/>
    <cellStyle name="QTitle 3 5 2 6" xfId="29293"/>
    <cellStyle name="QTitle 3 5 2 7" xfId="29294"/>
    <cellStyle name="QTitle 3 5 2 8" xfId="29295"/>
    <cellStyle name="QTitle 3 5 2 9" xfId="29296"/>
    <cellStyle name="QTitle 3 5 3" xfId="29297"/>
    <cellStyle name="QTitle 3 5 3 10" xfId="29298"/>
    <cellStyle name="QTitle 3 5 3 11" xfId="29299"/>
    <cellStyle name="QTitle 3 5 3 12" xfId="29300"/>
    <cellStyle name="QTitle 3 5 3 13" xfId="29301"/>
    <cellStyle name="QTitle 3 5 3 14" xfId="29302"/>
    <cellStyle name="QTitle 3 5 3 15" xfId="29303"/>
    <cellStyle name="QTitle 3 5 3 16" xfId="29304"/>
    <cellStyle name="QTitle 3 5 3 17" xfId="29305"/>
    <cellStyle name="QTitle 3 5 3 18" xfId="29306"/>
    <cellStyle name="QTitle 3 5 3 2" xfId="29307"/>
    <cellStyle name="QTitle 3 5 3 2 2" xfId="29308"/>
    <cellStyle name="QTitle 3 5 3 2 2 2" xfId="29309"/>
    <cellStyle name="QTitle 3 5 3 2 3" xfId="29310"/>
    <cellStyle name="QTitle 3 5 3 2 4" xfId="29311"/>
    <cellStyle name="QTitle 3 5 3 3" xfId="29312"/>
    <cellStyle name="QTitle 3 5 3 3 2" xfId="29313"/>
    <cellStyle name="QTitle 3 5 3 3 3" xfId="29314"/>
    <cellStyle name="QTitle 3 5 3 4" xfId="29315"/>
    <cellStyle name="QTitle 3 5 3 4 2" xfId="29316"/>
    <cellStyle name="QTitle 3 5 3 5" xfId="29317"/>
    <cellStyle name="QTitle 3 5 3 6" xfId="29318"/>
    <cellStyle name="QTitle 3 5 3 7" xfId="29319"/>
    <cellStyle name="QTitle 3 5 3 8" xfId="29320"/>
    <cellStyle name="QTitle 3 5 3 9" xfId="29321"/>
    <cellStyle name="QTitle 3 5 4" xfId="29322"/>
    <cellStyle name="QTitle 3 5 4 2" xfId="29323"/>
    <cellStyle name="QTitle 3 5 4 2 2" xfId="29324"/>
    <cellStyle name="QTitle 3 5 4 2 3" xfId="29325"/>
    <cellStyle name="QTitle 3 5 4 3" xfId="29326"/>
    <cellStyle name="QTitle 3 5 4 3 2" xfId="29327"/>
    <cellStyle name="QTitle 3 5 4 4" xfId="29328"/>
    <cellStyle name="QTitle 3 5 4 5" xfId="29329"/>
    <cellStyle name="QTitle 3 5 5" xfId="29330"/>
    <cellStyle name="QTitle 3 5 5 2" xfId="29331"/>
    <cellStyle name="QTitle 3 5 5 2 2" xfId="29332"/>
    <cellStyle name="QTitle 3 5 5 3" xfId="29333"/>
    <cellStyle name="QTitle 3 5 5 4" xfId="29334"/>
    <cellStyle name="QTitle 3 5 6" xfId="29335"/>
    <cellStyle name="QTitle 3 5 6 2" xfId="29336"/>
    <cellStyle name="QTitle 3 5 7" xfId="29337"/>
    <cellStyle name="QTitle 3 5 8" xfId="29338"/>
    <cellStyle name="QTitle 3 5 9" xfId="29339"/>
    <cellStyle name="QTitle 3 6" xfId="29340"/>
    <cellStyle name="QTitle 3 6 10" xfId="29341"/>
    <cellStyle name="QTitle 3 6 11" xfId="29342"/>
    <cellStyle name="QTitle 3 6 12" xfId="29343"/>
    <cellStyle name="QTitle 3 6 13" xfId="29344"/>
    <cellStyle name="QTitle 3 6 14" xfId="29345"/>
    <cellStyle name="QTitle 3 6 15" xfId="29346"/>
    <cellStyle name="QTitle 3 6 16" xfId="29347"/>
    <cellStyle name="QTitle 3 6 17" xfId="29348"/>
    <cellStyle name="QTitle 3 6 18" xfId="29349"/>
    <cellStyle name="QTitle 3 6 19" xfId="29350"/>
    <cellStyle name="QTitle 3 6 2" xfId="29351"/>
    <cellStyle name="QTitle 3 6 2 10" xfId="29352"/>
    <cellStyle name="QTitle 3 6 2 11" xfId="29353"/>
    <cellStyle name="QTitle 3 6 2 12" xfId="29354"/>
    <cellStyle name="QTitle 3 6 2 13" xfId="29355"/>
    <cellStyle name="QTitle 3 6 2 14" xfId="29356"/>
    <cellStyle name="QTitle 3 6 2 15" xfId="29357"/>
    <cellStyle name="QTitle 3 6 2 16" xfId="29358"/>
    <cellStyle name="QTitle 3 6 2 17" xfId="29359"/>
    <cellStyle name="QTitle 3 6 2 18" xfId="29360"/>
    <cellStyle name="QTitle 3 6 2 2" xfId="29361"/>
    <cellStyle name="QTitle 3 6 2 2 2" xfId="29362"/>
    <cellStyle name="QTitle 3 6 2 2 2 2" xfId="29363"/>
    <cellStyle name="QTitle 3 6 2 2 3" xfId="29364"/>
    <cellStyle name="QTitle 3 6 2 2 4" xfId="29365"/>
    <cellStyle name="QTitle 3 6 2 3" xfId="29366"/>
    <cellStyle name="QTitle 3 6 2 3 2" xfId="29367"/>
    <cellStyle name="QTitle 3 6 2 3 3" xfId="29368"/>
    <cellStyle name="QTitle 3 6 2 4" xfId="29369"/>
    <cellStyle name="QTitle 3 6 2 4 2" xfId="29370"/>
    <cellStyle name="QTitle 3 6 2 5" xfId="29371"/>
    <cellStyle name="QTitle 3 6 2 6" xfId="29372"/>
    <cellStyle name="QTitle 3 6 2 7" xfId="29373"/>
    <cellStyle name="QTitle 3 6 2 8" xfId="29374"/>
    <cellStyle name="QTitle 3 6 2 9" xfId="29375"/>
    <cellStyle name="QTitle 3 6 20" xfId="29376"/>
    <cellStyle name="QTitle 3 6 3" xfId="29377"/>
    <cellStyle name="QTitle 3 6 3 10" xfId="29378"/>
    <cellStyle name="QTitle 3 6 3 11" xfId="29379"/>
    <cellStyle name="QTitle 3 6 3 12" xfId="29380"/>
    <cellStyle name="QTitle 3 6 3 13" xfId="29381"/>
    <cellStyle name="QTitle 3 6 3 14" xfId="29382"/>
    <cellStyle name="QTitle 3 6 3 15" xfId="29383"/>
    <cellStyle name="QTitle 3 6 3 16" xfId="29384"/>
    <cellStyle name="QTitle 3 6 3 17" xfId="29385"/>
    <cellStyle name="QTitle 3 6 3 18" xfId="29386"/>
    <cellStyle name="QTitle 3 6 3 2" xfId="29387"/>
    <cellStyle name="QTitle 3 6 3 2 2" xfId="29388"/>
    <cellStyle name="QTitle 3 6 3 2 2 2" xfId="29389"/>
    <cellStyle name="QTitle 3 6 3 2 3" xfId="29390"/>
    <cellStyle name="QTitle 3 6 3 2 4" xfId="29391"/>
    <cellStyle name="QTitle 3 6 3 3" xfId="29392"/>
    <cellStyle name="QTitle 3 6 3 3 2" xfId="29393"/>
    <cellStyle name="QTitle 3 6 3 3 3" xfId="29394"/>
    <cellStyle name="QTitle 3 6 3 4" xfId="29395"/>
    <cellStyle name="QTitle 3 6 3 4 2" xfId="29396"/>
    <cellStyle name="QTitle 3 6 3 5" xfId="29397"/>
    <cellStyle name="QTitle 3 6 3 6" xfId="29398"/>
    <cellStyle name="QTitle 3 6 3 7" xfId="29399"/>
    <cellStyle name="QTitle 3 6 3 8" xfId="29400"/>
    <cellStyle name="QTitle 3 6 3 9" xfId="29401"/>
    <cellStyle name="QTitle 3 6 4" xfId="29402"/>
    <cellStyle name="QTitle 3 6 4 2" xfId="29403"/>
    <cellStyle name="QTitle 3 6 4 2 2" xfId="29404"/>
    <cellStyle name="QTitle 3 6 4 2 3" xfId="29405"/>
    <cellStyle name="QTitle 3 6 4 3" xfId="29406"/>
    <cellStyle name="QTitle 3 6 4 3 2" xfId="29407"/>
    <cellStyle name="QTitle 3 6 4 4" xfId="29408"/>
    <cellStyle name="QTitle 3 6 4 5" xfId="29409"/>
    <cellStyle name="QTitle 3 6 5" xfId="29410"/>
    <cellStyle name="QTitle 3 6 5 2" xfId="29411"/>
    <cellStyle name="QTitle 3 6 5 2 2" xfId="29412"/>
    <cellStyle name="QTitle 3 6 5 3" xfId="29413"/>
    <cellStyle name="QTitle 3 6 5 4" xfId="29414"/>
    <cellStyle name="QTitle 3 6 6" xfId="29415"/>
    <cellStyle name="QTitle 3 6 6 2" xfId="29416"/>
    <cellStyle name="QTitle 3 6 7" xfId="29417"/>
    <cellStyle name="QTitle 3 6 8" xfId="29418"/>
    <cellStyle name="QTitle 3 6 9" xfId="29419"/>
    <cellStyle name="QTitle 3 7" xfId="29420"/>
    <cellStyle name="QTitle 3 7 10" xfId="29421"/>
    <cellStyle name="QTitle 3 7 11" xfId="29422"/>
    <cellStyle name="QTitle 3 7 12" xfId="29423"/>
    <cellStyle name="QTitle 3 7 13" xfId="29424"/>
    <cellStyle name="QTitle 3 7 14" xfId="29425"/>
    <cellStyle name="QTitle 3 7 15" xfId="29426"/>
    <cellStyle name="QTitle 3 7 16" xfId="29427"/>
    <cellStyle name="QTitle 3 7 17" xfId="29428"/>
    <cellStyle name="QTitle 3 7 2" xfId="29429"/>
    <cellStyle name="QTitle 3 7 2 2" xfId="29430"/>
    <cellStyle name="QTitle 3 7 2 2 2" xfId="29431"/>
    <cellStyle name="QTitle 3 7 2 3" xfId="29432"/>
    <cellStyle name="QTitle 3 7 2 4" xfId="29433"/>
    <cellStyle name="QTitle 3 7 3" xfId="29434"/>
    <cellStyle name="QTitle 3 7 3 2" xfId="29435"/>
    <cellStyle name="QTitle 3 7 4" xfId="29436"/>
    <cellStyle name="QTitle 3 7 5" xfId="29437"/>
    <cellStyle name="QTitle 3 7 6" xfId="29438"/>
    <cellStyle name="QTitle 3 7 7" xfId="29439"/>
    <cellStyle name="QTitle 3 7 8" xfId="29440"/>
    <cellStyle name="QTitle 3 7 9" xfId="29441"/>
    <cellStyle name="QTitle 3 8" xfId="29442"/>
    <cellStyle name="QTitle 3 8 2" xfId="29443"/>
    <cellStyle name="QTitle 3 8 2 2" xfId="29444"/>
    <cellStyle name="QTitle 3 8 2 2 2" xfId="29445"/>
    <cellStyle name="QTitle 3 8 2 3" xfId="29446"/>
    <cellStyle name="QTitle 3 8 2 4" xfId="29447"/>
    <cellStyle name="QTitle 3 8 3" xfId="29448"/>
    <cellStyle name="QTitle 3 8 3 2" xfId="29449"/>
    <cellStyle name="QTitle 3 8 3 3" xfId="29450"/>
    <cellStyle name="QTitle 3 8 4" xfId="29451"/>
    <cellStyle name="QTitle 3 8 4 2" xfId="29452"/>
    <cellStyle name="QTitle 3 8 5" xfId="29453"/>
    <cellStyle name="QTitle 3 8 6" xfId="29454"/>
    <cellStyle name="QTitle 3 9" xfId="29455"/>
    <cellStyle name="QTitle 3 9 2" xfId="29456"/>
    <cellStyle name="QTitle 3 9 2 2" xfId="29457"/>
    <cellStyle name="QTitle 3 9 3" xfId="29458"/>
    <cellStyle name="QTitle 3 9 4" xfId="29459"/>
    <cellStyle name="QTitle 4" xfId="29460"/>
    <cellStyle name="QTitle 4 10" xfId="29461"/>
    <cellStyle name="QTitle 4 11" xfId="29462"/>
    <cellStyle name="QTitle 4 12" xfId="29463"/>
    <cellStyle name="QTitle 4 13" xfId="29464"/>
    <cellStyle name="QTitle 4 14" xfId="29465"/>
    <cellStyle name="QTitle 4 15" xfId="29466"/>
    <cellStyle name="QTitle 4 16" xfId="29467"/>
    <cellStyle name="QTitle 4 17" xfId="29468"/>
    <cellStyle name="QTitle 4 18" xfId="29469"/>
    <cellStyle name="QTitle 4 19" xfId="29470"/>
    <cellStyle name="QTitle 4 2" xfId="29471"/>
    <cellStyle name="QTitle 4 2 10" xfId="29472"/>
    <cellStyle name="QTitle 4 2 11" xfId="29473"/>
    <cellStyle name="QTitle 4 2 12" xfId="29474"/>
    <cellStyle name="QTitle 4 2 13" xfId="29475"/>
    <cellStyle name="QTitle 4 2 14" xfId="29476"/>
    <cellStyle name="QTitle 4 2 15" xfId="29477"/>
    <cellStyle name="QTitle 4 2 16" xfId="29478"/>
    <cellStyle name="QTitle 4 2 17" xfId="29479"/>
    <cellStyle name="QTitle 4 2 18" xfId="29480"/>
    <cellStyle name="QTitle 4 2 19" xfId="29481"/>
    <cellStyle name="QTitle 4 2 2" xfId="29482"/>
    <cellStyle name="QTitle 4 2 2 10" xfId="29483"/>
    <cellStyle name="QTitle 4 2 2 11" xfId="29484"/>
    <cellStyle name="QTitle 4 2 2 12" xfId="29485"/>
    <cellStyle name="QTitle 4 2 2 13" xfId="29486"/>
    <cellStyle name="QTitle 4 2 2 14" xfId="29487"/>
    <cellStyle name="QTitle 4 2 2 15" xfId="29488"/>
    <cellStyle name="QTitle 4 2 2 16" xfId="29489"/>
    <cellStyle name="QTitle 4 2 2 17" xfId="29490"/>
    <cellStyle name="QTitle 4 2 2 18" xfId="29491"/>
    <cellStyle name="QTitle 4 2 2 2" xfId="29492"/>
    <cellStyle name="QTitle 4 2 2 2 2" xfId="29493"/>
    <cellStyle name="QTitle 4 2 2 2 2 2" xfId="29494"/>
    <cellStyle name="QTitle 4 2 2 2 3" xfId="29495"/>
    <cellStyle name="QTitle 4 2 2 2 4" xfId="29496"/>
    <cellStyle name="QTitle 4 2 2 3" xfId="29497"/>
    <cellStyle name="QTitle 4 2 2 3 2" xfId="29498"/>
    <cellStyle name="QTitle 4 2 2 3 3" xfId="29499"/>
    <cellStyle name="QTitle 4 2 2 4" xfId="29500"/>
    <cellStyle name="QTitle 4 2 2 4 2" xfId="29501"/>
    <cellStyle name="QTitle 4 2 2 5" xfId="29502"/>
    <cellStyle name="QTitle 4 2 2 6" xfId="29503"/>
    <cellStyle name="QTitle 4 2 2 7" xfId="29504"/>
    <cellStyle name="QTitle 4 2 2 8" xfId="29505"/>
    <cellStyle name="QTitle 4 2 2 9" xfId="29506"/>
    <cellStyle name="QTitle 4 2 3" xfId="29507"/>
    <cellStyle name="QTitle 4 2 3 10" xfId="29508"/>
    <cellStyle name="QTitle 4 2 3 11" xfId="29509"/>
    <cellStyle name="QTitle 4 2 3 12" xfId="29510"/>
    <cellStyle name="QTitle 4 2 3 13" xfId="29511"/>
    <cellStyle name="QTitle 4 2 3 14" xfId="29512"/>
    <cellStyle name="QTitle 4 2 3 15" xfId="29513"/>
    <cellStyle name="QTitle 4 2 3 16" xfId="29514"/>
    <cellStyle name="QTitle 4 2 3 17" xfId="29515"/>
    <cellStyle name="QTitle 4 2 3 18" xfId="29516"/>
    <cellStyle name="QTitle 4 2 3 2" xfId="29517"/>
    <cellStyle name="QTitle 4 2 3 2 2" xfId="29518"/>
    <cellStyle name="QTitle 4 2 3 2 2 2" xfId="29519"/>
    <cellStyle name="QTitle 4 2 3 2 3" xfId="29520"/>
    <cellStyle name="QTitle 4 2 3 2 4" xfId="29521"/>
    <cellStyle name="QTitle 4 2 3 3" xfId="29522"/>
    <cellStyle name="QTitle 4 2 3 3 2" xfId="29523"/>
    <cellStyle name="QTitle 4 2 3 3 3" xfId="29524"/>
    <cellStyle name="QTitle 4 2 3 4" xfId="29525"/>
    <cellStyle name="QTitle 4 2 3 4 2" xfId="29526"/>
    <cellStyle name="QTitle 4 2 3 5" xfId="29527"/>
    <cellStyle name="QTitle 4 2 3 6" xfId="29528"/>
    <cellStyle name="QTitle 4 2 3 7" xfId="29529"/>
    <cellStyle name="QTitle 4 2 3 8" xfId="29530"/>
    <cellStyle name="QTitle 4 2 3 9" xfId="29531"/>
    <cellStyle name="QTitle 4 2 4" xfId="29532"/>
    <cellStyle name="QTitle 4 2 4 2" xfId="29533"/>
    <cellStyle name="QTitle 4 2 4 2 2" xfId="29534"/>
    <cellStyle name="QTitle 4 2 4 2 3" xfId="29535"/>
    <cellStyle name="QTitle 4 2 4 3" xfId="29536"/>
    <cellStyle name="QTitle 4 2 4 3 2" xfId="29537"/>
    <cellStyle name="QTitle 4 2 4 4" xfId="29538"/>
    <cellStyle name="QTitle 4 2 4 5" xfId="29539"/>
    <cellStyle name="QTitle 4 2 5" xfId="29540"/>
    <cellStyle name="QTitle 4 2 5 2" xfId="29541"/>
    <cellStyle name="QTitle 4 2 5 2 2" xfId="29542"/>
    <cellStyle name="QTitle 4 2 5 3" xfId="29543"/>
    <cellStyle name="QTitle 4 2 5 4" xfId="29544"/>
    <cellStyle name="QTitle 4 2 6" xfId="29545"/>
    <cellStyle name="QTitle 4 2 6 2" xfId="29546"/>
    <cellStyle name="QTitle 4 2 7" xfId="29547"/>
    <cellStyle name="QTitle 4 2 8" xfId="29548"/>
    <cellStyle name="QTitle 4 2 9" xfId="29549"/>
    <cellStyle name="QTitle 4 20" xfId="29550"/>
    <cellStyle name="QTitle 4 21" xfId="29551"/>
    <cellStyle name="QTitle 4 22" xfId="29552"/>
    <cellStyle name="QTitle 4 23" xfId="29553"/>
    <cellStyle name="QTitle 4 24" xfId="29554"/>
    <cellStyle name="QTitle 4 25" xfId="29555"/>
    <cellStyle name="QTitle 4 3" xfId="29556"/>
    <cellStyle name="QTitle 4 3 10" xfId="29557"/>
    <cellStyle name="QTitle 4 3 11" xfId="29558"/>
    <cellStyle name="QTitle 4 3 12" xfId="29559"/>
    <cellStyle name="QTitle 4 3 13" xfId="29560"/>
    <cellStyle name="QTitle 4 3 14" xfId="29561"/>
    <cellStyle name="QTitle 4 3 15" xfId="29562"/>
    <cellStyle name="QTitle 4 3 16" xfId="29563"/>
    <cellStyle name="QTitle 4 3 17" xfId="29564"/>
    <cellStyle name="QTitle 4 3 18" xfId="29565"/>
    <cellStyle name="QTitle 4 3 19" xfId="29566"/>
    <cellStyle name="QTitle 4 3 2" xfId="29567"/>
    <cellStyle name="QTitle 4 3 2 10" xfId="29568"/>
    <cellStyle name="QTitle 4 3 2 11" xfId="29569"/>
    <cellStyle name="QTitle 4 3 2 12" xfId="29570"/>
    <cellStyle name="QTitle 4 3 2 13" xfId="29571"/>
    <cellStyle name="QTitle 4 3 2 14" xfId="29572"/>
    <cellStyle name="QTitle 4 3 2 15" xfId="29573"/>
    <cellStyle name="QTitle 4 3 2 16" xfId="29574"/>
    <cellStyle name="QTitle 4 3 2 17" xfId="29575"/>
    <cellStyle name="QTitle 4 3 2 18" xfId="29576"/>
    <cellStyle name="QTitle 4 3 2 2" xfId="29577"/>
    <cellStyle name="QTitle 4 3 2 2 2" xfId="29578"/>
    <cellStyle name="QTitle 4 3 2 2 2 2" xfId="29579"/>
    <cellStyle name="QTitle 4 3 2 2 3" xfId="29580"/>
    <cellStyle name="QTitle 4 3 2 2 4" xfId="29581"/>
    <cellStyle name="QTitle 4 3 2 3" xfId="29582"/>
    <cellStyle name="QTitle 4 3 2 3 2" xfId="29583"/>
    <cellStyle name="QTitle 4 3 2 3 3" xfId="29584"/>
    <cellStyle name="QTitle 4 3 2 4" xfId="29585"/>
    <cellStyle name="QTitle 4 3 2 4 2" xfId="29586"/>
    <cellStyle name="QTitle 4 3 2 5" xfId="29587"/>
    <cellStyle name="QTitle 4 3 2 6" xfId="29588"/>
    <cellStyle name="QTitle 4 3 2 7" xfId="29589"/>
    <cellStyle name="QTitle 4 3 2 8" xfId="29590"/>
    <cellStyle name="QTitle 4 3 2 9" xfId="29591"/>
    <cellStyle name="QTitle 4 3 20" xfId="29592"/>
    <cellStyle name="QTitle 4 3 21" xfId="29593"/>
    <cellStyle name="QTitle 4 3 3" xfId="29594"/>
    <cellStyle name="QTitle 4 3 3 10" xfId="29595"/>
    <cellStyle name="QTitle 4 3 3 11" xfId="29596"/>
    <cellStyle name="QTitle 4 3 3 12" xfId="29597"/>
    <cellStyle name="QTitle 4 3 3 13" xfId="29598"/>
    <cellStyle name="QTitle 4 3 3 14" xfId="29599"/>
    <cellStyle name="QTitle 4 3 3 15" xfId="29600"/>
    <cellStyle name="QTitle 4 3 3 16" xfId="29601"/>
    <cellStyle name="QTitle 4 3 3 17" xfId="29602"/>
    <cellStyle name="QTitle 4 3 3 18" xfId="29603"/>
    <cellStyle name="QTitle 4 3 3 2" xfId="29604"/>
    <cellStyle name="QTitle 4 3 3 2 2" xfId="29605"/>
    <cellStyle name="QTitle 4 3 3 2 2 2" xfId="29606"/>
    <cellStyle name="QTitle 4 3 3 2 3" xfId="29607"/>
    <cellStyle name="QTitle 4 3 3 2 4" xfId="29608"/>
    <cellStyle name="QTitle 4 3 3 3" xfId="29609"/>
    <cellStyle name="QTitle 4 3 3 3 2" xfId="29610"/>
    <cellStyle name="QTitle 4 3 3 3 3" xfId="29611"/>
    <cellStyle name="QTitle 4 3 3 4" xfId="29612"/>
    <cellStyle name="QTitle 4 3 3 4 2" xfId="29613"/>
    <cellStyle name="QTitle 4 3 3 5" xfId="29614"/>
    <cellStyle name="QTitle 4 3 3 6" xfId="29615"/>
    <cellStyle name="QTitle 4 3 3 7" xfId="29616"/>
    <cellStyle name="QTitle 4 3 3 8" xfId="29617"/>
    <cellStyle name="QTitle 4 3 3 9" xfId="29618"/>
    <cellStyle name="QTitle 4 3 4" xfId="29619"/>
    <cellStyle name="QTitle 4 3 4 2" xfId="29620"/>
    <cellStyle name="QTitle 4 3 4 2 2" xfId="29621"/>
    <cellStyle name="QTitle 4 3 4 2 3" xfId="29622"/>
    <cellStyle name="QTitle 4 3 4 3" xfId="29623"/>
    <cellStyle name="QTitle 4 3 4 3 2" xfId="29624"/>
    <cellStyle name="QTitle 4 3 4 4" xfId="29625"/>
    <cellStyle name="QTitle 4 3 4 5" xfId="29626"/>
    <cellStyle name="QTitle 4 3 5" xfId="29627"/>
    <cellStyle name="QTitle 4 3 5 2" xfId="29628"/>
    <cellStyle name="QTitle 4 3 5 2 2" xfId="29629"/>
    <cellStyle name="QTitle 4 3 5 3" xfId="29630"/>
    <cellStyle name="QTitle 4 3 5 4" xfId="29631"/>
    <cellStyle name="QTitle 4 3 6" xfId="29632"/>
    <cellStyle name="QTitle 4 3 6 2" xfId="29633"/>
    <cellStyle name="QTitle 4 3 7" xfId="29634"/>
    <cellStyle name="QTitle 4 3 8" xfId="29635"/>
    <cellStyle name="QTitle 4 3 9" xfId="29636"/>
    <cellStyle name="QTitle 4 4" xfId="29637"/>
    <cellStyle name="QTitle 4 4 10" xfId="29638"/>
    <cellStyle name="QTitle 4 4 11" xfId="29639"/>
    <cellStyle name="QTitle 4 4 12" xfId="29640"/>
    <cellStyle name="QTitle 4 4 13" xfId="29641"/>
    <cellStyle name="QTitle 4 4 14" xfId="29642"/>
    <cellStyle name="QTitle 4 4 15" xfId="29643"/>
    <cellStyle name="QTitle 4 4 16" xfId="29644"/>
    <cellStyle name="QTitle 4 4 17" xfId="29645"/>
    <cellStyle name="QTitle 4 4 18" xfId="29646"/>
    <cellStyle name="QTitle 4 4 19" xfId="29647"/>
    <cellStyle name="QTitle 4 4 2" xfId="29648"/>
    <cellStyle name="QTitle 4 4 2 10" xfId="29649"/>
    <cellStyle name="QTitle 4 4 2 11" xfId="29650"/>
    <cellStyle name="QTitle 4 4 2 12" xfId="29651"/>
    <cellStyle name="QTitle 4 4 2 13" xfId="29652"/>
    <cellStyle name="QTitle 4 4 2 14" xfId="29653"/>
    <cellStyle name="QTitle 4 4 2 15" xfId="29654"/>
    <cellStyle name="QTitle 4 4 2 16" xfId="29655"/>
    <cellStyle name="QTitle 4 4 2 17" xfId="29656"/>
    <cellStyle name="QTitle 4 4 2 18" xfId="29657"/>
    <cellStyle name="QTitle 4 4 2 2" xfId="29658"/>
    <cellStyle name="QTitle 4 4 2 2 2" xfId="29659"/>
    <cellStyle name="QTitle 4 4 2 2 2 2" xfId="29660"/>
    <cellStyle name="QTitle 4 4 2 2 3" xfId="29661"/>
    <cellStyle name="QTitle 4 4 2 2 4" xfId="29662"/>
    <cellStyle name="QTitle 4 4 2 3" xfId="29663"/>
    <cellStyle name="QTitle 4 4 2 3 2" xfId="29664"/>
    <cellStyle name="QTitle 4 4 2 3 3" xfId="29665"/>
    <cellStyle name="QTitle 4 4 2 4" xfId="29666"/>
    <cellStyle name="QTitle 4 4 2 4 2" xfId="29667"/>
    <cellStyle name="QTitle 4 4 2 5" xfId="29668"/>
    <cellStyle name="QTitle 4 4 2 6" xfId="29669"/>
    <cellStyle name="QTitle 4 4 2 7" xfId="29670"/>
    <cellStyle name="QTitle 4 4 2 8" xfId="29671"/>
    <cellStyle name="QTitle 4 4 2 9" xfId="29672"/>
    <cellStyle name="QTitle 4 4 20" xfId="29673"/>
    <cellStyle name="QTitle 4 4 21" xfId="29674"/>
    <cellStyle name="QTitle 4 4 3" xfId="29675"/>
    <cellStyle name="QTitle 4 4 3 10" xfId="29676"/>
    <cellStyle name="QTitle 4 4 3 11" xfId="29677"/>
    <cellStyle name="QTitle 4 4 3 12" xfId="29678"/>
    <cellStyle name="QTitle 4 4 3 13" xfId="29679"/>
    <cellStyle name="QTitle 4 4 3 14" xfId="29680"/>
    <cellStyle name="QTitle 4 4 3 15" xfId="29681"/>
    <cellStyle name="QTitle 4 4 3 16" xfId="29682"/>
    <cellStyle name="QTitle 4 4 3 17" xfId="29683"/>
    <cellStyle name="QTitle 4 4 3 18" xfId="29684"/>
    <cellStyle name="QTitle 4 4 3 2" xfId="29685"/>
    <cellStyle name="QTitle 4 4 3 2 2" xfId="29686"/>
    <cellStyle name="QTitle 4 4 3 2 2 2" xfId="29687"/>
    <cellStyle name="QTitle 4 4 3 2 3" xfId="29688"/>
    <cellStyle name="QTitle 4 4 3 2 4" xfId="29689"/>
    <cellStyle name="QTitle 4 4 3 3" xfId="29690"/>
    <cellStyle name="QTitle 4 4 3 3 2" xfId="29691"/>
    <cellStyle name="QTitle 4 4 3 3 3" xfId="29692"/>
    <cellStyle name="QTitle 4 4 3 4" xfId="29693"/>
    <cellStyle name="QTitle 4 4 3 4 2" xfId="29694"/>
    <cellStyle name="QTitle 4 4 3 5" xfId="29695"/>
    <cellStyle name="QTitle 4 4 3 6" xfId="29696"/>
    <cellStyle name="QTitle 4 4 3 7" xfId="29697"/>
    <cellStyle name="QTitle 4 4 3 8" xfId="29698"/>
    <cellStyle name="QTitle 4 4 3 9" xfId="29699"/>
    <cellStyle name="QTitle 4 4 4" xfId="29700"/>
    <cellStyle name="QTitle 4 4 4 2" xfId="29701"/>
    <cellStyle name="QTitle 4 4 4 2 2" xfId="29702"/>
    <cellStyle name="QTitle 4 4 4 2 3" xfId="29703"/>
    <cellStyle name="QTitle 4 4 4 3" xfId="29704"/>
    <cellStyle name="QTitle 4 4 4 3 2" xfId="29705"/>
    <cellStyle name="QTitle 4 4 4 4" xfId="29706"/>
    <cellStyle name="QTitle 4 4 4 5" xfId="29707"/>
    <cellStyle name="QTitle 4 4 5" xfId="29708"/>
    <cellStyle name="QTitle 4 4 5 2" xfId="29709"/>
    <cellStyle name="QTitle 4 4 5 2 2" xfId="29710"/>
    <cellStyle name="QTitle 4 4 5 3" xfId="29711"/>
    <cellStyle name="QTitle 4 4 5 4" xfId="29712"/>
    <cellStyle name="QTitle 4 4 6" xfId="29713"/>
    <cellStyle name="QTitle 4 4 6 2" xfId="29714"/>
    <cellStyle name="QTitle 4 4 7" xfId="29715"/>
    <cellStyle name="QTitle 4 4 8" xfId="29716"/>
    <cellStyle name="QTitle 4 4 9" xfId="29717"/>
    <cellStyle name="QTitle 4 5" xfId="29718"/>
    <cellStyle name="QTitle 4 5 10" xfId="29719"/>
    <cellStyle name="QTitle 4 5 11" xfId="29720"/>
    <cellStyle name="QTitle 4 5 12" xfId="29721"/>
    <cellStyle name="QTitle 4 5 13" xfId="29722"/>
    <cellStyle name="QTitle 4 5 14" xfId="29723"/>
    <cellStyle name="QTitle 4 5 15" xfId="29724"/>
    <cellStyle name="QTitle 4 5 16" xfId="29725"/>
    <cellStyle name="QTitle 4 5 17" xfId="29726"/>
    <cellStyle name="QTitle 4 5 18" xfId="29727"/>
    <cellStyle name="QTitle 4 5 19" xfId="29728"/>
    <cellStyle name="QTitle 4 5 2" xfId="29729"/>
    <cellStyle name="QTitle 4 5 2 10" xfId="29730"/>
    <cellStyle name="QTitle 4 5 2 11" xfId="29731"/>
    <cellStyle name="QTitle 4 5 2 12" xfId="29732"/>
    <cellStyle name="QTitle 4 5 2 13" xfId="29733"/>
    <cellStyle name="QTitle 4 5 2 14" xfId="29734"/>
    <cellStyle name="QTitle 4 5 2 15" xfId="29735"/>
    <cellStyle name="QTitle 4 5 2 16" xfId="29736"/>
    <cellStyle name="QTitle 4 5 2 17" xfId="29737"/>
    <cellStyle name="QTitle 4 5 2 18" xfId="29738"/>
    <cellStyle name="QTitle 4 5 2 2" xfId="29739"/>
    <cellStyle name="QTitle 4 5 2 2 2" xfId="29740"/>
    <cellStyle name="QTitle 4 5 2 2 2 2" xfId="29741"/>
    <cellStyle name="QTitle 4 5 2 2 3" xfId="29742"/>
    <cellStyle name="QTitle 4 5 2 2 4" xfId="29743"/>
    <cellStyle name="QTitle 4 5 2 3" xfId="29744"/>
    <cellStyle name="QTitle 4 5 2 3 2" xfId="29745"/>
    <cellStyle name="QTitle 4 5 2 3 3" xfId="29746"/>
    <cellStyle name="QTitle 4 5 2 4" xfId="29747"/>
    <cellStyle name="QTitle 4 5 2 4 2" xfId="29748"/>
    <cellStyle name="QTitle 4 5 2 5" xfId="29749"/>
    <cellStyle name="QTitle 4 5 2 6" xfId="29750"/>
    <cellStyle name="QTitle 4 5 2 7" xfId="29751"/>
    <cellStyle name="QTitle 4 5 2 8" xfId="29752"/>
    <cellStyle name="QTitle 4 5 2 9" xfId="29753"/>
    <cellStyle name="QTitle 4 5 3" xfId="29754"/>
    <cellStyle name="QTitle 4 5 3 10" xfId="29755"/>
    <cellStyle name="QTitle 4 5 3 11" xfId="29756"/>
    <cellStyle name="QTitle 4 5 3 12" xfId="29757"/>
    <cellStyle name="QTitle 4 5 3 13" xfId="29758"/>
    <cellStyle name="QTitle 4 5 3 14" xfId="29759"/>
    <cellStyle name="QTitle 4 5 3 15" xfId="29760"/>
    <cellStyle name="QTitle 4 5 3 16" xfId="29761"/>
    <cellStyle name="QTitle 4 5 3 17" xfId="29762"/>
    <cellStyle name="QTitle 4 5 3 18" xfId="29763"/>
    <cellStyle name="QTitle 4 5 3 2" xfId="29764"/>
    <cellStyle name="QTitle 4 5 3 2 2" xfId="29765"/>
    <cellStyle name="QTitle 4 5 3 2 2 2" xfId="29766"/>
    <cellStyle name="QTitle 4 5 3 2 3" xfId="29767"/>
    <cellStyle name="QTitle 4 5 3 2 4" xfId="29768"/>
    <cellStyle name="QTitle 4 5 3 3" xfId="29769"/>
    <cellStyle name="QTitle 4 5 3 3 2" xfId="29770"/>
    <cellStyle name="QTitle 4 5 3 3 3" xfId="29771"/>
    <cellStyle name="QTitle 4 5 3 4" xfId="29772"/>
    <cellStyle name="QTitle 4 5 3 4 2" xfId="29773"/>
    <cellStyle name="QTitle 4 5 3 5" xfId="29774"/>
    <cellStyle name="QTitle 4 5 3 6" xfId="29775"/>
    <cellStyle name="QTitle 4 5 3 7" xfId="29776"/>
    <cellStyle name="QTitle 4 5 3 8" xfId="29777"/>
    <cellStyle name="QTitle 4 5 3 9" xfId="29778"/>
    <cellStyle name="QTitle 4 5 4" xfId="29779"/>
    <cellStyle name="QTitle 4 5 4 2" xfId="29780"/>
    <cellStyle name="QTitle 4 5 4 2 2" xfId="29781"/>
    <cellStyle name="QTitle 4 5 4 2 3" xfId="29782"/>
    <cellStyle name="QTitle 4 5 4 3" xfId="29783"/>
    <cellStyle name="QTitle 4 5 4 3 2" xfId="29784"/>
    <cellStyle name="QTitle 4 5 4 4" xfId="29785"/>
    <cellStyle name="QTitle 4 5 4 5" xfId="29786"/>
    <cellStyle name="QTitle 4 5 5" xfId="29787"/>
    <cellStyle name="QTitle 4 5 5 2" xfId="29788"/>
    <cellStyle name="QTitle 4 5 5 2 2" xfId="29789"/>
    <cellStyle name="QTitle 4 5 5 3" xfId="29790"/>
    <cellStyle name="QTitle 4 5 5 4" xfId="29791"/>
    <cellStyle name="QTitle 4 5 6" xfId="29792"/>
    <cellStyle name="QTitle 4 5 6 2" xfId="29793"/>
    <cellStyle name="QTitle 4 5 7" xfId="29794"/>
    <cellStyle name="QTitle 4 5 8" xfId="29795"/>
    <cellStyle name="QTitle 4 5 9" xfId="29796"/>
    <cellStyle name="QTitle 4 6" xfId="29797"/>
    <cellStyle name="QTitle 4 6 10" xfId="29798"/>
    <cellStyle name="QTitle 4 6 11" xfId="29799"/>
    <cellStyle name="QTitle 4 6 12" xfId="29800"/>
    <cellStyle name="QTitle 4 6 13" xfId="29801"/>
    <cellStyle name="QTitle 4 6 14" xfId="29802"/>
    <cellStyle name="QTitle 4 6 15" xfId="29803"/>
    <cellStyle name="QTitle 4 6 16" xfId="29804"/>
    <cellStyle name="QTitle 4 6 17" xfId="29805"/>
    <cellStyle name="QTitle 4 6 18" xfId="29806"/>
    <cellStyle name="QTitle 4 6 19" xfId="29807"/>
    <cellStyle name="QTitle 4 6 2" xfId="29808"/>
    <cellStyle name="QTitle 4 6 2 10" xfId="29809"/>
    <cellStyle name="QTitle 4 6 2 11" xfId="29810"/>
    <cellStyle name="QTitle 4 6 2 12" xfId="29811"/>
    <cellStyle name="QTitle 4 6 2 13" xfId="29812"/>
    <cellStyle name="QTitle 4 6 2 14" xfId="29813"/>
    <cellStyle name="QTitle 4 6 2 15" xfId="29814"/>
    <cellStyle name="QTitle 4 6 2 16" xfId="29815"/>
    <cellStyle name="QTitle 4 6 2 17" xfId="29816"/>
    <cellStyle name="QTitle 4 6 2 18" xfId="29817"/>
    <cellStyle name="QTitle 4 6 2 2" xfId="29818"/>
    <cellStyle name="QTitle 4 6 2 2 2" xfId="29819"/>
    <cellStyle name="QTitle 4 6 2 2 2 2" xfId="29820"/>
    <cellStyle name="QTitle 4 6 2 2 3" xfId="29821"/>
    <cellStyle name="QTitle 4 6 2 2 4" xfId="29822"/>
    <cellStyle name="QTitle 4 6 2 3" xfId="29823"/>
    <cellStyle name="QTitle 4 6 2 3 2" xfId="29824"/>
    <cellStyle name="QTitle 4 6 2 3 3" xfId="29825"/>
    <cellStyle name="QTitle 4 6 2 4" xfId="29826"/>
    <cellStyle name="QTitle 4 6 2 4 2" xfId="29827"/>
    <cellStyle name="QTitle 4 6 2 5" xfId="29828"/>
    <cellStyle name="QTitle 4 6 2 6" xfId="29829"/>
    <cellStyle name="QTitle 4 6 2 7" xfId="29830"/>
    <cellStyle name="QTitle 4 6 2 8" xfId="29831"/>
    <cellStyle name="QTitle 4 6 2 9" xfId="29832"/>
    <cellStyle name="QTitle 4 6 20" xfId="29833"/>
    <cellStyle name="QTitle 4 6 3" xfId="29834"/>
    <cellStyle name="QTitle 4 6 3 10" xfId="29835"/>
    <cellStyle name="QTitle 4 6 3 11" xfId="29836"/>
    <cellStyle name="QTitle 4 6 3 12" xfId="29837"/>
    <cellStyle name="QTitle 4 6 3 13" xfId="29838"/>
    <cellStyle name="QTitle 4 6 3 14" xfId="29839"/>
    <cellStyle name="QTitle 4 6 3 15" xfId="29840"/>
    <cellStyle name="QTitle 4 6 3 16" xfId="29841"/>
    <cellStyle name="QTitle 4 6 3 17" xfId="29842"/>
    <cellStyle name="QTitle 4 6 3 18" xfId="29843"/>
    <cellStyle name="QTitle 4 6 3 2" xfId="29844"/>
    <cellStyle name="QTitle 4 6 3 2 2" xfId="29845"/>
    <cellStyle name="QTitle 4 6 3 2 2 2" xfId="29846"/>
    <cellStyle name="QTitle 4 6 3 2 3" xfId="29847"/>
    <cellStyle name="QTitle 4 6 3 2 4" xfId="29848"/>
    <cellStyle name="QTitle 4 6 3 3" xfId="29849"/>
    <cellStyle name="QTitle 4 6 3 3 2" xfId="29850"/>
    <cellStyle name="QTitle 4 6 3 3 3" xfId="29851"/>
    <cellStyle name="QTitle 4 6 3 4" xfId="29852"/>
    <cellStyle name="QTitle 4 6 3 4 2" xfId="29853"/>
    <cellStyle name="QTitle 4 6 3 5" xfId="29854"/>
    <cellStyle name="QTitle 4 6 3 6" xfId="29855"/>
    <cellStyle name="QTitle 4 6 3 7" xfId="29856"/>
    <cellStyle name="QTitle 4 6 3 8" xfId="29857"/>
    <cellStyle name="QTitle 4 6 3 9" xfId="29858"/>
    <cellStyle name="QTitle 4 6 4" xfId="29859"/>
    <cellStyle name="QTitle 4 6 4 2" xfId="29860"/>
    <cellStyle name="QTitle 4 6 4 2 2" xfId="29861"/>
    <cellStyle name="QTitle 4 6 4 2 3" xfId="29862"/>
    <cellStyle name="QTitle 4 6 4 3" xfId="29863"/>
    <cellStyle name="QTitle 4 6 4 3 2" xfId="29864"/>
    <cellStyle name="QTitle 4 6 4 4" xfId="29865"/>
    <cellStyle name="QTitle 4 6 4 5" xfId="29866"/>
    <cellStyle name="QTitle 4 6 5" xfId="29867"/>
    <cellStyle name="QTitle 4 6 5 2" xfId="29868"/>
    <cellStyle name="QTitle 4 6 5 2 2" xfId="29869"/>
    <cellStyle name="QTitle 4 6 5 3" xfId="29870"/>
    <cellStyle name="QTitle 4 6 5 4" xfId="29871"/>
    <cellStyle name="QTitle 4 6 6" xfId="29872"/>
    <cellStyle name="QTitle 4 6 6 2" xfId="29873"/>
    <cellStyle name="QTitle 4 6 7" xfId="29874"/>
    <cellStyle name="QTitle 4 6 8" xfId="29875"/>
    <cellStyle name="QTitle 4 6 9" xfId="29876"/>
    <cellStyle name="QTitle 4 7" xfId="29877"/>
    <cellStyle name="QTitle 4 7 10" xfId="29878"/>
    <cellStyle name="QTitle 4 7 11" xfId="29879"/>
    <cellStyle name="QTitle 4 7 12" xfId="29880"/>
    <cellStyle name="QTitle 4 7 13" xfId="29881"/>
    <cellStyle name="QTitle 4 7 14" xfId="29882"/>
    <cellStyle name="QTitle 4 7 15" xfId="29883"/>
    <cellStyle name="QTitle 4 7 16" xfId="29884"/>
    <cellStyle name="QTitle 4 7 17" xfId="29885"/>
    <cellStyle name="QTitle 4 7 2" xfId="29886"/>
    <cellStyle name="QTitle 4 7 2 2" xfId="29887"/>
    <cellStyle name="QTitle 4 7 2 2 2" xfId="29888"/>
    <cellStyle name="QTitle 4 7 2 3" xfId="29889"/>
    <cellStyle name="QTitle 4 7 2 4" xfId="29890"/>
    <cellStyle name="QTitle 4 7 3" xfId="29891"/>
    <cellStyle name="QTitle 4 7 3 2" xfId="29892"/>
    <cellStyle name="QTitle 4 7 4" xfId="29893"/>
    <cellStyle name="QTitle 4 7 5" xfId="29894"/>
    <cellStyle name="QTitle 4 7 6" xfId="29895"/>
    <cellStyle name="QTitle 4 7 7" xfId="29896"/>
    <cellStyle name="QTitle 4 7 8" xfId="29897"/>
    <cellStyle name="QTitle 4 7 9" xfId="29898"/>
    <cellStyle name="QTitle 4 8" xfId="29899"/>
    <cellStyle name="QTitle 4 8 2" xfId="29900"/>
    <cellStyle name="QTitle 4 8 2 2" xfId="29901"/>
    <cellStyle name="QTitle 4 8 2 2 2" xfId="29902"/>
    <cellStyle name="QTitle 4 8 2 3" xfId="29903"/>
    <cellStyle name="QTitle 4 8 2 4" xfId="29904"/>
    <cellStyle name="QTitle 4 8 3" xfId="29905"/>
    <cellStyle name="QTitle 4 8 3 2" xfId="29906"/>
    <cellStyle name="QTitle 4 8 3 3" xfId="29907"/>
    <cellStyle name="QTitle 4 8 4" xfId="29908"/>
    <cellStyle name="QTitle 4 8 4 2" xfId="29909"/>
    <cellStyle name="QTitle 4 8 5" xfId="29910"/>
    <cellStyle name="QTitle 4 8 6" xfId="29911"/>
    <cellStyle name="QTitle 4 9" xfId="29912"/>
    <cellStyle name="QTitle 4 9 2" xfId="29913"/>
    <cellStyle name="QTitle 4 9 2 2" xfId="29914"/>
    <cellStyle name="QTitle 4 9 3" xfId="29915"/>
    <cellStyle name="QTitle 4 9 4" xfId="29916"/>
    <cellStyle name="QTitle 5" xfId="29917"/>
    <cellStyle name="QTitle 5 10" xfId="29918"/>
    <cellStyle name="QTitle 5 11" xfId="29919"/>
    <cellStyle name="QTitle 5 12" xfId="29920"/>
    <cellStyle name="QTitle 5 13" xfId="29921"/>
    <cellStyle name="QTitle 5 14" xfId="29922"/>
    <cellStyle name="QTitle 5 15" xfId="29923"/>
    <cellStyle name="QTitle 5 16" xfId="29924"/>
    <cellStyle name="QTitle 5 17" xfId="29925"/>
    <cellStyle name="QTitle 5 18" xfId="29926"/>
    <cellStyle name="QTitle 5 19" xfId="29927"/>
    <cellStyle name="QTitle 5 2" xfId="29928"/>
    <cellStyle name="QTitle 5 2 10" xfId="29929"/>
    <cellStyle name="QTitle 5 2 11" xfId="29930"/>
    <cellStyle name="QTitle 5 2 12" xfId="29931"/>
    <cellStyle name="QTitle 5 2 13" xfId="29932"/>
    <cellStyle name="QTitle 5 2 14" xfId="29933"/>
    <cellStyle name="QTitle 5 2 15" xfId="29934"/>
    <cellStyle name="QTitle 5 2 16" xfId="29935"/>
    <cellStyle name="QTitle 5 2 17" xfId="29936"/>
    <cellStyle name="QTitle 5 2 18" xfId="29937"/>
    <cellStyle name="QTitle 5 2 2" xfId="29938"/>
    <cellStyle name="QTitle 5 2 2 2" xfId="29939"/>
    <cellStyle name="QTitle 5 2 2 2 2" xfId="29940"/>
    <cellStyle name="QTitle 5 2 2 3" xfId="29941"/>
    <cellStyle name="QTitle 5 2 2 4" xfId="29942"/>
    <cellStyle name="QTitle 5 2 3" xfId="29943"/>
    <cellStyle name="QTitle 5 2 3 2" xfId="29944"/>
    <cellStyle name="QTitle 5 2 3 3" xfId="29945"/>
    <cellStyle name="QTitle 5 2 4" xfId="29946"/>
    <cellStyle name="QTitle 5 2 4 2" xfId="29947"/>
    <cellStyle name="QTitle 5 2 5" xfId="29948"/>
    <cellStyle name="QTitle 5 2 6" xfId="29949"/>
    <cellStyle name="QTitle 5 2 7" xfId="29950"/>
    <cellStyle name="QTitle 5 2 8" xfId="29951"/>
    <cellStyle name="QTitle 5 2 9" xfId="29952"/>
    <cellStyle name="QTitle 5 3" xfId="29953"/>
    <cellStyle name="QTitle 5 3 10" xfId="29954"/>
    <cellStyle name="QTitle 5 3 11" xfId="29955"/>
    <cellStyle name="QTitle 5 3 12" xfId="29956"/>
    <cellStyle name="QTitle 5 3 13" xfId="29957"/>
    <cellStyle name="QTitle 5 3 14" xfId="29958"/>
    <cellStyle name="QTitle 5 3 15" xfId="29959"/>
    <cellStyle name="QTitle 5 3 16" xfId="29960"/>
    <cellStyle name="QTitle 5 3 17" xfId="29961"/>
    <cellStyle name="QTitle 5 3 18" xfId="29962"/>
    <cellStyle name="QTitle 5 3 2" xfId="29963"/>
    <cellStyle name="QTitle 5 3 2 2" xfId="29964"/>
    <cellStyle name="QTitle 5 3 2 2 2" xfId="29965"/>
    <cellStyle name="QTitle 5 3 2 3" xfId="29966"/>
    <cellStyle name="QTitle 5 3 2 4" xfId="29967"/>
    <cellStyle name="QTitle 5 3 3" xfId="29968"/>
    <cellStyle name="QTitle 5 3 3 2" xfId="29969"/>
    <cellStyle name="QTitle 5 3 3 3" xfId="29970"/>
    <cellStyle name="QTitle 5 3 4" xfId="29971"/>
    <cellStyle name="QTitle 5 3 4 2" xfId="29972"/>
    <cellStyle name="QTitle 5 3 5" xfId="29973"/>
    <cellStyle name="QTitle 5 3 6" xfId="29974"/>
    <cellStyle name="QTitle 5 3 7" xfId="29975"/>
    <cellStyle name="QTitle 5 3 8" xfId="29976"/>
    <cellStyle name="QTitle 5 3 9" xfId="29977"/>
    <cellStyle name="QTitle 5 4" xfId="29978"/>
    <cellStyle name="QTitle 5 4 2" xfId="29979"/>
    <cellStyle name="QTitle 5 4 2 2" xfId="29980"/>
    <cellStyle name="QTitle 5 4 2 3" xfId="29981"/>
    <cellStyle name="QTitle 5 4 3" xfId="29982"/>
    <cellStyle name="QTitle 5 4 3 2" xfId="29983"/>
    <cellStyle name="QTitle 5 4 4" xfId="29984"/>
    <cellStyle name="QTitle 5 4 5" xfId="29985"/>
    <cellStyle name="QTitle 5 5" xfId="29986"/>
    <cellStyle name="QTitle 5 5 2" xfId="29987"/>
    <cellStyle name="QTitle 5 5 2 2" xfId="29988"/>
    <cellStyle name="QTitle 5 5 3" xfId="29989"/>
    <cellStyle name="QTitle 5 5 4" xfId="29990"/>
    <cellStyle name="QTitle 5 6" xfId="29991"/>
    <cellStyle name="QTitle 5 6 2" xfId="29992"/>
    <cellStyle name="QTitle 5 7" xfId="29993"/>
    <cellStyle name="QTitle 5 8" xfId="29994"/>
    <cellStyle name="QTitle 5 9" xfId="29995"/>
    <cellStyle name="QTitle 6" xfId="29996"/>
    <cellStyle name="QTitle 6 10" xfId="29997"/>
    <cellStyle name="QTitle 6 11" xfId="29998"/>
    <cellStyle name="QTitle 6 12" xfId="29999"/>
    <cellStyle name="QTitle 6 13" xfId="30000"/>
    <cellStyle name="QTitle 6 14" xfId="30001"/>
    <cellStyle name="QTitle 6 15" xfId="30002"/>
    <cellStyle name="QTitle 6 16" xfId="30003"/>
    <cellStyle name="QTitle 6 17" xfId="30004"/>
    <cellStyle name="QTitle 6 18" xfId="30005"/>
    <cellStyle name="QTitle 6 19" xfId="30006"/>
    <cellStyle name="QTitle 6 2" xfId="30007"/>
    <cellStyle name="QTitle 6 2 10" xfId="30008"/>
    <cellStyle name="QTitle 6 2 11" xfId="30009"/>
    <cellStyle name="QTitle 6 2 12" xfId="30010"/>
    <cellStyle name="QTitle 6 2 13" xfId="30011"/>
    <cellStyle name="QTitle 6 2 14" xfId="30012"/>
    <cellStyle name="QTitle 6 2 15" xfId="30013"/>
    <cellStyle name="QTitle 6 2 16" xfId="30014"/>
    <cellStyle name="QTitle 6 2 17" xfId="30015"/>
    <cellStyle name="QTitle 6 2 18" xfId="30016"/>
    <cellStyle name="QTitle 6 2 2" xfId="30017"/>
    <cellStyle name="QTitle 6 2 2 2" xfId="30018"/>
    <cellStyle name="QTitle 6 2 2 2 2" xfId="30019"/>
    <cellStyle name="QTitle 6 2 2 3" xfId="30020"/>
    <cellStyle name="QTitle 6 2 2 4" xfId="30021"/>
    <cellStyle name="QTitle 6 2 3" xfId="30022"/>
    <cellStyle name="QTitle 6 2 3 2" xfId="30023"/>
    <cellStyle name="QTitle 6 2 3 3" xfId="30024"/>
    <cellStyle name="QTitle 6 2 4" xfId="30025"/>
    <cellStyle name="QTitle 6 2 4 2" xfId="30026"/>
    <cellStyle name="QTitle 6 2 5" xfId="30027"/>
    <cellStyle name="QTitle 6 2 6" xfId="30028"/>
    <cellStyle name="QTitle 6 2 7" xfId="30029"/>
    <cellStyle name="QTitle 6 2 8" xfId="30030"/>
    <cellStyle name="QTitle 6 2 9" xfId="30031"/>
    <cellStyle name="QTitle 6 20" xfId="30032"/>
    <cellStyle name="QTitle 6 21" xfId="30033"/>
    <cellStyle name="QTitle 6 3" xfId="30034"/>
    <cellStyle name="QTitle 6 3 10" xfId="30035"/>
    <cellStyle name="QTitle 6 3 11" xfId="30036"/>
    <cellStyle name="QTitle 6 3 12" xfId="30037"/>
    <cellStyle name="QTitle 6 3 13" xfId="30038"/>
    <cellStyle name="QTitle 6 3 14" xfId="30039"/>
    <cellStyle name="QTitle 6 3 15" xfId="30040"/>
    <cellStyle name="QTitle 6 3 16" xfId="30041"/>
    <cellStyle name="QTitle 6 3 17" xfId="30042"/>
    <cellStyle name="QTitle 6 3 18" xfId="30043"/>
    <cellStyle name="QTitle 6 3 2" xfId="30044"/>
    <cellStyle name="QTitle 6 3 2 2" xfId="30045"/>
    <cellStyle name="QTitle 6 3 2 2 2" xfId="30046"/>
    <cellStyle name="QTitle 6 3 2 3" xfId="30047"/>
    <cellStyle name="QTitle 6 3 2 4" xfId="30048"/>
    <cellStyle name="QTitle 6 3 3" xfId="30049"/>
    <cellStyle name="QTitle 6 3 3 2" xfId="30050"/>
    <cellStyle name="QTitle 6 3 3 3" xfId="30051"/>
    <cellStyle name="QTitle 6 3 4" xfId="30052"/>
    <cellStyle name="QTitle 6 3 4 2" xfId="30053"/>
    <cellStyle name="QTitle 6 3 5" xfId="30054"/>
    <cellStyle name="QTitle 6 3 6" xfId="30055"/>
    <cellStyle name="QTitle 6 3 7" xfId="30056"/>
    <cellStyle name="QTitle 6 3 8" xfId="30057"/>
    <cellStyle name="QTitle 6 3 9" xfId="30058"/>
    <cellStyle name="QTitle 6 4" xfId="30059"/>
    <cellStyle name="QTitle 6 4 2" xfId="30060"/>
    <cellStyle name="QTitle 6 4 2 2" xfId="30061"/>
    <cellStyle name="QTitle 6 4 2 3" xfId="30062"/>
    <cellStyle name="QTitle 6 4 3" xfId="30063"/>
    <cellStyle name="QTitle 6 4 3 2" xfId="30064"/>
    <cellStyle name="QTitle 6 4 4" xfId="30065"/>
    <cellStyle name="QTitle 6 4 5" xfId="30066"/>
    <cellStyle name="QTitle 6 5" xfId="30067"/>
    <cellStyle name="QTitle 6 5 2" xfId="30068"/>
    <cellStyle name="QTitle 6 5 2 2" xfId="30069"/>
    <cellStyle name="QTitle 6 5 3" xfId="30070"/>
    <cellStyle name="QTitle 6 5 4" xfId="30071"/>
    <cellStyle name="QTitle 6 6" xfId="30072"/>
    <cellStyle name="QTitle 6 6 2" xfId="30073"/>
    <cellStyle name="QTitle 6 7" xfId="30074"/>
    <cellStyle name="QTitle 6 8" xfId="30075"/>
    <cellStyle name="QTitle 6 9" xfId="30076"/>
    <cellStyle name="QTitle 7" xfId="30077"/>
    <cellStyle name="QTitle 7 10" xfId="30078"/>
    <cellStyle name="QTitle 7 11" xfId="30079"/>
    <cellStyle name="QTitle 7 12" xfId="30080"/>
    <cellStyle name="QTitle 7 13" xfId="30081"/>
    <cellStyle name="QTitle 7 14" xfId="30082"/>
    <cellStyle name="QTitle 7 15" xfId="30083"/>
    <cellStyle name="QTitle 7 16" xfId="30084"/>
    <cellStyle name="QTitle 7 17" xfId="30085"/>
    <cellStyle name="QTitle 7 18" xfId="30086"/>
    <cellStyle name="QTitle 7 19" xfId="30087"/>
    <cellStyle name="QTitle 7 2" xfId="30088"/>
    <cellStyle name="QTitle 7 2 10" xfId="30089"/>
    <cellStyle name="QTitle 7 2 11" xfId="30090"/>
    <cellStyle name="QTitle 7 2 12" xfId="30091"/>
    <cellStyle name="QTitle 7 2 13" xfId="30092"/>
    <cellStyle name="QTitle 7 2 14" xfId="30093"/>
    <cellStyle name="QTitle 7 2 15" xfId="30094"/>
    <cellStyle name="QTitle 7 2 16" xfId="30095"/>
    <cellStyle name="QTitle 7 2 17" xfId="30096"/>
    <cellStyle name="QTitle 7 2 18" xfId="30097"/>
    <cellStyle name="QTitle 7 2 2" xfId="30098"/>
    <cellStyle name="QTitle 7 2 2 2" xfId="30099"/>
    <cellStyle name="QTitle 7 2 2 2 2" xfId="30100"/>
    <cellStyle name="QTitle 7 2 2 3" xfId="30101"/>
    <cellStyle name="QTitle 7 2 2 4" xfId="30102"/>
    <cellStyle name="QTitle 7 2 3" xfId="30103"/>
    <cellStyle name="QTitle 7 2 3 2" xfId="30104"/>
    <cellStyle name="QTitle 7 2 3 3" xfId="30105"/>
    <cellStyle name="QTitle 7 2 4" xfId="30106"/>
    <cellStyle name="QTitle 7 2 4 2" xfId="30107"/>
    <cellStyle name="QTitle 7 2 5" xfId="30108"/>
    <cellStyle name="QTitle 7 2 6" xfId="30109"/>
    <cellStyle name="QTitle 7 2 7" xfId="30110"/>
    <cellStyle name="QTitle 7 2 8" xfId="30111"/>
    <cellStyle name="QTitle 7 2 9" xfId="30112"/>
    <cellStyle name="QTitle 7 20" xfId="30113"/>
    <cellStyle name="QTitle 7 21" xfId="30114"/>
    <cellStyle name="QTitle 7 3" xfId="30115"/>
    <cellStyle name="QTitle 7 3 10" xfId="30116"/>
    <cellStyle name="QTitle 7 3 11" xfId="30117"/>
    <cellStyle name="QTitle 7 3 12" xfId="30118"/>
    <cellStyle name="QTitle 7 3 13" xfId="30119"/>
    <cellStyle name="QTitle 7 3 14" xfId="30120"/>
    <cellStyle name="QTitle 7 3 15" xfId="30121"/>
    <cellStyle name="QTitle 7 3 16" xfId="30122"/>
    <cellStyle name="QTitle 7 3 17" xfId="30123"/>
    <cellStyle name="QTitle 7 3 18" xfId="30124"/>
    <cellStyle name="QTitle 7 3 2" xfId="30125"/>
    <cellStyle name="QTitle 7 3 2 2" xfId="30126"/>
    <cellStyle name="QTitle 7 3 2 2 2" xfId="30127"/>
    <cellStyle name="QTitle 7 3 2 3" xfId="30128"/>
    <cellStyle name="QTitle 7 3 2 4" xfId="30129"/>
    <cellStyle name="QTitle 7 3 3" xfId="30130"/>
    <cellStyle name="QTitle 7 3 3 2" xfId="30131"/>
    <cellStyle name="QTitle 7 3 3 3" xfId="30132"/>
    <cellStyle name="QTitle 7 3 4" xfId="30133"/>
    <cellStyle name="QTitle 7 3 4 2" xfId="30134"/>
    <cellStyle name="QTitle 7 3 5" xfId="30135"/>
    <cellStyle name="QTitle 7 3 6" xfId="30136"/>
    <cellStyle name="QTitle 7 3 7" xfId="30137"/>
    <cellStyle name="QTitle 7 3 8" xfId="30138"/>
    <cellStyle name="QTitle 7 3 9" xfId="30139"/>
    <cellStyle name="QTitle 7 4" xfId="30140"/>
    <cellStyle name="QTitle 7 4 2" xfId="30141"/>
    <cellStyle name="QTitle 7 4 2 2" xfId="30142"/>
    <cellStyle name="QTitle 7 4 2 3" xfId="30143"/>
    <cellStyle name="QTitle 7 4 3" xfId="30144"/>
    <cellStyle name="QTitle 7 4 3 2" xfId="30145"/>
    <cellStyle name="QTitle 7 4 4" xfId="30146"/>
    <cellStyle name="QTitle 7 4 5" xfId="30147"/>
    <cellStyle name="QTitle 7 5" xfId="30148"/>
    <cellStyle name="QTitle 7 5 2" xfId="30149"/>
    <cellStyle name="QTitle 7 5 2 2" xfId="30150"/>
    <cellStyle name="QTitle 7 5 3" xfId="30151"/>
    <cellStyle name="QTitle 7 5 4" xfId="30152"/>
    <cellStyle name="QTitle 7 6" xfId="30153"/>
    <cellStyle name="QTitle 7 6 2" xfId="30154"/>
    <cellStyle name="QTitle 7 7" xfId="30155"/>
    <cellStyle name="QTitle 7 8" xfId="30156"/>
    <cellStyle name="QTitle 7 9" xfId="30157"/>
    <cellStyle name="QTitle 8" xfId="30158"/>
    <cellStyle name="QTitle 8 10" xfId="30159"/>
    <cellStyle name="QTitle 8 11" xfId="30160"/>
    <cellStyle name="QTitle 8 12" xfId="30161"/>
    <cellStyle name="QTitle 8 13" xfId="30162"/>
    <cellStyle name="QTitle 8 14" xfId="30163"/>
    <cellStyle name="QTitle 8 15" xfId="30164"/>
    <cellStyle name="QTitle 8 16" xfId="30165"/>
    <cellStyle name="QTitle 8 17" xfId="30166"/>
    <cellStyle name="QTitle 8 18" xfId="30167"/>
    <cellStyle name="QTitle 8 19" xfId="30168"/>
    <cellStyle name="QTitle 8 2" xfId="30169"/>
    <cellStyle name="QTitle 8 2 10" xfId="30170"/>
    <cellStyle name="QTitle 8 2 11" xfId="30171"/>
    <cellStyle name="QTitle 8 2 12" xfId="30172"/>
    <cellStyle name="QTitle 8 2 13" xfId="30173"/>
    <cellStyle name="QTitle 8 2 14" xfId="30174"/>
    <cellStyle name="QTitle 8 2 15" xfId="30175"/>
    <cellStyle name="QTitle 8 2 16" xfId="30176"/>
    <cellStyle name="QTitle 8 2 17" xfId="30177"/>
    <cellStyle name="QTitle 8 2 18" xfId="30178"/>
    <cellStyle name="QTitle 8 2 2" xfId="30179"/>
    <cellStyle name="QTitle 8 2 2 2" xfId="30180"/>
    <cellStyle name="QTitle 8 2 2 2 2" xfId="30181"/>
    <cellStyle name="QTitle 8 2 2 3" xfId="30182"/>
    <cellStyle name="QTitle 8 2 2 4" xfId="30183"/>
    <cellStyle name="QTitle 8 2 3" xfId="30184"/>
    <cellStyle name="QTitle 8 2 3 2" xfId="30185"/>
    <cellStyle name="QTitle 8 2 3 3" xfId="30186"/>
    <cellStyle name="QTitle 8 2 4" xfId="30187"/>
    <cellStyle name="QTitle 8 2 4 2" xfId="30188"/>
    <cellStyle name="QTitle 8 2 5" xfId="30189"/>
    <cellStyle name="QTitle 8 2 6" xfId="30190"/>
    <cellStyle name="QTitle 8 2 7" xfId="30191"/>
    <cellStyle name="QTitle 8 2 8" xfId="30192"/>
    <cellStyle name="QTitle 8 2 9" xfId="30193"/>
    <cellStyle name="QTitle 8 3" xfId="30194"/>
    <cellStyle name="QTitle 8 3 10" xfId="30195"/>
    <cellStyle name="QTitle 8 3 11" xfId="30196"/>
    <cellStyle name="QTitle 8 3 12" xfId="30197"/>
    <cellStyle name="QTitle 8 3 13" xfId="30198"/>
    <cellStyle name="QTitle 8 3 14" xfId="30199"/>
    <cellStyle name="QTitle 8 3 15" xfId="30200"/>
    <cellStyle name="QTitle 8 3 16" xfId="30201"/>
    <cellStyle name="QTitle 8 3 17" xfId="30202"/>
    <cellStyle name="QTitle 8 3 18" xfId="30203"/>
    <cellStyle name="QTitle 8 3 2" xfId="30204"/>
    <cellStyle name="QTitle 8 3 2 2" xfId="30205"/>
    <cellStyle name="QTitle 8 3 2 2 2" xfId="30206"/>
    <cellStyle name="QTitle 8 3 2 3" xfId="30207"/>
    <cellStyle name="QTitle 8 3 2 4" xfId="30208"/>
    <cellStyle name="QTitle 8 3 3" xfId="30209"/>
    <cellStyle name="QTitle 8 3 3 2" xfId="30210"/>
    <cellStyle name="QTitle 8 3 3 3" xfId="30211"/>
    <cellStyle name="QTitle 8 3 4" xfId="30212"/>
    <cellStyle name="QTitle 8 3 4 2" xfId="30213"/>
    <cellStyle name="QTitle 8 3 5" xfId="30214"/>
    <cellStyle name="QTitle 8 3 6" xfId="30215"/>
    <cellStyle name="QTitle 8 3 7" xfId="30216"/>
    <cellStyle name="QTitle 8 3 8" xfId="30217"/>
    <cellStyle name="QTitle 8 3 9" xfId="30218"/>
    <cellStyle name="QTitle 8 4" xfId="30219"/>
    <cellStyle name="QTitle 8 4 2" xfId="30220"/>
    <cellStyle name="QTitle 8 4 2 2" xfId="30221"/>
    <cellStyle name="QTitle 8 4 2 3" xfId="30222"/>
    <cellStyle name="QTitle 8 4 3" xfId="30223"/>
    <cellStyle name="QTitle 8 4 3 2" xfId="30224"/>
    <cellStyle name="QTitle 8 4 4" xfId="30225"/>
    <cellStyle name="QTitle 8 4 5" xfId="30226"/>
    <cellStyle name="QTitle 8 5" xfId="30227"/>
    <cellStyle name="QTitle 8 5 2" xfId="30228"/>
    <cellStyle name="QTitle 8 5 2 2" xfId="30229"/>
    <cellStyle name="QTitle 8 5 3" xfId="30230"/>
    <cellStyle name="QTitle 8 5 4" xfId="30231"/>
    <cellStyle name="QTitle 8 6" xfId="30232"/>
    <cellStyle name="QTitle 8 6 2" xfId="30233"/>
    <cellStyle name="QTitle 8 7" xfId="30234"/>
    <cellStyle name="QTitle 8 8" xfId="30235"/>
    <cellStyle name="QTitle 8 9" xfId="30236"/>
    <cellStyle name="QTitle 9" xfId="30237"/>
    <cellStyle name="QTitle 9 10" xfId="30238"/>
    <cellStyle name="QTitle 9 11" xfId="30239"/>
    <cellStyle name="QTitle 9 12" xfId="30240"/>
    <cellStyle name="QTitle 9 13" xfId="30241"/>
    <cellStyle name="QTitle 9 14" xfId="30242"/>
    <cellStyle name="QTitle 9 15" xfId="30243"/>
    <cellStyle name="QTitle 9 16" xfId="30244"/>
    <cellStyle name="QTitle 9 17" xfId="30245"/>
    <cellStyle name="QTitle 9 18" xfId="30246"/>
    <cellStyle name="QTitle 9 19" xfId="30247"/>
    <cellStyle name="QTitle 9 2" xfId="30248"/>
    <cellStyle name="QTitle 9 2 10" xfId="30249"/>
    <cellStyle name="QTitle 9 2 11" xfId="30250"/>
    <cellStyle name="QTitle 9 2 12" xfId="30251"/>
    <cellStyle name="QTitle 9 2 13" xfId="30252"/>
    <cellStyle name="QTitle 9 2 14" xfId="30253"/>
    <cellStyle name="QTitle 9 2 15" xfId="30254"/>
    <cellStyle name="QTitle 9 2 16" xfId="30255"/>
    <cellStyle name="QTitle 9 2 17" xfId="30256"/>
    <cellStyle name="QTitle 9 2 18" xfId="30257"/>
    <cellStyle name="QTitle 9 2 2" xfId="30258"/>
    <cellStyle name="QTitle 9 2 2 2" xfId="30259"/>
    <cellStyle name="QTitle 9 2 2 2 2" xfId="30260"/>
    <cellStyle name="QTitle 9 2 2 3" xfId="30261"/>
    <cellStyle name="QTitle 9 2 2 4" xfId="30262"/>
    <cellStyle name="QTitle 9 2 3" xfId="30263"/>
    <cellStyle name="QTitle 9 2 3 2" xfId="30264"/>
    <cellStyle name="QTitle 9 2 3 3" xfId="30265"/>
    <cellStyle name="QTitle 9 2 4" xfId="30266"/>
    <cellStyle name="QTitle 9 2 4 2" xfId="30267"/>
    <cellStyle name="QTitle 9 2 5" xfId="30268"/>
    <cellStyle name="QTitle 9 2 6" xfId="30269"/>
    <cellStyle name="QTitle 9 2 7" xfId="30270"/>
    <cellStyle name="QTitle 9 2 8" xfId="30271"/>
    <cellStyle name="QTitle 9 2 9" xfId="30272"/>
    <cellStyle name="QTitle 9 20" xfId="30273"/>
    <cellStyle name="QTitle 9 3" xfId="30274"/>
    <cellStyle name="QTitle 9 3 10" xfId="30275"/>
    <cellStyle name="QTitle 9 3 11" xfId="30276"/>
    <cellStyle name="QTitle 9 3 12" xfId="30277"/>
    <cellStyle name="QTitle 9 3 13" xfId="30278"/>
    <cellStyle name="QTitle 9 3 14" xfId="30279"/>
    <cellStyle name="QTitle 9 3 15" xfId="30280"/>
    <cellStyle name="QTitle 9 3 16" xfId="30281"/>
    <cellStyle name="QTitle 9 3 17" xfId="30282"/>
    <cellStyle name="QTitle 9 3 18" xfId="30283"/>
    <cellStyle name="QTitle 9 3 2" xfId="30284"/>
    <cellStyle name="QTitle 9 3 2 2" xfId="30285"/>
    <cellStyle name="QTitle 9 3 2 2 2" xfId="30286"/>
    <cellStyle name="QTitle 9 3 2 3" xfId="30287"/>
    <cellStyle name="QTitle 9 3 2 4" xfId="30288"/>
    <cellStyle name="QTitle 9 3 3" xfId="30289"/>
    <cellStyle name="QTitle 9 3 3 2" xfId="30290"/>
    <cellStyle name="QTitle 9 3 3 3" xfId="30291"/>
    <cellStyle name="QTitle 9 3 4" xfId="30292"/>
    <cellStyle name="QTitle 9 3 4 2" xfId="30293"/>
    <cellStyle name="QTitle 9 3 5" xfId="30294"/>
    <cellStyle name="QTitle 9 3 6" xfId="30295"/>
    <cellStyle name="QTitle 9 3 7" xfId="30296"/>
    <cellStyle name="QTitle 9 3 8" xfId="30297"/>
    <cellStyle name="QTitle 9 3 9" xfId="30298"/>
    <cellStyle name="QTitle 9 4" xfId="30299"/>
    <cellStyle name="QTitle 9 4 2" xfId="30300"/>
    <cellStyle name="QTitle 9 4 2 2" xfId="30301"/>
    <cellStyle name="QTitle 9 4 2 3" xfId="30302"/>
    <cellStyle name="QTitle 9 4 3" xfId="30303"/>
    <cellStyle name="QTitle 9 4 3 2" xfId="30304"/>
    <cellStyle name="QTitle 9 4 4" xfId="30305"/>
    <cellStyle name="QTitle 9 4 5" xfId="30306"/>
    <cellStyle name="QTitle 9 5" xfId="30307"/>
    <cellStyle name="QTitle 9 5 2" xfId="30308"/>
    <cellStyle name="QTitle 9 5 2 2" xfId="30309"/>
    <cellStyle name="QTitle 9 5 3" xfId="30310"/>
    <cellStyle name="QTitle 9 5 4" xfId="30311"/>
    <cellStyle name="QTitle 9 6" xfId="30312"/>
    <cellStyle name="QTitle 9 6 2" xfId="30313"/>
    <cellStyle name="QTitle 9 7" xfId="30314"/>
    <cellStyle name="QTitle 9 8" xfId="30315"/>
    <cellStyle name="QTitle 9 9" xfId="30316"/>
    <cellStyle name="Query" xfId="30317"/>
    <cellStyle name="Query 2" xfId="30318"/>
    <cellStyle name="range" xfId="30319"/>
    <cellStyle name="range 2" xfId="30320"/>
    <cellStyle name="range 2 2" xfId="30321"/>
    <cellStyle name="range 3" xfId="30322"/>
    <cellStyle name="range 3 2" xfId="30323"/>
    <cellStyle name="range 4" xfId="30324"/>
    <cellStyle name="range 4 2" xfId="30325"/>
    <cellStyle name="range 5" xfId="30326"/>
    <cellStyle name="rate" xfId="30327"/>
    <cellStyle name="Ratio" xfId="30328"/>
    <cellStyle name="Ratio 2" xfId="30329"/>
    <cellStyle name="Ratio 3" xfId="30330"/>
    <cellStyle name="Ratio Comma" xfId="30331"/>
    <cellStyle name="Ratio Comma 2" xfId="30332"/>
    <cellStyle name="Ratio_Private" xfId="30333"/>
    <cellStyle name="RatioX" xfId="30334"/>
    <cellStyle name="Red" xfId="30335"/>
    <cellStyle name="Red 2" xfId="30336"/>
    <cellStyle name="Red font" xfId="30337"/>
    <cellStyle name="REGEL" xfId="30338"/>
    <cellStyle name="REGEL 2" xfId="30339"/>
    <cellStyle name="Reset  - Style7" xfId="30340"/>
    <cellStyle name="Result" xfId="30341"/>
    <cellStyle name="Result 1" xfId="30342"/>
    <cellStyle name="Result2" xfId="30343"/>
    <cellStyle name="Result2 1" xfId="30344"/>
    <cellStyle name="S3" xfId="30345"/>
    <cellStyle name="S3 2" xfId="30346"/>
    <cellStyle name="S4" xfId="30347"/>
    <cellStyle name="S4 2" xfId="30348"/>
    <cellStyle name="SAPBEXaggData" xfId="30349"/>
    <cellStyle name="SAPBEXaggData 10" xfId="30350"/>
    <cellStyle name="SAPBEXaggData 11" xfId="30351"/>
    <cellStyle name="SAPBEXaggData 12" xfId="30352"/>
    <cellStyle name="SAPBEXaggData 13" xfId="30353"/>
    <cellStyle name="SAPBEXaggData 14" xfId="30354"/>
    <cellStyle name="SAPBEXaggData 15" xfId="30355"/>
    <cellStyle name="SAPBEXaggData 16" xfId="30356"/>
    <cellStyle name="SAPBEXaggData 17" xfId="30357"/>
    <cellStyle name="SAPBEXaggData 18" xfId="30358"/>
    <cellStyle name="SAPBEXaggData 19" xfId="30359"/>
    <cellStyle name="SAPBEXaggData 2" xfId="30360"/>
    <cellStyle name="SAPBEXaggData 2 10" xfId="30361"/>
    <cellStyle name="SAPBEXaggData 2 11" xfId="30362"/>
    <cellStyle name="SAPBEXaggData 2 12" xfId="30363"/>
    <cellStyle name="SAPBEXaggData 2 13" xfId="30364"/>
    <cellStyle name="SAPBEXaggData 2 14" xfId="30365"/>
    <cellStyle name="SAPBEXaggData 2 15" xfId="30366"/>
    <cellStyle name="SAPBEXaggData 2 16" xfId="30367"/>
    <cellStyle name="SAPBEXaggData 2 17" xfId="30368"/>
    <cellStyle name="SAPBEXaggData 2 18" xfId="30369"/>
    <cellStyle name="SAPBEXaggData 2 19" xfId="30370"/>
    <cellStyle name="SAPBEXaggData 2 2" xfId="30371"/>
    <cellStyle name="SAPBEXaggData 2 2 10" xfId="30372"/>
    <cellStyle name="SAPBEXaggData 2 2 11" xfId="30373"/>
    <cellStyle name="SAPBEXaggData 2 2 12" xfId="30374"/>
    <cellStyle name="SAPBEXaggData 2 2 13" xfId="30375"/>
    <cellStyle name="SAPBEXaggData 2 2 14" xfId="30376"/>
    <cellStyle name="SAPBEXaggData 2 2 15" xfId="30377"/>
    <cellStyle name="SAPBEXaggData 2 2 16" xfId="30378"/>
    <cellStyle name="SAPBEXaggData 2 2 17" xfId="30379"/>
    <cellStyle name="SAPBEXaggData 2 2 18" xfId="30380"/>
    <cellStyle name="SAPBEXaggData 2 2 2" xfId="30381"/>
    <cellStyle name="SAPBEXaggData 2 2 2 2" xfId="30382"/>
    <cellStyle name="SAPBEXaggData 2 2 2 2 2" xfId="30383"/>
    <cellStyle name="SAPBEXaggData 2 2 2 3" xfId="30384"/>
    <cellStyle name="SAPBEXaggData 2 2 2 4" xfId="30385"/>
    <cellStyle name="SAPBEXaggData 2 2 3" xfId="30386"/>
    <cellStyle name="SAPBEXaggData 2 2 3 2" xfId="30387"/>
    <cellStyle name="SAPBEXaggData 2 2 3 3" xfId="30388"/>
    <cellStyle name="SAPBEXaggData 2 2 4" xfId="30389"/>
    <cellStyle name="SAPBEXaggData 2 2 4 2" xfId="30390"/>
    <cellStyle name="SAPBEXaggData 2 2 5" xfId="30391"/>
    <cellStyle name="SAPBEXaggData 2 2 6" xfId="30392"/>
    <cellStyle name="SAPBEXaggData 2 2 7" xfId="30393"/>
    <cellStyle name="SAPBEXaggData 2 2 8" xfId="30394"/>
    <cellStyle name="SAPBEXaggData 2 2 9" xfId="30395"/>
    <cellStyle name="SAPBEXaggData 2 20" xfId="30396"/>
    <cellStyle name="SAPBEXaggData 2 21" xfId="30397"/>
    <cellStyle name="SAPBEXaggData 2 22" xfId="30398"/>
    <cellStyle name="SAPBEXaggData 2 23" xfId="30399"/>
    <cellStyle name="SAPBEXaggData 2 24" xfId="30400"/>
    <cellStyle name="SAPBEXaggData 2 3" xfId="30401"/>
    <cellStyle name="SAPBEXaggData 2 3 10" xfId="30402"/>
    <cellStyle name="SAPBEXaggData 2 3 11" xfId="30403"/>
    <cellStyle name="SAPBEXaggData 2 3 12" xfId="30404"/>
    <cellStyle name="SAPBEXaggData 2 3 13" xfId="30405"/>
    <cellStyle name="SAPBEXaggData 2 3 14" xfId="30406"/>
    <cellStyle name="SAPBEXaggData 2 3 15" xfId="30407"/>
    <cellStyle name="SAPBEXaggData 2 3 16" xfId="30408"/>
    <cellStyle name="SAPBEXaggData 2 3 17" xfId="30409"/>
    <cellStyle name="SAPBEXaggData 2 3 18" xfId="30410"/>
    <cellStyle name="SAPBEXaggData 2 3 2" xfId="30411"/>
    <cellStyle name="SAPBEXaggData 2 3 2 2" xfId="30412"/>
    <cellStyle name="SAPBEXaggData 2 3 2 2 2" xfId="30413"/>
    <cellStyle name="SAPBEXaggData 2 3 2 3" xfId="30414"/>
    <cellStyle name="SAPBEXaggData 2 3 2 4" xfId="30415"/>
    <cellStyle name="SAPBEXaggData 2 3 3" xfId="30416"/>
    <cellStyle name="SAPBEXaggData 2 3 3 2" xfId="30417"/>
    <cellStyle name="SAPBEXaggData 2 3 3 3" xfId="30418"/>
    <cellStyle name="SAPBEXaggData 2 3 4" xfId="30419"/>
    <cellStyle name="SAPBEXaggData 2 3 4 2" xfId="30420"/>
    <cellStyle name="SAPBEXaggData 2 3 5" xfId="30421"/>
    <cellStyle name="SAPBEXaggData 2 3 6" xfId="30422"/>
    <cellStyle name="SAPBEXaggData 2 3 7" xfId="30423"/>
    <cellStyle name="SAPBEXaggData 2 3 8" xfId="30424"/>
    <cellStyle name="SAPBEXaggData 2 3 9" xfId="30425"/>
    <cellStyle name="SAPBEXaggData 2 4" xfId="30426"/>
    <cellStyle name="SAPBEXaggData 2 4 2" xfId="30427"/>
    <cellStyle name="SAPBEXaggData 2 4 2 2" xfId="30428"/>
    <cellStyle name="SAPBEXaggData 2 4 2 3" xfId="30429"/>
    <cellStyle name="SAPBEXaggData 2 4 3" xfId="30430"/>
    <cellStyle name="SAPBEXaggData 2 4 3 2" xfId="30431"/>
    <cellStyle name="SAPBEXaggData 2 4 4" xfId="30432"/>
    <cellStyle name="SAPBEXaggData 2 4 5" xfId="30433"/>
    <cellStyle name="SAPBEXaggData 2 5" xfId="30434"/>
    <cellStyle name="SAPBEXaggData 2 5 2" xfId="30435"/>
    <cellStyle name="SAPBEXaggData 2 5 2 2" xfId="30436"/>
    <cellStyle name="SAPBEXaggData 2 5 3" xfId="30437"/>
    <cellStyle name="SAPBEXaggData 2 5 4" xfId="30438"/>
    <cellStyle name="SAPBEXaggData 2 6" xfId="30439"/>
    <cellStyle name="SAPBEXaggData 2 6 2" xfId="30440"/>
    <cellStyle name="SAPBEXaggData 2 6 3" xfId="30441"/>
    <cellStyle name="SAPBEXaggData 2 7" xfId="30442"/>
    <cellStyle name="SAPBEXaggData 2 7 2" xfId="30443"/>
    <cellStyle name="SAPBEXaggData 2 8" xfId="30444"/>
    <cellStyle name="SAPBEXaggData 2 9" xfId="30445"/>
    <cellStyle name="SAPBEXaggData 3" xfId="30446"/>
    <cellStyle name="SAPBEXaggData 3 10" xfId="30447"/>
    <cellStyle name="SAPBEXaggData 3 11" xfId="30448"/>
    <cellStyle name="SAPBEXaggData 3 12" xfId="30449"/>
    <cellStyle name="SAPBEXaggData 3 13" xfId="30450"/>
    <cellStyle name="SAPBEXaggData 3 14" xfId="30451"/>
    <cellStyle name="SAPBEXaggData 3 15" xfId="30452"/>
    <cellStyle name="SAPBEXaggData 3 16" xfId="30453"/>
    <cellStyle name="SAPBEXaggData 3 17" xfId="30454"/>
    <cellStyle name="SAPBEXaggData 3 18" xfId="30455"/>
    <cellStyle name="SAPBEXaggData 3 19" xfId="30456"/>
    <cellStyle name="SAPBEXaggData 3 2" xfId="30457"/>
    <cellStyle name="SAPBEXaggData 3 2 10" xfId="30458"/>
    <cellStyle name="SAPBEXaggData 3 2 11" xfId="30459"/>
    <cellStyle name="SAPBEXaggData 3 2 12" xfId="30460"/>
    <cellStyle name="SAPBEXaggData 3 2 13" xfId="30461"/>
    <cellStyle name="SAPBEXaggData 3 2 14" xfId="30462"/>
    <cellStyle name="SAPBEXaggData 3 2 15" xfId="30463"/>
    <cellStyle name="SAPBEXaggData 3 2 16" xfId="30464"/>
    <cellStyle name="SAPBEXaggData 3 2 17" xfId="30465"/>
    <cellStyle name="SAPBEXaggData 3 2 18" xfId="30466"/>
    <cellStyle name="SAPBEXaggData 3 2 2" xfId="30467"/>
    <cellStyle name="SAPBEXaggData 3 2 2 2" xfId="30468"/>
    <cellStyle name="SAPBEXaggData 3 2 2 2 2" xfId="30469"/>
    <cellStyle name="SAPBEXaggData 3 2 2 3" xfId="30470"/>
    <cellStyle name="SAPBEXaggData 3 2 2 4" xfId="30471"/>
    <cellStyle name="SAPBEXaggData 3 2 3" xfId="30472"/>
    <cellStyle name="SAPBEXaggData 3 2 3 2" xfId="30473"/>
    <cellStyle name="SAPBEXaggData 3 2 3 3" xfId="30474"/>
    <cellStyle name="SAPBEXaggData 3 2 4" xfId="30475"/>
    <cellStyle name="SAPBEXaggData 3 2 4 2" xfId="30476"/>
    <cellStyle name="SAPBEXaggData 3 2 5" xfId="30477"/>
    <cellStyle name="SAPBEXaggData 3 2 6" xfId="30478"/>
    <cellStyle name="SAPBEXaggData 3 2 7" xfId="30479"/>
    <cellStyle name="SAPBEXaggData 3 2 8" xfId="30480"/>
    <cellStyle name="SAPBEXaggData 3 2 9" xfId="30481"/>
    <cellStyle name="SAPBEXaggData 3 20" xfId="30482"/>
    <cellStyle name="SAPBEXaggData 3 3" xfId="30483"/>
    <cellStyle name="SAPBEXaggData 3 3 10" xfId="30484"/>
    <cellStyle name="SAPBEXaggData 3 3 11" xfId="30485"/>
    <cellStyle name="SAPBEXaggData 3 3 12" xfId="30486"/>
    <cellStyle name="SAPBEXaggData 3 3 13" xfId="30487"/>
    <cellStyle name="SAPBEXaggData 3 3 14" xfId="30488"/>
    <cellStyle name="SAPBEXaggData 3 3 15" xfId="30489"/>
    <cellStyle name="SAPBEXaggData 3 3 16" xfId="30490"/>
    <cellStyle name="SAPBEXaggData 3 3 17" xfId="30491"/>
    <cellStyle name="SAPBEXaggData 3 3 18" xfId="30492"/>
    <cellStyle name="SAPBEXaggData 3 3 2" xfId="30493"/>
    <cellStyle name="SAPBEXaggData 3 3 2 2" xfId="30494"/>
    <cellStyle name="SAPBEXaggData 3 3 2 2 2" xfId="30495"/>
    <cellStyle name="SAPBEXaggData 3 3 2 3" xfId="30496"/>
    <cellStyle name="SAPBEXaggData 3 3 2 4" xfId="30497"/>
    <cellStyle name="SAPBEXaggData 3 3 3" xfId="30498"/>
    <cellStyle name="SAPBEXaggData 3 3 3 2" xfId="30499"/>
    <cellStyle name="SAPBEXaggData 3 3 3 3" xfId="30500"/>
    <cellStyle name="SAPBEXaggData 3 3 4" xfId="30501"/>
    <cellStyle name="SAPBEXaggData 3 3 4 2" xfId="30502"/>
    <cellStyle name="SAPBEXaggData 3 3 5" xfId="30503"/>
    <cellStyle name="SAPBEXaggData 3 3 6" xfId="30504"/>
    <cellStyle name="SAPBEXaggData 3 3 7" xfId="30505"/>
    <cellStyle name="SAPBEXaggData 3 3 8" xfId="30506"/>
    <cellStyle name="SAPBEXaggData 3 3 9" xfId="30507"/>
    <cellStyle name="SAPBEXaggData 3 4" xfId="30508"/>
    <cellStyle name="SAPBEXaggData 3 4 2" xfId="30509"/>
    <cellStyle name="SAPBEXaggData 3 4 2 2" xfId="30510"/>
    <cellStyle name="SAPBEXaggData 3 4 2 3" xfId="30511"/>
    <cellStyle name="SAPBEXaggData 3 4 3" xfId="30512"/>
    <cellStyle name="SAPBEXaggData 3 4 3 2" xfId="30513"/>
    <cellStyle name="SAPBEXaggData 3 4 4" xfId="30514"/>
    <cellStyle name="SAPBEXaggData 3 4 5" xfId="30515"/>
    <cellStyle name="SAPBEXaggData 3 5" xfId="30516"/>
    <cellStyle name="SAPBEXaggData 3 5 2" xfId="30517"/>
    <cellStyle name="SAPBEXaggData 3 5 2 2" xfId="30518"/>
    <cellStyle name="SAPBEXaggData 3 5 3" xfId="30519"/>
    <cellStyle name="SAPBEXaggData 3 5 4" xfId="30520"/>
    <cellStyle name="SAPBEXaggData 3 6" xfId="30521"/>
    <cellStyle name="SAPBEXaggData 3 6 2" xfId="30522"/>
    <cellStyle name="SAPBEXaggData 3 6 3" xfId="30523"/>
    <cellStyle name="SAPBEXaggData 3 7" xfId="30524"/>
    <cellStyle name="SAPBEXaggData 3 7 2" xfId="30525"/>
    <cellStyle name="SAPBEXaggData 3 8" xfId="30526"/>
    <cellStyle name="SAPBEXaggData 3 9" xfId="30527"/>
    <cellStyle name="SAPBEXaggData 4" xfId="30528"/>
    <cellStyle name="SAPBEXaggData 4 10" xfId="30529"/>
    <cellStyle name="SAPBEXaggData 4 11" xfId="30530"/>
    <cellStyle name="SAPBEXaggData 4 12" xfId="30531"/>
    <cellStyle name="SAPBEXaggData 4 13" xfId="30532"/>
    <cellStyle name="SAPBEXaggData 4 14" xfId="30533"/>
    <cellStyle name="SAPBEXaggData 4 15" xfId="30534"/>
    <cellStyle name="SAPBEXaggData 4 16" xfId="30535"/>
    <cellStyle name="SAPBEXaggData 4 17" xfId="30536"/>
    <cellStyle name="SAPBEXaggData 4 18" xfId="30537"/>
    <cellStyle name="SAPBEXaggData 4 19" xfId="30538"/>
    <cellStyle name="SAPBEXaggData 4 2" xfId="30539"/>
    <cellStyle name="SAPBEXaggData 4 2 10" xfId="30540"/>
    <cellStyle name="SAPBEXaggData 4 2 11" xfId="30541"/>
    <cellStyle name="SAPBEXaggData 4 2 12" xfId="30542"/>
    <cellStyle name="SAPBEXaggData 4 2 13" xfId="30543"/>
    <cellStyle name="SAPBEXaggData 4 2 14" xfId="30544"/>
    <cellStyle name="SAPBEXaggData 4 2 15" xfId="30545"/>
    <cellStyle name="SAPBEXaggData 4 2 16" xfId="30546"/>
    <cellStyle name="SAPBEXaggData 4 2 17" xfId="30547"/>
    <cellStyle name="SAPBEXaggData 4 2 18" xfId="30548"/>
    <cellStyle name="SAPBEXaggData 4 2 2" xfId="30549"/>
    <cellStyle name="SAPBEXaggData 4 2 2 2" xfId="30550"/>
    <cellStyle name="SAPBEXaggData 4 2 2 2 2" xfId="30551"/>
    <cellStyle name="SAPBEXaggData 4 2 2 3" xfId="30552"/>
    <cellStyle name="SAPBEXaggData 4 2 2 4" xfId="30553"/>
    <cellStyle name="SAPBEXaggData 4 2 3" xfId="30554"/>
    <cellStyle name="SAPBEXaggData 4 2 3 2" xfId="30555"/>
    <cellStyle name="SAPBEXaggData 4 2 3 3" xfId="30556"/>
    <cellStyle name="SAPBEXaggData 4 2 4" xfId="30557"/>
    <cellStyle name="SAPBEXaggData 4 2 4 2" xfId="30558"/>
    <cellStyle name="SAPBEXaggData 4 2 5" xfId="30559"/>
    <cellStyle name="SAPBEXaggData 4 2 6" xfId="30560"/>
    <cellStyle name="SAPBEXaggData 4 2 7" xfId="30561"/>
    <cellStyle name="SAPBEXaggData 4 2 8" xfId="30562"/>
    <cellStyle name="SAPBEXaggData 4 2 9" xfId="30563"/>
    <cellStyle name="SAPBEXaggData 4 20" xfId="30564"/>
    <cellStyle name="SAPBEXaggData 4 21" xfId="30565"/>
    <cellStyle name="SAPBEXaggData 4 22" xfId="30566"/>
    <cellStyle name="SAPBEXaggData 4 3" xfId="30567"/>
    <cellStyle name="SAPBEXaggData 4 3 10" xfId="30568"/>
    <cellStyle name="SAPBEXaggData 4 3 11" xfId="30569"/>
    <cellStyle name="SAPBEXaggData 4 3 12" xfId="30570"/>
    <cellStyle name="SAPBEXaggData 4 3 13" xfId="30571"/>
    <cellStyle name="SAPBEXaggData 4 3 14" xfId="30572"/>
    <cellStyle name="SAPBEXaggData 4 3 15" xfId="30573"/>
    <cellStyle name="SAPBEXaggData 4 3 16" xfId="30574"/>
    <cellStyle name="SAPBEXaggData 4 3 17" xfId="30575"/>
    <cellStyle name="SAPBEXaggData 4 3 18" xfId="30576"/>
    <cellStyle name="SAPBEXaggData 4 3 2" xfId="30577"/>
    <cellStyle name="SAPBEXaggData 4 3 2 2" xfId="30578"/>
    <cellStyle name="SAPBEXaggData 4 3 2 2 2" xfId="30579"/>
    <cellStyle name="SAPBEXaggData 4 3 2 3" xfId="30580"/>
    <cellStyle name="SAPBEXaggData 4 3 2 4" xfId="30581"/>
    <cellStyle name="SAPBEXaggData 4 3 3" xfId="30582"/>
    <cellStyle name="SAPBEXaggData 4 3 3 2" xfId="30583"/>
    <cellStyle name="SAPBEXaggData 4 3 3 3" xfId="30584"/>
    <cellStyle name="SAPBEXaggData 4 3 4" xfId="30585"/>
    <cellStyle name="SAPBEXaggData 4 3 4 2" xfId="30586"/>
    <cellStyle name="SAPBEXaggData 4 3 5" xfId="30587"/>
    <cellStyle name="SAPBEXaggData 4 3 6" xfId="30588"/>
    <cellStyle name="SAPBEXaggData 4 3 7" xfId="30589"/>
    <cellStyle name="SAPBEXaggData 4 3 8" xfId="30590"/>
    <cellStyle name="SAPBEXaggData 4 3 9" xfId="30591"/>
    <cellStyle name="SAPBEXaggData 4 4" xfId="30592"/>
    <cellStyle name="SAPBEXaggData 4 4 2" xfId="30593"/>
    <cellStyle name="SAPBEXaggData 4 4 2 2" xfId="30594"/>
    <cellStyle name="SAPBEXaggData 4 4 2 3" xfId="30595"/>
    <cellStyle name="SAPBEXaggData 4 4 3" xfId="30596"/>
    <cellStyle name="SAPBEXaggData 4 4 3 2" xfId="30597"/>
    <cellStyle name="SAPBEXaggData 4 4 4" xfId="30598"/>
    <cellStyle name="SAPBEXaggData 4 4 5" xfId="30599"/>
    <cellStyle name="SAPBEXaggData 4 5" xfId="30600"/>
    <cellStyle name="SAPBEXaggData 4 5 2" xfId="30601"/>
    <cellStyle name="SAPBEXaggData 4 5 2 2" xfId="30602"/>
    <cellStyle name="SAPBEXaggData 4 5 3" xfId="30603"/>
    <cellStyle name="SAPBEXaggData 4 5 4" xfId="30604"/>
    <cellStyle name="SAPBEXaggData 4 6" xfId="30605"/>
    <cellStyle name="SAPBEXaggData 4 6 2" xfId="30606"/>
    <cellStyle name="SAPBEXaggData 4 6 3" xfId="30607"/>
    <cellStyle name="SAPBEXaggData 4 7" xfId="30608"/>
    <cellStyle name="SAPBEXaggData 4 7 2" xfId="30609"/>
    <cellStyle name="SAPBEXaggData 4 8" xfId="30610"/>
    <cellStyle name="SAPBEXaggData 4 9" xfId="30611"/>
    <cellStyle name="SAPBEXaggData 5" xfId="30612"/>
    <cellStyle name="SAPBEXaggData 5 10" xfId="30613"/>
    <cellStyle name="SAPBEXaggData 5 11" xfId="30614"/>
    <cellStyle name="SAPBEXaggData 5 12" xfId="30615"/>
    <cellStyle name="SAPBEXaggData 5 13" xfId="30616"/>
    <cellStyle name="SAPBEXaggData 5 14" xfId="30617"/>
    <cellStyle name="SAPBEXaggData 5 15" xfId="30618"/>
    <cellStyle name="SAPBEXaggData 5 16" xfId="30619"/>
    <cellStyle name="SAPBEXaggData 5 17" xfId="30620"/>
    <cellStyle name="SAPBEXaggData 5 18" xfId="30621"/>
    <cellStyle name="SAPBEXaggData 5 19" xfId="30622"/>
    <cellStyle name="SAPBEXaggData 5 2" xfId="30623"/>
    <cellStyle name="SAPBEXaggData 5 2 10" xfId="30624"/>
    <cellStyle name="SAPBEXaggData 5 2 11" xfId="30625"/>
    <cellStyle name="SAPBEXaggData 5 2 12" xfId="30626"/>
    <cellStyle name="SAPBEXaggData 5 2 13" xfId="30627"/>
    <cellStyle name="SAPBEXaggData 5 2 14" xfId="30628"/>
    <cellStyle name="SAPBEXaggData 5 2 15" xfId="30629"/>
    <cellStyle name="SAPBEXaggData 5 2 16" xfId="30630"/>
    <cellStyle name="SAPBEXaggData 5 2 17" xfId="30631"/>
    <cellStyle name="SAPBEXaggData 5 2 18" xfId="30632"/>
    <cellStyle name="SAPBEXaggData 5 2 2" xfId="30633"/>
    <cellStyle name="SAPBEXaggData 5 2 2 2" xfId="30634"/>
    <cellStyle name="SAPBEXaggData 5 2 2 2 2" xfId="30635"/>
    <cellStyle name="SAPBEXaggData 5 2 2 3" xfId="30636"/>
    <cellStyle name="SAPBEXaggData 5 2 2 4" xfId="30637"/>
    <cellStyle name="SAPBEXaggData 5 2 3" xfId="30638"/>
    <cellStyle name="SAPBEXaggData 5 2 3 2" xfId="30639"/>
    <cellStyle name="SAPBEXaggData 5 2 3 3" xfId="30640"/>
    <cellStyle name="SAPBEXaggData 5 2 4" xfId="30641"/>
    <cellStyle name="SAPBEXaggData 5 2 4 2" xfId="30642"/>
    <cellStyle name="SAPBEXaggData 5 2 5" xfId="30643"/>
    <cellStyle name="SAPBEXaggData 5 2 6" xfId="30644"/>
    <cellStyle name="SAPBEXaggData 5 2 7" xfId="30645"/>
    <cellStyle name="SAPBEXaggData 5 2 8" xfId="30646"/>
    <cellStyle name="SAPBEXaggData 5 2 9" xfId="30647"/>
    <cellStyle name="SAPBEXaggData 5 20" xfId="30648"/>
    <cellStyle name="SAPBEXaggData 5 21" xfId="30649"/>
    <cellStyle name="SAPBEXaggData 5 22" xfId="30650"/>
    <cellStyle name="SAPBEXaggData 5 3" xfId="30651"/>
    <cellStyle name="SAPBEXaggData 5 3 10" xfId="30652"/>
    <cellStyle name="SAPBEXaggData 5 3 11" xfId="30653"/>
    <cellStyle name="SAPBEXaggData 5 3 12" xfId="30654"/>
    <cellStyle name="SAPBEXaggData 5 3 13" xfId="30655"/>
    <cellStyle name="SAPBEXaggData 5 3 14" xfId="30656"/>
    <cellStyle name="SAPBEXaggData 5 3 15" xfId="30657"/>
    <cellStyle name="SAPBEXaggData 5 3 16" xfId="30658"/>
    <cellStyle name="SAPBEXaggData 5 3 17" xfId="30659"/>
    <cellStyle name="SAPBEXaggData 5 3 18" xfId="30660"/>
    <cellStyle name="SAPBEXaggData 5 3 2" xfId="30661"/>
    <cellStyle name="SAPBEXaggData 5 3 2 2" xfId="30662"/>
    <cellStyle name="SAPBEXaggData 5 3 2 2 2" xfId="30663"/>
    <cellStyle name="SAPBEXaggData 5 3 2 3" xfId="30664"/>
    <cellStyle name="SAPBEXaggData 5 3 2 4" xfId="30665"/>
    <cellStyle name="SAPBEXaggData 5 3 3" xfId="30666"/>
    <cellStyle name="SAPBEXaggData 5 3 3 2" xfId="30667"/>
    <cellStyle name="SAPBEXaggData 5 3 3 3" xfId="30668"/>
    <cellStyle name="SAPBEXaggData 5 3 4" xfId="30669"/>
    <cellStyle name="SAPBEXaggData 5 3 4 2" xfId="30670"/>
    <cellStyle name="SAPBEXaggData 5 3 5" xfId="30671"/>
    <cellStyle name="SAPBEXaggData 5 3 6" xfId="30672"/>
    <cellStyle name="SAPBEXaggData 5 3 7" xfId="30673"/>
    <cellStyle name="SAPBEXaggData 5 3 8" xfId="30674"/>
    <cellStyle name="SAPBEXaggData 5 3 9" xfId="30675"/>
    <cellStyle name="SAPBEXaggData 5 4" xfId="30676"/>
    <cellStyle name="SAPBEXaggData 5 4 2" xfId="30677"/>
    <cellStyle name="SAPBEXaggData 5 4 2 2" xfId="30678"/>
    <cellStyle name="SAPBEXaggData 5 4 2 3" xfId="30679"/>
    <cellStyle name="SAPBEXaggData 5 4 3" xfId="30680"/>
    <cellStyle name="SAPBEXaggData 5 4 3 2" xfId="30681"/>
    <cellStyle name="SAPBEXaggData 5 4 4" xfId="30682"/>
    <cellStyle name="SAPBEXaggData 5 4 5" xfId="30683"/>
    <cellStyle name="SAPBEXaggData 5 5" xfId="30684"/>
    <cellStyle name="SAPBEXaggData 5 5 2" xfId="30685"/>
    <cellStyle name="SAPBEXaggData 5 5 2 2" xfId="30686"/>
    <cellStyle name="SAPBEXaggData 5 5 3" xfId="30687"/>
    <cellStyle name="SAPBEXaggData 5 5 4" xfId="30688"/>
    <cellStyle name="SAPBEXaggData 5 6" xfId="30689"/>
    <cellStyle name="SAPBEXaggData 5 6 2" xfId="30690"/>
    <cellStyle name="SAPBEXaggData 5 6 3" xfId="30691"/>
    <cellStyle name="SAPBEXaggData 5 7" xfId="30692"/>
    <cellStyle name="SAPBEXaggData 5 7 2" xfId="30693"/>
    <cellStyle name="SAPBEXaggData 5 8" xfId="30694"/>
    <cellStyle name="SAPBEXaggData 5 9" xfId="30695"/>
    <cellStyle name="SAPBEXaggData 6" xfId="30696"/>
    <cellStyle name="SAPBEXaggData 6 10" xfId="30697"/>
    <cellStyle name="SAPBEXaggData 6 11" xfId="30698"/>
    <cellStyle name="SAPBEXaggData 6 12" xfId="30699"/>
    <cellStyle name="SAPBEXaggData 6 13" xfId="30700"/>
    <cellStyle name="SAPBEXaggData 6 14" xfId="30701"/>
    <cellStyle name="SAPBEXaggData 6 15" xfId="30702"/>
    <cellStyle name="SAPBEXaggData 6 2" xfId="30703"/>
    <cellStyle name="SAPBEXaggData 6 2 10" xfId="30704"/>
    <cellStyle name="SAPBEXaggData 6 2 11" xfId="30705"/>
    <cellStyle name="SAPBEXaggData 6 2 12" xfId="30706"/>
    <cellStyle name="SAPBEXaggData 6 2 13" xfId="30707"/>
    <cellStyle name="SAPBEXaggData 6 2 14" xfId="30708"/>
    <cellStyle name="SAPBEXaggData 6 2 15" xfId="30709"/>
    <cellStyle name="SAPBEXaggData 6 2 16" xfId="30710"/>
    <cellStyle name="SAPBEXaggData 6 2 17" xfId="30711"/>
    <cellStyle name="SAPBEXaggData 6 2 18" xfId="30712"/>
    <cellStyle name="SAPBEXaggData 6 2 2" xfId="30713"/>
    <cellStyle name="SAPBEXaggData 6 2 2 2" xfId="30714"/>
    <cellStyle name="SAPBEXaggData 6 2 2 2 2" xfId="30715"/>
    <cellStyle name="SAPBEXaggData 6 2 2 3" xfId="30716"/>
    <cellStyle name="SAPBEXaggData 6 2 2 4" xfId="30717"/>
    <cellStyle name="SAPBEXaggData 6 2 3" xfId="30718"/>
    <cellStyle name="SAPBEXaggData 6 2 3 2" xfId="30719"/>
    <cellStyle name="SAPBEXaggData 6 2 3 3" xfId="30720"/>
    <cellStyle name="SAPBEXaggData 6 2 4" xfId="30721"/>
    <cellStyle name="SAPBEXaggData 6 2 4 2" xfId="30722"/>
    <cellStyle name="SAPBEXaggData 6 2 5" xfId="30723"/>
    <cellStyle name="SAPBEXaggData 6 2 6" xfId="30724"/>
    <cellStyle name="SAPBEXaggData 6 2 7" xfId="30725"/>
    <cellStyle name="SAPBEXaggData 6 2 8" xfId="30726"/>
    <cellStyle name="SAPBEXaggData 6 2 9" xfId="30727"/>
    <cellStyle name="SAPBEXaggData 6 3" xfId="30728"/>
    <cellStyle name="SAPBEXaggData 6 3 10" xfId="30729"/>
    <cellStyle name="SAPBEXaggData 6 3 11" xfId="30730"/>
    <cellStyle name="SAPBEXaggData 6 3 12" xfId="30731"/>
    <cellStyle name="SAPBEXaggData 6 3 13" xfId="30732"/>
    <cellStyle name="SAPBEXaggData 6 3 14" xfId="30733"/>
    <cellStyle name="SAPBEXaggData 6 3 15" xfId="30734"/>
    <cellStyle name="SAPBEXaggData 6 3 16" xfId="30735"/>
    <cellStyle name="SAPBEXaggData 6 3 17" xfId="30736"/>
    <cellStyle name="SAPBEXaggData 6 3 18" xfId="30737"/>
    <cellStyle name="SAPBEXaggData 6 3 2" xfId="30738"/>
    <cellStyle name="SAPBEXaggData 6 3 2 2" xfId="30739"/>
    <cellStyle name="SAPBEXaggData 6 3 2 2 2" xfId="30740"/>
    <cellStyle name="SAPBEXaggData 6 3 2 3" xfId="30741"/>
    <cellStyle name="SAPBEXaggData 6 3 2 4" xfId="30742"/>
    <cellStyle name="SAPBEXaggData 6 3 3" xfId="30743"/>
    <cellStyle name="SAPBEXaggData 6 3 3 2" xfId="30744"/>
    <cellStyle name="SAPBEXaggData 6 3 3 3" xfId="30745"/>
    <cellStyle name="SAPBEXaggData 6 3 4" xfId="30746"/>
    <cellStyle name="SAPBEXaggData 6 3 4 2" xfId="30747"/>
    <cellStyle name="SAPBEXaggData 6 3 5" xfId="30748"/>
    <cellStyle name="SAPBEXaggData 6 3 6" xfId="30749"/>
    <cellStyle name="SAPBEXaggData 6 3 7" xfId="30750"/>
    <cellStyle name="SAPBEXaggData 6 3 8" xfId="30751"/>
    <cellStyle name="SAPBEXaggData 6 3 9" xfId="30752"/>
    <cellStyle name="SAPBEXaggData 6 4" xfId="30753"/>
    <cellStyle name="SAPBEXaggData 6 4 2" xfId="30754"/>
    <cellStyle name="SAPBEXaggData 6 4 2 2" xfId="30755"/>
    <cellStyle name="SAPBEXaggData 6 4 3" xfId="30756"/>
    <cellStyle name="SAPBEXaggData 6 4 4" xfId="30757"/>
    <cellStyle name="SAPBEXaggData 6 5" xfId="30758"/>
    <cellStyle name="SAPBEXaggData 6 5 2" xfId="30759"/>
    <cellStyle name="SAPBEXaggData 6 6" xfId="30760"/>
    <cellStyle name="SAPBEXaggData 6 7" xfId="30761"/>
    <cellStyle name="SAPBEXaggData 6 8" xfId="30762"/>
    <cellStyle name="SAPBEXaggData 6 9" xfId="30763"/>
    <cellStyle name="SAPBEXaggData 7" xfId="30764"/>
    <cellStyle name="SAPBEXaggData 7 10" xfId="30765"/>
    <cellStyle name="SAPBEXaggData 7 11" xfId="30766"/>
    <cellStyle name="SAPBEXaggData 7 12" xfId="30767"/>
    <cellStyle name="SAPBEXaggData 7 13" xfId="30768"/>
    <cellStyle name="SAPBEXaggData 7 14" xfId="30769"/>
    <cellStyle name="SAPBEXaggData 7 15" xfId="30770"/>
    <cellStyle name="SAPBEXaggData 7 16" xfId="30771"/>
    <cellStyle name="SAPBEXaggData 7 17" xfId="30772"/>
    <cellStyle name="SAPBEXaggData 7 18" xfId="30773"/>
    <cellStyle name="SAPBEXaggData 7 2" xfId="30774"/>
    <cellStyle name="SAPBEXaggData 7 3" xfId="30775"/>
    <cellStyle name="SAPBEXaggData 7 4" xfId="30776"/>
    <cellStyle name="SAPBEXaggData 7 5" xfId="30777"/>
    <cellStyle name="SAPBEXaggData 7 6" xfId="30778"/>
    <cellStyle name="SAPBEXaggData 7 7" xfId="30779"/>
    <cellStyle name="SAPBEXaggData 7 8" xfId="30780"/>
    <cellStyle name="SAPBEXaggData 7 9" xfId="30781"/>
    <cellStyle name="SAPBEXaggData 8" xfId="30782"/>
    <cellStyle name="SAPBEXaggData 9" xfId="30783"/>
    <cellStyle name="SAPBEXaggDataEmph" xfId="30784"/>
    <cellStyle name="SAPBEXaggDataEmph 10" xfId="30785"/>
    <cellStyle name="SAPBEXaggDataEmph 11" xfId="30786"/>
    <cellStyle name="SAPBEXaggDataEmph 12" xfId="30787"/>
    <cellStyle name="SAPBEXaggDataEmph 13" xfId="30788"/>
    <cellStyle name="SAPBEXaggDataEmph 14" xfId="30789"/>
    <cellStyle name="SAPBEXaggDataEmph 15" xfId="30790"/>
    <cellStyle name="SAPBEXaggDataEmph 16" xfId="30791"/>
    <cellStyle name="SAPBEXaggDataEmph 17" xfId="30792"/>
    <cellStyle name="SAPBEXaggDataEmph 18" xfId="30793"/>
    <cellStyle name="SAPBEXaggDataEmph 19" xfId="30794"/>
    <cellStyle name="SAPBEXaggDataEmph 2" xfId="30795"/>
    <cellStyle name="SAPBEXaggDataEmph 2 10" xfId="30796"/>
    <cellStyle name="SAPBEXaggDataEmph 2 11" xfId="30797"/>
    <cellStyle name="SAPBEXaggDataEmph 2 12" xfId="30798"/>
    <cellStyle name="SAPBEXaggDataEmph 2 13" xfId="30799"/>
    <cellStyle name="SAPBEXaggDataEmph 2 14" xfId="30800"/>
    <cellStyle name="SAPBEXaggDataEmph 2 15" xfId="30801"/>
    <cellStyle name="SAPBEXaggDataEmph 2 16" xfId="30802"/>
    <cellStyle name="SAPBEXaggDataEmph 2 17" xfId="30803"/>
    <cellStyle name="SAPBEXaggDataEmph 2 18" xfId="30804"/>
    <cellStyle name="SAPBEXaggDataEmph 2 19" xfId="30805"/>
    <cellStyle name="SAPBEXaggDataEmph 2 2" xfId="30806"/>
    <cellStyle name="SAPBEXaggDataEmph 2 2 10" xfId="30807"/>
    <cellStyle name="SAPBEXaggDataEmph 2 2 11" xfId="30808"/>
    <cellStyle name="SAPBEXaggDataEmph 2 2 12" xfId="30809"/>
    <cellStyle name="SAPBEXaggDataEmph 2 2 13" xfId="30810"/>
    <cellStyle name="SAPBEXaggDataEmph 2 2 14" xfId="30811"/>
    <cellStyle name="SAPBEXaggDataEmph 2 2 15" xfId="30812"/>
    <cellStyle name="SAPBEXaggDataEmph 2 2 16" xfId="30813"/>
    <cellStyle name="SAPBEXaggDataEmph 2 2 17" xfId="30814"/>
    <cellStyle name="SAPBEXaggDataEmph 2 2 18" xfId="30815"/>
    <cellStyle name="SAPBEXaggDataEmph 2 2 2" xfId="30816"/>
    <cellStyle name="SAPBEXaggDataEmph 2 2 2 2" xfId="30817"/>
    <cellStyle name="SAPBEXaggDataEmph 2 2 2 2 2" xfId="30818"/>
    <cellStyle name="SAPBEXaggDataEmph 2 2 2 3" xfId="30819"/>
    <cellStyle name="SAPBEXaggDataEmph 2 2 2 4" xfId="30820"/>
    <cellStyle name="SAPBEXaggDataEmph 2 2 3" xfId="30821"/>
    <cellStyle name="SAPBEXaggDataEmph 2 2 3 2" xfId="30822"/>
    <cellStyle name="SAPBEXaggDataEmph 2 2 3 3" xfId="30823"/>
    <cellStyle name="SAPBEXaggDataEmph 2 2 4" xfId="30824"/>
    <cellStyle name="SAPBEXaggDataEmph 2 2 4 2" xfId="30825"/>
    <cellStyle name="SAPBEXaggDataEmph 2 2 5" xfId="30826"/>
    <cellStyle name="SAPBEXaggDataEmph 2 2 6" xfId="30827"/>
    <cellStyle name="SAPBEXaggDataEmph 2 2 7" xfId="30828"/>
    <cellStyle name="SAPBEXaggDataEmph 2 2 8" xfId="30829"/>
    <cellStyle name="SAPBEXaggDataEmph 2 2 9" xfId="30830"/>
    <cellStyle name="SAPBEXaggDataEmph 2 20" xfId="30831"/>
    <cellStyle name="SAPBEXaggDataEmph 2 21" xfId="30832"/>
    <cellStyle name="SAPBEXaggDataEmph 2 22" xfId="30833"/>
    <cellStyle name="SAPBEXaggDataEmph 2 23" xfId="30834"/>
    <cellStyle name="SAPBEXaggDataEmph 2 24" xfId="30835"/>
    <cellStyle name="SAPBEXaggDataEmph 2 3" xfId="30836"/>
    <cellStyle name="SAPBEXaggDataEmph 2 3 10" xfId="30837"/>
    <cellStyle name="SAPBEXaggDataEmph 2 3 11" xfId="30838"/>
    <cellStyle name="SAPBEXaggDataEmph 2 3 12" xfId="30839"/>
    <cellStyle name="SAPBEXaggDataEmph 2 3 13" xfId="30840"/>
    <cellStyle name="SAPBEXaggDataEmph 2 3 14" xfId="30841"/>
    <cellStyle name="SAPBEXaggDataEmph 2 3 15" xfId="30842"/>
    <cellStyle name="SAPBEXaggDataEmph 2 3 16" xfId="30843"/>
    <cellStyle name="SAPBEXaggDataEmph 2 3 17" xfId="30844"/>
    <cellStyle name="SAPBEXaggDataEmph 2 3 18" xfId="30845"/>
    <cellStyle name="SAPBEXaggDataEmph 2 3 2" xfId="30846"/>
    <cellStyle name="SAPBEXaggDataEmph 2 3 2 2" xfId="30847"/>
    <cellStyle name="SAPBEXaggDataEmph 2 3 2 2 2" xfId="30848"/>
    <cellStyle name="SAPBEXaggDataEmph 2 3 2 3" xfId="30849"/>
    <cellStyle name="SAPBEXaggDataEmph 2 3 2 4" xfId="30850"/>
    <cellStyle name="SAPBEXaggDataEmph 2 3 3" xfId="30851"/>
    <cellStyle name="SAPBEXaggDataEmph 2 3 3 2" xfId="30852"/>
    <cellStyle name="SAPBEXaggDataEmph 2 3 3 3" xfId="30853"/>
    <cellStyle name="SAPBEXaggDataEmph 2 3 4" xfId="30854"/>
    <cellStyle name="SAPBEXaggDataEmph 2 3 4 2" xfId="30855"/>
    <cellStyle name="SAPBEXaggDataEmph 2 3 5" xfId="30856"/>
    <cellStyle name="SAPBEXaggDataEmph 2 3 6" xfId="30857"/>
    <cellStyle name="SAPBEXaggDataEmph 2 3 7" xfId="30858"/>
    <cellStyle name="SAPBEXaggDataEmph 2 3 8" xfId="30859"/>
    <cellStyle name="SAPBEXaggDataEmph 2 3 9" xfId="30860"/>
    <cellStyle name="SAPBEXaggDataEmph 2 4" xfId="30861"/>
    <cellStyle name="SAPBEXaggDataEmph 2 4 2" xfId="30862"/>
    <cellStyle name="SAPBEXaggDataEmph 2 4 2 2" xfId="30863"/>
    <cellStyle name="SAPBEXaggDataEmph 2 4 2 3" xfId="30864"/>
    <cellStyle name="SAPBEXaggDataEmph 2 4 3" xfId="30865"/>
    <cellStyle name="SAPBEXaggDataEmph 2 4 3 2" xfId="30866"/>
    <cellStyle name="SAPBEXaggDataEmph 2 4 4" xfId="30867"/>
    <cellStyle name="SAPBEXaggDataEmph 2 4 5" xfId="30868"/>
    <cellStyle name="SAPBEXaggDataEmph 2 5" xfId="30869"/>
    <cellStyle name="SAPBEXaggDataEmph 2 5 2" xfId="30870"/>
    <cellStyle name="SAPBEXaggDataEmph 2 5 2 2" xfId="30871"/>
    <cellStyle name="SAPBEXaggDataEmph 2 5 3" xfId="30872"/>
    <cellStyle name="SAPBEXaggDataEmph 2 5 4" xfId="30873"/>
    <cellStyle name="SAPBEXaggDataEmph 2 6" xfId="30874"/>
    <cellStyle name="SAPBEXaggDataEmph 2 6 2" xfId="30875"/>
    <cellStyle name="SAPBEXaggDataEmph 2 6 3" xfId="30876"/>
    <cellStyle name="SAPBEXaggDataEmph 2 7" xfId="30877"/>
    <cellStyle name="SAPBEXaggDataEmph 2 7 2" xfId="30878"/>
    <cellStyle name="SAPBEXaggDataEmph 2 8" xfId="30879"/>
    <cellStyle name="SAPBEXaggDataEmph 2 9" xfId="30880"/>
    <cellStyle name="SAPBEXaggDataEmph 3" xfId="30881"/>
    <cellStyle name="SAPBEXaggDataEmph 3 10" xfId="30882"/>
    <cellStyle name="SAPBEXaggDataEmph 3 11" xfId="30883"/>
    <cellStyle name="SAPBEXaggDataEmph 3 12" xfId="30884"/>
    <cellStyle name="SAPBEXaggDataEmph 3 13" xfId="30885"/>
    <cellStyle name="SAPBEXaggDataEmph 3 14" xfId="30886"/>
    <cellStyle name="SAPBEXaggDataEmph 3 15" xfId="30887"/>
    <cellStyle name="SAPBEXaggDataEmph 3 16" xfId="30888"/>
    <cellStyle name="SAPBEXaggDataEmph 3 17" xfId="30889"/>
    <cellStyle name="SAPBEXaggDataEmph 3 18" xfId="30890"/>
    <cellStyle name="SAPBEXaggDataEmph 3 19" xfId="30891"/>
    <cellStyle name="SAPBEXaggDataEmph 3 2" xfId="30892"/>
    <cellStyle name="SAPBEXaggDataEmph 3 2 10" xfId="30893"/>
    <cellStyle name="SAPBEXaggDataEmph 3 2 11" xfId="30894"/>
    <cellStyle name="SAPBEXaggDataEmph 3 2 12" xfId="30895"/>
    <cellStyle name="SAPBEXaggDataEmph 3 2 13" xfId="30896"/>
    <cellStyle name="SAPBEXaggDataEmph 3 2 14" xfId="30897"/>
    <cellStyle name="SAPBEXaggDataEmph 3 2 15" xfId="30898"/>
    <cellStyle name="SAPBEXaggDataEmph 3 2 16" xfId="30899"/>
    <cellStyle name="SAPBEXaggDataEmph 3 2 17" xfId="30900"/>
    <cellStyle name="SAPBEXaggDataEmph 3 2 18" xfId="30901"/>
    <cellStyle name="SAPBEXaggDataEmph 3 2 2" xfId="30902"/>
    <cellStyle name="SAPBEXaggDataEmph 3 2 2 2" xfId="30903"/>
    <cellStyle name="SAPBEXaggDataEmph 3 2 2 2 2" xfId="30904"/>
    <cellStyle name="SAPBEXaggDataEmph 3 2 2 3" xfId="30905"/>
    <cellStyle name="SAPBEXaggDataEmph 3 2 2 4" xfId="30906"/>
    <cellStyle name="SAPBEXaggDataEmph 3 2 3" xfId="30907"/>
    <cellStyle name="SAPBEXaggDataEmph 3 2 3 2" xfId="30908"/>
    <cellStyle name="SAPBEXaggDataEmph 3 2 3 3" xfId="30909"/>
    <cellStyle name="SAPBEXaggDataEmph 3 2 4" xfId="30910"/>
    <cellStyle name="SAPBEXaggDataEmph 3 2 4 2" xfId="30911"/>
    <cellStyle name="SAPBEXaggDataEmph 3 2 5" xfId="30912"/>
    <cellStyle name="SAPBEXaggDataEmph 3 2 6" xfId="30913"/>
    <cellStyle name="SAPBEXaggDataEmph 3 2 7" xfId="30914"/>
    <cellStyle name="SAPBEXaggDataEmph 3 2 8" xfId="30915"/>
    <cellStyle name="SAPBEXaggDataEmph 3 2 9" xfId="30916"/>
    <cellStyle name="SAPBEXaggDataEmph 3 20" xfId="30917"/>
    <cellStyle name="SAPBEXaggDataEmph 3 3" xfId="30918"/>
    <cellStyle name="SAPBEXaggDataEmph 3 3 10" xfId="30919"/>
    <cellStyle name="SAPBEXaggDataEmph 3 3 11" xfId="30920"/>
    <cellStyle name="SAPBEXaggDataEmph 3 3 12" xfId="30921"/>
    <cellStyle name="SAPBEXaggDataEmph 3 3 13" xfId="30922"/>
    <cellStyle name="SAPBEXaggDataEmph 3 3 14" xfId="30923"/>
    <cellStyle name="SAPBEXaggDataEmph 3 3 15" xfId="30924"/>
    <cellStyle name="SAPBEXaggDataEmph 3 3 16" xfId="30925"/>
    <cellStyle name="SAPBEXaggDataEmph 3 3 17" xfId="30926"/>
    <cellStyle name="SAPBEXaggDataEmph 3 3 18" xfId="30927"/>
    <cellStyle name="SAPBEXaggDataEmph 3 3 2" xfId="30928"/>
    <cellStyle name="SAPBEXaggDataEmph 3 3 2 2" xfId="30929"/>
    <cellStyle name="SAPBEXaggDataEmph 3 3 2 2 2" xfId="30930"/>
    <cellStyle name="SAPBEXaggDataEmph 3 3 2 3" xfId="30931"/>
    <cellStyle name="SAPBEXaggDataEmph 3 3 2 4" xfId="30932"/>
    <cellStyle name="SAPBEXaggDataEmph 3 3 3" xfId="30933"/>
    <cellStyle name="SAPBEXaggDataEmph 3 3 3 2" xfId="30934"/>
    <cellStyle name="SAPBEXaggDataEmph 3 3 3 3" xfId="30935"/>
    <cellStyle name="SAPBEXaggDataEmph 3 3 4" xfId="30936"/>
    <cellStyle name="SAPBEXaggDataEmph 3 3 4 2" xfId="30937"/>
    <cellStyle name="SAPBEXaggDataEmph 3 3 5" xfId="30938"/>
    <cellStyle name="SAPBEXaggDataEmph 3 3 6" xfId="30939"/>
    <cellStyle name="SAPBEXaggDataEmph 3 3 7" xfId="30940"/>
    <cellStyle name="SAPBEXaggDataEmph 3 3 8" xfId="30941"/>
    <cellStyle name="SAPBEXaggDataEmph 3 3 9" xfId="30942"/>
    <cellStyle name="SAPBEXaggDataEmph 3 4" xfId="30943"/>
    <cellStyle name="SAPBEXaggDataEmph 3 4 2" xfId="30944"/>
    <cellStyle name="SAPBEXaggDataEmph 3 4 2 2" xfId="30945"/>
    <cellStyle name="SAPBEXaggDataEmph 3 4 2 3" xfId="30946"/>
    <cellStyle name="SAPBEXaggDataEmph 3 4 3" xfId="30947"/>
    <cellStyle name="SAPBEXaggDataEmph 3 4 3 2" xfId="30948"/>
    <cellStyle name="SAPBEXaggDataEmph 3 4 4" xfId="30949"/>
    <cellStyle name="SAPBEXaggDataEmph 3 4 5" xfId="30950"/>
    <cellStyle name="SAPBEXaggDataEmph 3 5" xfId="30951"/>
    <cellStyle name="SAPBEXaggDataEmph 3 5 2" xfId="30952"/>
    <cellStyle name="SAPBEXaggDataEmph 3 5 2 2" xfId="30953"/>
    <cellStyle name="SAPBEXaggDataEmph 3 5 3" xfId="30954"/>
    <cellStyle name="SAPBEXaggDataEmph 3 5 4" xfId="30955"/>
    <cellStyle name="SAPBEXaggDataEmph 3 6" xfId="30956"/>
    <cellStyle name="SAPBEXaggDataEmph 3 6 2" xfId="30957"/>
    <cellStyle name="SAPBEXaggDataEmph 3 6 3" xfId="30958"/>
    <cellStyle name="SAPBEXaggDataEmph 3 7" xfId="30959"/>
    <cellStyle name="SAPBEXaggDataEmph 3 7 2" xfId="30960"/>
    <cellStyle name="SAPBEXaggDataEmph 3 8" xfId="30961"/>
    <cellStyle name="SAPBEXaggDataEmph 3 9" xfId="30962"/>
    <cellStyle name="SAPBEXaggDataEmph 4" xfId="30963"/>
    <cellStyle name="SAPBEXaggDataEmph 4 10" xfId="30964"/>
    <cellStyle name="SAPBEXaggDataEmph 4 11" xfId="30965"/>
    <cellStyle name="SAPBEXaggDataEmph 4 12" xfId="30966"/>
    <cellStyle name="SAPBEXaggDataEmph 4 13" xfId="30967"/>
    <cellStyle name="SAPBEXaggDataEmph 4 14" xfId="30968"/>
    <cellStyle name="SAPBEXaggDataEmph 4 15" xfId="30969"/>
    <cellStyle name="SAPBEXaggDataEmph 4 16" xfId="30970"/>
    <cellStyle name="SAPBEXaggDataEmph 4 17" xfId="30971"/>
    <cellStyle name="SAPBEXaggDataEmph 4 18" xfId="30972"/>
    <cellStyle name="SAPBEXaggDataEmph 4 19" xfId="30973"/>
    <cellStyle name="SAPBEXaggDataEmph 4 2" xfId="30974"/>
    <cellStyle name="SAPBEXaggDataEmph 4 2 10" xfId="30975"/>
    <cellStyle name="SAPBEXaggDataEmph 4 2 11" xfId="30976"/>
    <cellStyle name="SAPBEXaggDataEmph 4 2 12" xfId="30977"/>
    <cellStyle name="SAPBEXaggDataEmph 4 2 13" xfId="30978"/>
    <cellStyle name="SAPBEXaggDataEmph 4 2 14" xfId="30979"/>
    <cellStyle name="SAPBEXaggDataEmph 4 2 15" xfId="30980"/>
    <cellStyle name="SAPBEXaggDataEmph 4 2 16" xfId="30981"/>
    <cellStyle name="SAPBEXaggDataEmph 4 2 17" xfId="30982"/>
    <cellStyle name="SAPBEXaggDataEmph 4 2 18" xfId="30983"/>
    <cellStyle name="SAPBEXaggDataEmph 4 2 2" xfId="30984"/>
    <cellStyle name="SAPBEXaggDataEmph 4 2 2 2" xfId="30985"/>
    <cellStyle name="SAPBEXaggDataEmph 4 2 2 2 2" xfId="30986"/>
    <cellStyle name="SAPBEXaggDataEmph 4 2 2 3" xfId="30987"/>
    <cellStyle name="SAPBEXaggDataEmph 4 2 2 4" xfId="30988"/>
    <cellStyle name="SAPBEXaggDataEmph 4 2 3" xfId="30989"/>
    <cellStyle name="SAPBEXaggDataEmph 4 2 3 2" xfId="30990"/>
    <cellStyle name="SAPBEXaggDataEmph 4 2 3 3" xfId="30991"/>
    <cellStyle name="SAPBEXaggDataEmph 4 2 4" xfId="30992"/>
    <cellStyle name="SAPBEXaggDataEmph 4 2 4 2" xfId="30993"/>
    <cellStyle name="SAPBEXaggDataEmph 4 2 5" xfId="30994"/>
    <cellStyle name="SAPBEXaggDataEmph 4 2 6" xfId="30995"/>
    <cellStyle name="SAPBEXaggDataEmph 4 2 7" xfId="30996"/>
    <cellStyle name="SAPBEXaggDataEmph 4 2 8" xfId="30997"/>
    <cellStyle name="SAPBEXaggDataEmph 4 2 9" xfId="30998"/>
    <cellStyle name="SAPBEXaggDataEmph 4 20" xfId="30999"/>
    <cellStyle name="SAPBEXaggDataEmph 4 21" xfId="31000"/>
    <cellStyle name="SAPBEXaggDataEmph 4 22" xfId="31001"/>
    <cellStyle name="SAPBEXaggDataEmph 4 3" xfId="31002"/>
    <cellStyle name="SAPBEXaggDataEmph 4 3 10" xfId="31003"/>
    <cellStyle name="SAPBEXaggDataEmph 4 3 11" xfId="31004"/>
    <cellStyle name="SAPBEXaggDataEmph 4 3 12" xfId="31005"/>
    <cellStyle name="SAPBEXaggDataEmph 4 3 13" xfId="31006"/>
    <cellStyle name="SAPBEXaggDataEmph 4 3 14" xfId="31007"/>
    <cellStyle name="SAPBEXaggDataEmph 4 3 15" xfId="31008"/>
    <cellStyle name="SAPBEXaggDataEmph 4 3 16" xfId="31009"/>
    <cellStyle name="SAPBEXaggDataEmph 4 3 17" xfId="31010"/>
    <cellStyle name="SAPBEXaggDataEmph 4 3 18" xfId="31011"/>
    <cellStyle name="SAPBEXaggDataEmph 4 3 2" xfId="31012"/>
    <cellStyle name="SAPBEXaggDataEmph 4 3 2 2" xfId="31013"/>
    <cellStyle name="SAPBEXaggDataEmph 4 3 2 2 2" xfId="31014"/>
    <cellStyle name="SAPBEXaggDataEmph 4 3 2 3" xfId="31015"/>
    <cellStyle name="SAPBEXaggDataEmph 4 3 2 4" xfId="31016"/>
    <cellStyle name="SAPBEXaggDataEmph 4 3 3" xfId="31017"/>
    <cellStyle name="SAPBEXaggDataEmph 4 3 3 2" xfId="31018"/>
    <cellStyle name="SAPBEXaggDataEmph 4 3 3 3" xfId="31019"/>
    <cellStyle name="SAPBEXaggDataEmph 4 3 4" xfId="31020"/>
    <cellStyle name="SAPBEXaggDataEmph 4 3 4 2" xfId="31021"/>
    <cellStyle name="SAPBEXaggDataEmph 4 3 5" xfId="31022"/>
    <cellStyle name="SAPBEXaggDataEmph 4 3 6" xfId="31023"/>
    <cellStyle name="SAPBEXaggDataEmph 4 3 7" xfId="31024"/>
    <cellStyle name="SAPBEXaggDataEmph 4 3 8" xfId="31025"/>
    <cellStyle name="SAPBEXaggDataEmph 4 3 9" xfId="31026"/>
    <cellStyle name="SAPBEXaggDataEmph 4 4" xfId="31027"/>
    <cellStyle name="SAPBEXaggDataEmph 4 4 2" xfId="31028"/>
    <cellStyle name="SAPBEXaggDataEmph 4 4 2 2" xfId="31029"/>
    <cellStyle name="SAPBEXaggDataEmph 4 4 2 3" xfId="31030"/>
    <cellStyle name="SAPBEXaggDataEmph 4 4 3" xfId="31031"/>
    <cellStyle name="SAPBEXaggDataEmph 4 4 3 2" xfId="31032"/>
    <cellStyle name="SAPBEXaggDataEmph 4 4 4" xfId="31033"/>
    <cellStyle name="SAPBEXaggDataEmph 4 4 5" xfId="31034"/>
    <cellStyle name="SAPBEXaggDataEmph 4 5" xfId="31035"/>
    <cellStyle name="SAPBEXaggDataEmph 4 5 2" xfId="31036"/>
    <cellStyle name="SAPBEXaggDataEmph 4 5 2 2" xfId="31037"/>
    <cellStyle name="SAPBEXaggDataEmph 4 5 3" xfId="31038"/>
    <cellStyle name="SAPBEXaggDataEmph 4 5 4" xfId="31039"/>
    <cellStyle name="SAPBEXaggDataEmph 4 6" xfId="31040"/>
    <cellStyle name="SAPBEXaggDataEmph 4 6 2" xfId="31041"/>
    <cellStyle name="SAPBEXaggDataEmph 4 6 3" xfId="31042"/>
    <cellStyle name="SAPBEXaggDataEmph 4 7" xfId="31043"/>
    <cellStyle name="SAPBEXaggDataEmph 4 7 2" xfId="31044"/>
    <cellStyle name="SAPBEXaggDataEmph 4 8" xfId="31045"/>
    <cellStyle name="SAPBEXaggDataEmph 4 9" xfId="31046"/>
    <cellStyle name="SAPBEXaggDataEmph 5" xfId="31047"/>
    <cellStyle name="SAPBEXaggDataEmph 5 10" xfId="31048"/>
    <cellStyle name="SAPBEXaggDataEmph 5 11" xfId="31049"/>
    <cellStyle name="SAPBEXaggDataEmph 5 12" xfId="31050"/>
    <cellStyle name="SAPBEXaggDataEmph 5 13" xfId="31051"/>
    <cellStyle name="SAPBEXaggDataEmph 5 14" xfId="31052"/>
    <cellStyle name="SAPBEXaggDataEmph 5 15" xfId="31053"/>
    <cellStyle name="SAPBEXaggDataEmph 5 16" xfId="31054"/>
    <cellStyle name="SAPBEXaggDataEmph 5 17" xfId="31055"/>
    <cellStyle name="SAPBEXaggDataEmph 5 18" xfId="31056"/>
    <cellStyle name="SAPBEXaggDataEmph 5 19" xfId="31057"/>
    <cellStyle name="SAPBEXaggDataEmph 5 2" xfId="31058"/>
    <cellStyle name="SAPBEXaggDataEmph 5 2 10" xfId="31059"/>
    <cellStyle name="SAPBEXaggDataEmph 5 2 11" xfId="31060"/>
    <cellStyle name="SAPBEXaggDataEmph 5 2 12" xfId="31061"/>
    <cellStyle name="SAPBEXaggDataEmph 5 2 13" xfId="31062"/>
    <cellStyle name="SAPBEXaggDataEmph 5 2 14" xfId="31063"/>
    <cellStyle name="SAPBEXaggDataEmph 5 2 15" xfId="31064"/>
    <cellStyle name="SAPBEXaggDataEmph 5 2 16" xfId="31065"/>
    <cellStyle name="SAPBEXaggDataEmph 5 2 17" xfId="31066"/>
    <cellStyle name="SAPBEXaggDataEmph 5 2 18" xfId="31067"/>
    <cellStyle name="SAPBEXaggDataEmph 5 2 2" xfId="31068"/>
    <cellStyle name="SAPBEXaggDataEmph 5 2 2 2" xfId="31069"/>
    <cellStyle name="SAPBEXaggDataEmph 5 2 2 2 2" xfId="31070"/>
    <cellStyle name="SAPBEXaggDataEmph 5 2 2 3" xfId="31071"/>
    <cellStyle name="SAPBEXaggDataEmph 5 2 2 4" xfId="31072"/>
    <cellStyle name="SAPBEXaggDataEmph 5 2 3" xfId="31073"/>
    <cellStyle name="SAPBEXaggDataEmph 5 2 3 2" xfId="31074"/>
    <cellStyle name="SAPBEXaggDataEmph 5 2 3 3" xfId="31075"/>
    <cellStyle name="SAPBEXaggDataEmph 5 2 4" xfId="31076"/>
    <cellStyle name="SAPBEXaggDataEmph 5 2 4 2" xfId="31077"/>
    <cellStyle name="SAPBEXaggDataEmph 5 2 5" xfId="31078"/>
    <cellStyle name="SAPBEXaggDataEmph 5 2 6" xfId="31079"/>
    <cellStyle name="SAPBEXaggDataEmph 5 2 7" xfId="31080"/>
    <cellStyle name="SAPBEXaggDataEmph 5 2 8" xfId="31081"/>
    <cellStyle name="SAPBEXaggDataEmph 5 2 9" xfId="31082"/>
    <cellStyle name="SAPBEXaggDataEmph 5 20" xfId="31083"/>
    <cellStyle name="SAPBEXaggDataEmph 5 21" xfId="31084"/>
    <cellStyle name="SAPBEXaggDataEmph 5 22" xfId="31085"/>
    <cellStyle name="SAPBEXaggDataEmph 5 3" xfId="31086"/>
    <cellStyle name="SAPBEXaggDataEmph 5 3 10" xfId="31087"/>
    <cellStyle name="SAPBEXaggDataEmph 5 3 11" xfId="31088"/>
    <cellStyle name="SAPBEXaggDataEmph 5 3 12" xfId="31089"/>
    <cellStyle name="SAPBEXaggDataEmph 5 3 13" xfId="31090"/>
    <cellStyle name="SAPBEXaggDataEmph 5 3 14" xfId="31091"/>
    <cellStyle name="SAPBEXaggDataEmph 5 3 15" xfId="31092"/>
    <cellStyle name="SAPBEXaggDataEmph 5 3 16" xfId="31093"/>
    <cellStyle name="SAPBEXaggDataEmph 5 3 17" xfId="31094"/>
    <cellStyle name="SAPBEXaggDataEmph 5 3 18" xfId="31095"/>
    <cellStyle name="SAPBEXaggDataEmph 5 3 2" xfId="31096"/>
    <cellStyle name="SAPBEXaggDataEmph 5 3 2 2" xfId="31097"/>
    <cellStyle name="SAPBEXaggDataEmph 5 3 2 2 2" xfId="31098"/>
    <cellStyle name="SAPBEXaggDataEmph 5 3 2 3" xfId="31099"/>
    <cellStyle name="SAPBEXaggDataEmph 5 3 2 4" xfId="31100"/>
    <cellStyle name="SAPBEXaggDataEmph 5 3 3" xfId="31101"/>
    <cellStyle name="SAPBEXaggDataEmph 5 3 3 2" xfId="31102"/>
    <cellStyle name="SAPBEXaggDataEmph 5 3 3 3" xfId="31103"/>
    <cellStyle name="SAPBEXaggDataEmph 5 3 4" xfId="31104"/>
    <cellStyle name="SAPBEXaggDataEmph 5 3 4 2" xfId="31105"/>
    <cellStyle name="SAPBEXaggDataEmph 5 3 5" xfId="31106"/>
    <cellStyle name="SAPBEXaggDataEmph 5 3 6" xfId="31107"/>
    <cellStyle name="SAPBEXaggDataEmph 5 3 7" xfId="31108"/>
    <cellStyle name="SAPBEXaggDataEmph 5 3 8" xfId="31109"/>
    <cellStyle name="SAPBEXaggDataEmph 5 3 9" xfId="31110"/>
    <cellStyle name="SAPBEXaggDataEmph 5 4" xfId="31111"/>
    <cellStyle name="SAPBEXaggDataEmph 5 4 2" xfId="31112"/>
    <cellStyle name="SAPBEXaggDataEmph 5 4 2 2" xfId="31113"/>
    <cellStyle name="SAPBEXaggDataEmph 5 4 2 3" xfId="31114"/>
    <cellStyle name="SAPBEXaggDataEmph 5 4 3" xfId="31115"/>
    <cellStyle name="SAPBEXaggDataEmph 5 4 3 2" xfId="31116"/>
    <cellStyle name="SAPBEXaggDataEmph 5 4 4" xfId="31117"/>
    <cellStyle name="SAPBEXaggDataEmph 5 4 5" xfId="31118"/>
    <cellStyle name="SAPBEXaggDataEmph 5 5" xfId="31119"/>
    <cellStyle name="SAPBEXaggDataEmph 5 5 2" xfId="31120"/>
    <cellStyle name="SAPBEXaggDataEmph 5 5 2 2" xfId="31121"/>
    <cellStyle name="SAPBEXaggDataEmph 5 5 3" xfId="31122"/>
    <cellStyle name="SAPBEXaggDataEmph 5 5 4" xfId="31123"/>
    <cellStyle name="SAPBEXaggDataEmph 5 6" xfId="31124"/>
    <cellStyle name="SAPBEXaggDataEmph 5 6 2" xfId="31125"/>
    <cellStyle name="SAPBEXaggDataEmph 5 6 3" xfId="31126"/>
    <cellStyle name="SAPBEXaggDataEmph 5 7" xfId="31127"/>
    <cellStyle name="SAPBEXaggDataEmph 5 7 2" xfId="31128"/>
    <cellStyle name="SAPBEXaggDataEmph 5 8" xfId="31129"/>
    <cellStyle name="SAPBEXaggDataEmph 5 9" xfId="31130"/>
    <cellStyle name="SAPBEXaggDataEmph 6" xfId="31131"/>
    <cellStyle name="SAPBEXaggDataEmph 6 10" xfId="31132"/>
    <cellStyle name="SAPBEXaggDataEmph 6 11" xfId="31133"/>
    <cellStyle name="SAPBEXaggDataEmph 6 12" xfId="31134"/>
    <cellStyle name="SAPBEXaggDataEmph 6 13" xfId="31135"/>
    <cellStyle name="SAPBEXaggDataEmph 6 14" xfId="31136"/>
    <cellStyle name="SAPBEXaggDataEmph 6 15" xfId="31137"/>
    <cellStyle name="SAPBEXaggDataEmph 6 2" xfId="31138"/>
    <cellStyle name="SAPBEXaggDataEmph 6 2 10" xfId="31139"/>
    <cellStyle name="SAPBEXaggDataEmph 6 2 11" xfId="31140"/>
    <cellStyle name="SAPBEXaggDataEmph 6 2 12" xfId="31141"/>
    <cellStyle name="SAPBEXaggDataEmph 6 2 13" xfId="31142"/>
    <cellStyle name="SAPBEXaggDataEmph 6 2 14" xfId="31143"/>
    <cellStyle name="SAPBEXaggDataEmph 6 2 15" xfId="31144"/>
    <cellStyle name="SAPBEXaggDataEmph 6 2 16" xfId="31145"/>
    <cellStyle name="SAPBEXaggDataEmph 6 2 17" xfId="31146"/>
    <cellStyle name="SAPBEXaggDataEmph 6 2 18" xfId="31147"/>
    <cellStyle name="SAPBEXaggDataEmph 6 2 2" xfId="31148"/>
    <cellStyle name="SAPBEXaggDataEmph 6 2 2 2" xfId="31149"/>
    <cellStyle name="SAPBEXaggDataEmph 6 2 2 2 2" xfId="31150"/>
    <cellStyle name="SAPBEXaggDataEmph 6 2 2 3" xfId="31151"/>
    <cellStyle name="SAPBEXaggDataEmph 6 2 2 4" xfId="31152"/>
    <cellStyle name="SAPBEXaggDataEmph 6 2 3" xfId="31153"/>
    <cellStyle name="SAPBEXaggDataEmph 6 2 3 2" xfId="31154"/>
    <cellStyle name="SAPBEXaggDataEmph 6 2 3 3" xfId="31155"/>
    <cellStyle name="SAPBEXaggDataEmph 6 2 4" xfId="31156"/>
    <cellStyle name="SAPBEXaggDataEmph 6 2 4 2" xfId="31157"/>
    <cellStyle name="SAPBEXaggDataEmph 6 2 5" xfId="31158"/>
    <cellStyle name="SAPBEXaggDataEmph 6 2 6" xfId="31159"/>
    <cellStyle name="SAPBEXaggDataEmph 6 2 7" xfId="31160"/>
    <cellStyle name="SAPBEXaggDataEmph 6 2 8" xfId="31161"/>
    <cellStyle name="SAPBEXaggDataEmph 6 2 9" xfId="31162"/>
    <cellStyle name="SAPBEXaggDataEmph 6 3" xfId="31163"/>
    <cellStyle name="SAPBEXaggDataEmph 6 3 10" xfId="31164"/>
    <cellStyle name="SAPBEXaggDataEmph 6 3 11" xfId="31165"/>
    <cellStyle name="SAPBEXaggDataEmph 6 3 12" xfId="31166"/>
    <cellStyle name="SAPBEXaggDataEmph 6 3 13" xfId="31167"/>
    <cellStyle name="SAPBEXaggDataEmph 6 3 14" xfId="31168"/>
    <cellStyle name="SAPBEXaggDataEmph 6 3 15" xfId="31169"/>
    <cellStyle name="SAPBEXaggDataEmph 6 3 16" xfId="31170"/>
    <cellStyle name="SAPBEXaggDataEmph 6 3 17" xfId="31171"/>
    <cellStyle name="SAPBEXaggDataEmph 6 3 18" xfId="31172"/>
    <cellStyle name="SAPBEXaggDataEmph 6 3 2" xfId="31173"/>
    <cellStyle name="SAPBEXaggDataEmph 6 3 2 2" xfId="31174"/>
    <cellStyle name="SAPBEXaggDataEmph 6 3 2 2 2" xfId="31175"/>
    <cellStyle name="SAPBEXaggDataEmph 6 3 2 3" xfId="31176"/>
    <cellStyle name="SAPBEXaggDataEmph 6 3 2 4" xfId="31177"/>
    <cellStyle name="SAPBEXaggDataEmph 6 3 3" xfId="31178"/>
    <cellStyle name="SAPBEXaggDataEmph 6 3 3 2" xfId="31179"/>
    <cellStyle name="SAPBEXaggDataEmph 6 3 3 3" xfId="31180"/>
    <cellStyle name="SAPBEXaggDataEmph 6 3 4" xfId="31181"/>
    <cellStyle name="SAPBEXaggDataEmph 6 3 4 2" xfId="31182"/>
    <cellStyle name="SAPBEXaggDataEmph 6 3 5" xfId="31183"/>
    <cellStyle name="SAPBEXaggDataEmph 6 3 6" xfId="31184"/>
    <cellStyle name="SAPBEXaggDataEmph 6 3 7" xfId="31185"/>
    <cellStyle name="SAPBEXaggDataEmph 6 3 8" xfId="31186"/>
    <cellStyle name="SAPBEXaggDataEmph 6 3 9" xfId="31187"/>
    <cellStyle name="SAPBEXaggDataEmph 6 4" xfId="31188"/>
    <cellStyle name="SAPBEXaggDataEmph 6 4 2" xfId="31189"/>
    <cellStyle name="SAPBEXaggDataEmph 6 4 2 2" xfId="31190"/>
    <cellStyle name="SAPBEXaggDataEmph 6 4 3" xfId="31191"/>
    <cellStyle name="SAPBEXaggDataEmph 6 4 4" xfId="31192"/>
    <cellStyle name="SAPBEXaggDataEmph 6 5" xfId="31193"/>
    <cellStyle name="SAPBEXaggDataEmph 6 5 2" xfId="31194"/>
    <cellStyle name="SAPBEXaggDataEmph 6 6" xfId="31195"/>
    <cellStyle name="SAPBEXaggDataEmph 6 7" xfId="31196"/>
    <cellStyle name="SAPBEXaggDataEmph 6 8" xfId="31197"/>
    <cellStyle name="SAPBEXaggDataEmph 6 9" xfId="31198"/>
    <cellStyle name="SAPBEXaggDataEmph 7" xfId="31199"/>
    <cellStyle name="SAPBEXaggDataEmph 7 10" xfId="31200"/>
    <cellStyle name="SAPBEXaggDataEmph 7 11" xfId="31201"/>
    <cellStyle name="SAPBEXaggDataEmph 7 12" xfId="31202"/>
    <cellStyle name="SAPBEXaggDataEmph 7 13" xfId="31203"/>
    <cellStyle name="SAPBEXaggDataEmph 7 14" xfId="31204"/>
    <cellStyle name="SAPBEXaggDataEmph 7 15" xfId="31205"/>
    <cellStyle name="SAPBEXaggDataEmph 7 16" xfId="31206"/>
    <cellStyle name="SAPBEXaggDataEmph 7 17" xfId="31207"/>
    <cellStyle name="SAPBEXaggDataEmph 7 18" xfId="31208"/>
    <cellStyle name="SAPBEXaggDataEmph 7 2" xfId="31209"/>
    <cellStyle name="SAPBEXaggDataEmph 7 3" xfId="31210"/>
    <cellStyle name="SAPBEXaggDataEmph 7 4" xfId="31211"/>
    <cellStyle name="SAPBEXaggDataEmph 7 5" xfId="31212"/>
    <cellStyle name="SAPBEXaggDataEmph 7 6" xfId="31213"/>
    <cellStyle name="SAPBEXaggDataEmph 7 7" xfId="31214"/>
    <cellStyle name="SAPBEXaggDataEmph 7 8" xfId="31215"/>
    <cellStyle name="SAPBEXaggDataEmph 7 9" xfId="31216"/>
    <cellStyle name="SAPBEXaggDataEmph 8" xfId="31217"/>
    <cellStyle name="SAPBEXaggDataEmph 9" xfId="31218"/>
    <cellStyle name="SAPBEXaggItem" xfId="31219"/>
    <cellStyle name="SAPBEXaggItem 10" xfId="31220"/>
    <cellStyle name="SAPBEXaggItem 11" xfId="31221"/>
    <cellStyle name="SAPBEXaggItem 12" xfId="31222"/>
    <cellStyle name="SAPBEXaggItem 13" xfId="31223"/>
    <cellStyle name="SAPBEXaggItem 14" xfId="31224"/>
    <cellStyle name="SAPBEXaggItem 15" xfId="31225"/>
    <cellStyle name="SAPBEXaggItem 16" xfId="31226"/>
    <cellStyle name="SAPBEXaggItem 17" xfId="31227"/>
    <cellStyle name="SAPBEXaggItem 18" xfId="31228"/>
    <cellStyle name="SAPBEXaggItem 19" xfId="31229"/>
    <cellStyle name="SAPBEXaggItem 2" xfId="31230"/>
    <cellStyle name="SAPBEXaggItem 2 10" xfId="31231"/>
    <cellStyle name="SAPBEXaggItem 2 11" xfId="31232"/>
    <cellStyle name="SAPBEXaggItem 2 12" xfId="31233"/>
    <cellStyle name="SAPBEXaggItem 2 13" xfId="31234"/>
    <cellStyle name="SAPBEXaggItem 2 14" xfId="31235"/>
    <cellStyle name="SAPBEXaggItem 2 15" xfId="31236"/>
    <cellStyle name="SAPBEXaggItem 2 16" xfId="31237"/>
    <cellStyle name="SAPBEXaggItem 2 17" xfId="31238"/>
    <cellStyle name="SAPBEXaggItem 2 18" xfId="31239"/>
    <cellStyle name="SAPBEXaggItem 2 19" xfId="31240"/>
    <cellStyle name="SAPBEXaggItem 2 2" xfId="31241"/>
    <cellStyle name="SAPBEXaggItem 2 2 10" xfId="31242"/>
    <cellStyle name="SAPBEXaggItem 2 2 11" xfId="31243"/>
    <cellStyle name="SAPBEXaggItem 2 2 12" xfId="31244"/>
    <cellStyle name="SAPBEXaggItem 2 2 13" xfId="31245"/>
    <cellStyle name="SAPBEXaggItem 2 2 14" xfId="31246"/>
    <cellStyle name="SAPBEXaggItem 2 2 15" xfId="31247"/>
    <cellStyle name="SAPBEXaggItem 2 2 16" xfId="31248"/>
    <cellStyle name="SAPBEXaggItem 2 2 17" xfId="31249"/>
    <cellStyle name="SAPBEXaggItem 2 2 18" xfId="31250"/>
    <cellStyle name="SAPBEXaggItem 2 2 2" xfId="31251"/>
    <cellStyle name="SAPBEXaggItem 2 2 2 2" xfId="31252"/>
    <cellStyle name="SAPBEXaggItem 2 2 2 2 2" xfId="31253"/>
    <cellStyle name="SAPBEXaggItem 2 2 2 3" xfId="31254"/>
    <cellStyle name="SAPBEXaggItem 2 2 2 4" xfId="31255"/>
    <cellStyle name="SAPBEXaggItem 2 2 3" xfId="31256"/>
    <cellStyle name="SAPBEXaggItem 2 2 3 2" xfId="31257"/>
    <cellStyle name="SAPBEXaggItem 2 2 3 3" xfId="31258"/>
    <cellStyle name="SAPBEXaggItem 2 2 4" xfId="31259"/>
    <cellStyle name="SAPBEXaggItem 2 2 4 2" xfId="31260"/>
    <cellStyle name="SAPBEXaggItem 2 2 5" xfId="31261"/>
    <cellStyle name="SAPBEXaggItem 2 2 6" xfId="31262"/>
    <cellStyle name="SAPBEXaggItem 2 2 7" xfId="31263"/>
    <cellStyle name="SAPBEXaggItem 2 2 8" xfId="31264"/>
    <cellStyle name="SAPBEXaggItem 2 2 9" xfId="31265"/>
    <cellStyle name="SAPBEXaggItem 2 20" xfId="31266"/>
    <cellStyle name="SAPBEXaggItem 2 21" xfId="31267"/>
    <cellStyle name="SAPBEXaggItem 2 22" xfId="31268"/>
    <cellStyle name="SAPBEXaggItem 2 23" xfId="31269"/>
    <cellStyle name="SAPBEXaggItem 2 24" xfId="31270"/>
    <cellStyle name="SAPBEXaggItem 2 3" xfId="31271"/>
    <cellStyle name="SAPBEXaggItem 2 3 10" xfId="31272"/>
    <cellStyle name="SAPBEXaggItem 2 3 11" xfId="31273"/>
    <cellStyle name="SAPBEXaggItem 2 3 12" xfId="31274"/>
    <cellStyle name="SAPBEXaggItem 2 3 13" xfId="31275"/>
    <cellStyle name="SAPBEXaggItem 2 3 14" xfId="31276"/>
    <cellStyle name="SAPBEXaggItem 2 3 15" xfId="31277"/>
    <cellStyle name="SAPBEXaggItem 2 3 16" xfId="31278"/>
    <cellStyle name="SAPBEXaggItem 2 3 17" xfId="31279"/>
    <cellStyle name="SAPBEXaggItem 2 3 18" xfId="31280"/>
    <cellStyle name="SAPBEXaggItem 2 3 2" xfId="31281"/>
    <cellStyle name="SAPBEXaggItem 2 3 2 2" xfId="31282"/>
    <cellStyle name="SAPBEXaggItem 2 3 2 2 2" xfId="31283"/>
    <cellStyle name="SAPBEXaggItem 2 3 2 3" xfId="31284"/>
    <cellStyle name="SAPBEXaggItem 2 3 2 4" xfId="31285"/>
    <cellStyle name="SAPBEXaggItem 2 3 3" xfId="31286"/>
    <cellStyle name="SAPBEXaggItem 2 3 3 2" xfId="31287"/>
    <cellStyle name="SAPBEXaggItem 2 3 3 3" xfId="31288"/>
    <cellStyle name="SAPBEXaggItem 2 3 4" xfId="31289"/>
    <cellStyle name="SAPBEXaggItem 2 3 4 2" xfId="31290"/>
    <cellStyle name="SAPBEXaggItem 2 3 5" xfId="31291"/>
    <cellStyle name="SAPBEXaggItem 2 3 6" xfId="31292"/>
    <cellStyle name="SAPBEXaggItem 2 3 7" xfId="31293"/>
    <cellStyle name="SAPBEXaggItem 2 3 8" xfId="31294"/>
    <cellStyle name="SAPBEXaggItem 2 3 9" xfId="31295"/>
    <cellStyle name="SAPBEXaggItem 2 4" xfId="31296"/>
    <cellStyle name="SAPBEXaggItem 2 4 2" xfId="31297"/>
    <cellStyle name="SAPBEXaggItem 2 4 2 2" xfId="31298"/>
    <cellStyle name="SAPBEXaggItem 2 4 2 3" xfId="31299"/>
    <cellStyle name="SAPBEXaggItem 2 4 3" xfId="31300"/>
    <cellStyle name="SAPBEXaggItem 2 4 3 2" xfId="31301"/>
    <cellStyle name="SAPBEXaggItem 2 4 4" xfId="31302"/>
    <cellStyle name="SAPBEXaggItem 2 4 5" xfId="31303"/>
    <cellStyle name="SAPBEXaggItem 2 5" xfId="31304"/>
    <cellStyle name="SAPBEXaggItem 2 5 2" xfId="31305"/>
    <cellStyle name="SAPBEXaggItem 2 5 2 2" xfId="31306"/>
    <cellStyle name="SAPBEXaggItem 2 5 3" xfId="31307"/>
    <cellStyle name="SAPBEXaggItem 2 5 4" xfId="31308"/>
    <cellStyle name="SAPBEXaggItem 2 6" xfId="31309"/>
    <cellStyle name="SAPBEXaggItem 2 6 2" xfId="31310"/>
    <cellStyle name="SAPBEXaggItem 2 6 3" xfId="31311"/>
    <cellStyle name="SAPBEXaggItem 2 7" xfId="31312"/>
    <cellStyle name="SAPBEXaggItem 2 7 2" xfId="31313"/>
    <cellStyle name="SAPBEXaggItem 2 8" xfId="31314"/>
    <cellStyle name="SAPBEXaggItem 2 9" xfId="31315"/>
    <cellStyle name="SAPBEXaggItem 3" xfId="31316"/>
    <cellStyle name="SAPBEXaggItem 3 10" xfId="31317"/>
    <cellStyle name="SAPBEXaggItem 3 11" xfId="31318"/>
    <cellStyle name="SAPBEXaggItem 3 12" xfId="31319"/>
    <cellStyle name="SAPBEXaggItem 3 13" xfId="31320"/>
    <cellStyle name="SAPBEXaggItem 3 14" xfId="31321"/>
    <cellStyle name="SAPBEXaggItem 3 15" xfId="31322"/>
    <cellStyle name="SAPBEXaggItem 3 16" xfId="31323"/>
    <cellStyle name="SAPBEXaggItem 3 17" xfId="31324"/>
    <cellStyle name="SAPBEXaggItem 3 18" xfId="31325"/>
    <cellStyle name="SAPBEXaggItem 3 19" xfId="31326"/>
    <cellStyle name="SAPBEXaggItem 3 2" xfId="31327"/>
    <cellStyle name="SAPBEXaggItem 3 2 10" xfId="31328"/>
    <cellStyle name="SAPBEXaggItem 3 2 11" xfId="31329"/>
    <cellStyle name="SAPBEXaggItem 3 2 12" xfId="31330"/>
    <cellStyle name="SAPBEXaggItem 3 2 13" xfId="31331"/>
    <cellStyle name="SAPBEXaggItem 3 2 14" xfId="31332"/>
    <cellStyle name="SAPBEXaggItem 3 2 15" xfId="31333"/>
    <cellStyle name="SAPBEXaggItem 3 2 16" xfId="31334"/>
    <cellStyle name="SAPBEXaggItem 3 2 17" xfId="31335"/>
    <cellStyle name="SAPBEXaggItem 3 2 18" xfId="31336"/>
    <cellStyle name="SAPBEXaggItem 3 2 2" xfId="31337"/>
    <cellStyle name="SAPBEXaggItem 3 2 2 2" xfId="31338"/>
    <cellStyle name="SAPBEXaggItem 3 2 2 2 2" xfId="31339"/>
    <cellStyle name="SAPBEXaggItem 3 2 2 3" xfId="31340"/>
    <cellStyle name="SAPBEXaggItem 3 2 2 4" xfId="31341"/>
    <cellStyle name="SAPBEXaggItem 3 2 3" xfId="31342"/>
    <cellStyle name="SAPBEXaggItem 3 2 3 2" xfId="31343"/>
    <cellStyle name="SAPBEXaggItem 3 2 3 3" xfId="31344"/>
    <cellStyle name="SAPBEXaggItem 3 2 4" xfId="31345"/>
    <cellStyle name="SAPBEXaggItem 3 2 4 2" xfId="31346"/>
    <cellStyle name="SAPBEXaggItem 3 2 5" xfId="31347"/>
    <cellStyle name="SAPBEXaggItem 3 2 6" xfId="31348"/>
    <cellStyle name="SAPBEXaggItem 3 2 7" xfId="31349"/>
    <cellStyle name="SAPBEXaggItem 3 2 8" xfId="31350"/>
    <cellStyle name="SAPBEXaggItem 3 2 9" xfId="31351"/>
    <cellStyle name="SAPBEXaggItem 3 20" xfId="31352"/>
    <cellStyle name="SAPBEXaggItem 3 3" xfId="31353"/>
    <cellStyle name="SAPBEXaggItem 3 3 10" xfId="31354"/>
    <cellStyle name="SAPBEXaggItem 3 3 11" xfId="31355"/>
    <cellStyle name="SAPBEXaggItem 3 3 12" xfId="31356"/>
    <cellStyle name="SAPBEXaggItem 3 3 13" xfId="31357"/>
    <cellStyle name="SAPBEXaggItem 3 3 14" xfId="31358"/>
    <cellStyle name="SAPBEXaggItem 3 3 15" xfId="31359"/>
    <cellStyle name="SAPBEXaggItem 3 3 16" xfId="31360"/>
    <cellStyle name="SAPBEXaggItem 3 3 17" xfId="31361"/>
    <cellStyle name="SAPBEXaggItem 3 3 18" xfId="31362"/>
    <cellStyle name="SAPBEXaggItem 3 3 2" xfId="31363"/>
    <cellStyle name="SAPBEXaggItem 3 3 2 2" xfId="31364"/>
    <cellStyle name="SAPBEXaggItem 3 3 2 2 2" xfId="31365"/>
    <cellStyle name="SAPBEXaggItem 3 3 2 3" xfId="31366"/>
    <cellStyle name="SAPBEXaggItem 3 3 2 4" xfId="31367"/>
    <cellStyle name="SAPBEXaggItem 3 3 3" xfId="31368"/>
    <cellStyle name="SAPBEXaggItem 3 3 3 2" xfId="31369"/>
    <cellStyle name="SAPBEXaggItem 3 3 3 3" xfId="31370"/>
    <cellStyle name="SAPBEXaggItem 3 3 4" xfId="31371"/>
    <cellStyle name="SAPBEXaggItem 3 3 4 2" xfId="31372"/>
    <cellStyle name="SAPBEXaggItem 3 3 5" xfId="31373"/>
    <cellStyle name="SAPBEXaggItem 3 3 6" xfId="31374"/>
    <cellStyle name="SAPBEXaggItem 3 3 7" xfId="31375"/>
    <cellStyle name="SAPBEXaggItem 3 3 8" xfId="31376"/>
    <cellStyle name="SAPBEXaggItem 3 3 9" xfId="31377"/>
    <cellStyle name="SAPBEXaggItem 3 4" xfId="31378"/>
    <cellStyle name="SAPBEXaggItem 3 4 2" xfId="31379"/>
    <cellStyle name="SAPBEXaggItem 3 4 2 2" xfId="31380"/>
    <cellStyle name="SAPBEXaggItem 3 4 2 3" xfId="31381"/>
    <cellStyle name="SAPBEXaggItem 3 4 3" xfId="31382"/>
    <cellStyle name="SAPBEXaggItem 3 4 3 2" xfId="31383"/>
    <cellStyle name="SAPBEXaggItem 3 4 4" xfId="31384"/>
    <cellStyle name="SAPBEXaggItem 3 4 5" xfId="31385"/>
    <cellStyle name="SAPBEXaggItem 3 5" xfId="31386"/>
    <cellStyle name="SAPBEXaggItem 3 5 2" xfId="31387"/>
    <cellStyle name="SAPBEXaggItem 3 5 2 2" xfId="31388"/>
    <cellStyle name="SAPBEXaggItem 3 5 3" xfId="31389"/>
    <cellStyle name="SAPBEXaggItem 3 5 4" xfId="31390"/>
    <cellStyle name="SAPBEXaggItem 3 6" xfId="31391"/>
    <cellStyle name="SAPBEXaggItem 3 6 2" xfId="31392"/>
    <cellStyle name="SAPBEXaggItem 3 6 3" xfId="31393"/>
    <cellStyle name="SAPBEXaggItem 3 7" xfId="31394"/>
    <cellStyle name="SAPBEXaggItem 3 7 2" xfId="31395"/>
    <cellStyle name="SAPBEXaggItem 3 8" xfId="31396"/>
    <cellStyle name="SAPBEXaggItem 3 9" xfId="31397"/>
    <cellStyle name="SAPBEXaggItem 4" xfId="31398"/>
    <cellStyle name="SAPBEXaggItem 4 10" xfId="31399"/>
    <cellStyle name="SAPBEXaggItem 4 11" xfId="31400"/>
    <cellStyle name="SAPBEXaggItem 4 12" xfId="31401"/>
    <cellStyle name="SAPBEXaggItem 4 13" xfId="31402"/>
    <cellStyle name="SAPBEXaggItem 4 14" xfId="31403"/>
    <cellStyle name="SAPBEXaggItem 4 15" xfId="31404"/>
    <cellStyle name="SAPBEXaggItem 4 16" xfId="31405"/>
    <cellStyle name="SAPBEXaggItem 4 17" xfId="31406"/>
    <cellStyle name="SAPBEXaggItem 4 18" xfId="31407"/>
    <cellStyle name="SAPBEXaggItem 4 19" xfId="31408"/>
    <cellStyle name="SAPBEXaggItem 4 2" xfId="31409"/>
    <cellStyle name="SAPBEXaggItem 4 2 10" xfId="31410"/>
    <cellStyle name="SAPBEXaggItem 4 2 11" xfId="31411"/>
    <cellStyle name="SAPBEXaggItem 4 2 12" xfId="31412"/>
    <cellStyle name="SAPBEXaggItem 4 2 13" xfId="31413"/>
    <cellStyle name="SAPBEXaggItem 4 2 14" xfId="31414"/>
    <cellStyle name="SAPBEXaggItem 4 2 15" xfId="31415"/>
    <cellStyle name="SAPBEXaggItem 4 2 16" xfId="31416"/>
    <cellStyle name="SAPBEXaggItem 4 2 17" xfId="31417"/>
    <cellStyle name="SAPBEXaggItem 4 2 18" xfId="31418"/>
    <cellStyle name="SAPBEXaggItem 4 2 2" xfId="31419"/>
    <cellStyle name="SAPBEXaggItem 4 2 2 2" xfId="31420"/>
    <cellStyle name="SAPBEXaggItem 4 2 2 2 2" xfId="31421"/>
    <cellStyle name="SAPBEXaggItem 4 2 2 3" xfId="31422"/>
    <cellStyle name="SAPBEXaggItem 4 2 2 4" xfId="31423"/>
    <cellStyle name="SAPBEXaggItem 4 2 3" xfId="31424"/>
    <cellStyle name="SAPBEXaggItem 4 2 3 2" xfId="31425"/>
    <cellStyle name="SAPBEXaggItem 4 2 3 3" xfId="31426"/>
    <cellStyle name="SAPBEXaggItem 4 2 4" xfId="31427"/>
    <cellStyle name="SAPBEXaggItem 4 2 4 2" xfId="31428"/>
    <cellStyle name="SAPBEXaggItem 4 2 5" xfId="31429"/>
    <cellStyle name="SAPBEXaggItem 4 2 6" xfId="31430"/>
    <cellStyle name="SAPBEXaggItem 4 2 7" xfId="31431"/>
    <cellStyle name="SAPBEXaggItem 4 2 8" xfId="31432"/>
    <cellStyle name="SAPBEXaggItem 4 2 9" xfId="31433"/>
    <cellStyle name="SAPBEXaggItem 4 20" xfId="31434"/>
    <cellStyle name="SAPBEXaggItem 4 21" xfId="31435"/>
    <cellStyle name="SAPBEXaggItem 4 22" xfId="31436"/>
    <cellStyle name="SAPBEXaggItem 4 3" xfId="31437"/>
    <cellStyle name="SAPBEXaggItem 4 3 10" xfId="31438"/>
    <cellStyle name="SAPBEXaggItem 4 3 11" xfId="31439"/>
    <cellStyle name="SAPBEXaggItem 4 3 12" xfId="31440"/>
    <cellStyle name="SAPBEXaggItem 4 3 13" xfId="31441"/>
    <cellStyle name="SAPBEXaggItem 4 3 14" xfId="31442"/>
    <cellStyle name="SAPBEXaggItem 4 3 15" xfId="31443"/>
    <cellStyle name="SAPBEXaggItem 4 3 16" xfId="31444"/>
    <cellStyle name="SAPBEXaggItem 4 3 17" xfId="31445"/>
    <cellStyle name="SAPBEXaggItem 4 3 18" xfId="31446"/>
    <cellStyle name="SAPBEXaggItem 4 3 2" xfId="31447"/>
    <cellStyle name="SAPBEXaggItem 4 3 2 2" xfId="31448"/>
    <cellStyle name="SAPBEXaggItem 4 3 2 2 2" xfId="31449"/>
    <cellStyle name="SAPBEXaggItem 4 3 2 3" xfId="31450"/>
    <cellStyle name="SAPBEXaggItem 4 3 2 4" xfId="31451"/>
    <cellStyle name="SAPBEXaggItem 4 3 3" xfId="31452"/>
    <cellStyle name="SAPBEXaggItem 4 3 3 2" xfId="31453"/>
    <cellStyle name="SAPBEXaggItem 4 3 3 3" xfId="31454"/>
    <cellStyle name="SAPBEXaggItem 4 3 4" xfId="31455"/>
    <cellStyle name="SAPBEXaggItem 4 3 4 2" xfId="31456"/>
    <cellStyle name="SAPBEXaggItem 4 3 5" xfId="31457"/>
    <cellStyle name="SAPBEXaggItem 4 3 6" xfId="31458"/>
    <cellStyle name="SAPBEXaggItem 4 3 7" xfId="31459"/>
    <cellStyle name="SAPBEXaggItem 4 3 8" xfId="31460"/>
    <cellStyle name="SAPBEXaggItem 4 3 9" xfId="31461"/>
    <cellStyle name="SAPBEXaggItem 4 4" xfId="31462"/>
    <cellStyle name="SAPBEXaggItem 4 4 2" xfId="31463"/>
    <cellStyle name="SAPBEXaggItem 4 4 2 2" xfId="31464"/>
    <cellStyle name="SAPBEXaggItem 4 4 2 3" xfId="31465"/>
    <cellStyle name="SAPBEXaggItem 4 4 3" xfId="31466"/>
    <cellStyle name="SAPBEXaggItem 4 4 3 2" xfId="31467"/>
    <cellStyle name="SAPBEXaggItem 4 4 4" xfId="31468"/>
    <cellStyle name="SAPBEXaggItem 4 4 5" xfId="31469"/>
    <cellStyle name="SAPBEXaggItem 4 5" xfId="31470"/>
    <cellStyle name="SAPBEXaggItem 4 5 2" xfId="31471"/>
    <cellStyle name="SAPBEXaggItem 4 5 2 2" xfId="31472"/>
    <cellStyle name="SAPBEXaggItem 4 5 3" xfId="31473"/>
    <cellStyle name="SAPBEXaggItem 4 5 4" xfId="31474"/>
    <cellStyle name="SAPBEXaggItem 4 6" xfId="31475"/>
    <cellStyle name="SAPBEXaggItem 4 6 2" xfId="31476"/>
    <cellStyle name="SAPBEXaggItem 4 6 3" xfId="31477"/>
    <cellStyle name="SAPBEXaggItem 4 7" xfId="31478"/>
    <cellStyle name="SAPBEXaggItem 4 7 2" xfId="31479"/>
    <cellStyle name="SAPBEXaggItem 4 8" xfId="31480"/>
    <cellStyle name="SAPBEXaggItem 4 9" xfId="31481"/>
    <cellStyle name="SAPBEXaggItem 5" xfId="31482"/>
    <cellStyle name="SAPBEXaggItem 5 10" xfId="31483"/>
    <cellStyle name="SAPBEXaggItem 5 11" xfId="31484"/>
    <cellStyle name="SAPBEXaggItem 5 12" xfId="31485"/>
    <cellStyle name="SAPBEXaggItem 5 13" xfId="31486"/>
    <cellStyle name="SAPBEXaggItem 5 14" xfId="31487"/>
    <cellStyle name="SAPBEXaggItem 5 15" xfId="31488"/>
    <cellStyle name="SAPBEXaggItem 5 16" xfId="31489"/>
    <cellStyle name="SAPBEXaggItem 5 17" xfId="31490"/>
    <cellStyle name="SAPBEXaggItem 5 18" xfId="31491"/>
    <cellStyle name="SAPBEXaggItem 5 19" xfId="31492"/>
    <cellStyle name="SAPBEXaggItem 5 2" xfId="31493"/>
    <cellStyle name="SAPBEXaggItem 5 2 10" xfId="31494"/>
    <cellStyle name="SAPBEXaggItem 5 2 11" xfId="31495"/>
    <cellStyle name="SAPBEXaggItem 5 2 12" xfId="31496"/>
    <cellStyle name="SAPBEXaggItem 5 2 13" xfId="31497"/>
    <cellStyle name="SAPBEXaggItem 5 2 14" xfId="31498"/>
    <cellStyle name="SAPBEXaggItem 5 2 15" xfId="31499"/>
    <cellStyle name="SAPBEXaggItem 5 2 16" xfId="31500"/>
    <cellStyle name="SAPBEXaggItem 5 2 17" xfId="31501"/>
    <cellStyle name="SAPBEXaggItem 5 2 18" xfId="31502"/>
    <cellStyle name="SAPBEXaggItem 5 2 2" xfId="31503"/>
    <cellStyle name="SAPBEXaggItem 5 2 2 2" xfId="31504"/>
    <cellStyle name="SAPBEXaggItem 5 2 2 2 2" xfId="31505"/>
    <cellStyle name="SAPBEXaggItem 5 2 2 3" xfId="31506"/>
    <cellStyle name="SAPBEXaggItem 5 2 2 4" xfId="31507"/>
    <cellStyle name="SAPBEXaggItem 5 2 3" xfId="31508"/>
    <cellStyle name="SAPBEXaggItem 5 2 3 2" xfId="31509"/>
    <cellStyle name="SAPBEXaggItem 5 2 3 3" xfId="31510"/>
    <cellStyle name="SAPBEXaggItem 5 2 4" xfId="31511"/>
    <cellStyle name="SAPBEXaggItem 5 2 4 2" xfId="31512"/>
    <cellStyle name="SAPBEXaggItem 5 2 5" xfId="31513"/>
    <cellStyle name="SAPBEXaggItem 5 2 6" xfId="31514"/>
    <cellStyle name="SAPBEXaggItem 5 2 7" xfId="31515"/>
    <cellStyle name="SAPBEXaggItem 5 2 8" xfId="31516"/>
    <cellStyle name="SAPBEXaggItem 5 2 9" xfId="31517"/>
    <cellStyle name="SAPBEXaggItem 5 20" xfId="31518"/>
    <cellStyle name="SAPBEXaggItem 5 21" xfId="31519"/>
    <cellStyle name="SAPBEXaggItem 5 22" xfId="31520"/>
    <cellStyle name="SAPBEXaggItem 5 3" xfId="31521"/>
    <cellStyle name="SAPBEXaggItem 5 3 10" xfId="31522"/>
    <cellStyle name="SAPBEXaggItem 5 3 11" xfId="31523"/>
    <cellStyle name="SAPBEXaggItem 5 3 12" xfId="31524"/>
    <cellStyle name="SAPBEXaggItem 5 3 13" xfId="31525"/>
    <cellStyle name="SAPBEXaggItem 5 3 14" xfId="31526"/>
    <cellStyle name="SAPBEXaggItem 5 3 15" xfId="31527"/>
    <cellStyle name="SAPBEXaggItem 5 3 16" xfId="31528"/>
    <cellStyle name="SAPBEXaggItem 5 3 17" xfId="31529"/>
    <cellStyle name="SAPBEXaggItem 5 3 18" xfId="31530"/>
    <cellStyle name="SAPBEXaggItem 5 3 2" xfId="31531"/>
    <cellStyle name="SAPBEXaggItem 5 3 2 2" xfId="31532"/>
    <cellStyle name="SAPBEXaggItem 5 3 2 2 2" xfId="31533"/>
    <cellStyle name="SAPBEXaggItem 5 3 2 3" xfId="31534"/>
    <cellStyle name="SAPBEXaggItem 5 3 2 4" xfId="31535"/>
    <cellStyle name="SAPBEXaggItem 5 3 3" xfId="31536"/>
    <cellStyle name="SAPBEXaggItem 5 3 3 2" xfId="31537"/>
    <cellStyle name="SAPBEXaggItem 5 3 3 3" xfId="31538"/>
    <cellStyle name="SAPBEXaggItem 5 3 4" xfId="31539"/>
    <cellStyle name="SAPBEXaggItem 5 3 4 2" xfId="31540"/>
    <cellStyle name="SAPBEXaggItem 5 3 5" xfId="31541"/>
    <cellStyle name="SAPBEXaggItem 5 3 6" xfId="31542"/>
    <cellStyle name="SAPBEXaggItem 5 3 7" xfId="31543"/>
    <cellStyle name="SAPBEXaggItem 5 3 8" xfId="31544"/>
    <cellStyle name="SAPBEXaggItem 5 3 9" xfId="31545"/>
    <cellStyle name="SAPBEXaggItem 5 4" xfId="31546"/>
    <cellStyle name="SAPBEXaggItem 5 4 2" xfId="31547"/>
    <cellStyle name="SAPBEXaggItem 5 4 2 2" xfId="31548"/>
    <cellStyle name="SAPBEXaggItem 5 4 2 3" xfId="31549"/>
    <cellStyle name="SAPBEXaggItem 5 4 3" xfId="31550"/>
    <cellStyle name="SAPBEXaggItem 5 4 3 2" xfId="31551"/>
    <cellStyle name="SAPBEXaggItem 5 4 4" xfId="31552"/>
    <cellStyle name="SAPBEXaggItem 5 4 5" xfId="31553"/>
    <cellStyle name="SAPBEXaggItem 5 5" xfId="31554"/>
    <cellStyle name="SAPBEXaggItem 5 5 2" xfId="31555"/>
    <cellStyle name="SAPBEXaggItem 5 5 2 2" xfId="31556"/>
    <cellStyle name="SAPBEXaggItem 5 5 3" xfId="31557"/>
    <cellStyle name="SAPBEXaggItem 5 5 4" xfId="31558"/>
    <cellStyle name="SAPBEXaggItem 5 6" xfId="31559"/>
    <cellStyle name="SAPBEXaggItem 5 6 2" xfId="31560"/>
    <cellStyle name="SAPBEXaggItem 5 6 3" xfId="31561"/>
    <cellStyle name="SAPBEXaggItem 5 7" xfId="31562"/>
    <cellStyle name="SAPBEXaggItem 5 7 2" xfId="31563"/>
    <cellStyle name="SAPBEXaggItem 5 8" xfId="31564"/>
    <cellStyle name="SAPBEXaggItem 5 9" xfId="31565"/>
    <cellStyle name="SAPBEXaggItem 6" xfId="31566"/>
    <cellStyle name="SAPBEXaggItem 6 10" xfId="31567"/>
    <cellStyle name="SAPBEXaggItem 6 11" xfId="31568"/>
    <cellStyle name="SAPBEXaggItem 6 12" xfId="31569"/>
    <cellStyle name="SAPBEXaggItem 6 13" xfId="31570"/>
    <cellStyle name="SAPBEXaggItem 6 14" xfId="31571"/>
    <cellStyle name="SAPBEXaggItem 6 15" xfId="31572"/>
    <cellStyle name="SAPBEXaggItem 6 2" xfId="31573"/>
    <cellStyle name="SAPBEXaggItem 6 2 10" xfId="31574"/>
    <cellStyle name="SAPBEXaggItem 6 2 11" xfId="31575"/>
    <cellStyle name="SAPBEXaggItem 6 2 12" xfId="31576"/>
    <cellStyle name="SAPBEXaggItem 6 2 13" xfId="31577"/>
    <cellStyle name="SAPBEXaggItem 6 2 14" xfId="31578"/>
    <cellStyle name="SAPBEXaggItem 6 2 15" xfId="31579"/>
    <cellStyle name="SAPBEXaggItem 6 2 16" xfId="31580"/>
    <cellStyle name="SAPBEXaggItem 6 2 17" xfId="31581"/>
    <cellStyle name="SAPBEXaggItem 6 2 18" xfId="31582"/>
    <cellStyle name="SAPBEXaggItem 6 2 2" xfId="31583"/>
    <cellStyle name="SAPBEXaggItem 6 2 2 2" xfId="31584"/>
    <cellStyle name="SAPBEXaggItem 6 2 2 2 2" xfId="31585"/>
    <cellStyle name="SAPBEXaggItem 6 2 2 3" xfId="31586"/>
    <cellStyle name="SAPBEXaggItem 6 2 2 4" xfId="31587"/>
    <cellStyle name="SAPBEXaggItem 6 2 3" xfId="31588"/>
    <cellStyle name="SAPBEXaggItem 6 2 3 2" xfId="31589"/>
    <cellStyle name="SAPBEXaggItem 6 2 3 3" xfId="31590"/>
    <cellStyle name="SAPBEXaggItem 6 2 4" xfId="31591"/>
    <cellStyle name="SAPBEXaggItem 6 2 4 2" xfId="31592"/>
    <cellStyle name="SAPBEXaggItem 6 2 5" xfId="31593"/>
    <cellStyle name="SAPBEXaggItem 6 2 6" xfId="31594"/>
    <cellStyle name="SAPBEXaggItem 6 2 7" xfId="31595"/>
    <cellStyle name="SAPBEXaggItem 6 2 8" xfId="31596"/>
    <cellStyle name="SAPBEXaggItem 6 2 9" xfId="31597"/>
    <cellStyle name="SAPBEXaggItem 6 3" xfId="31598"/>
    <cellStyle name="SAPBEXaggItem 6 3 10" xfId="31599"/>
    <cellStyle name="SAPBEXaggItem 6 3 11" xfId="31600"/>
    <cellStyle name="SAPBEXaggItem 6 3 12" xfId="31601"/>
    <cellStyle name="SAPBEXaggItem 6 3 13" xfId="31602"/>
    <cellStyle name="SAPBEXaggItem 6 3 14" xfId="31603"/>
    <cellStyle name="SAPBEXaggItem 6 3 15" xfId="31604"/>
    <cellStyle name="SAPBEXaggItem 6 3 16" xfId="31605"/>
    <cellStyle name="SAPBEXaggItem 6 3 17" xfId="31606"/>
    <cellStyle name="SAPBEXaggItem 6 3 18" xfId="31607"/>
    <cellStyle name="SAPBEXaggItem 6 3 2" xfId="31608"/>
    <cellStyle name="SAPBEXaggItem 6 3 2 2" xfId="31609"/>
    <cellStyle name="SAPBEXaggItem 6 3 2 2 2" xfId="31610"/>
    <cellStyle name="SAPBEXaggItem 6 3 2 3" xfId="31611"/>
    <cellStyle name="SAPBEXaggItem 6 3 2 4" xfId="31612"/>
    <cellStyle name="SAPBEXaggItem 6 3 3" xfId="31613"/>
    <cellStyle name="SAPBEXaggItem 6 3 3 2" xfId="31614"/>
    <cellStyle name="SAPBEXaggItem 6 3 3 3" xfId="31615"/>
    <cellStyle name="SAPBEXaggItem 6 3 4" xfId="31616"/>
    <cellStyle name="SAPBEXaggItem 6 3 4 2" xfId="31617"/>
    <cellStyle name="SAPBEXaggItem 6 3 5" xfId="31618"/>
    <cellStyle name="SAPBEXaggItem 6 3 6" xfId="31619"/>
    <cellStyle name="SAPBEXaggItem 6 3 7" xfId="31620"/>
    <cellStyle name="SAPBEXaggItem 6 3 8" xfId="31621"/>
    <cellStyle name="SAPBEXaggItem 6 3 9" xfId="31622"/>
    <cellStyle name="SAPBEXaggItem 6 4" xfId="31623"/>
    <cellStyle name="SAPBEXaggItem 6 4 2" xfId="31624"/>
    <cellStyle name="SAPBEXaggItem 6 4 2 2" xfId="31625"/>
    <cellStyle name="SAPBEXaggItem 6 4 3" xfId="31626"/>
    <cellStyle name="SAPBEXaggItem 6 4 4" xfId="31627"/>
    <cellStyle name="SAPBEXaggItem 6 5" xfId="31628"/>
    <cellStyle name="SAPBEXaggItem 6 5 2" xfId="31629"/>
    <cellStyle name="SAPBEXaggItem 6 6" xfId="31630"/>
    <cellStyle name="SAPBEXaggItem 6 7" xfId="31631"/>
    <cellStyle name="SAPBEXaggItem 6 8" xfId="31632"/>
    <cellStyle name="SAPBEXaggItem 6 9" xfId="31633"/>
    <cellStyle name="SAPBEXaggItem 7" xfId="31634"/>
    <cellStyle name="SAPBEXaggItem 7 10" xfId="31635"/>
    <cellStyle name="SAPBEXaggItem 7 11" xfId="31636"/>
    <cellStyle name="SAPBEXaggItem 7 12" xfId="31637"/>
    <cellStyle name="SAPBEXaggItem 7 13" xfId="31638"/>
    <cellStyle name="SAPBEXaggItem 7 14" xfId="31639"/>
    <cellStyle name="SAPBEXaggItem 7 15" xfId="31640"/>
    <cellStyle name="SAPBEXaggItem 7 16" xfId="31641"/>
    <cellStyle name="SAPBEXaggItem 7 17" xfId="31642"/>
    <cellStyle name="SAPBEXaggItem 7 18" xfId="31643"/>
    <cellStyle name="SAPBEXaggItem 7 2" xfId="31644"/>
    <cellStyle name="SAPBEXaggItem 7 3" xfId="31645"/>
    <cellStyle name="SAPBEXaggItem 7 4" xfId="31646"/>
    <cellStyle name="SAPBEXaggItem 7 5" xfId="31647"/>
    <cellStyle name="SAPBEXaggItem 7 6" xfId="31648"/>
    <cellStyle name="SAPBEXaggItem 7 7" xfId="31649"/>
    <cellStyle name="SAPBEXaggItem 7 8" xfId="31650"/>
    <cellStyle name="SAPBEXaggItem 7 9" xfId="31651"/>
    <cellStyle name="SAPBEXaggItem 8" xfId="31652"/>
    <cellStyle name="SAPBEXaggItem 9" xfId="31653"/>
    <cellStyle name="SAPBEXaggItemX" xfId="31654"/>
    <cellStyle name="SAPBEXaggItemX 10" xfId="31655"/>
    <cellStyle name="SAPBEXaggItemX 11" xfId="31656"/>
    <cellStyle name="SAPBEXaggItemX 12" xfId="31657"/>
    <cellStyle name="SAPBEXaggItemX 13" xfId="31658"/>
    <cellStyle name="SAPBEXaggItemX 14" xfId="31659"/>
    <cellStyle name="SAPBEXaggItemX 15" xfId="31660"/>
    <cellStyle name="SAPBEXaggItemX 16" xfId="31661"/>
    <cellStyle name="SAPBEXaggItemX 17" xfId="31662"/>
    <cellStyle name="SAPBEXaggItemX 18" xfId="31663"/>
    <cellStyle name="SAPBEXaggItemX 19" xfId="31664"/>
    <cellStyle name="SAPBEXaggItemX 2" xfId="31665"/>
    <cellStyle name="SAPBEXaggItemX 2 10" xfId="31666"/>
    <cellStyle name="SAPBEXaggItemX 2 11" xfId="31667"/>
    <cellStyle name="SAPBEXaggItemX 2 12" xfId="31668"/>
    <cellStyle name="SAPBEXaggItemX 2 13" xfId="31669"/>
    <cellStyle name="SAPBEXaggItemX 2 14" xfId="31670"/>
    <cellStyle name="SAPBEXaggItemX 2 15" xfId="31671"/>
    <cellStyle name="SAPBEXaggItemX 2 16" xfId="31672"/>
    <cellStyle name="SAPBEXaggItemX 2 17" xfId="31673"/>
    <cellStyle name="SAPBEXaggItemX 2 18" xfId="31674"/>
    <cellStyle name="SAPBEXaggItemX 2 19" xfId="31675"/>
    <cellStyle name="SAPBEXaggItemX 2 2" xfId="31676"/>
    <cellStyle name="SAPBEXaggItemX 2 2 10" xfId="31677"/>
    <cellStyle name="SAPBEXaggItemX 2 2 11" xfId="31678"/>
    <cellStyle name="SAPBEXaggItemX 2 2 12" xfId="31679"/>
    <cellStyle name="SAPBEXaggItemX 2 2 13" xfId="31680"/>
    <cellStyle name="SAPBEXaggItemX 2 2 14" xfId="31681"/>
    <cellStyle name="SAPBEXaggItemX 2 2 15" xfId="31682"/>
    <cellStyle name="SAPBEXaggItemX 2 2 16" xfId="31683"/>
    <cellStyle name="SAPBEXaggItemX 2 2 17" xfId="31684"/>
    <cellStyle name="SAPBEXaggItemX 2 2 18" xfId="31685"/>
    <cellStyle name="SAPBEXaggItemX 2 2 2" xfId="31686"/>
    <cellStyle name="SAPBEXaggItemX 2 2 2 2" xfId="31687"/>
    <cellStyle name="SAPBEXaggItemX 2 2 2 2 2" xfId="31688"/>
    <cellStyle name="SAPBEXaggItemX 2 2 2 3" xfId="31689"/>
    <cellStyle name="SAPBEXaggItemX 2 2 2 4" xfId="31690"/>
    <cellStyle name="SAPBEXaggItemX 2 2 3" xfId="31691"/>
    <cellStyle name="SAPBEXaggItemX 2 2 3 2" xfId="31692"/>
    <cellStyle name="SAPBEXaggItemX 2 2 3 3" xfId="31693"/>
    <cellStyle name="SAPBEXaggItemX 2 2 4" xfId="31694"/>
    <cellStyle name="SAPBEXaggItemX 2 2 4 2" xfId="31695"/>
    <cellStyle name="SAPBEXaggItemX 2 2 5" xfId="31696"/>
    <cellStyle name="SAPBEXaggItemX 2 2 6" xfId="31697"/>
    <cellStyle name="SAPBEXaggItemX 2 2 7" xfId="31698"/>
    <cellStyle name="SAPBEXaggItemX 2 2 8" xfId="31699"/>
    <cellStyle name="SAPBEXaggItemX 2 2 9" xfId="31700"/>
    <cellStyle name="SAPBEXaggItemX 2 20" xfId="31701"/>
    <cellStyle name="SAPBEXaggItemX 2 21" xfId="31702"/>
    <cellStyle name="SAPBEXaggItemX 2 22" xfId="31703"/>
    <cellStyle name="SAPBEXaggItemX 2 23" xfId="31704"/>
    <cellStyle name="SAPBEXaggItemX 2 24" xfId="31705"/>
    <cellStyle name="SAPBEXaggItemX 2 3" xfId="31706"/>
    <cellStyle name="SAPBEXaggItemX 2 3 10" xfId="31707"/>
    <cellStyle name="SAPBEXaggItemX 2 3 11" xfId="31708"/>
    <cellStyle name="SAPBEXaggItemX 2 3 12" xfId="31709"/>
    <cellStyle name="SAPBEXaggItemX 2 3 13" xfId="31710"/>
    <cellStyle name="SAPBEXaggItemX 2 3 14" xfId="31711"/>
    <cellStyle name="SAPBEXaggItemX 2 3 15" xfId="31712"/>
    <cellStyle name="SAPBEXaggItemX 2 3 16" xfId="31713"/>
    <cellStyle name="SAPBEXaggItemX 2 3 17" xfId="31714"/>
    <cellStyle name="SAPBEXaggItemX 2 3 18" xfId="31715"/>
    <cellStyle name="SAPBEXaggItemX 2 3 2" xfId="31716"/>
    <cellStyle name="SAPBEXaggItemX 2 3 2 2" xfId="31717"/>
    <cellStyle name="SAPBEXaggItemX 2 3 2 2 2" xfId="31718"/>
    <cellStyle name="SAPBEXaggItemX 2 3 2 3" xfId="31719"/>
    <cellStyle name="SAPBEXaggItemX 2 3 2 4" xfId="31720"/>
    <cellStyle name="SAPBEXaggItemX 2 3 3" xfId="31721"/>
    <cellStyle name="SAPBEXaggItemX 2 3 3 2" xfId="31722"/>
    <cellStyle name="SAPBEXaggItemX 2 3 3 3" xfId="31723"/>
    <cellStyle name="SAPBEXaggItemX 2 3 4" xfId="31724"/>
    <cellStyle name="SAPBEXaggItemX 2 3 4 2" xfId="31725"/>
    <cellStyle name="SAPBEXaggItemX 2 3 5" xfId="31726"/>
    <cellStyle name="SAPBEXaggItemX 2 3 6" xfId="31727"/>
    <cellStyle name="SAPBEXaggItemX 2 3 7" xfId="31728"/>
    <cellStyle name="SAPBEXaggItemX 2 3 8" xfId="31729"/>
    <cellStyle name="SAPBEXaggItemX 2 3 9" xfId="31730"/>
    <cellStyle name="SAPBEXaggItemX 2 4" xfId="31731"/>
    <cellStyle name="SAPBEXaggItemX 2 4 2" xfId="31732"/>
    <cellStyle name="SAPBEXaggItemX 2 4 2 2" xfId="31733"/>
    <cellStyle name="SAPBEXaggItemX 2 4 2 3" xfId="31734"/>
    <cellStyle name="SAPBEXaggItemX 2 4 3" xfId="31735"/>
    <cellStyle name="SAPBEXaggItemX 2 4 3 2" xfId="31736"/>
    <cellStyle name="SAPBEXaggItemX 2 4 4" xfId="31737"/>
    <cellStyle name="SAPBEXaggItemX 2 4 5" xfId="31738"/>
    <cellStyle name="SAPBEXaggItemX 2 5" xfId="31739"/>
    <cellStyle name="SAPBEXaggItemX 2 5 2" xfId="31740"/>
    <cellStyle name="SAPBEXaggItemX 2 5 2 2" xfId="31741"/>
    <cellStyle name="SAPBEXaggItemX 2 5 3" xfId="31742"/>
    <cellStyle name="SAPBEXaggItemX 2 5 4" xfId="31743"/>
    <cellStyle name="SAPBEXaggItemX 2 6" xfId="31744"/>
    <cellStyle name="SAPBEXaggItemX 2 6 2" xfId="31745"/>
    <cellStyle name="SAPBEXaggItemX 2 6 3" xfId="31746"/>
    <cellStyle name="SAPBEXaggItemX 2 7" xfId="31747"/>
    <cellStyle name="SAPBEXaggItemX 2 7 2" xfId="31748"/>
    <cellStyle name="SAPBEXaggItemX 2 8" xfId="31749"/>
    <cellStyle name="SAPBEXaggItemX 2 9" xfId="31750"/>
    <cellStyle name="SAPBEXaggItemX 3" xfId="31751"/>
    <cellStyle name="SAPBEXaggItemX 3 10" xfId="31752"/>
    <cellStyle name="SAPBEXaggItemX 3 11" xfId="31753"/>
    <cellStyle name="SAPBEXaggItemX 3 12" xfId="31754"/>
    <cellStyle name="SAPBEXaggItemX 3 13" xfId="31755"/>
    <cellStyle name="SAPBEXaggItemX 3 14" xfId="31756"/>
    <cellStyle name="SAPBEXaggItemX 3 15" xfId="31757"/>
    <cellStyle name="SAPBEXaggItemX 3 16" xfId="31758"/>
    <cellStyle name="SAPBEXaggItemX 3 17" xfId="31759"/>
    <cellStyle name="SAPBEXaggItemX 3 18" xfId="31760"/>
    <cellStyle name="SAPBEXaggItemX 3 19" xfId="31761"/>
    <cellStyle name="SAPBEXaggItemX 3 2" xfId="31762"/>
    <cellStyle name="SAPBEXaggItemX 3 2 10" xfId="31763"/>
    <cellStyle name="SAPBEXaggItemX 3 2 11" xfId="31764"/>
    <cellStyle name="SAPBEXaggItemX 3 2 12" xfId="31765"/>
    <cellStyle name="SAPBEXaggItemX 3 2 13" xfId="31766"/>
    <cellStyle name="SAPBEXaggItemX 3 2 14" xfId="31767"/>
    <cellStyle name="SAPBEXaggItemX 3 2 15" xfId="31768"/>
    <cellStyle name="SAPBEXaggItemX 3 2 16" xfId="31769"/>
    <cellStyle name="SAPBEXaggItemX 3 2 17" xfId="31770"/>
    <cellStyle name="SAPBEXaggItemX 3 2 18" xfId="31771"/>
    <cellStyle name="SAPBEXaggItemX 3 2 2" xfId="31772"/>
    <cellStyle name="SAPBEXaggItemX 3 2 2 2" xfId="31773"/>
    <cellStyle name="SAPBEXaggItemX 3 2 2 2 2" xfId="31774"/>
    <cellStyle name="SAPBEXaggItemX 3 2 2 3" xfId="31775"/>
    <cellStyle name="SAPBEXaggItemX 3 2 2 4" xfId="31776"/>
    <cellStyle name="SAPBEXaggItemX 3 2 3" xfId="31777"/>
    <cellStyle name="SAPBEXaggItemX 3 2 3 2" xfId="31778"/>
    <cellStyle name="SAPBEXaggItemX 3 2 3 3" xfId="31779"/>
    <cellStyle name="SAPBEXaggItemX 3 2 4" xfId="31780"/>
    <cellStyle name="SAPBEXaggItemX 3 2 4 2" xfId="31781"/>
    <cellStyle name="SAPBEXaggItemX 3 2 5" xfId="31782"/>
    <cellStyle name="SAPBEXaggItemX 3 2 6" xfId="31783"/>
    <cellStyle name="SAPBEXaggItemX 3 2 7" xfId="31784"/>
    <cellStyle name="SAPBEXaggItemX 3 2 8" xfId="31785"/>
    <cellStyle name="SAPBEXaggItemX 3 2 9" xfId="31786"/>
    <cellStyle name="SAPBEXaggItemX 3 20" xfId="31787"/>
    <cellStyle name="SAPBEXaggItemX 3 3" xfId="31788"/>
    <cellStyle name="SAPBEXaggItemX 3 3 10" xfId="31789"/>
    <cellStyle name="SAPBEXaggItemX 3 3 11" xfId="31790"/>
    <cellStyle name="SAPBEXaggItemX 3 3 12" xfId="31791"/>
    <cellStyle name="SAPBEXaggItemX 3 3 13" xfId="31792"/>
    <cellStyle name="SAPBEXaggItemX 3 3 14" xfId="31793"/>
    <cellStyle name="SAPBEXaggItemX 3 3 15" xfId="31794"/>
    <cellStyle name="SAPBEXaggItemX 3 3 16" xfId="31795"/>
    <cellStyle name="SAPBEXaggItemX 3 3 17" xfId="31796"/>
    <cellStyle name="SAPBEXaggItemX 3 3 18" xfId="31797"/>
    <cellStyle name="SAPBEXaggItemX 3 3 2" xfId="31798"/>
    <cellStyle name="SAPBEXaggItemX 3 3 2 2" xfId="31799"/>
    <cellStyle name="SAPBEXaggItemX 3 3 2 2 2" xfId="31800"/>
    <cellStyle name="SAPBEXaggItemX 3 3 2 3" xfId="31801"/>
    <cellStyle name="SAPBEXaggItemX 3 3 2 4" xfId="31802"/>
    <cellStyle name="SAPBEXaggItemX 3 3 3" xfId="31803"/>
    <cellStyle name="SAPBEXaggItemX 3 3 3 2" xfId="31804"/>
    <cellStyle name="SAPBEXaggItemX 3 3 3 3" xfId="31805"/>
    <cellStyle name="SAPBEXaggItemX 3 3 4" xfId="31806"/>
    <cellStyle name="SAPBEXaggItemX 3 3 4 2" xfId="31807"/>
    <cellStyle name="SAPBEXaggItemX 3 3 5" xfId="31808"/>
    <cellStyle name="SAPBEXaggItemX 3 3 6" xfId="31809"/>
    <cellStyle name="SAPBEXaggItemX 3 3 7" xfId="31810"/>
    <cellStyle name="SAPBEXaggItemX 3 3 8" xfId="31811"/>
    <cellStyle name="SAPBEXaggItemX 3 3 9" xfId="31812"/>
    <cellStyle name="SAPBEXaggItemX 3 4" xfId="31813"/>
    <cellStyle name="SAPBEXaggItemX 3 4 2" xfId="31814"/>
    <cellStyle name="SAPBEXaggItemX 3 4 2 2" xfId="31815"/>
    <cellStyle name="SAPBEXaggItemX 3 4 2 3" xfId="31816"/>
    <cellStyle name="SAPBEXaggItemX 3 4 3" xfId="31817"/>
    <cellStyle name="SAPBEXaggItemX 3 4 3 2" xfId="31818"/>
    <cellStyle name="SAPBEXaggItemX 3 4 4" xfId="31819"/>
    <cellStyle name="SAPBEXaggItemX 3 4 5" xfId="31820"/>
    <cellStyle name="SAPBEXaggItemX 3 5" xfId="31821"/>
    <cellStyle name="SAPBEXaggItemX 3 5 2" xfId="31822"/>
    <cellStyle name="SAPBEXaggItemX 3 5 2 2" xfId="31823"/>
    <cellStyle name="SAPBEXaggItemX 3 5 3" xfId="31824"/>
    <cellStyle name="SAPBEXaggItemX 3 5 4" xfId="31825"/>
    <cellStyle name="SAPBEXaggItemX 3 6" xfId="31826"/>
    <cellStyle name="SAPBEXaggItemX 3 6 2" xfId="31827"/>
    <cellStyle name="SAPBEXaggItemX 3 6 3" xfId="31828"/>
    <cellStyle name="SAPBEXaggItemX 3 7" xfId="31829"/>
    <cellStyle name="SAPBEXaggItemX 3 7 2" xfId="31830"/>
    <cellStyle name="SAPBEXaggItemX 3 8" xfId="31831"/>
    <cellStyle name="SAPBEXaggItemX 3 9" xfId="31832"/>
    <cellStyle name="SAPBEXaggItemX 4" xfId="31833"/>
    <cellStyle name="SAPBEXaggItemX 4 10" xfId="31834"/>
    <cellStyle name="SAPBEXaggItemX 4 11" xfId="31835"/>
    <cellStyle name="SAPBEXaggItemX 4 12" xfId="31836"/>
    <cellStyle name="SAPBEXaggItemX 4 13" xfId="31837"/>
    <cellStyle name="SAPBEXaggItemX 4 14" xfId="31838"/>
    <cellStyle name="SAPBEXaggItemX 4 15" xfId="31839"/>
    <cellStyle name="SAPBEXaggItemX 4 16" xfId="31840"/>
    <cellStyle name="SAPBEXaggItemX 4 17" xfId="31841"/>
    <cellStyle name="SAPBEXaggItemX 4 18" xfId="31842"/>
    <cellStyle name="SAPBEXaggItemX 4 19" xfId="31843"/>
    <cellStyle name="SAPBEXaggItemX 4 2" xfId="31844"/>
    <cellStyle name="SAPBEXaggItemX 4 2 10" xfId="31845"/>
    <cellStyle name="SAPBEXaggItemX 4 2 11" xfId="31846"/>
    <cellStyle name="SAPBEXaggItemX 4 2 12" xfId="31847"/>
    <cellStyle name="SAPBEXaggItemX 4 2 13" xfId="31848"/>
    <cellStyle name="SAPBEXaggItemX 4 2 14" xfId="31849"/>
    <cellStyle name="SAPBEXaggItemX 4 2 15" xfId="31850"/>
    <cellStyle name="SAPBEXaggItemX 4 2 16" xfId="31851"/>
    <cellStyle name="SAPBEXaggItemX 4 2 17" xfId="31852"/>
    <cellStyle name="SAPBEXaggItemX 4 2 18" xfId="31853"/>
    <cellStyle name="SAPBEXaggItemX 4 2 2" xfId="31854"/>
    <cellStyle name="SAPBEXaggItemX 4 2 2 2" xfId="31855"/>
    <cellStyle name="SAPBEXaggItemX 4 2 2 2 2" xfId="31856"/>
    <cellStyle name="SAPBEXaggItemX 4 2 2 3" xfId="31857"/>
    <cellStyle name="SAPBEXaggItemX 4 2 2 4" xfId="31858"/>
    <cellStyle name="SAPBEXaggItemX 4 2 3" xfId="31859"/>
    <cellStyle name="SAPBEXaggItemX 4 2 3 2" xfId="31860"/>
    <cellStyle name="SAPBEXaggItemX 4 2 3 3" xfId="31861"/>
    <cellStyle name="SAPBEXaggItemX 4 2 4" xfId="31862"/>
    <cellStyle name="SAPBEXaggItemX 4 2 4 2" xfId="31863"/>
    <cellStyle name="SAPBEXaggItemX 4 2 5" xfId="31864"/>
    <cellStyle name="SAPBEXaggItemX 4 2 6" xfId="31865"/>
    <cellStyle name="SAPBEXaggItemX 4 2 7" xfId="31866"/>
    <cellStyle name="SAPBEXaggItemX 4 2 8" xfId="31867"/>
    <cellStyle name="SAPBEXaggItemX 4 2 9" xfId="31868"/>
    <cellStyle name="SAPBEXaggItemX 4 20" xfId="31869"/>
    <cellStyle name="SAPBEXaggItemX 4 21" xfId="31870"/>
    <cellStyle name="SAPBEXaggItemX 4 22" xfId="31871"/>
    <cellStyle name="SAPBEXaggItemX 4 3" xfId="31872"/>
    <cellStyle name="SAPBEXaggItemX 4 3 10" xfId="31873"/>
    <cellStyle name="SAPBEXaggItemX 4 3 11" xfId="31874"/>
    <cellStyle name="SAPBEXaggItemX 4 3 12" xfId="31875"/>
    <cellStyle name="SAPBEXaggItemX 4 3 13" xfId="31876"/>
    <cellStyle name="SAPBEXaggItemX 4 3 14" xfId="31877"/>
    <cellStyle name="SAPBEXaggItemX 4 3 15" xfId="31878"/>
    <cellStyle name="SAPBEXaggItemX 4 3 16" xfId="31879"/>
    <cellStyle name="SAPBEXaggItemX 4 3 17" xfId="31880"/>
    <cellStyle name="SAPBEXaggItemX 4 3 18" xfId="31881"/>
    <cellStyle name="SAPBEXaggItemX 4 3 2" xfId="31882"/>
    <cellStyle name="SAPBEXaggItemX 4 3 2 2" xfId="31883"/>
    <cellStyle name="SAPBEXaggItemX 4 3 2 2 2" xfId="31884"/>
    <cellStyle name="SAPBEXaggItemX 4 3 2 3" xfId="31885"/>
    <cellStyle name="SAPBEXaggItemX 4 3 2 4" xfId="31886"/>
    <cellStyle name="SAPBEXaggItemX 4 3 3" xfId="31887"/>
    <cellStyle name="SAPBEXaggItemX 4 3 3 2" xfId="31888"/>
    <cellStyle name="SAPBEXaggItemX 4 3 3 3" xfId="31889"/>
    <cellStyle name="SAPBEXaggItemX 4 3 4" xfId="31890"/>
    <cellStyle name="SAPBEXaggItemX 4 3 4 2" xfId="31891"/>
    <cellStyle name="SAPBEXaggItemX 4 3 5" xfId="31892"/>
    <cellStyle name="SAPBEXaggItemX 4 3 6" xfId="31893"/>
    <cellStyle name="SAPBEXaggItemX 4 3 7" xfId="31894"/>
    <cellStyle name="SAPBEXaggItemX 4 3 8" xfId="31895"/>
    <cellStyle name="SAPBEXaggItemX 4 3 9" xfId="31896"/>
    <cellStyle name="SAPBEXaggItemX 4 4" xfId="31897"/>
    <cellStyle name="SAPBEXaggItemX 4 4 2" xfId="31898"/>
    <cellStyle name="SAPBEXaggItemX 4 4 2 2" xfId="31899"/>
    <cellStyle name="SAPBEXaggItemX 4 4 2 3" xfId="31900"/>
    <cellStyle name="SAPBEXaggItemX 4 4 3" xfId="31901"/>
    <cellStyle name="SAPBEXaggItemX 4 4 3 2" xfId="31902"/>
    <cellStyle name="SAPBEXaggItemX 4 4 4" xfId="31903"/>
    <cellStyle name="SAPBEXaggItemX 4 4 5" xfId="31904"/>
    <cellStyle name="SAPBEXaggItemX 4 5" xfId="31905"/>
    <cellStyle name="SAPBEXaggItemX 4 5 2" xfId="31906"/>
    <cellStyle name="SAPBEXaggItemX 4 5 2 2" xfId="31907"/>
    <cellStyle name="SAPBEXaggItemX 4 5 3" xfId="31908"/>
    <cellStyle name="SAPBEXaggItemX 4 5 4" xfId="31909"/>
    <cellStyle name="SAPBEXaggItemX 4 6" xfId="31910"/>
    <cellStyle name="SAPBEXaggItemX 4 6 2" xfId="31911"/>
    <cellStyle name="SAPBEXaggItemX 4 6 3" xfId="31912"/>
    <cellStyle name="SAPBEXaggItemX 4 7" xfId="31913"/>
    <cellStyle name="SAPBEXaggItemX 4 7 2" xfId="31914"/>
    <cellStyle name="SAPBEXaggItemX 4 8" xfId="31915"/>
    <cellStyle name="SAPBEXaggItemX 4 9" xfId="31916"/>
    <cellStyle name="SAPBEXaggItemX 5" xfId="31917"/>
    <cellStyle name="SAPBEXaggItemX 5 10" xfId="31918"/>
    <cellStyle name="SAPBEXaggItemX 5 11" xfId="31919"/>
    <cellStyle name="SAPBEXaggItemX 5 12" xfId="31920"/>
    <cellStyle name="SAPBEXaggItemX 5 13" xfId="31921"/>
    <cellStyle name="SAPBEXaggItemX 5 14" xfId="31922"/>
    <cellStyle name="SAPBEXaggItemX 5 15" xfId="31923"/>
    <cellStyle name="SAPBEXaggItemX 5 16" xfId="31924"/>
    <cellStyle name="SAPBEXaggItemX 5 17" xfId="31925"/>
    <cellStyle name="SAPBEXaggItemX 5 18" xfId="31926"/>
    <cellStyle name="SAPBEXaggItemX 5 19" xfId="31927"/>
    <cellStyle name="SAPBEXaggItemX 5 2" xfId="31928"/>
    <cellStyle name="SAPBEXaggItemX 5 2 10" xfId="31929"/>
    <cellStyle name="SAPBEXaggItemX 5 2 11" xfId="31930"/>
    <cellStyle name="SAPBEXaggItemX 5 2 12" xfId="31931"/>
    <cellStyle name="SAPBEXaggItemX 5 2 13" xfId="31932"/>
    <cellStyle name="SAPBEXaggItemX 5 2 14" xfId="31933"/>
    <cellStyle name="SAPBEXaggItemX 5 2 15" xfId="31934"/>
    <cellStyle name="SAPBEXaggItemX 5 2 16" xfId="31935"/>
    <cellStyle name="SAPBEXaggItemX 5 2 17" xfId="31936"/>
    <cellStyle name="SAPBEXaggItemX 5 2 18" xfId="31937"/>
    <cellStyle name="SAPBEXaggItemX 5 2 2" xfId="31938"/>
    <cellStyle name="SAPBEXaggItemX 5 2 2 2" xfId="31939"/>
    <cellStyle name="SAPBEXaggItemX 5 2 2 2 2" xfId="31940"/>
    <cellStyle name="SAPBEXaggItemX 5 2 2 3" xfId="31941"/>
    <cellStyle name="SAPBEXaggItemX 5 2 2 4" xfId="31942"/>
    <cellStyle name="SAPBEXaggItemX 5 2 3" xfId="31943"/>
    <cellStyle name="SAPBEXaggItemX 5 2 3 2" xfId="31944"/>
    <cellStyle name="SAPBEXaggItemX 5 2 3 3" xfId="31945"/>
    <cellStyle name="SAPBEXaggItemX 5 2 4" xfId="31946"/>
    <cellStyle name="SAPBEXaggItemX 5 2 4 2" xfId="31947"/>
    <cellStyle name="SAPBEXaggItemX 5 2 5" xfId="31948"/>
    <cellStyle name="SAPBEXaggItemX 5 2 6" xfId="31949"/>
    <cellStyle name="SAPBEXaggItemX 5 2 7" xfId="31950"/>
    <cellStyle name="SAPBEXaggItemX 5 2 8" xfId="31951"/>
    <cellStyle name="SAPBEXaggItemX 5 2 9" xfId="31952"/>
    <cellStyle name="SAPBEXaggItemX 5 20" xfId="31953"/>
    <cellStyle name="SAPBEXaggItemX 5 21" xfId="31954"/>
    <cellStyle name="SAPBEXaggItemX 5 22" xfId="31955"/>
    <cellStyle name="SAPBEXaggItemX 5 3" xfId="31956"/>
    <cellStyle name="SAPBEXaggItemX 5 3 10" xfId="31957"/>
    <cellStyle name="SAPBEXaggItemX 5 3 11" xfId="31958"/>
    <cellStyle name="SAPBEXaggItemX 5 3 12" xfId="31959"/>
    <cellStyle name="SAPBEXaggItemX 5 3 13" xfId="31960"/>
    <cellStyle name="SAPBEXaggItemX 5 3 14" xfId="31961"/>
    <cellStyle name="SAPBEXaggItemX 5 3 15" xfId="31962"/>
    <cellStyle name="SAPBEXaggItemX 5 3 16" xfId="31963"/>
    <cellStyle name="SAPBEXaggItemX 5 3 17" xfId="31964"/>
    <cellStyle name="SAPBEXaggItemX 5 3 18" xfId="31965"/>
    <cellStyle name="SAPBEXaggItemX 5 3 2" xfId="31966"/>
    <cellStyle name="SAPBEXaggItemX 5 3 2 2" xfId="31967"/>
    <cellStyle name="SAPBEXaggItemX 5 3 2 2 2" xfId="31968"/>
    <cellStyle name="SAPBEXaggItemX 5 3 2 3" xfId="31969"/>
    <cellStyle name="SAPBEXaggItemX 5 3 2 4" xfId="31970"/>
    <cellStyle name="SAPBEXaggItemX 5 3 3" xfId="31971"/>
    <cellStyle name="SAPBEXaggItemX 5 3 3 2" xfId="31972"/>
    <cellStyle name="SAPBEXaggItemX 5 3 3 3" xfId="31973"/>
    <cellStyle name="SAPBEXaggItemX 5 3 4" xfId="31974"/>
    <cellStyle name="SAPBEXaggItemX 5 3 4 2" xfId="31975"/>
    <cellStyle name="SAPBEXaggItemX 5 3 5" xfId="31976"/>
    <cellStyle name="SAPBEXaggItemX 5 3 6" xfId="31977"/>
    <cellStyle name="SAPBEXaggItemX 5 3 7" xfId="31978"/>
    <cellStyle name="SAPBEXaggItemX 5 3 8" xfId="31979"/>
    <cellStyle name="SAPBEXaggItemX 5 3 9" xfId="31980"/>
    <cellStyle name="SAPBEXaggItemX 5 4" xfId="31981"/>
    <cellStyle name="SAPBEXaggItemX 5 4 2" xfId="31982"/>
    <cellStyle name="SAPBEXaggItemX 5 4 2 2" xfId="31983"/>
    <cellStyle name="SAPBEXaggItemX 5 4 2 3" xfId="31984"/>
    <cellStyle name="SAPBEXaggItemX 5 4 3" xfId="31985"/>
    <cellStyle name="SAPBEXaggItemX 5 4 3 2" xfId="31986"/>
    <cellStyle name="SAPBEXaggItemX 5 4 4" xfId="31987"/>
    <cellStyle name="SAPBEXaggItemX 5 4 5" xfId="31988"/>
    <cellStyle name="SAPBEXaggItemX 5 5" xfId="31989"/>
    <cellStyle name="SAPBEXaggItemX 5 5 2" xfId="31990"/>
    <cellStyle name="SAPBEXaggItemX 5 5 2 2" xfId="31991"/>
    <cellStyle name="SAPBEXaggItemX 5 5 3" xfId="31992"/>
    <cellStyle name="SAPBEXaggItemX 5 5 4" xfId="31993"/>
    <cellStyle name="SAPBEXaggItemX 5 6" xfId="31994"/>
    <cellStyle name="SAPBEXaggItemX 5 6 2" xfId="31995"/>
    <cellStyle name="SAPBEXaggItemX 5 6 3" xfId="31996"/>
    <cellStyle name="SAPBEXaggItemX 5 7" xfId="31997"/>
    <cellStyle name="SAPBEXaggItemX 5 7 2" xfId="31998"/>
    <cellStyle name="SAPBEXaggItemX 5 8" xfId="31999"/>
    <cellStyle name="SAPBEXaggItemX 5 9" xfId="32000"/>
    <cellStyle name="SAPBEXaggItemX 6" xfId="32001"/>
    <cellStyle name="SAPBEXaggItemX 6 10" xfId="32002"/>
    <cellStyle name="SAPBEXaggItemX 6 11" xfId="32003"/>
    <cellStyle name="SAPBEXaggItemX 6 12" xfId="32004"/>
    <cellStyle name="SAPBEXaggItemX 6 13" xfId="32005"/>
    <cellStyle name="SAPBEXaggItemX 6 14" xfId="32006"/>
    <cellStyle name="SAPBEXaggItemX 6 15" xfId="32007"/>
    <cellStyle name="SAPBEXaggItemX 6 2" xfId="32008"/>
    <cellStyle name="SAPBEXaggItemX 6 2 10" xfId="32009"/>
    <cellStyle name="SAPBEXaggItemX 6 2 11" xfId="32010"/>
    <cellStyle name="SAPBEXaggItemX 6 2 12" xfId="32011"/>
    <cellStyle name="SAPBEXaggItemX 6 2 13" xfId="32012"/>
    <cellStyle name="SAPBEXaggItemX 6 2 14" xfId="32013"/>
    <cellStyle name="SAPBEXaggItemX 6 2 15" xfId="32014"/>
    <cellStyle name="SAPBEXaggItemX 6 2 16" xfId="32015"/>
    <cellStyle name="SAPBEXaggItemX 6 2 17" xfId="32016"/>
    <cellStyle name="SAPBEXaggItemX 6 2 18" xfId="32017"/>
    <cellStyle name="SAPBEXaggItemX 6 2 2" xfId="32018"/>
    <cellStyle name="SAPBEXaggItemX 6 2 2 2" xfId="32019"/>
    <cellStyle name="SAPBEXaggItemX 6 2 2 2 2" xfId="32020"/>
    <cellStyle name="SAPBEXaggItemX 6 2 2 3" xfId="32021"/>
    <cellStyle name="SAPBEXaggItemX 6 2 2 4" xfId="32022"/>
    <cellStyle name="SAPBEXaggItemX 6 2 3" xfId="32023"/>
    <cellStyle name="SAPBEXaggItemX 6 2 3 2" xfId="32024"/>
    <cellStyle name="SAPBEXaggItemX 6 2 3 3" xfId="32025"/>
    <cellStyle name="SAPBEXaggItemX 6 2 4" xfId="32026"/>
    <cellStyle name="SAPBEXaggItemX 6 2 4 2" xfId="32027"/>
    <cellStyle name="SAPBEXaggItemX 6 2 5" xfId="32028"/>
    <cellStyle name="SAPBEXaggItemX 6 2 6" xfId="32029"/>
    <cellStyle name="SAPBEXaggItemX 6 2 7" xfId="32030"/>
    <cellStyle name="SAPBEXaggItemX 6 2 8" xfId="32031"/>
    <cellStyle name="SAPBEXaggItemX 6 2 9" xfId="32032"/>
    <cellStyle name="SAPBEXaggItemX 6 3" xfId="32033"/>
    <cellStyle name="SAPBEXaggItemX 6 3 10" xfId="32034"/>
    <cellStyle name="SAPBEXaggItemX 6 3 11" xfId="32035"/>
    <cellStyle name="SAPBEXaggItemX 6 3 12" xfId="32036"/>
    <cellStyle name="SAPBEXaggItemX 6 3 13" xfId="32037"/>
    <cellStyle name="SAPBEXaggItemX 6 3 14" xfId="32038"/>
    <cellStyle name="SAPBEXaggItemX 6 3 15" xfId="32039"/>
    <cellStyle name="SAPBEXaggItemX 6 3 16" xfId="32040"/>
    <cellStyle name="SAPBEXaggItemX 6 3 17" xfId="32041"/>
    <cellStyle name="SAPBEXaggItemX 6 3 18" xfId="32042"/>
    <cellStyle name="SAPBEXaggItemX 6 3 2" xfId="32043"/>
    <cellStyle name="SAPBEXaggItemX 6 3 2 2" xfId="32044"/>
    <cellStyle name="SAPBEXaggItemX 6 3 2 2 2" xfId="32045"/>
    <cellStyle name="SAPBEXaggItemX 6 3 2 3" xfId="32046"/>
    <cellStyle name="SAPBEXaggItemX 6 3 2 4" xfId="32047"/>
    <cellStyle name="SAPBEXaggItemX 6 3 3" xfId="32048"/>
    <cellStyle name="SAPBEXaggItemX 6 3 3 2" xfId="32049"/>
    <cellStyle name="SAPBEXaggItemX 6 3 3 3" xfId="32050"/>
    <cellStyle name="SAPBEXaggItemX 6 3 4" xfId="32051"/>
    <cellStyle name="SAPBEXaggItemX 6 3 4 2" xfId="32052"/>
    <cellStyle name="SAPBEXaggItemX 6 3 5" xfId="32053"/>
    <cellStyle name="SAPBEXaggItemX 6 3 6" xfId="32054"/>
    <cellStyle name="SAPBEXaggItemX 6 3 7" xfId="32055"/>
    <cellStyle name="SAPBEXaggItemX 6 3 8" xfId="32056"/>
    <cellStyle name="SAPBEXaggItemX 6 3 9" xfId="32057"/>
    <cellStyle name="SAPBEXaggItemX 6 4" xfId="32058"/>
    <cellStyle name="SAPBEXaggItemX 6 4 2" xfId="32059"/>
    <cellStyle name="SAPBEXaggItemX 6 4 2 2" xfId="32060"/>
    <cellStyle name="SAPBEXaggItemX 6 4 3" xfId="32061"/>
    <cellStyle name="SAPBEXaggItemX 6 4 4" xfId="32062"/>
    <cellStyle name="SAPBEXaggItemX 6 5" xfId="32063"/>
    <cellStyle name="SAPBEXaggItemX 6 5 2" xfId="32064"/>
    <cellStyle name="SAPBEXaggItemX 6 6" xfId="32065"/>
    <cellStyle name="SAPBEXaggItemX 6 7" xfId="32066"/>
    <cellStyle name="SAPBEXaggItemX 6 8" xfId="32067"/>
    <cellStyle name="SAPBEXaggItemX 6 9" xfId="32068"/>
    <cellStyle name="SAPBEXaggItemX 7" xfId="32069"/>
    <cellStyle name="SAPBEXaggItemX 7 10" xfId="32070"/>
    <cellStyle name="SAPBEXaggItemX 7 11" xfId="32071"/>
    <cellStyle name="SAPBEXaggItemX 7 12" xfId="32072"/>
    <cellStyle name="SAPBEXaggItemX 7 13" xfId="32073"/>
    <cellStyle name="SAPBEXaggItemX 7 14" xfId="32074"/>
    <cellStyle name="SAPBEXaggItemX 7 15" xfId="32075"/>
    <cellStyle name="SAPBEXaggItemX 7 16" xfId="32076"/>
    <cellStyle name="SAPBEXaggItemX 7 17" xfId="32077"/>
    <cellStyle name="SAPBEXaggItemX 7 18" xfId="32078"/>
    <cellStyle name="SAPBEXaggItemX 7 2" xfId="32079"/>
    <cellStyle name="SAPBEXaggItemX 7 3" xfId="32080"/>
    <cellStyle name="SAPBEXaggItemX 7 4" xfId="32081"/>
    <cellStyle name="SAPBEXaggItemX 7 5" xfId="32082"/>
    <cellStyle name="SAPBEXaggItemX 7 6" xfId="32083"/>
    <cellStyle name="SAPBEXaggItemX 7 7" xfId="32084"/>
    <cellStyle name="SAPBEXaggItemX 7 8" xfId="32085"/>
    <cellStyle name="SAPBEXaggItemX 7 9" xfId="32086"/>
    <cellStyle name="SAPBEXaggItemX 8" xfId="32087"/>
    <cellStyle name="SAPBEXaggItemX 9" xfId="32088"/>
    <cellStyle name="SAPBEXchaText" xfId="32089"/>
    <cellStyle name="SAPBEXchaText 2" xfId="32090"/>
    <cellStyle name="SAPBEXchaText 3" xfId="32091"/>
    <cellStyle name="SAPBEXchaText 4" xfId="32092"/>
    <cellStyle name="SAPBEXchaText 5" xfId="32093"/>
    <cellStyle name="SAPBEXchaText 6" xfId="32094"/>
    <cellStyle name="SAPBEXchaText_Приложение_1_к_7-у-о_2009_Кв_1_ФСТ" xfId="32095"/>
    <cellStyle name="SAPBEXexcBad7" xfId="32096"/>
    <cellStyle name="SAPBEXexcBad7 10" xfId="32097"/>
    <cellStyle name="SAPBEXexcBad7 11" xfId="32098"/>
    <cellStyle name="SAPBEXexcBad7 12" xfId="32099"/>
    <cellStyle name="SAPBEXexcBad7 13" xfId="32100"/>
    <cellStyle name="SAPBEXexcBad7 14" xfId="32101"/>
    <cellStyle name="SAPBEXexcBad7 15" xfId="32102"/>
    <cellStyle name="SAPBEXexcBad7 16" xfId="32103"/>
    <cellStyle name="SAPBEXexcBad7 17" xfId="32104"/>
    <cellStyle name="SAPBEXexcBad7 18" xfId="32105"/>
    <cellStyle name="SAPBEXexcBad7 19" xfId="32106"/>
    <cellStyle name="SAPBEXexcBad7 2" xfId="32107"/>
    <cellStyle name="SAPBEXexcBad7 2 10" xfId="32108"/>
    <cellStyle name="SAPBEXexcBad7 2 11" xfId="32109"/>
    <cellStyle name="SAPBEXexcBad7 2 12" xfId="32110"/>
    <cellStyle name="SAPBEXexcBad7 2 13" xfId="32111"/>
    <cellStyle name="SAPBEXexcBad7 2 14" xfId="32112"/>
    <cellStyle name="SAPBEXexcBad7 2 15" xfId="32113"/>
    <cellStyle name="SAPBEXexcBad7 2 16" xfId="32114"/>
    <cellStyle name="SAPBEXexcBad7 2 17" xfId="32115"/>
    <cellStyle name="SAPBEXexcBad7 2 18" xfId="32116"/>
    <cellStyle name="SAPBEXexcBad7 2 19" xfId="32117"/>
    <cellStyle name="SAPBEXexcBad7 2 2" xfId="32118"/>
    <cellStyle name="SAPBEXexcBad7 2 2 10" xfId="32119"/>
    <cellStyle name="SAPBEXexcBad7 2 2 11" xfId="32120"/>
    <cellStyle name="SAPBEXexcBad7 2 2 12" xfId="32121"/>
    <cellStyle name="SAPBEXexcBad7 2 2 13" xfId="32122"/>
    <cellStyle name="SAPBEXexcBad7 2 2 14" xfId="32123"/>
    <cellStyle name="SAPBEXexcBad7 2 2 15" xfId="32124"/>
    <cellStyle name="SAPBEXexcBad7 2 2 16" xfId="32125"/>
    <cellStyle name="SAPBEXexcBad7 2 2 17" xfId="32126"/>
    <cellStyle name="SAPBEXexcBad7 2 2 18" xfId="32127"/>
    <cellStyle name="SAPBEXexcBad7 2 2 19" xfId="32128"/>
    <cellStyle name="SAPBEXexcBad7 2 2 2" xfId="32129"/>
    <cellStyle name="SAPBEXexcBad7 2 2 2 2" xfId="32130"/>
    <cellStyle name="SAPBEXexcBad7 2 2 2 2 2" xfId="32131"/>
    <cellStyle name="SAPBEXexcBad7 2 2 2 3" xfId="32132"/>
    <cellStyle name="SAPBEXexcBad7 2 2 2 4" xfId="32133"/>
    <cellStyle name="SAPBEXexcBad7 2 2 20" xfId="32134"/>
    <cellStyle name="SAPBEXexcBad7 2 2 21" xfId="32135"/>
    <cellStyle name="SAPBEXexcBad7 2 2 3" xfId="32136"/>
    <cellStyle name="SAPBEXexcBad7 2 2 3 2" xfId="32137"/>
    <cellStyle name="SAPBEXexcBad7 2 2 3 3" xfId="32138"/>
    <cellStyle name="SAPBEXexcBad7 2 2 4" xfId="32139"/>
    <cellStyle name="SAPBEXexcBad7 2 2 4 2" xfId="32140"/>
    <cellStyle name="SAPBEXexcBad7 2 2 5" xfId="32141"/>
    <cellStyle name="SAPBEXexcBad7 2 2 6" xfId="32142"/>
    <cellStyle name="SAPBEXexcBad7 2 2 7" xfId="32143"/>
    <cellStyle name="SAPBEXexcBad7 2 2 8" xfId="32144"/>
    <cellStyle name="SAPBEXexcBad7 2 2 9" xfId="32145"/>
    <cellStyle name="SAPBEXexcBad7 2 20" xfId="32146"/>
    <cellStyle name="SAPBEXexcBad7 2 21" xfId="32147"/>
    <cellStyle name="SAPBEXexcBad7 2 22" xfId="32148"/>
    <cellStyle name="SAPBEXexcBad7 2 23" xfId="32149"/>
    <cellStyle name="SAPBEXexcBad7 2 24" xfId="32150"/>
    <cellStyle name="SAPBEXexcBad7 2 3" xfId="32151"/>
    <cellStyle name="SAPBEXexcBad7 2 3 10" xfId="32152"/>
    <cellStyle name="SAPBEXexcBad7 2 3 11" xfId="32153"/>
    <cellStyle name="SAPBEXexcBad7 2 3 12" xfId="32154"/>
    <cellStyle name="SAPBEXexcBad7 2 3 13" xfId="32155"/>
    <cellStyle name="SAPBEXexcBad7 2 3 14" xfId="32156"/>
    <cellStyle name="SAPBEXexcBad7 2 3 15" xfId="32157"/>
    <cellStyle name="SAPBEXexcBad7 2 3 16" xfId="32158"/>
    <cellStyle name="SAPBEXexcBad7 2 3 17" xfId="32159"/>
    <cellStyle name="SAPBEXexcBad7 2 3 18" xfId="32160"/>
    <cellStyle name="SAPBEXexcBad7 2 3 2" xfId="32161"/>
    <cellStyle name="SAPBEXexcBad7 2 3 2 2" xfId="32162"/>
    <cellStyle name="SAPBEXexcBad7 2 3 2 2 2" xfId="32163"/>
    <cellStyle name="SAPBEXexcBad7 2 3 2 3" xfId="32164"/>
    <cellStyle name="SAPBEXexcBad7 2 3 2 4" xfId="32165"/>
    <cellStyle name="SAPBEXexcBad7 2 3 3" xfId="32166"/>
    <cellStyle name="SAPBEXexcBad7 2 3 3 2" xfId="32167"/>
    <cellStyle name="SAPBEXexcBad7 2 3 3 3" xfId="32168"/>
    <cellStyle name="SAPBEXexcBad7 2 3 4" xfId="32169"/>
    <cellStyle name="SAPBEXexcBad7 2 3 4 2" xfId="32170"/>
    <cellStyle name="SAPBEXexcBad7 2 3 5" xfId="32171"/>
    <cellStyle name="SAPBEXexcBad7 2 3 6" xfId="32172"/>
    <cellStyle name="SAPBEXexcBad7 2 3 7" xfId="32173"/>
    <cellStyle name="SAPBEXexcBad7 2 3 8" xfId="32174"/>
    <cellStyle name="SAPBEXexcBad7 2 3 9" xfId="32175"/>
    <cellStyle name="SAPBEXexcBad7 2 4" xfId="32176"/>
    <cellStyle name="SAPBEXexcBad7 2 4 2" xfId="32177"/>
    <cellStyle name="SAPBEXexcBad7 2 4 2 2" xfId="32178"/>
    <cellStyle name="SAPBEXexcBad7 2 4 2 3" xfId="32179"/>
    <cellStyle name="SAPBEXexcBad7 2 4 3" xfId="32180"/>
    <cellStyle name="SAPBEXexcBad7 2 4 3 2" xfId="32181"/>
    <cellStyle name="SAPBEXexcBad7 2 4 4" xfId="32182"/>
    <cellStyle name="SAPBEXexcBad7 2 4 5" xfId="32183"/>
    <cellStyle name="SAPBEXexcBad7 2 5" xfId="32184"/>
    <cellStyle name="SAPBEXexcBad7 2 5 2" xfId="32185"/>
    <cellStyle name="SAPBEXexcBad7 2 5 2 2" xfId="32186"/>
    <cellStyle name="SAPBEXexcBad7 2 5 3" xfId="32187"/>
    <cellStyle name="SAPBEXexcBad7 2 5 4" xfId="32188"/>
    <cellStyle name="SAPBEXexcBad7 2 6" xfId="32189"/>
    <cellStyle name="SAPBEXexcBad7 2 6 2" xfId="32190"/>
    <cellStyle name="SAPBEXexcBad7 2 6 3" xfId="32191"/>
    <cellStyle name="SAPBEXexcBad7 2 7" xfId="32192"/>
    <cellStyle name="SAPBEXexcBad7 2 7 2" xfId="32193"/>
    <cellStyle name="SAPBEXexcBad7 2 8" xfId="32194"/>
    <cellStyle name="SAPBEXexcBad7 2 9" xfId="32195"/>
    <cellStyle name="SAPBEXexcBad7 3" xfId="32196"/>
    <cellStyle name="SAPBEXexcBad7 3 10" xfId="32197"/>
    <cellStyle name="SAPBEXexcBad7 3 11" xfId="32198"/>
    <cellStyle name="SAPBEXexcBad7 3 12" xfId="32199"/>
    <cellStyle name="SAPBEXexcBad7 3 13" xfId="32200"/>
    <cellStyle name="SAPBEXexcBad7 3 14" xfId="32201"/>
    <cellStyle name="SAPBEXexcBad7 3 15" xfId="32202"/>
    <cellStyle name="SAPBEXexcBad7 3 16" xfId="32203"/>
    <cellStyle name="SAPBEXexcBad7 3 17" xfId="32204"/>
    <cellStyle name="SAPBEXexcBad7 3 18" xfId="32205"/>
    <cellStyle name="SAPBEXexcBad7 3 19" xfId="32206"/>
    <cellStyle name="SAPBEXexcBad7 3 2" xfId="32207"/>
    <cellStyle name="SAPBEXexcBad7 3 2 10" xfId="32208"/>
    <cellStyle name="SAPBEXexcBad7 3 2 11" xfId="32209"/>
    <cellStyle name="SAPBEXexcBad7 3 2 12" xfId="32210"/>
    <cellStyle name="SAPBEXexcBad7 3 2 13" xfId="32211"/>
    <cellStyle name="SAPBEXexcBad7 3 2 14" xfId="32212"/>
    <cellStyle name="SAPBEXexcBad7 3 2 15" xfId="32213"/>
    <cellStyle name="SAPBEXexcBad7 3 2 16" xfId="32214"/>
    <cellStyle name="SAPBEXexcBad7 3 2 17" xfId="32215"/>
    <cellStyle name="SAPBEXexcBad7 3 2 18" xfId="32216"/>
    <cellStyle name="SAPBEXexcBad7 3 2 2" xfId="32217"/>
    <cellStyle name="SAPBEXexcBad7 3 2 2 2" xfId="32218"/>
    <cellStyle name="SAPBEXexcBad7 3 2 2 2 2" xfId="32219"/>
    <cellStyle name="SAPBEXexcBad7 3 2 2 3" xfId="32220"/>
    <cellStyle name="SAPBEXexcBad7 3 2 2 4" xfId="32221"/>
    <cellStyle name="SAPBEXexcBad7 3 2 3" xfId="32222"/>
    <cellStyle name="SAPBEXexcBad7 3 2 3 2" xfId="32223"/>
    <cellStyle name="SAPBEXexcBad7 3 2 3 3" xfId="32224"/>
    <cellStyle name="SAPBEXexcBad7 3 2 4" xfId="32225"/>
    <cellStyle name="SAPBEXexcBad7 3 2 4 2" xfId="32226"/>
    <cellStyle name="SAPBEXexcBad7 3 2 5" xfId="32227"/>
    <cellStyle name="SAPBEXexcBad7 3 2 6" xfId="32228"/>
    <cellStyle name="SAPBEXexcBad7 3 2 7" xfId="32229"/>
    <cellStyle name="SAPBEXexcBad7 3 2 8" xfId="32230"/>
    <cellStyle name="SAPBEXexcBad7 3 2 9" xfId="32231"/>
    <cellStyle name="SAPBEXexcBad7 3 20" xfId="32232"/>
    <cellStyle name="SAPBEXexcBad7 3 21" xfId="32233"/>
    <cellStyle name="SAPBEXexcBad7 3 22" xfId="32234"/>
    <cellStyle name="SAPBEXexcBad7 3 3" xfId="32235"/>
    <cellStyle name="SAPBEXexcBad7 3 3 10" xfId="32236"/>
    <cellStyle name="SAPBEXexcBad7 3 3 11" xfId="32237"/>
    <cellStyle name="SAPBEXexcBad7 3 3 12" xfId="32238"/>
    <cellStyle name="SAPBEXexcBad7 3 3 13" xfId="32239"/>
    <cellStyle name="SAPBEXexcBad7 3 3 14" xfId="32240"/>
    <cellStyle name="SAPBEXexcBad7 3 3 15" xfId="32241"/>
    <cellStyle name="SAPBEXexcBad7 3 3 16" xfId="32242"/>
    <cellStyle name="SAPBEXexcBad7 3 3 17" xfId="32243"/>
    <cellStyle name="SAPBEXexcBad7 3 3 18" xfId="32244"/>
    <cellStyle name="SAPBEXexcBad7 3 3 2" xfId="32245"/>
    <cellStyle name="SAPBEXexcBad7 3 3 2 2" xfId="32246"/>
    <cellStyle name="SAPBEXexcBad7 3 3 2 2 2" xfId="32247"/>
    <cellStyle name="SAPBEXexcBad7 3 3 2 3" xfId="32248"/>
    <cellStyle name="SAPBEXexcBad7 3 3 2 4" xfId="32249"/>
    <cellStyle name="SAPBEXexcBad7 3 3 3" xfId="32250"/>
    <cellStyle name="SAPBEXexcBad7 3 3 3 2" xfId="32251"/>
    <cellStyle name="SAPBEXexcBad7 3 3 3 3" xfId="32252"/>
    <cellStyle name="SAPBEXexcBad7 3 3 4" xfId="32253"/>
    <cellStyle name="SAPBEXexcBad7 3 3 4 2" xfId="32254"/>
    <cellStyle name="SAPBEXexcBad7 3 3 5" xfId="32255"/>
    <cellStyle name="SAPBEXexcBad7 3 3 6" xfId="32256"/>
    <cellStyle name="SAPBEXexcBad7 3 3 7" xfId="32257"/>
    <cellStyle name="SAPBEXexcBad7 3 3 8" xfId="32258"/>
    <cellStyle name="SAPBEXexcBad7 3 3 9" xfId="32259"/>
    <cellStyle name="SAPBEXexcBad7 3 4" xfId="32260"/>
    <cellStyle name="SAPBEXexcBad7 3 4 2" xfId="32261"/>
    <cellStyle name="SAPBEXexcBad7 3 4 2 2" xfId="32262"/>
    <cellStyle name="SAPBEXexcBad7 3 4 2 3" xfId="32263"/>
    <cellStyle name="SAPBEXexcBad7 3 4 3" xfId="32264"/>
    <cellStyle name="SAPBEXexcBad7 3 4 3 2" xfId="32265"/>
    <cellStyle name="SAPBEXexcBad7 3 4 4" xfId="32266"/>
    <cellStyle name="SAPBEXexcBad7 3 4 5" xfId="32267"/>
    <cellStyle name="SAPBEXexcBad7 3 5" xfId="32268"/>
    <cellStyle name="SAPBEXexcBad7 3 5 2" xfId="32269"/>
    <cellStyle name="SAPBEXexcBad7 3 5 2 2" xfId="32270"/>
    <cellStyle name="SAPBEXexcBad7 3 5 3" xfId="32271"/>
    <cellStyle name="SAPBEXexcBad7 3 5 4" xfId="32272"/>
    <cellStyle name="SAPBEXexcBad7 3 6" xfId="32273"/>
    <cellStyle name="SAPBEXexcBad7 3 6 2" xfId="32274"/>
    <cellStyle name="SAPBEXexcBad7 3 6 3" xfId="32275"/>
    <cellStyle name="SAPBEXexcBad7 3 7" xfId="32276"/>
    <cellStyle name="SAPBEXexcBad7 3 7 2" xfId="32277"/>
    <cellStyle name="SAPBEXexcBad7 3 8" xfId="32278"/>
    <cellStyle name="SAPBEXexcBad7 3 9" xfId="32279"/>
    <cellStyle name="SAPBEXexcBad7 4" xfId="32280"/>
    <cellStyle name="SAPBEXexcBad7 4 10" xfId="32281"/>
    <cellStyle name="SAPBEXexcBad7 4 11" xfId="32282"/>
    <cellStyle name="SAPBEXexcBad7 4 12" xfId="32283"/>
    <cellStyle name="SAPBEXexcBad7 4 13" xfId="32284"/>
    <cellStyle name="SAPBEXexcBad7 4 14" xfId="32285"/>
    <cellStyle name="SAPBEXexcBad7 4 15" xfId="32286"/>
    <cellStyle name="SAPBEXexcBad7 4 16" xfId="32287"/>
    <cellStyle name="SAPBEXexcBad7 4 17" xfId="32288"/>
    <cellStyle name="SAPBEXexcBad7 4 18" xfId="32289"/>
    <cellStyle name="SAPBEXexcBad7 4 19" xfId="32290"/>
    <cellStyle name="SAPBEXexcBad7 4 2" xfId="32291"/>
    <cellStyle name="SAPBEXexcBad7 4 2 10" xfId="32292"/>
    <cellStyle name="SAPBEXexcBad7 4 2 11" xfId="32293"/>
    <cellStyle name="SAPBEXexcBad7 4 2 12" xfId="32294"/>
    <cellStyle name="SAPBEXexcBad7 4 2 13" xfId="32295"/>
    <cellStyle name="SAPBEXexcBad7 4 2 14" xfId="32296"/>
    <cellStyle name="SAPBEXexcBad7 4 2 15" xfId="32297"/>
    <cellStyle name="SAPBEXexcBad7 4 2 16" xfId="32298"/>
    <cellStyle name="SAPBEXexcBad7 4 2 17" xfId="32299"/>
    <cellStyle name="SAPBEXexcBad7 4 2 18" xfId="32300"/>
    <cellStyle name="SAPBEXexcBad7 4 2 2" xfId="32301"/>
    <cellStyle name="SAPBEXexcBad7 4 2 2 2" xfId="32302"/>
    <cellStyle name="SAPBEXexcBad7 4 2 2 2 2" xfId="32303"/>
    <cellStyle name="SAPBEXexcBad7 4 2 2 3" xfId="32304"/>
    <cellStyle name="SAPBEXexcBad7 4 2 2 4" xfId="32305"/>
    <cellStyle name="SAPBEXexcBad7 4 2 3" xfId="32306"/>
    <cellStyle name="SAPBEXexcBad7 4 2 3 2" xfId="32307"/>
    <cellStyle name="SAPBEXexcBad7 4 2 3 3" xfId="32308"/>
    <cellStyle name="SAPBEXexcBad7 4 2 4" xfId="32309"/>
    <cellStyle name="SAPBEXexcBad7 4 2 4 2" xfId="32310"/>
    <cellStyle name="SAPBEXexcBad7 4 2 5" xfId="32311"/>
    <cellStyle name="SAPBEXexcBad7 4 2 6" xfId="32312"/>
    <cellStyle name="SAPBEXexcBad7 4 2 7" xfId="32313"/>
    <cellStyle name="SAPBEXexcBad7 4 2 8" xfId="32314"/>
    <cellStyle name="SAPBEXexcBad7 4 2 9" xfId="32315"/>
    <cellStyle name="SAPBEXexcBad7 4 20" xfId="32316"/>
    <cellStyle name="SAPBEXexcBad7 4 21" xfId="32317"/>
    <cellStyle name="SAPBEXexcBad7 4 22" xfId="32318"/>
    <cellStyle name="SAPBEXexcBad7 4 3" xfId="32319"/>
    <cellStyle name="SAPBEXexcBad7 4 3 10" xfId="32320"/>
    <cellStyle name="SAPBEXexcBad7 4 3 11" xfId="32321"/>
    <cellStyle name="SAPBEXexcBad7 4 3 12" xfId="32322"/>
    <cellStyle name="SAPBEXexcBad7 4 3 13" xfId="32323"/>
    <cellStyle name="SAPBEXexcBad7 4 3 14" xfId="32324"/>
    <cellStyle name="SAPBEXexcBad7 4 3 15" xfId="32325"/>
    <cellStyle name="SAPBEXexcBad7 4 3 16" xfId="32326"/>
    <cellStyle name="SAPBEXexcBad7 4 3 17" xfId="32327"/>
    <cellStyle name="SAPBEXexcBad7 4 3 18" xfId="32328"/>
    <cellStyle name="SAPBEXexcBad7 4 3 2" xfId="32329"/>
    <cellStyle name="SAPBEXexcBad7 4 3 2 2" xfId="32330"/>
    <cellStyle name="SAPBEXexcBad7 4 3 2 2 2" xfId="32331"/>
    <cellStyle name="SAPBEXexcBad7 4 3 2 3" xfId="32332"/>
    <cellStyle name="SAPBEXexcBad7 4 3 2 4" xfId="32333"/>
    <cellStyle name="SAPBEXexcBad7 4 3 3" xfId="32334"/>
    <cellStyle name="SAPBEXexcBad7 4 3 3 2" xfId="32335"/>
    <cellStyle name="SAPBEXexcBad7 4 3 3 3" xfId="32336"/>
    <cellStyle name="SAPBEXexcBad7 4 3 4" xfId="32337"/>
    <cellStyle name="SAPBEXexcBad7 4 3 4 2" xfId="32338"/>
    <cellStyle name="SAPBEXexcBad7 4 3 5" xfId="32339"/>
    <cellStyle name="SAPBEXexcBad7 4 3 6" xfId="32340"/>
    <cellStyle name="SAPBEXexcBad7 4 3 7" xfId="32341"/>
    <cellStyle name="SAPBEXexcBad7 4 3 8" xfId="32342"/>
    <cellStyle name="SAPBEXexcBad7 4 3 9" xfId="32343"/>
    <cellStyle name="SAPBEXexcBad7 4 4" xfId="32344"/>
    <cellStyle name="SAPBEXexcBad7 4 4 2" xfId="32345"/>
    <cellStyle name="SAPBEXexcBad7 4 4 2 2" xfId="32346"/>
    <cellStyle name="SAPBEXexcBad7 4 4 2 3" xfId="32347"/>
    <cellStyle name="SAPBEXexcBad7 4 4 3" xfId="32348"/>
    <cellStyle name="SAPBEXexcBad7 4 4 3 2" xfId="32349"/>
    <cellStyle name="SAPBEXexcBad7 4 4 4" xfId="32350"/>
    <cellStyle name="SAPBEXexcBad7 4 4 5" xfId="32351"/>
    <cellStyle name="SAPBEXexcBad7 4 5" xfId="32352"/>
    <cellStyle name="SAPBEXexcBad7 4 5 2" xfId="32353"/>
    <cellStyle name="SAPBEXexcBad7 4 5 2 2" xfId="32354"/>
    <cellStyle name="SAPBEXexcBad7 4 5 3" xfId="32355"/>
    <cellStyle name="SAPBEXexcBad7 4 5 4" xfId="32356"/>
    <cellStyle name="SAPBEXexcBad7 4 6" xfId="32357"/>
    <cellStyle name="SAPBEXexcBad7 4 6 2" xfId="32358"/>
    <cellStyle name="SAPBEXexcBad7 4 6 3" xfId="32359"/>
    <cellStyle name="SAPBEXexcBad7 4 7" xfId="32360"/>
    <cellStyle name="SAPBEXexcBad7 4 7 2" xfId="32361"/>
    <cellStyle name="SAPBEXexcBad7 4 8" xfId="32362"/>
    <cellStyle name="SAPBEXexcBad7 4 9" xfId="32363"/>
    <cellStyle name="SAPBEXexcBad7 5" xfId="32364"/>
    <cellStyle name="SAPBEXexcBad7 5 10" xfId="32365"/>
    <cellStyle name="SAPBEXexcBad7 5 11" xfId="32366"/>
    <cellStyle name="SAPBEXexcBad7 5 12" xfId="32367"/>
    <cellStyle name="SAPBEXexcBad7 5 13" xfId="32368"/>
    <cellStyle name="SAPBEXexcBad7 5 14" xfId="32369"/>
    <cellStyle name="SAPBEXexcBad7 5 15" xfId="32370"/>
    <cellStyle name="SAPBEXexcBad7 5 16" xfId="32371"/>
    <cellStyle name="SAPBEXexcBad7 5 17" xfId="32372"/>
    <cellStyle name="SAPBEXexcBad7 5 18" xfId="32373"/>
    <cellStyle name="SAPBEXexcBad7 5 19" xfId="32374"/>
    <cellStyle name="SAPBEXexcBad7 5 2" xfId="32375"/>
    <cellStyle name="SAPBEXexcBad7 5 2 10" xfId="32376"/>
    <cellStyle name="SAPBEXexcBad7 5 2 11" xfId="32377"/>
    <cellStyle name="SAPBEXexcBad7 5 2 12" xfId="32378"/>
    <cellStyle name="SAPBEXexcBad7 5 2 13" xfId="32379"/>
    <cellStyle name="SAPBEXexcBad7 5 2 14" xfId="32380"/>
    <cellStyle name="SAPBEXexcBad7 5 2 15" xfId="32381"/>
    <cellStyle name="SAPBEXexcBad7 5 2 16" xfId="32382"/>
    <cellStyle name="SAPBEXexcBad7 5 2 17" xfId="32383"/>
    <cellStyle name="SAPBEXexcBad7 5 2 18" xfId="32384"/>
    <cellStyle name="SAPBEXexcBad7 5 2 2" xfId="32385"/>
    <cellStyle name="SAPBEXexcBad7 5 2 2 2" xfId="32386"/>
    <cellStyle name="SAPBEXexcBad7 5 2 2 2 2" xfId="32387"/>
    <cellStyle name="SAPBEXexcBad7 5 2 2 3" xfId="32388"/>
    <cellStyle name="SAPBEXexcBad7 5 2 2 4" xfId="32389"/>
    <cellStyle name="SAPBEXexcBad7 5 2 3" xfId="32390"/>
    <cellStyle name="SAPBEXexcBad7 5 2 3 2" xfId="32391"/>
    <cellStyle name="SAPBEXexcBad7 5 2 3 3" xfId="32392"/>
    <cellStyle name="SAPBEXexcBad7 5 2 4" xfId="32393"/>
    <cellStyle name="SAPBEXexcBad7 5 2 4 2" xfId="32394"/>
    <cellStyle name="SAPBEXexcBad7 5 2 5" xfId="32395"/>
    <cellStyle name="SAPBEXexcBad7 5 2 6" xfId="32396"/>
    <cellStyle name="SAPBEXexcBad7 5 2 7" xfId="32397"/>
    <cellStyle name="SAPBEXexcBad7 5 2 8" xfId="32398"/>
    <cellStyle name="SAPBEXexcBad7 5 2 9" xfId="32399"/>
    <cellStyle name="SAPBEXexcBad7 5 20" xfId="32400"/>
    <cellStyle name="SAPBEXexcBad7 5 21" xfId="32401"/>
    <cellStyle name="SAPBEXexcBad7 5 22" xfId="32402"/>
    <cellStyle name="SAPBEXexcBad7 5 3" xfId="32403"/>
    <cellStyle name="SAPBEXexcBad7 5 3 10" xfId="32404"/>
    <cellStyle name="SAPBEXexcBad7 5 3 11" xfId="32405"/>
    <cellStyle name="SAPBEXexcBad7 5 3 12" xfId="32406"/>
    <cellStyle name="SAPBEXexcBad7 5 3 13" xfId="32407"/>
    <cellStyle name="SAPBEXexcBad7 5 3 14" xfId="32408"/>
    <cellStyle name="SAPBEXexcBad7 5 3 15" xfId="32409"/>
    <cellStyle name="SAPBEXexcBad7 5 3 16" xfId="32410"/>
    <cellStyle name="SAPBEXexcBad7 5 3 17" xfId="32411"/>
    <cellStyle name="SAPBEXexcBad7 5 3 18" xfId="32412"/>
    <cellStyle name="SAPBEXexcBad7 5 3 2" xfId="32413"/>
    <cellStyle name="SAPBEXexcBad7 5 3 2 2" xfId="32414"/>
    <cellStyle name="SAPBEXexcBad7 5 3 2 2 2" xfId="32415"/>
    <cellStyle name="SAPBEXexcBad7 5 3 2 3" xfId="32416"/>
    <cellStyle name="SAPBEXexcBad7 5 3 2 4" xfId="32417"/>
    <cellStyle name="SAPBEXexcBad7 5 3 3" xfId="32418"/>
    <cellStyle name="SAPBEXexcBad7 5 3 3 2" xfId="32419"/>
    <cellStyle name="SAPBEXexcBad7 5 3 3 3" xfId="32420"/>
    <cellStyle name="SAPBEXexcBad7 5 3 4" xfId="32421"/>
    <cellStyle name="SAPBEXexcBad7 5 3 4 2" xfId="32422"/>
    <cellStyle name="SAPBEXexcBad7 5 3 5" xfId="32423"/>
    <cellStyle name="SAPBEXexcBad7 5 3 6" xfId="32424"/>
    <cellStyle name="SAPBEXexcBad7 5 3 7" xfId="32425"/>
    <cellStyle name="SAPBEXexcBad7 5 3 8" xfId="32426"/>
    <cellStyle name="SAPBEXexcBad7 5 3 9" xfId="32427"/>
    <cellStyle name="SAPBEXexcBad7 5 4" xfId="32428"/>
    <cellStyle name="SAPBEXexcBad7 5 4 2" xfId="32429"/>
    <cellStyle name="SAPBEXexcBad7 5 4 2 2" xfId="32430"/>
    <cellStyle name="SAPBEXexcBad7 5 4 2 3" xfId="32431"/>
    <cellStyle name="SAPBEXexcBad7 5 4 3" xfId="32432"/>
    <cellStyle name="SAPBEXexcBad7 5 4 3 2" xfId="32433"/>
    <cellStyle name="SAPBEXexcBad7 5 4 4" xfId="32434"/>
    <cellStyle name="SAPBEXexcBad7 5 4 5" xfId="32435"/>
    <cellStyle name="SAPBEXexcBad7 5 5" xfId="32436"/>
    <cellStyle name="SAPBEXexcBad7 5 5 2" xfId="32437"/>
    <cellStyle name="SAPBEXexcBad7 5 5 2 2" xfId="32438"/>
    <cellStyle name="SAPBEXexcBad7 5 5 3" xfId="32439"/>
    <cellStyle name="SAPBEXexcBad7 5 5 4" xfId="32440"/>
    <cellStyle name="SAPBEXexcBad7 5 6" xfId="32441"/>
    <cellStyle name="SAPBEXexcBad7 5 6 2" xfId="32442"/>
    <cellStyle name="SAPBEXexcBad7 5 6 3" xfId="32443"/>
    <cellStyle name="SAPBEXexcBad7 5 7" xfId="32444"/>
    <cellStyle name="SAPBEXexcBad7 5 7 2" xfId="32445"/>
    <cellStyle name="SAPBEXexcBad7 5 8" xfId="32446"/>
    <cellStyle name="SAPBEXexcBad7 5 9" xfId="32447"/>
    <cellStyle name="SAPBEXexcBad7 6" xfId="32448"/>
    <cellStyle name="SAPBEXexcBad7 6 10" xfId="32449"/>
    <cellStyle name="SAPBEXexcBad7 6 11" xfId="32450"/>
    <cellStyle name="SAPBEXexcBad7 6 12" xfId="32451"/>
    <cellStyle name="SAPBEXexcBad7 6 13" xfId="32452"/>
    <cellStyle name="SAPBEXexcBad7 6 14" xfId="32453"/>
    <cellStyle name="SAPBEXexcBad7 6 15" xfId="32454"/>
    <cellStyle name="SAPBEXexcBad7 6 2" xfId="32455"/>
    <cellStyle name="SAPBEXexcBad7 6 2 10" xfId="32456"/>
    <cellStyle name="SAPBEXexcBad7 6 2 11" xfId="32457"/>
    <cellStyle name="SAPBEXexcBad7 6 2 12" xfId="32458"/>
    <cellStyle name="SAPBEXexcBad7 6 2 13" xfId="32459"/>
    <cellStyle name="SAPBEXexcBad7 6 2 14" xfId="32460"/>
    <cellStyle name="SAPBEXexcBad7 6 2 15" xfId="32461"/>
    <cellStyle name="SAPBEXexcBad7 6 2 16" xfId="32462"/>
    <cellStyle name="SAPBEXexcBad7 6 2 17" xfId="32463"/>
    <cellStyle name="SAPBEXexcBad7 6 2 18" xfId="32464"/>
    <cellStyle name="SAPBEXexcBad7 6 2 2" xfId="32465"/>
    <cellStyle name="SAPBEXexcBad7 6 2 2 2" xfId="32466"/>
    <cellStyle name="SAPBEXexcBad7 6 2 2 2 2" xfId="32467"/>
    <cellStyle name="SAPBEXexcBad7 6 2 2 3" xfId="32468"/>
    <cellStyle name="SAPBEXexcBad7 6 2 2 4" xfId="32469"/>
    <cellStyle name="SAPBEXexcBad7 6 2 3" xfId="32470"/>
    <cellStyle name="SAPBEXexcBad7 6 2 3 2" xfId="32471"/>
    <cellStyle name="SAPBEXexcBad7 6 2 3 3" xfId="32472"/>
    <cellStyle name="SAPBEXexcBad7 6 2 4" xfId="32473"/>
    <cellStyle name="SAPBEXexcBad7 6 2 4 2" xfId="32474"/>
    <cellStyle name="SAPBEXexcBad7 6 2 5" xfId="32475"/>
    <cellStyle name="SAPBEXexcBad7 6 2 6" xfId="32476"/>
    <cellStyle name="SAPBEXexcBad7 6 2 7" xfId="32477"/>
    <cellStyle name="SAPBEXexcBad7 6 2 8" xfId="32478"/>
    <cellStyle name="SAPBEXexcBad7 6 2 9" xfId="32479"/>
    <cellStyle name="SAPBEXexcBad7 6 3" xfId="32480"/>
    <cellStyle name="SAPBEXexcBad7 6 3 10" xfId="32481"/>
    <cellStyle name="SAPBEXexcBad7 6 3 11" xfId="32482"/>
    <cellStyle name="SAPBEXexcBad7 6 3 12" xfId="32483"/>
    <cellStyle name="SAPBEXexcBad7 6 3 13" xfId="32484"/>
    <cellStyle name="SAPBEXexcBad7 6 3 14" xfId="32485"/>
    <cellStyle name="SAPBEXexcBad7 6 3 15" xfId="32486"/>
    <cellStyle name="SAPBEXexcBad7 6 3 16" xfId="32487"/>
    <cellStyle name="SAPBEXexcBad7 6 3 17" xfId="32488"/>
    <cellStyle name="SAPBEXexcBad7 6 3 18" xfId="32489"/>
    <cellStyle name="SAPBEXexcBad7 6 3 2" xfId="32490"/>
    <cellStyle name="SAPBEXexcBad7 6 3 2 2" xfId="32491"/>
    <cellStyle name="SAPBEXexcBad7 6 3 2 2 2" xfId="32492"/>
    <cellStyle name="SAPBEXexcBad7 6 3 2 3" xfId="32493"/>
    <cellStyle name="SAPBEXexcBad7 6 3 2 4" xfId="32494"/>
    <cellStyle name="SAPBEXexcBad7 6 3 3" xfId="32495"/>
    <cellStyle name="SAPBEXexcBad7 6 3 3 2" xfId="32496"/>
    <cellStyle name="SAPBEXexcBad7 6 3 3 3" xfId="32497"/>
    <cellStyle name="SAPBEXexcBad7 6 3 4" xfId="32498"/>
    <cellStyle name="SAPBEXexcBad7 6 3 4 2" xfId="32499"/>
    <cellStyle name="SAPBEXexcBad7 6 3 5" xfId="32500"/>
    <cellStyle name="SAPBEXexcBad7 6 3 6" xfId="32501"/>
    <cellStyle name="SAPBEXexcBad7 6 3 7" xfId="32502"/>
    <cellStyle name="SAPBEXexcBad7 6 3 8" xfId="32503"/>
    <cellStyle name="SAPBEXexcBad7 6 3 9" xfId="32504"/>
    <cellStyle name="SAPBEXexcBad7 6 4" xfId="32505"/>
    <cellStyle name="SAPBEXexcBad7 6 4 2" xfId="32506"/>
    <cellStyle name="SAPBEXexcBad7 6 4 2 2" xfId="32507"/>
    <cellStyle name="SAPBEXexcBad7 6 4 3" xfId="32508"/>
    <cellStyle name="SAPBEXexcBad7 6 4 4" xfId="32509"/>
    <cellStyle name="SAPBEXexcBad7 6 5" xfId="32510"/>
    <cellStyle name="SAPBEXexcBad7 6 5 2" xfId="32511"/>
    <cellStyle name="SAPBEXexcBad7 6 6" xfId="32512"/>
    <cellStyle name="SAPBEXexcBad7 6 7" xfId="32513"/>
    <cellStyle name="SAPBEXexcBad7 6 8" xfId="32514"/>
    <cellStyle name="SAPBEXexcBad7 6 9" xfId="32515"/>
    <cellStyle name="SAPBEXexcBad7 7" xfId="32516"/>
    <cellStyle name="SAPBEXexcBad7 7 10" xfId="32517"/>
    <cellStyle name="SAPBEXexcBad7 7 11" xfId="32518"/>
    <cellStyle name="SAPBEXexcBad7 7 12" xfId="32519"/>
    <cellStyle name="SAPBEXexcBad7 7 13" xfId="32520"/>
    <cellStyle name="SAPBEXexcBad7 7 14" xfId="32521"/>
    <cellStyle name="SAPBEXexcBad7 7 15" xfId="32522"/>
    <cellStyle name="SAPBEXexcBad7 7 16" xfId="32523"/>
    <cellStyle name="SAPBEXexcBad7 7 17" xfId="32524"/>
    <cellStyle name="SAPBEXexcBad7 7 18" xfId="32525"/>
    <cellStyle name="SAPBEXexcBad7 7 2" xfId="32526"/>
    <cellStyle name="SAPBEXexcBad7 7 3" xfId="32527"/>
    <cellStyle name="SAPBEXexcBad7 7 4" xfId="32528"/>
    <cellStyle name="SAPBEXexcBad7 7 5" xfId="32529"/>
    <cellStyle name="SAPBEXexcBad7 7 6" xfId="32530"/>
    <cellStyle name="SAPBEXexcBad7 7 7" xfId="32531"/>
    <cellStyle name="SAPBEXexcBad7 7 8" xfId="32532"/>
    <cellStyle name="SAPBEXexcBad7 7 9" xfId="32533"/>
    <cellStyle name="SAPBEXexcBad7 8" xfId="32534"/>
    <cellStyle name="SAPBEXexcBad7 9" xfId="32535"/>
    <cellStyle name="SAPBEXexcBad8" xfId="32536"/>
    <cellStyle name="SAPBEXexcBad8 10" xfId="32537"/>
    <cellStyle name="SAPBEXexcBad8 11" xfId="32538"/>
    <cellStyle name="SAPBEXexcBad8 12" xfId="32539"/>
    <cellStyle name="SAPBEXexcBad8 13" xfId="32540"/>
    <cellStyle name="SAPBEXexcBad8 14" xfId="32541"/>
    <cellStyle name="SAPBEXexcBad8 15" xfId="32542"/>
    <cellStyle name="SAPBEXexcBad8 16" xfId="32543"/>
    <cellStyle name="SAPBEXexcBad8 17" xfId="32544"/>
    <cellStyle name="SAPBEXexcBad8 18" xfId="32545"/>
    <cellStyle name="SAPBEXexcBad8 19" xfId="32546"/>
    <cellStyle name="SAPBEXexcBad8 2" xfId="32547"/>
    <cellStyle name="SAPBEXexcBad8 2 10" xfId="32548"/>
    <cellStyle name="SAPBEXexcBad8 2 11" xfId="32549"/>
    <cellStyle name="SAPBEXexcBad8 2 12" xfId="32550"/>
    <cellStyle name="SAPBEXexcBad8 2 13" xfId="32551"/>
    <cellStyle name="SAPBEXexcBad8 2 14" xfId="32552"/>
    <cellStyle name="SAPBEXexcBad8 2 15" xfId="32553"/>
    <cellStyle name="SAPBEXexcBad8 2 16" xfId="32554"/>
    <cellStyle name="SAPBEXexcBad8 2 17" xfId="32555"/>
    <cellStyle name="SAPBEXexcBad8 2 18" xfId="32556"/>
    <cellStyle name="SAPBEXexcBad8 2 19" xfId="32557"/>
    <cellStyle name="SAPBEXexcBad8 2 2" xfId="32558"/>
    <cellStyle name="SAPBEXexcBad8 2 2 10" xfId="32559"/>
    <cellStyle name="SAPBEXexcBad8 2 2 11" xfId="32560"/>
    <cellStyle name="SAPBEXexcBad8 2 2 12" xfId="32561"/>
    <cellStyle name="SAPBEXexcBad8 2 2 13" xfId="32562"/>
    <cellStyle name="SAPBEXexcBad8 2 2 14" xfId="32563"/>
    <cellStyle name="SAPBEXexcBad8 2 2 15" xfId="32564"/>
    <cellStyle name="SAPBEXexcBad8 2 2 16" xfId="32565"/>
    <cellStyle name="SAPBEXexcBad8 2 2 17" xfId="32566"/>
    <cellStyle name="SAPBEXexcBad8 2 2 18" xfId="32567"/>
    <cellStyle name="SAPBEXexcBad8 2 2 19" xfId="32568"/>
    <cellStyle name="SAPBEXexcBad8 2 2 2" xfId="32569"/>
    <cellStyle name="SAPBEXexcBad8 2 2 2 2" xfId="32570"/>
    <cellStyle name="SAPBEXexcBad8 2 2 2 2 2" xfId="32571"/>
    <cellStyle name="SAPBEXexcBad8 2 2 2 3" xfId="32572"/>
    <cellStyle name="SAPBEXexcBad8 2 2 2 4" xfId="32573"/>
    <cellStyle name="SAPBEXexcBad8 2 2 20" xfId="32574"/>
    <cellStyle name="SAPBEXexcBad8 2 2 21" xfId="32575"/>
    <cellStyle name="SAPBEXexcBad8 2 2 3" xfId="32576"/>
    <cellStyle name="SAPBEXexcBad8 2 2 3 2" xfId="32577"/>
    <cellStyle name="SAPBEXexcBad8 2 2 3 3" xfId="32578"/>
    <cellStyle name="SAPBEXexcBad8 2 2 4" xfId="32579"/>
    <cellStyle name="SAPBEXexcBad8 2 2 4 2" xfId="32580"/>
    <cellStyle name="SAPBEXexcBad8 2 2 5" xfId="32581"/>
    <cellStyle name="SAPBEXexcBad8 2 2 6" xfId="32582"/>
    <cellStyle name="SAPBEXexcBad8 2 2 7" xfId="32583"/>
    <cellStyle name="SAPBEXexcBad8 2 2 8" xfId="32584"/>
    <cellStyle name="SAPBEXexcBad8 2 2 9" xfId="32585"/>
    <cellStyle name="SAPBEXexcBad8 2 20" xfId="32586"/>
    <cellStyle name="SAPBEXexcBad8 2 21" xfId="32587"/>
    <cellStyle name="SAPBEXexcBad8 2 22" xfId="32588"/>
    <cellStyle name="SAPBEXexcBad8 2 23" xfId="32589"/>
    <cellStyle name="SAPBEXexcBad8 2 24" xfId="32590"/>
    <cellStyle name="SAPBEXexcBad8 2 3" xfId="32591"/>
    <cellStyle name="SAPBEXexcBad8 2 3 10" xfId="32592"/>
    <cellStyle name="SAPBEXexcBad8 2 3 11" xfId="32593"/>
    <cellStyle name="SAPBEXexcBad8 2 3 12" xfId="32594"/>
    <cellStyle name="SAPBEXexcBad8 2 3 13" xfId="32595"/>
    <cellStyle name="SAPBEXexcBad8 2 3 14" xfId="32596"/>
    <cellStyle name="SAPBEXexcBad8 2 3 15" xfId="32597"/>
    <cellStyle name="SAPBEXexcBad8 2 3 16" xfId="32598"/>
    <cellStyle name="SAPBEXexcBad8 2 3 17" xfId="32599"/>
    <cellStyle name="SAPBEXexcBad8 2 3 18" xfId="32600"/>
    <cellStyle name="SAPBEXexcBad8 2 3 2" xfId="32601"/>
    <cellStyle name="SAPBEXexcBad8 2 3 2 2" xfId="32602"/>
    <cellStyle name="SAPBEXexcBad8 2 3 2 2 2" xfId="32603"/>
    <cellStyle name="SAPBEXexcBad8 2 3 2 3" xfId="32604"/>
    <cellStyle name="SAPBEXexcBad8 2 3 2 4" xfId="32605"/>
    <cellStyle name="SAPBEXexcBad8 2 3 3" xfId="32606"/>
    <cellStyle name="SAPBEXexcBad8 2 3 3 2" xfId="32607"/>
    <cellStyle name="SAPBEXexcBad8 2 3 3 3" xfId="32608"/>
    <cellStyle name="SAPBEXexcBad8 2 3 4" xfId="32609"/>
    <cellStyle name="SAPBEXexcBad8 2 3 4 2" xfId="32610"/>
    <cellStyle name="SAPBEXexcBad8 2 3 5" xfId="32611"/>
    <cellStyle name="SAPBEXexcBad8 2 3 6" xfId="32612"/>
    <cellStyle name="SAPBEXexcBad8 2 3 7" xfId="32613"/>
    <cellStyle name="SAPBEXexcBad8 2 3 8" xfId="32614"/>
    <cellStyle name="SAPBEXexcBad8 2 3 9" xfId="32615"/>
    <cellStyle name="SAPBEXexcBad8 2 4" xfId="32616"/>
    <cellStyle name="SAPBEXexcBad8 2 4 2" xfId="32617"/>
    <cellStyle name="SAPBEXexcBad8 2 4 2 2" xfId="32618"/>
    <cellStyle name="SAPBEXexcBad8 2 4 2 3" xfId="32619"/>
    <cellStyle name="SAPBEXexcBad8 2 4 3" xfId="32620"/>
    <cellStyle name="SAPBEXexcBad8 2 4 3 2" xfId="32621"/>
    <cellStyle name="SAPBEXexcBad8 2 4 4" xfId="32622"/>
    <cellStyle name="SAPBEXexcBad8 2 4 5" xfId="32623"/>
    <cellStyle name="SAPBEXexcBad8 2 5" xfId="32624"/>
    <cellStyle name="SAPBEXexcBad8 2 5 2" xfId="32625"/>
    <cellStyle name="SAPBEXexcBad8 2 5 2 2" xfId="32626"/>
    <cellStyle name="SAPBEXexcBad8 2 5 3" xfId="32627"/>
    <cellStyle name="SAPBEXexcBad8 2 5 4" xfId="32628"/>
    <cellStyle name="SAPBEXexcBad8 2 6" xfId="32629"/>
    <cellStyle name="SAPBEXexcBad8 2 6 2" xfId="32630"/>
    <cellStyle name="SAPBEXexcBad8 2 6 3" xfId="32631"/>
    <cellStyle name="SAPBEXexcBad8 2 7" xfId="32632"/>
    <cellStyle name="SAPBEXexcBad8 2 7 2" xfId="32633"/>
    <cellStyle name="SAPBEXexcBad8 2 8" xfId="32634"/>
    <cellStyle name="SAPBEXexcBad8 2 9" xfId="32635"/>
    <cellStyle name="SAPBEXexcBad8 3" xfId="32636"/>
    <cellStyle name="SAPBEXexcBad8 3 10" xfId="32637"/>
    <cellStyle name="SAPBEXexcBad8 3 11" xfId="32638"/>
    <cellStyle name="SAPBEXexcBad8 3 12" xfId="32639"/>
    <cellStyle name="SAPBEXexcBad8 3 13" xfId="32640"/>
    <cellStyle name="SAPBEXexcBad8 3 14" xfId="32641"/>
    <cellStyle name="SAPBEXexcBad8 3 15" xfId="32642"/>
    <cellStyle name="SAPBEXexcBad8 3 16" xfId="32643"/>
    <cellStyle name="SAPBEXexcBad8 3 17" xfId="32644"/>
    <cellStyle name="SAPBEXexcBad8 3 18" xfId="32645"/>
    <cellStyle name="SAPBEXexcBad8 3 19" xfId="32646"/>
    <cellStyle name="SAPBEXexcBad8 3 2" xfId="32647"/>
    <cellStyle name="SAPBEXexcBad8 3 2 10" xfId="32648"/>
    <cellStyle name="SAPBEXexcBad8 3 2 11" xfId="32649"/>
    <cellStyle name="SAPBEXexcBad8 3 2 12" xfId="32650"/>
    <cellStyle name="SAPBEXexcBad8 3 2 13" xfId="32651"/>
    <cellStyle name="SAPBEXexcBad8 3 2 14" xfId="32652"/>
    <cellStyle name="SAPBEXexcBad8 3 2 15" xfId="32653"/>
    <cellStyle name="SAPBEXexcBad8 3 2 16" xfId="32654"/>
    <cellStyle name="SAPBEXexcBad8 3 2 17" xfId="32655"/>
    <cellStyle name="SAPBEXexcBad8 3 2 18" xfId="32656"/>
    <cellStyle name="SAPBEXexcBad8 3 2 2" xfId="32657"/>
    <cellStyle name="SAPBEXexcBad8 3 2 2 2" xfId="32658"/>
    <cellStyle name="SAPBEXexcBad8 3 2 2 2 2" xfId="32659"/>
    <cellStyle name="SAPBEXexcBad8 3 2 2 3" xfId="32660"/>
    <cellStyle name="SAPBEXexcBad8 3 2 2 4" xfId="32661"/>
    <cellStyle name="SAPBEXexcBad8 3 2 3" xfId="32662"/>
    <cellStyle name="SAPBEXexcBad8 3 2 3 2" xfId="32663"/>
    <cellStyle name="SAPBEXexcBad8 3 2 3 3" xfId="32664"/>
    <cellStyle name="SAPBEXexcBad8 3 2 4" xfId="32665"/>
    <cellStyle name="SAPBEXexcBad8 3 2 4 2" xfId="32666"/>
    <cellStyle name="SAPBEXexcBad8 3 2 5" xfId="32667"/>
    <cellStyle name="SAPBEXexcBad8 3 2 6" xfId="32668"/>
    <cellStyle name="SAPBEXexcBad8 3 2 7" xfId="32669"/>
    <cellStyle name="SAPBEXexcBad8 3 2 8" xfId="32670"/>
    <cellStyle name="SAPBEXexcBad8 3 2 9" xfId="32671"/>
    <cellStyle name="SAPBEXexcBad8 3 20" xfId="32672"/>
    <cellStyle name="SAPBEXexcBad8 3 21" xfId="32673"/>
    <cellStyle name="SAPBEXexcBad8 3 22" xfId="32674"/>
    <cellStyle name="SAPBEXexcBad8 3 3" xfId="32675"/>
    <cellStyle name="SAPBEXexcBad8 3 3 10" xfId="32676"/>
    <cellStyle name="SAPBEXexcBad8 3 3 11" xfId="32677"/>
    <cellStyle name="SAPBEXexcBad8 3 3 12" xfId="32678"/>
    <cellStyle name="SAPBEXexcBad8 3 3 13" xfId="32679"/>
    <cellStyle name="SAPBEXexcBad8 3 3 14" xfId="32680"/>
    <cellStyle name="SAPBEXexcBad8 3 3 15" xfId="32681"/>
    <cellStyle name="SAPBEXexcBad8 3 3 16" xfId="32682"/>
    <cellStyle name="SAPBEXexcBad8 3 3 17" xfId="32683"/>
    <cellStyle name="SAPBEXexcBad8 3 3 18" xfId="32684"/>
    <cellStyle name="SAPBEXexcBad8 3 3 2" xfId="32685"/>
    <cellStyle name="SAPBEXexcBad8 3 3 2 2" xfId="32686"/>
    <cellStyle name="SAPBEXexcBad8 3 3 2 2 2" xfId="32687"/>
    <cellStyle name="SAPBEXexcBad8 3 3 2 3" xfId="32688"/>
    <cellStyle name="SAPBEXexcBad8 3 3 2 4" xfId="32689"/>
    <cellStyle name="SAPBEXexcBad8 3 3 3" xfId="32690"/>
    <cellStyle name="SAPBEXexcBad8 3 3 3 2" xfId="32691"/>
    <cellStyle name="SAPBEXexcBad8 3 3 3 3" xfId="32692"/>
    <cellStyle name="SAPBEXexcBad8 3 3 4" xfId="32693"/>
    <cellStyle name="SAPBEXexcBad8 3 3 4 2" xfId="32694"/>
    <cellStyle name="SAPBEXexcBad8 3 3 5" xfId="32695"/>
    <cellStyle name="SAPBEXexcBad8 3 3 6" xfId="32696"/>
    <cellStyle name="SAPBEXexcBad8 3 3 7" xfId="32697"/>
    <cellStyle name="SAPBEXexcBad8 3 3 8" xfId="32698"/>
    <cellStyle name="SAPBEXexcBad8 3 3 9" xfId="32699"/>
    <cellStyle name="SAPBEXexcBad8 3 4" xfId="32700"/>
    <cellStyle name="SAPBEXexcBad8 3 4 2" xfId="32701"/>
    <cellStyle name="SAPBEXexcBad8 3 4 2 2" xfId="32702"/>
    <cellStyle name="SAPBEXexcBad8 3 4 2 3" xfId="32703"/>
    <cellStyle name="SAPBEXexcBad8 3 4 3" xfId="32704"/>
    <cellStyle name="SAPBEXexcBad8 3 4 3 2" xfId="32705"/>
    <cellStyle name="SAPBEXexcBad8 3 4 4" xfId="32706"/>
    <cellStyle name="SAPBEXexcBad8 3 4 5" xfId="32707"/>
    <cellStyle name="SAPBEXexcBad8 3 5" xfId="32708"/>
    <cellStyle name="SAPBEXexcBad8 3 5 2" xfId="32709"/>
    <cellStyle name="SAPBEXexcBad8 3 5 2 2" xfId="32710"/>
    <cellStyle name="SAPBEXexcBad8 3 5 3" xfId="32711"/>
    <cellStyle name="SAPBEXexcBad8 3 5 4" xfId="32712"/>
    <cellStyle name="SAPBEXexcBad8 3 6" xfId="32713"/>
    <cellStyle name="SAPBEXexcBad8 3 6 2" xfId="32714"/>
    <cellStyle name="SAPBEXexcBad8 3 6 3" xfId="32715"/>
    <cellStyle name="SAPBEXexcBad8 3 7" xfId="32716"/>
    <cellStyle name="SAPBEXexcBad8 3 7 2" xfId="32717"/>
    <cellStyle name="SAPBEXexcBad8 3 8" xfId="32718"/>
    <cellStyle name="SAPBEXexcBad8 3 9" xfId="32719"/>
    <cellStyle name="SAPBEXexcBad8 4" xfId="32720"/>
    <cellStyle name="SAPBEXexcBad8 4 10" xfId="32721"/>
    <cellStyle name="SAPBEXexcBad8 4 11" xfId="32722"/>
    <cellStyle name="SAPBEXexcBad8 4 12" xfId="32723"/>
    <cellStyle name="SAPBEXexcBad8 4 13" xfId="32724"/>
    <cellStyle name="SAPBEXexcBad8 4 14" xfId="32725"/>
    <cellStyle name="SAPBEXexcBad8 4 15" xfId="32726"/>
    <cellStyle name="SAPBEXexcBad8 4 16" xfId="32727"/>
    <cellStyle name="SAPBEXexcBad8 4 17" xfId="32728"/>
    <cellStyle name="SAPBEXexcBad8 4 18" xfId="32729"/>
    <cellStyle name="SAPBEXexcBad8 4 19" xfId="32730"/>
    <cellStyle name="SAPBEXexcBad8 4 2" xfId="32731"/>
    <cellStyle name="SAPBEXexcBad8 4 2 10" xfId="32732"/>
    <cellStyle name="SAPBEXexcBad8 4 2 11" xfId="32733"/>
    <cellStyle name="SAPBEXexcBad8 4 2 12" xfId="32734"/>
    <cellStyle name="SAPBEXexcBad8 4 2 13" xfId="32735"/>
    <cellStyle name="SAPBEXexcBad8 4 2 14" xfId="32736"/>
    <cellStyle name="SAPBEXexcBad8 4 2 15" xfId="32737"/>
    <cellStyle name="SAPBEXexcBad8 4 2 16" xfId="32738"/>
    <cellStyle name="SAPBEXexcBad8 4 2 17" xfId="32739"/>
    <cellStyle name="SAPBEXexcBad8 4 2 18" xfId="32740"/>
    <cellStyle name="SAPBEXexcBad8 4 2 2" xfId="32741"/>
    <cellStyle name="SAPBEXexcBad8 4 2 2 2" xfId="32742"/>
    <cellStyle name="SAPBEXexcBad8 4 2 2 2 2" xfId="32743"/>
    <cellStyle name="SAPBEXexcBad8 4 2 2 3" xfId="32744"/>
    <cellStyle name="SAPBEXexcBad8 4 2 2 4" xfId="32745"/>
    <cellStyle name="SAPBEXexcBad8 4 2 3" xfId="32746"/>
    <cellStyle name="SAPBEXexcBad8 4 2 3 2" xfId="32747"/>
    <cellStyle name="SAPBEXexcBad8 4 2 3 3" xfId="32748"/>
    <cellStyle name="SAPBEXexcBad8 4 2 4" xfId="32749"/>
    <cellStyle name="SAPBEXexcBad8 4 2 4 2" xfId="32750"/>
    <cellStyle name="SAPBEXexcBad8 4 2 5" xfId="32751"/>
    <cellStyle name="SAPBEXexcBad8 4 2 6" xfId="32752"/>
    <cellStyle name="SAPBEXexcBad8 4 2 7" xfId="32753"/>
    <cellStyle name="SAPBEXexcBad8 4 2 8" xfId="32754"/>
    <cellStyle name="SAPBEXexcBad8 4 2 9" xfId="32755"/>
    <cellStyle name="SAPBEXexcBad8 4 20" xfId="32756"/>
    <cellStyle name="SAPBEXexcBad8 4 21" xfId="32757"/>
    <cellStyle name="SAPBEXexcBad8 4 22" xfId="32758"/>
    <cellStyle name="SAPBEXexcBad8 4 3" xfId="32759"/>
    <cellStyle name="SAPBEXexcBad8 4 3 10" xfId="32760"/>
    <cellStyle name="SAPBEXexcBad8 4 3 11" xfId="32761"/>
    <cellStyle name="SAPBEXexcBad8 4 3 12" xfId="32762"/>
    <cellStyle name="SAPBEXexcBad8 4 3 13" xfId="32763"/>
    <cellStyle name="SAPBEXexcBad8 4 3 14" xfId="32764"/>
    <cellStyle name="SAPBEXexcBad8 4 3 15" xfId="32765"/>
    <cellStyle name="SAPBEXexcBad8 4 3 16" xfId="32766"/>
    <cellStyle name="SAPBEXexcBad8 4 3 17" xfId="32767"/>
    <cellStyle name="SAPBEXexcBad8 4 3 18" xfId="32768"/>
    <cellStyle name="SAPBEXexcBad8 4 3 2" xfId="32769"/>
    <cellStyle name="SAPBEXexcBad8 4 3 2 2" xfId="32770"/>
    <cellStyle name="SAPBEXexcBad8 4 3 2 2 2" xfId="32771"/>
    <cellStyle name="SAPBEXexcBad8 4 3 2 3" xfId="32772"/>
    <cellStyle name="SAPBEXexcBad8 4 3 2 4" xfId="32773"/>
    <cellStyle name="SAPBEXexcBad8 4 3 3" xfId="32774"/>
    <cellStyle name="SAPBEXexcBad8 4 3 3 2" xfId="32775"/>
    <cellStyle name="SAPBEXexcBad8 4 3 3 3" xfId="32776"/>
    <cellStyle name="SAPBEXexcBad8 4 3 4" xfId="32777"/>
    <cellStyle name="SAPBEXexcBad8 4 3 4 2" xfId="32778"/>
    <cellStyle name="SAPBEXexcBad8 4 3 5" xfId="32779"/>
    <cellStyle name="SAPBEXexcBad8 4 3 6" xfId="32780"/>
    <cellStyle name="SAPBEXexcBad8 4 3 7" xfId="32781"/>
    <cellStyle name="SAPBEXexcBad8 4 3 8" xfId="32782"/>
    <cellStyle name="SAPBEXexcBad8 4 3 9" xfId="32783"/>
    <cellStyle name="SAPBEXexcBad8 4 4" xfId="32784"/>
    <cellStyle name="SAPBEXexcBad8 4 4 2" xfId="32785"/>
    <cellStyle name="SAPBEXexcBad8 4 4 2 2" xfId="32786"/>
    <cellStyle name="SAPBEXexcBad8 4 4 2 3" xfId="32787"/>
    <cellStyle name="SAPBEXexcBad8 4 4 3" xfId="32788"/>
    <cellStyle name="SAPBEXexcBad8 4 4 3 2" xfId="32789"/>
    <cellStyle name="SAPBEXexcBad8 4 4 4" xfId="32790"/>
    <cellStyle name="SAPBEXexcBad8 4 4 5" xfId="32791"/>
    <cellStyle name="SAPBEXexcBad8 4 5" xfId="32792"/>
    <cellStyle name="SAPBEXexcBad8 4 5 2" xfId="32793"/>
    <cellStyle name="SAPBEXexcBad8 4 5 2 2" xfId="32794"/>
    <cellStyle name="SAPBEXexcBad8 4 5 3" xfId="32795"/>
    <cellStyle name="SAPBEXexcBad8 4 5 4" xfId="32796"/>
    <cellStyle name="SAPBEXexcBad8 4 6" xfId="32797"/>
    <cellStyle name="SAPBEXexcBad8 4 6 2" xfId="32798"/>
    <cellStyle name="SAPBEXexcBad8 4 6 3" xfId="32799"/>
    <cellStyle name="SAPBEXexcBad8 4 7" xfId="32800"/>
    <cellStyle name="SAPBEXexcBad8 4 7 2" xfId="32801"/>
    <cellStyle name="SAPBEXexcBad8 4 8" xfId="32802"/>
    <cellStyle name="SAPBEXexcBad8 4 9" xfId="32803"/>
    <cellStyle name="SAPBEXexcBad8 5" xfId="32804"/>
    <cellStyle name="SAPBEXexcBad8 5 10" xfId="32805"/>
    <cellStyle name="SAPBEXexcBad8 5 11" xfId="32806"/>
    <cellStyle name="SAPBEXexcBad8 5 12" xfId="32807"/>
    <cellStyle name="SAPBEXexcBad8 5 13" xfId="32808"/>
    <cellStyle name="SAPBEXexcBad8 5 14" xfId="32809"/>
    <cellStyle name="SAPBEXexcBad8 5 15" xfId="32810"/>
    <cellStyle name="SAPBEXexcBad8 5 16" xfId="32811"/>
    <cellStyle name="SAPBEXexcBad8 5 17" xfId="32812"/>
    <cellStyle name="SAPBEXexcBad8 5 18" xfId="32813"/>
    <cellStyle name="SAPBEXexcBad8 5 19" xfId="32814"/>
    <cellStyle name="SAPBEXexcBad8 5 2" xfId="32815"/>
    <cellStyle name="SAPBEXexcBad8 5 2 10" xfId="32816"/>
    <cellStyle name="SAPBEXexcBad8 5 2 11" xfId="32817"/>
    <cellStyle name="SAPBEXexcBad8 5 2 12" xfId="32818"/>
    <cellStyle name="SAPBEXexcBad8 5 2 13" xfId="32819"/>
    <cellStyle name="SAPBEXexcBad8 5 2 14" xfId="32820"/>
    <cellStyle name="SAPBEXexcBad8 5 2 15" xfId="32821"/>
    <cellStyle name="SAPBEXexcBad8 5 2 16" xfId="32822"/>
    <cellStyle name="SAPBEXexcBad8 5 2 17" xfId="32823"/>
    <cellStyle name="SAPBEXexcBad8 5 2 18" xfId="32824"/>
    <cellStyle name="SAPBEXexcBad8 5 2 2" xfId="32825"/>
    <cellStyle name="SAPBEXexcBad8 5 2 2 2" xfId="32826"/>
    <cellStyle name="SAPBEXexcBad8 5 2 2 2 2" xfId="32827"/>
    <cellStyle name="SAPBEXexcBad8 5 2 2 3" xfId="32828"/>
    <cellStyle name="SAPBEXexcBad8 5 2 2 4" xfId="32829"/>
    <cellStyle name="SAPBEXexcBad8 5 2 3" xfId="32830"/>
    <cellStyle name="SAPBEXexcBad8 5 2 3 2" xfId="32831"/>
    <cellStyle name="SAPBEXexcBad8 5 2 3 3" xfId="32832"/>
    <cellStyle name="SAPBEXexcBad8 5 2 4" xfId="32833"/>
    <cellStyle name="SAPBEXexcBad8 5 2 4 2" xfId="32834"/>
    <cellStyle name="SAPBEXexcBad8 5 2 5" xfId="32835"/>
    <cellStyle name="SAPBEXexcBad8 5 2 6" xfId="32836"/>
    <cellStyle name="SAPBEXexcBad8 5 2 7" xfId="32837"/>
    <cellStyle name="SAPBEXexcBad8 5 2 8" xfId="32838"/>
    <cellStyle name="SAPBEXexcBad8 5 2 9" xfId="32839"/>
    <cellStyle name="SAPBEXexcBad8 5 20" xfId="32840"/>
    <cellStyle name="SAPBEXexcBad8 5 21" xfId="32841"/>
    <cellStyle name="SAPBEXexcBad8 5 22" xfId="32842"/>
    <cellStyle name="SAPBEXexcBad8 5 3" xfId="32843"/>
    <cellStyle name="SAPBEXexcBad8 5 3 10" xfId="32844"/>
    <cellStyle name="SAPBEXexcBad8 5 3 11" xfId="32845"/>
    <cellStyle name="SAPBEXexcBad8 5 3 12" xfId="32846"/>
    <cellStyle name="SAPBEXexcBad8 5 3 13" xfId="32847"/>
    <cellStyle name="SAPBEXexcBad8 5 3 14" xfId="32848"/>
    <cellStyle name="SAPBEXexcBad8 5 3 15" xfId="32849"/>
    <cellStyle name="SAPBEXexcBad8 5 3 16" xfId="32850"/>
    <cellStyle name="SAPBEXexcBad8 5 3 17" xfId="32851"/>
    <cellStyle name="SAPBEXexcBad8 5 3 18" xfId="32852"/>
    <cellStyle name="SAPBEXexcBad8 5 3 2" xfId="32853"/>
    <cellStyle name="SAPBEXexcBad8 5 3 2 2" xfId="32854"/>
    <cellStyle name="SAPBEXexcBad8 5 3 2 2 2" xfId="32855"/>
    <cellStyle name="SAPBEXexcBad8 5 3 2 3" xfId="32856"/>
    <cellStyle name="SAPBEXexcBad8 5 3 2 4" xfId="32857"/>
    <cellStyle name="SAPBEXexcBad8 5 3 3" xfId="32858"/>
    <cellStyle name="SAPBEXexcBad8 5 3 3 2" xfId="32859"/>
    <cellStyle name="SAPBEXexcBad8 5 3 3 3" xfId="32860"/>
    <cellStyle name="SAPBEXexcBad8 5 3 4" xfId="32861"/>
    <cellStyle name="SAPBEXexcBad8 5 3 4 2" xfId="32862"/>
    <cellStyle name="SAPBEXexcBad8 5 3 5" xfId="32863"/>
    <cellStyle name="SAPBEXexcBad8 5 3 6" xfId="32864"/>
    <cellStyle name="SAPBEXexcBad8 5 3 7" xfId="32865"/>
    <cellStyle name="SAPBEXexcBad8 5 3 8" xfId="32866"/>
    <cellStyle name="SAPBEXexcBad8 5 3 9" xfId="32867"/>
    <cellStyle name="SAPBEXexcBad8 5 4" xfId="32868"/>
    <cellStyle name="SAPBEXexcBad8 5 4 2" xfId="32869"/>
    <cellStyle name="SAPBEXexcBad8 5 4 2 2" xfId="32870"/>
    <cellStyle name="SAPBEXexcBad8 5 4 2 3" xfId="32871"/>
    <cellStyle name="SAPBEXexcBad8 5 4 3" xfId="32872"/>
    <cellStyle name="SAPBEXexcBad8 5 4 3 2" xfId="32873"/>
    <cellStyle name="SAPBEXexcBad8 5 4 4" xfId="32874"/>
    <cellStyle name="SAPBEXexcBad8 5 4 5" xfId="32875"/>
    <cellStyle name="SAPBEXexcBad8 5 5" xfId="32876"/>
    <cellStyle name="SAPBEXexcBad8 5 5 2" xfId="32877"/>
    <cellStyle name="SAPBEXexcBad8 5 5 2 2" xfId="32878"/>
    <cellStyle name="SAPBEXexcBad8 5 5 3" xfId="32879"/>
    <cellStyle name="SAPBEXexcBad8 5 5 4" xfId="32880"/>
    <cellStyle name="SAPBEXexcBad8 5 6" xfId="32881"/>
    <cellStyle name="SAPBEXexcBad8 5 6 2" xfId="32882"/>
    <cellStyle name="SAPBEXexcBad8 5 6 3" xfId="32883"/>
    <cellStyle name="SAPBEXexcBad8 5 7" xfId="32884"/>
    <cellStyle name="SAPBEXexcBad8 5 7 2" xfId="32885"/>
    <cellStyle name="SAPBEXexcBad8 5 8" xfId="32886"/>
    <cellStyle name="SAPBEXexcBad8 5 9" xfId="32887"/>
    <cellStyle name="SAPBEXexcBad8 6" xfId="32888"/>
    <cellStyle name="SAPBEXexcBad8 6 10" xfId="32889"/>
    <cellStyle name="SAPBEXexcBad8 6 11" xfId="32890"/>
    <cellStyle name="SAPBEXexcBad8 6 12" xfId="32891"/>
    <cellStyle name="SAPBEXexcBad8 6 13" xfId="32892"/>
    <cellStyle name="SAPBEXexcBad8 6 14" xfId="32893"/>
    <cellStyle name="SAPBEXexcBad8 6 15" xfId="32894"/>
    <cellStyle name="SAPBEXexcBad8 6 2" xfId="32895"/>
    <cellStyle name="SAPBEXexcBad8 6 2 10" xfId="32896"/>
    <cellStyle name="SAPBEXexcBad8 6 2 11" xfId="32897"/>
    <cellStyle name="SAPBEXexcBad8 6 2 12" xfId="32898"/>
    <cellStyle name="SAPBEXexcBad8 6 2 13" xfId="32899"/>
    <cellStyle name="SAPBEXexcBad8 6 2 14" xfId="32900"/>
    <cellStyle name="SAPBEXexcBad8 6 2 15" xfId="32901"/>
    <cellStyle name="SAPBEXexcBad8 6 2 16" xfId="32902"/>
    <cellStyle name="SAPBEXexcBad8 6 2 17" xfId="32903"/>
    <cellStyle name="SAPBEXexcBad8 6 2 18" xfId="32904"/>
    <cellStyle name="SAPBEXexcBad8 6 2 2" xfId="32905"/>
    <cellStyle name="SAPBEXexcBad8 6 2 2 2" xfId="32906"/>
    <cellStyle name="SAPBEXexcBad8 6 2 2 2 2" xfId="32907"/>
    <cellStyle name="SAPBEXexcBad8 6 2 2 3" xfId="32908"/>
    <cellStyle name="SAPBEXexcBad8 6 2 2 4" xfId="32909"/>
    <cellStyle name="SAPBEXexcBad8 6 2 3" xfId="32910"/>
    <cellStyle name="SAPBEXexcBad8 6 2 3 2" xfId="32911"/>
    <cellStyle name="SAPBEXexcBad8 6 2 3 3" xfId="32912"/>
    <cellStyle name="SAPBEXexcBad8 6 2 4" xfId="32913"/>
    <cellStyle name="SAPBEXexcBad8 6 2 4 2" xfId="32914"/>
    <cellStyle name="SAPBEXexcBad8 6 2 5" xfId="32915"/>
    <cellStyle name="SAPBEXexcBad8 6 2 6" xfId="32916"/>
    <cellStyle name="SAPBEXexcBad8 6 2 7" xfId="32917"/>
    <cellStyle name="SAPBEXexcBad8 6 2 8" xfId="32918"/>
    <cellStyle name="SAPBEXexcBad8 6 2 9" xfId="32919"/>
    <cellStyle name="SAPBEXexcBad8 6 3" xfId="32920"/>
    <cellStyle name="SAPBEXexcBad8 6 3 10" xfId="32921"/>
    <cellStyle name="SAPBEXexcBad8 6 3 11" xfId="32922"/>
    <cellStyle name="SAPBEXexcBad8 6 3 12" xfId="32923"/>
    <cellStyle name="SAPBEXexcBad8 6 3 13" xfId="32924"/>
    <cellStyle name="SAPBEXexcBad8 6 3 14" xfId="32925"/>
    <cellStyle name="SAPBEXexcBad8 6 3 15" xfId="32926"/>
    <cellStyle name="SAPBEXexcBad8 6 3 16" xfId="32927"/>
    <cellStyle name="SAPBEXexcBad8 6 3 17" xfId="32928"/>
    <cellStyle name="SAPBEXexcBad8 6 3 18" xfId="32929"/>
    <cellStyle name="SAPBEXexcBad8 6 3 2" xfId="32930"/>
    <cellStyle name="SAPBEXexcBad8 6 3 2 2" xfId="32931"/>
    <cellStyle name="SAPBEXexcBad8 6 3 2 2 2" xfId="32932"/>
    <cellStyle name="SAPBEXexcBad8 6 3 2 3" xfId="32933"/>
    <cellStyle name="SAPBEXexcBad8 6 3 2 4" xfId="32934"/>
    <cellStyle name="SAPBEXexcBad8 6 3 3" xfId="32935"/>
    <cellStyle name="SAPBEXexcBad8 6 3 3 2" xfId="32936"/>
    <cellStyle name="SAPBEXexcBad8 6 3 3 3" xfId="32937"/>
    <cellStyle name="SAPBEXexcBad8 6 3 4" xfId="32938"/>
    <cellStyle name="SAPBEXexcBad8 6 3 4 2" xfId="32939"/>
    <cellStyle name="SAPBEXexcBad8 6 3 5" xfId="32940"/>
    <cellStyle name="SAPBEXexcBad8 6 3 6" xfId="32941"/>
    <cellStyle name="SAPBEXexcBad8 6 3 7" xfId="32942"/>
    <cellStyle name="SAPBEXexcBad8 6 3 8" xfId="32943"/>
    <cellStyle name="SAPBEXexcBad8 6 3 9" xfId="32944"/>
    <cellStyle name="SAPBEXexcBad8 6 4" xfId="32945"/>
    <cellStyle name="SAPBEXexcBad8 6 4 2" xfId="32946"/>
    <cellStyle name="SAPBEXexcBad8 6 4 2 2" xfId="32947"/>
    <cellStyle name="SAPBEXexcBad8 6 4 3" xfId="32948"/>
    <cellStyle name="SAPBEXexcBad8 6 4 4" xfId="32949"/>
    <cellStyle name="SAPBEXexcBad8 6 5" xfId="32950"/>
    <cellStyle name="SAPBEXexcBad8 6 5 2" xfId="32951"/>
    <cellStyle name="SAPBEXexcBad8 6 6" xfId="32952"/>
    <cellStyle name="SAPBEXexcBad8 6 7" xfId="32953"/>
    <cellStyle name="SAPBEXexcBad8 6 8" xfId="32954"/>
    <cellStyle name="SAPBEXexcBad8 6 9" xfId="32955"/>
    <cellStyle name="SAPBEXexcBad8 7" xfId="32956"/>
    <cellStyle name="SAPBEXexcBad8 7 10" xfId="32957"/>
    <cellStyle name="SAPBEXexcBad8 7 11" xfId="32958"/>
    <cellStyle name="SAPBEXexcBad8 7 12" xfId="32959"/>
    <cellStyle name="SAPBEXexcBad8 7 13" xfId="32960"/>
    <cellStyle name="SAPBEXexcBad8 7 14" xfId="32961"/>
    <cellStyle name="SAPBEXexcBad8 7 15" xfId="32962"/>
    <cellStyle name="SAPBEXexcBad8 7 16" xfId="32963"/>
    <cellStyle name="SAPBEXexcBad8 7 17" xfId="32964"/>
    <cellStyle name="SAPBEXexcBad8 7 18" xfId="32965"/>
    <cellStyle name="SAPBEXexcBad8 7 2" xfId="32966"/>
    <cellStyle name="SAPBEXexcBad8 7 3" xfId="32967"/>
    <cellStyle name="SAPBEXexcBad8 7 4" xfId="32968"/>
    <cellStyle name="SAPBEXexcBad8 7 5" xfId="32969"/>
    <cellStyle name="SAPBEXexcBad8 7 6" xfId="32970"/>
    <cellStyle name="SAPBEXexcBad8 7 7" xfId="32971"/>
    <cellStyle name="SAPBEXexcBad8 7 8" xfId="32972"/>
    <cellStyle name="SAPBEXexcBad8 7 9" xfId="32973"/>
    <cellStyle name="SAPBEXexcBad8 8" xfId="32974"/>
    <cellStyle name="SAPBEXexcBad8 9" xfId="32975"/>
    <cellStyle name="SAPBEXexcBad9" xfId="32976"/>
    <cellStyle name="SAPBEXexcBad9 10" xfId="32977"/>
    <cellStyle name="SAPBEXexcBad9 11" xfId="32978"/>
    <cellStyle name="SAPBEXexcBad9 12" xfId="32979"/>
    <cellStyle name="SAPBEXexcBad9 13" xfId="32980"/>
    <cellStyle name="SAPBEXexcBad9 14" xfId="32981"/>
    <cellStyle name="SAPBEXexcBad9 15" xfId="32982"/>
    <cellStyle name="SAPBEXexcBad9 16" xfId="32983"/>
    <cellStyle name="SAPBEXexcBad9 17" xfId="32984"/>
    <cellStyle name="SAPBEXexcBad9 18" xfId="32985"/>
    <cellStyle name="SAPBEXexcBad9 19" xfId="32986"/>
    <cellStyle name="SAPBEXexcBad9 2" xfId="32987"/>
    <cellStyle name="SAPBEXexcBad9 2 10" xfId="32988"/>
    <cellStyle name="SAPBEXexcBad9 2 11" xfId="32989"/>
    <cellStyle name="SAPBEXexcBad9 2 12" xfId="32990"/>
    <cellStyle name="SAPBEXexcBad9 2 13" xfId="32991"/>
    <cellStyle name="SAPBEXexcBad9 2 14" xfId="32992"/>
    <cellStyle name="SAPBEXexcBad9 2 15" xfId="32993"/>
    <cellStyle name="SAPBEXexcBad9 2 16" xfId="32994"/>
    <cellStyle name="SAPBEXexcBad9 2 17" xfId="32995"/>
    <cellStyle name="SAPBEXexcBad9 2 18" xfId="32996"/>
    <cellStyle name="SAPBEXexcBad9 2 19" xfId="32997"/>
    <cellStyle name="SAPBEXexcBad9 2 2" xfId="32998"/>
    <cellStyle name="SAPBEXexcBad9 2 2 10" xfId="32999"/>
    <cellStyle name="SAPBEXexcBad9 2 2 11" xfId="33000"/>
    <cellStyle name="SAPBEXexcBad9 2 2 12" xfId="33001"/>
    <cellStyle name="SAPBEXexcBad9 2 2 13" xfId="33002"/>
    <cellStyle name="SAPBEXexcBad9 2 2 14" xfId="33003"/>
    <cellStyle name="SAPBEXexcBad9 2 2 15" xfId="33004"/>
    <cellStyle name="SAPBEXexcBad9 2 2 16" xfId="33005"/>
    <cellStyle name="SAPBEXexcBad9 2 2 17" xfId="33006"/>
    <cellStyle name="SAPBEXexcBad9 2 2 18" xfId="33007"/>
    <cellStyle name="SAPBEXexcBad9 2 2 19" xfId="33008"/>
    <cellStyle name="SAPBEXexcBad9 2 2 2" xfId="33009"/>
    <cellStyle name="SAPBEXexcBad9 2 2 2 2" xfId="33010"/>
    <cellStyle name="SAPBEXexcBad9 2 2 2 2 2" xfId="33011"/>
    <cellStyle name="SAPBEXexcBad9 2 2 2 3" xfId="33012"/>
    <cellStyle name="SAPBEXexcBad9 2 2 2 4" xfId="33013"/>
    <cellStyle name="SAPBEXexcBad9 2 2 20" xfId="33014"/>
    <cellStyle name="SAPBEXexcBad9 2 2 21" xfId="33015"/>
    <cellStyle name="SAPBEXexcBad9 2 2 3" xfId="33016"/>
    <cellStyle name="SAPBEXexcBad9 2 2 3 2" xfId="33017"/>
    <cellStyle name="SAPBEXexcBad9 2 2 3 3" xfId="33018"/>
    <cellStyle name="SAPBEXexcBad9 2 2 4" xfId="33019"/>
    <cellStyle name="SAPBEXexcBad9 2 2 4 2" xfId="33020"/>
    <cellStyle name="SAPBEXexcBad9 2 2 5" xfId="33021"/>
    <cellStyle name="SAPBEXexcBad9 2 2 6" xfId="33022"/>
    <cellStyle name="SAPBEXexcBad9 2 2 7" xfId="33023"/>
    <cellStyle name="SAPBEXexcBad9 2 2 8" xfId="33024"/>
    <cellStyle name="SAPBEXexcBad9 2 2 9" xfId="33025"/>
    <cellStyle name="SAPBEXexcBad9 2 20" xfId="33026"/>
    <cellStyle name="SAPBEXexcBad9 2 21" xfId="33027"/>
    <cellStyle name="SAPBEXexcBad9 2 22" xfId="33028"/>
    <cellStyle name="SAPBEXexcBad9 2 23" xfId="33029"/>
    <cellStyle name="SAPBEXexcBad9 2 24" xfId="33030"/>
    <cellStyle name="SAPBEXexcBad9 2 3" xfId="33031"/>
    <cellStyle name="SAPBEXexcBad9 2 3 10" xfId="33032"/>
    <cellStyle name="SAPBEXexcBad9 2 3 11" xfId="33033"/>
    <cellStyle name="SAPBEXexcBad9 2 3 12" xfId="33034"/>
    <cellStyle name="SAPBEXexcBad9 2 3 13" xfId="33035"/>
    <cellStyle name="SAPBEXexcBad9 2 3 14" xfId="33036"/>
    <cellStyle name="SAPBEXexcBad9 2 3 15" xfId="33037"/>
    <cellStyle name="SAPBEXexcBad9 2 3 16" xfId="33038"/>
    <cellStyle name="SAPBEXexcBad9 2 3 17" xfId="33039"/>
    <cellStyle name="SAPBEXexcBad9 2 3 18" xfId="33040"/>
    <cellStyle name="SAPBEXexcBad9 2 3 2" xfId="33041"/>
    <cellStyle name="SAPBEXexcBad9 2 3 2 2" xfId="33042"/>
    <cellStyle name="SAPBEXexcBad9 2 3 2 2 2" xfId="33043"/>
    <cellStyle name="SAPBEXexcBad9 2 3 2 3" xfId="33044"/>
    <cellStyle name="SAPBEXexcBad9 2 3 2 4" xfId="33045"/>
    <cellStyle name="SAPBEXexcBad9 2 3 3" xfId="33046"/>
    <cellStyle name="SAPBEXexcBad9 2 3 3 2" xfId="33047"/>
    <cellStyle name="SAPBEXexcBad9 2 3 3 3" xfId="33048"/>
    <cellStyle name="SAPBEXexcBad9 2 3 4" xfId="33049"/>
    <cellStyle name="SAPBEXexcBad9 2 3 4 2" xfId="33050"/>
    <cellStyle name="SAPBEXexcBad9 2 3 5" xfId="33051"/>
    <cellStyle name="SAPBEXexcBad9 2 3 6" xfId="33052"/>
    <cellStyle name="SAPBEXexcBad9 2 3 7" xfId="33053"/>
    <cellStyle name="SAPBEXexcBad9 2 3 8" xfId="33054"/>
    <cellStyle name="SAPBEXexcBad9 2 3 9" xfId="33055"/>
    <cellStyle name="SAPBEXexcBad9 2 4" xfId="33056"/>
    <cellStyle name="SAPBEXexcBad9 2 4 2" xfId="33057"/>
    <cellStyle name="SAPBEXexcBad9 2 4 2 2" xfId="33058"/>
    <cellStyle name="SAPBEXexcBad9 2 4 2 3" xfId="33059"/>
    <cellStyle name="SAPBEXexcBad9 2 4 3" xfId="33060"/>
    <cellStyle name="SAPBEXexcBad9 2 4 3 2" xfId="33061"/>
    <cellStyle name="SAPBEXexcBad9 2 4 4" xfId="33062"/>
    <cellStyle name="SAPBEXexcBad9 2 4 5" xfId="33063"/>
    <cellStyle name="SAPBEXexcBad9 2 5" xfId="33064"/>
    <cellStyle name="SAPBEXexcBad9 2 5 2" xfId="33065"/>
    <cellStyle name="SAPBEXexcBad9 2 5 2 2" xfId="33066"/>
    <cellStyle name="SAPBEXexcBad9 2 5 3" xfId="33067"/>
    <cellStyle name="SAPBEXexcBad9 2 5 4" xfId="33068"/>
    <cellStyle name="SAPBEXexcBad9 2 6" xfId="33069"/>
    <cellStyle name="SAPBEXexcBad9 2 6 2" xfId="33070"/>
    <cellStyle name="SAPBEXexcBad9 2 6 3" xfId="33071"/>
    <cellStyle name="SAPBEXexcBad9 2 7" xfId="33072"/>
    <cellStyle name="SAPBEXexcBad9 2 7 2" xfId="33073"/>
    <cellStyle name="SAPBEXexcBad9 2 8" xfId="33074"/>
    <cellStyle name="SAPBEXexcBad9 2 9" xfId="33075"/>
    <cellStyle name="SAPBEXexcBad9 3" xfId="33076"/>
    <cellStyle name="SAPBEXexcBad9 3 10" xfId="33077"/>
    <cellStyle name="SAPBEXexcBad9 3 11" xfId="33078"/>
    <cellStyle name="SAPBEXexcBad9 3 12" xfId="33079"/>
    <cellStyle name="SAPBEXexcBad9 3 13" xfId="33080"/>
    <cellStyle name="SAPBEXexcBad9 3 14" xfId="33081"/>
    <cellStyle name="SAPBEXexcBad9 3 15" xfId="33082"/>
    <cellStyle name="SAPBEXexcBad9 3 16" xfId="33083"/>
    <cellStyle name="SAPBEXexcBad9 3 17" xfId="33084"/>
    <cellStyle name="SAPBEXexcBad9 3 18" xfId="33085"/>
    <cellStyle name="SAPBEXexcBad9 3 19" xfId="33086"/>
    <cellStyle name="SAPBEXexcBad9 3 2" xfId="33087"/>
    <cellStyle name="SAPBEXexcBad9 3 2 10" xfId="33088"/>
    <cellStyle name="SAPBEXexcBad9 3 2 11" xfId="33089"/>
    <cellStyle name="SAPBEXexcBad9 3 2 12" xfId="33090"/>
    <cellStyle name="SAPBEXexcBad9 3 2 13" xfId="33091"/>
    <cellStyle name="SAPBEXexcBad9 3 2 14" xfId="33092"/>
    <cellStyle name="SAPBEXexcBad9 3 2 15" xfId="33093"/>
    <cellStyle name="SAPBEXexcBad9 3 2 16" xfId="33094"/>
    <cellStyle name="SAPBEXexcBad9 3 2 17" xfId="33095"/>
    <cellStyle name="SAPBEXexcBad9 3 2 18" xfId="33096"/>
    <cellStyle name="SAPBEXexcBad9 3 2 2" xfId="33097"/>
    <cellStyle name="SAPBEXexcBad9 3 2 2 2" xfId="33098"/>
    <cellStyle name="SAPBEXexcBad9 3 2 2 2 2" xfId="33099"/>
    <cellStyle name="SAPBEXexcBad9 3 2 2 3" xfId="33100"/>
    <cellStyle name="SAPBEXexcBad9 3 2 2 4" xfId="33101"/>
    <cellStyle name="SAPBEXexcBad9 3 2 3" xfId="33102"/>
    <cellStyle name="SAPBEXexcBad9 3 2 3 2" xfId="33103"/>
    <cellStyle name="SAPBEXexcBad9 3 2 3 3" xfId="33104"/>
    <cellStyle name="SAPBEXexcBad9 3 2 4" xfId="33105"/>
    <cellStyle name="SAPBEXexcBad9 3 2 4 2" xfId="33106"/>
    <cellStyle name="SAPBEXexcBad9 3 2 5" xfId="33107"/>
    <cellStyle name="SAPBEXexcBad9 3 2 6" xfId="33108"/>
    <cellStyle name="SAPBEXexcBad9 3 2 7" xfId="33109"/>
    <cellStyle name="SAPBEXexcBad9 3 2 8" xfId="33110"/>
    <cellStyle name="SAPBEXexcBad9 3 2 9" xfId="33111"/>
    <cellStyle name="SAPBEXexcBad9 3 20" xfId="33112"/>
    <cellStyle name="SAPBEXexcBad9 3 21" xfId="33113"/>
    <cellStyle name="SAPBEXexcBad9 3 22" xfId="33114"/>
    <cellStyle name="SAPBEXexcBad9 3 3" xfId="33115"/>
    <cellStyle name="SAPBEXexcBad9 3 3 10" xfId="33116"/>
    <cellStyle name="SAPBEXexcBad9 3 3 11" xfId="33117"/>
    <cellStyle name="SAPBEXexcBad9 3 3 12" xfId="33118"/>
    <cellStyle name="SAPBEXexcBad9 3 3 13" xfId="33119"/>
    <cellStyle name="SAPBEXexcBad9 3 3 14" xfId="33120"/>
    <cellStyle name="SAPBEXexcBad9 3 3 15" xfId="33121"/>
    <cellStyle name="SAPBEXexcBad9 3 3 16" xfId="33122"/>
    <cellStyle name="SAPBEXexcBad9 3 3 17" xfId="33123"/>
    <cellStyle name="SAPBEXexcBad9 3 3 18" xfId="33124"/>
    <cellStyle name="SAPBEXexcBad9 3 3 2" xfId="33125"/>
    <cellStyle name="SAPBEXexcBad9 3 3 2 2" xfId="33126"/>
    <cellStyle name="SAPBEXexcBad9 3 3 2 2 2" xfId="33127"/>
    <cellStyle name="SAPBEXexcBad9 3 3 2 3" xfId="33128"/>
    <cellStyle name="SAPBEXexcBad9 3 3 2 4" xfId="33129"/>
    <cellStyle name="SAPBEXexcBad9 3 3 3" xfId="33130"/>
    <cellStyle name="SAPBEXexcBad9 3 3 3 2" xfId="33131"/>
    <cellStyle name="SAPBEXexcBad9 3 3 3 3" xfId="33132"/>
    <cellStyle name="SAPBEXexcBad9 3 3 4" xfId="33133"/>
    <cellStyle name="SAPBEXexcBad9 3 3 4 2" xfId="33134"/>
    <cellStyle name="SAPBEXexcBad9 3 3 5" xfId="33135"/>
    <cellStyle name="SAPBEXexcBad9 3 3 6" xfId="33136"/>
    <cellStyle name="SAPBEXexcBad9 3 3 7" xfId="33137"/>
    <cellStyle name="SAPBEXexcBad9 3 3 8" xfId="33138"/>
    <cellStyle name="SAPBEXexcBad9 3 3 9" xfId="33139"/>
    <cellStyle name="SAPBEXexcBad9 3 4" xfId="33140"/>
    <cellStyle name="SAPBEXexcBad9 3 4 2" xfId="33141"/>
    <cellStyle name="SAPBEXexcBad9 3 4 2 2" xfId="33142"/>
    <cellStyle name="SAPBEXexcBad9 3 4 2 3" xfId="33143"/>
    <cellStyle name="SAPBEXexcBad9 3 4 3" xfId="33144"/>
    <cellStyle name="SAPBEXexcBad9 3 4 3 2" xfId="33145"/>
    <cellStyle name="SAPBEXexcBad9 3 4 4" xfId="33146"/>
    <cellStyle name="SAPBEXexcBad9 3 4 5" xfId="33147"/>
    <cellStyle name="SAPBEXexcBad9 3 5" xfId="33148"/>
    <cellStyle name="SAPBEXexcBad9 3 5 2" xfId="33149"/>
    <cellStyle name="SAPBEXexcBad9 3 5 2 2" xfId="33150"/>
    <cellStyle name="SAPBEXexcBad9 3 5 3" xfId="33151"/>
    <cellStyle name="SAPBEXexcBad9 3 5 4" xfId="33152"/>
    <cellStyle name="SAPBEXexcBad9 3 6" xfId="33153"/>
    <cellStyle name="SAPBEXexcBad9 3 6 2" xfId="33154"/>
    <cellStyle name="SAPBEXexcBad9 3 6 3" xfId="33155"/>
    <cellStyle name="SAPBEXexcBad9 3 7" xfId="33156"/>
    <cellStyle name="SAPBEXexcBad9 3 7 2" xfId="33157"/>
    <cellStyle name="SAPBEXexcBad9 3 8" xfId="33158"/>
    <cellStyle name="SAPBEXexcBad9 3 9" xfId="33159"/>
    <cellStyle name="SAPBEXexcBad9 4" xfId="33160"/>
    <cellStyle name="SAPBEXexcBad9 4 10" xfId="33161"/>
    <cellStyle name="SAPBEXexcBad9 4 11" xfId="33162"/>
    <cellStyle name="SAPBEXexcBad9 4 12" xfId="33163"/>
    <cellStyle name="SAPBEXexcBad9 4 13" xfId="33164"/>
    <cellStyle name="SAPBEXexcBad9 4 14" xfId="33165"/>
    <cellStyle name="SAPBEXexcBad9 4 15" xfId="33166"/>
    <cellStyle name="SAPBEXexcBad9 4 16" xfId="33167"/>
    <cellStyle name="SAPBEXexcBad9 4 17" xfId="33168"/>
    <cellStyle name="SAPBEXexcBad9 4 18" xfId="33169"/>
    <cellStyle name="SAPBEXexcBad9 4 19" xfId="33170"/>
    <cellStyle name="SAPBEXexcBad9 4 2" xfId="33171"/>
    <cellStyle name="SAPBEXexcBad9 4 2 10" xfId="33172"/>
    <cellStyle name="SAPBEXexcBad9 4 2 11" xfId="33173"/>
    <cellStyle name="SAPBEXexcBad9 4 2 12" xfId="33174"/>
    <cellStyle name="SAPBEXexcBad9 4 2 13" xfId="33175"/>
    <cellStyle name="SAPBEXexcBad9 4 2 14" xfId="33176"/>
    <cellStyle name="SAPBEXexcBad9 4 2 15" xfId="33177"/>
    <cellStyle name="SAPBEXexcBad9 4 2 16" xfId="33178"/>
    <cellStyle name="SAPBEXexcBad9 4 2 17" xfId="33179"/>
    <cellStyle name="SAPBEXexcBad9 4 2 18" xfId="33180"/>
    <cellStyle name="SAPBEXexcBad9 4 2 2" xfId="33181"/>
    <cellStyle name="SAPBEXexcBad9 4 2 2 2" xfId="33182"/>
    <cellStyle name="SAPBEXexcBad9 4 2 2 2 2" xfId="33183"/>
    <cellStyle name="SAPBEXexcBad9 4 2 2 3" xfId="33184"/>
    <cellStyle name="SAPBEXexcBad9 4 2 2 4" xfId="33185"/>
    <cellStyle name="SAPBEXexcBad9 4 2 3" xfId="33186"/>
    <cellStyle name="SAPBEXexcBad9 4 2 3 2" xfId="33187"/>
    <cellStyle name="SAPBEXexcBad9 4 2 3 3" xfId="33188"/>
    <cellStyle name="SAPBEXexcBad9 4 2 4" xfId="33189"/>
    <cellStyle name="SAPBEXexcBad9 4 2 4 2" xfId="33190"/>
    <cellStyle name="SAPBEXexcBad9 4 2 5" xfId="33191"/>
    <cellStyle name="SAPBEXexcBad9 4 2 6" xfId="33192"/>
    <cellStyle name="SAPBEXexcBad9 4 2 7" xfId="33193"/>
    <cellStyle name="SAPBEXexcBad9 4 2 8" xfId="33194"/>
    <cellStyle name="SAPBEXexcBad9 4 2 9" xfId="33195"/>
    <cellStyle name="SAPBEXexcBad9 4 20" xfId="33196"/>
    <cellStyle name="SAPBEXexcBad9 4 21" xfId="33197"/>
    <cellStyle name="SAPBEXexcBad9 4 22" xfId="33198"/>
    <cellStyle name="SAPBEXexcBad9 4 3" xfId="33199"/>
    <cellStyle name="SAPBEXexcBad9 4 3 10" xfId="33200"/>
    <cellStyle name="SAPBEXexcBad9 4 3 11" xfId="33201"/>
    <cellStyle name="SAPBEXexcBad9 4 3 12" xfId="33202"/>
    <cellStyle name="SAPBEXexcBad9 4 3 13" xfId="33203"/>
    <cellStyle name="SAPBEXexcBad9 4 3 14" xfId="33204"/>
    <cellStyle name="SAPBEXexcBad9 4 3 15" xfId="33205"/>
    <cellStyle name="SAPBEXexcBad9 4 3 16" xfId="33206"/>
    <cellStyle name="SAPBEXexcBad9 4 3 17" xfId="33207"/>
    <cellStyle name="SAPBEXexcBad9 4 3 18" xfId="33208"/>
    <cellStyle name="SAPBEXexcBad9 4 3 2" xfId="33209"/>
    <cellStyle name="SAPBEXexcBad9 4 3 2 2" xfId="33210"/>
    <cellStyle name="SAPBEXexcBad9 4 3 2 2 2" xfId="33211"/>
    <cellStyle name="SAPBEXexcBad9 4 3 2 3" xfId="33212"/>
    <cellStyle name="SAPBEXexcBad9 4 3 2 4" xfId="33213"/>
    <cellStyle name="SAPBEXexcBad9 4 3 3" xfId="33214"/>
    <cellStyle name="SAPBEXexcBad9 4 3 3 2" xfId="33215"/>
    <cellStyle name="SAPBEXexcBad9 4 3 3 3" xfId="33216"/>
    <cellStyle name="SAPBEXexcBad9 4 3 4" xfId="33217"/>
    <cellStyle name="SAPBEXexcBad9 4 3 4 2" xfId="33218"/>
    <cellStyle name="SAPBEXexcBad9 4 3 5" xfId="33219"/>
    <cellStyle name="SAPBEXexcBad9 4 3 6" xfId="33220"/>
    <cellStyle name="SAPBEXexcBad9 4 3 7" xfId="33221"/>
    <cellStyle name="SAPBEXexcBad9 4 3 8" xfId="33222"/>
    <cellStyle name="SAPBEXexcBad9 4 3 9" xfId="33223"/>
    <cellStyle name="SAPBEXexcBad9 4 4" xfId="33224"/>
    <cellStyle name="SAPBEXexcBad9 4 4 2" xfId="33225"/>
    <cellStyle name="SAPBEXexcBad9 4 4 2 2" xfId="33226"/>
    <cellStyle name="SAPBEXexcBad9 4 4 2 3" xfId="33227"/>
    <cellStyle name="SAPBEXexcBad9 4 4 3" xfId="33228"/>
    <cellStyle name="SAPBEXexcBad9 4 4 3 2" xfId="33229"/>
    <cellStyle name="SAPBEXexcBad9 4 4 4" xfId="33230"/>
    <cellStyle name="SAPBEXexcBad9 4 4 5" xfId="33231"/>
    <cellStyle name="SAPBEXexcBad9 4 5" xfId="33232"/>
    <cellStyle name="SAPBEXexcBad9 4 5 2" xfId="33233"/>
    <cellStyle name="SAPBEXexcBad9 4 5 2 2" xfId="33234"/>
    <cellStyle name="SAPBEXexcBad9 4 5 3" xfId="33235"/>
    <cellStyle name="SAPBEXexcBad9 4 5 4" xfId="33236"/>
    <cellStyle name="SAPBEXexcBad9 4 6" xfId="33237"/>
    <cellStyle name="SAPBEXexcBad9 4 6 2" xfId="33238"/>
    <cellStyle name="SAPBEXexcBad9 4 6 3" xfId="33239"/>
    <cellStyle name="SAPBEXexcBad9 4 7" xfId="33240"/>
    <cellStyle name="SAPBEXexcBad9 4 7 2" xfId="33241"/>
    <cellStyle name="SAPBEXexcBad9 4 8" xfId="33242"/>
    <cellStyle name="SAPBEXexcBad9 4 9" xfId="33243"/>
    <cellStyle name="SAPBEXexcBad9 5" xfId="33244"/>
    <cellStyle name="SAPBEXexcBad9 5 10" xfId="33245"/>
    <cellStyle name="SAPBEXexcBad9 5 11" xfId="33246"/>
    <cellStyle name="SAPBEXexcBad9 5 12" xfId="33247"/>
    <cellStyle name="SAPBEXexcBad9 5 13" xfId="33248"/>
    <cellStyle name="SAPBEXexcBad9 5 14" xfId="33249"/>
    <cellStyle name="SAPBEXexcBad9 5 15" xfId="33250"/>
    <cellStyle name="SAPBEXexcBad9 5 16" xfId="33251"/>
    <cellStyle name="SAPBEXexcBad9 5 17" xfId="33252"/>
    <cellStyle name="SAPBEXexcBad9 5 18" xfId="33253"/>
    <cellStyle name="SAPBEXexcBad9 5 19" xfId="33254"/>
    <cellStyle name="SAPBEXexcBad9 5 2" xfId="33255"/>
    <cellStyle name="SAPBEXexcBad9 5 2 10" xfId="33256"/>
    <cellStyle name="SAPBEXexcBad9 5 2 11" xfId="33257"/>
    <cellStyle name="SAPBEXexcBad9 5 2 12" xfId="33258"/>
    <cellStyle name="SAPBEXexcBad9 5 2 13" xfId="33259"/>
    <cellStyle name="SAPBEXexcBad9 5 2 14" xfId="33260"/>
    <cellStyle name="SAPBEXexcBad9 5 2 15" xfId="33261"/>
    <cellStyle name="SAPBEXexcBad9 5 2 16" xfId="33262"/>
    <cellStyle name="SAPBEXexcBad9 5 2 17" xfId="33263"/>
    <cellStyle name="SAPBEXexcBad9 5 2 18" xfId="33264"/>
    <cellStyle name="SAPBEXexcBad9 5 2 2" xfId="33265"/>
    <cellStyle name="SAPBEXexcBad9 5 2 2 2" xfId="33266"/>
    <cellStyle name="SAPBEXexcBad9 5 2 2 2 2" xfId="33267"/>
    <cellStyle name="SAPBEXexcBad9 5 2 2 3" xfId="33268"/>
    <cellStyle name="SAPBEXexcBad9 5 2 2 4" xfId="33269"/>
    <cellStyle name="SAPBEXexcBad9 5 2 3" xfId="33270"/>
    <cellStyle name="SAPBEXexcBad9 5 2 3 2" xfId="33271"/>
    <cellStyle name="SAPBEXexcBad9 5 2 3 3" xfId="33272"/>
    <cellStyle name="SAPBEXexcBad9 5 2 4" xfId="33273"/>
    <cellStyle name="SAPBEXexcBad9 5 2 4 2" xfId="33274"/>
    <cellStyle name="SAPBEXexcBad9 5 2 5" xfId="33275"/>
    <cellStyle name="SAPBEXexcBad9 5 2 6" xfId="33276"/>
    <cellStyle name="SAPBEXexcBad9 5 2 7" xfId="33277"/>
    <cellStyle name="SAPBEXexcBad9 5 2 8" xfId="33278"/>
    <cellStyle name="SAPBEXexcBad9 5 2 9" xfId="33279"/>
    <cellStyle name="SAPBEXexcBad9 5 20" xfId="33280"/>
    <cellStyle name="SAPBEXexcBad9 5 21" xfId="33281"/>
    <cellStyle name="SAPBEXexcBad9 5 22" xfId="33282"/>
    <cellStyle name="SAPBEXexcBad9 5 3" xfId="33283"/>
    <cellStyle name="SAPBEXexcBad9 5 3 10" xfId="33284"/>
    <cellStyle name="SAPBEXexcBad9 5 3 11" xfId="33285"/>
    <cellStyle name="SAPBEXexcBad9 5 3 12" xfId="33286"/>
    <cellStyle name="SAPBEXexcBad9 5 3 13" xfId="33287"/>
    <cellStyle name="SAPBEXexcBad9 5 3 14" xfId="33288"/>
    <cellStyle name="SAPBEXexcBad9 5 3 15" xfId="33289"/>
    <cellStyle name="SAPBEXexcBad9 5 3 16" xfId="33290"/>
    <cellStyle name="SAPBEXexcBad9 5 3 17" xfId="33291"/>
    <cellStyle name="SAPBEXexcBad9 5 3 18" xfId="33292"/>
    <cellStyle name="SAPBEXexcBad9 5 3 2" xfId="33293"/>
    <cellStyle name="SAPBEXexcBad9 5 3 2 2" xfId="33294"/>
    <cellStyle name="SAPBEXexcBad9 5 3 2 2 2" xfId="33295"/>
    <cellStyle name="SAPBEXexcBad9 5 3 2 3" xfId="33296"/>
    <cellStyle name="SAPBEXexcBad9 5 3 2 4" xfId="33297"/>
    <cellStyle name="SAPBEXexcBad9 5 3 3" xfId="33298"/>
    <cellStyle name="SAPBEXexcBad9 5 3 3 2" xfId="33299"/>
    <cellStyle name="SAPBEXexcBad9 5 3 3 3" xfId="33300"/>
    <cellStyle name="SAPBEXexcBad9 5 3 4" xfId="33301"/>
    <cellStyle name="SAPBEXexcBad9 5 3 4 2" xfId="33302"/>
    <cellStyle name="SAPBEXexcBad9 5 3 5" xfId="33303"/>
    <cellStyle name="SAPBEXexcBad9 5 3 6" xfId="33304"/>
    <cellStyle name="SAPBEXexcBad9 5 3 7" xfId="33305"/>
    <cellStyle name="SAPBEXexcBad9 5 3 8" xfId="33306"/>
    <cellStyle name="SAPBEXexcBad9 5 3 9" xfId="33307"/>
    <cellStyle name="SAPBEXexcBad9 5 4" xfId="33308"/>
    <cellStyle name="SAPBEXexcBad9 5 4 2" xfId="33309"/>
    <cellStyle name="SAPBEXexcBad9 5 4 2 2" xfId="33310"/>
    <cellStyle name="SAPBEXexcBad9 5 4 2 3" xfId="33311"/>
    <cellStyle name="SAPBEXexcBad9 5 4 3" xfId="33312"/>
    <cellStyle name="SAPBEXexcBad9 5 4 3 2" xfId="33313"/>
    <cellStyle name="SAPBEXexcBad9 5 4 4" xfId="33314"/>
    <cellStyle name="SAPBEXexcBad9 5 4 5" xfId="33315"/>
    <cellStyle name="SAPBEXexcBad9 5 5" xfId="33316"/>
    <cellStyle name="SAPBEXexcBad9 5 5 2" xfId="33317"/>
    <cellStyle name="SAPBEXexcBad9 5 5 2 2" xfId="33318"/>
    <cellStyle name="SAPBEXexcBad9 5 5 3" xfId="33319"/>
    <cellStyle name="SAPBEXexcBad9 5 5 4" xfId="33320"/>
    <cellStyle name="SAPBEXexcBad9 5 6" xfId="33321"/>
    <cellStyle name="SAPBEXexcBad9 5 6 2" xfId="33322"/>
    <cellStyle name="SAPBEXexcBad9 5 6 3" xfId="33323"/>
    <cellStyle name="SAPBEXexcBad9 5 7" xfId="33324"/>
    <cellStyle name="SAPBEXexcBad9 5 7 2" xfId="33325"/>
    <cellStyle name="SAPBEXexcBad9 5 8" xfId="33326"/>
    <cellStyle name="SAPBEXexcBad9 5 9" xfId="33327"/>
    <cellStyle name="SAPBEXexcBad9 6" xfId="33328"/>
    <cellStyle name="SAPBEXexcBad9 6 10" xfId="33329"/>
    <cellStyle name="SAPBEXexcBad9 6 11" xfId="33330"/>
    <cellStyle name="SAPBEXexcBad9 6 12" xfId="33331"/>
    <cellStyle name="SAPBEXexcBad9 6 13" xfId="33332"/>
    <cellStyle name="SAPBEXexcBad9 6 14" xfId="33333"/>
    <cellStyle name="SAPBEXexcBad9 6 15" xfId="33334"/>
    <cellStyle name="SAPBEXexcBad9 6 2" xfId="33335"/>
    <cellStyle name="SAPBEXexcBad9 6 2 10" xfId="33336"/>
    <cellStyle name="SAPBEXexcBad9 6 2 11" xfId="33337"/>
    <cellStyle name="SAPBEXexcBad9 6 2 12" xfId="33338"/>
    <cellStyle name="SAPBEXexcBad9 6 2 13" xfId="33339"/>
    <cellStyle name="SAPBEXexcBad9 6 2 14" xfId="33340"/>
    <cellStyle name="SAPBEXexcBad9 6 2 15" xfId="33341"/>
    <cellStyle name="SAPBEXexcBad9 6 2 16" xfId="33342"/>
    <cellStyle name="SAPBEXexcBad9 6 2 17" xfId="33343"/>
    <cellStyle name="SAPBEXexcBad9 6 2 18" xfId="33344"/>
    <cellStyle name="SAPBEXexcBad9 6 2 2" xfId="33345"/>
    <cellStyle name="SAPBEXexcBad9 6 2 2 2" xfId="33346"/>
    <cellStyle name="SAPBEXexcBad9 6 2 2 2 2" xfId="33347"/>
    <cellStyle name="SAPBEXexcBad9 6 2 2 3" xfId="33348"/>
    <cellStyle name="SAPBEXexcBad9 6 2 2 4" xfId="33349"/>
    <cellStyle name="SAPBEXexcBad9 6 2 3" xfId="33350"/>
    <cellStyle name="SAPBEXexcBad9 6 2 3 2" xfId="33351"/>
    <cellStyle name="SAPBEXexcBad9 6 2 3 3" xfId="33352"/>
    <cellStyle name="SAPBEXexcBad9 6 2 4" xfId="33353"/>
    <cellStyle name="SAPBEXexcBad9 6 2 4 2" xfId="33354"/>
    <cellStyle name="SAPBEXexcBad9 6 2 5" xfId="33355"/>
    <cellStyle name="SAPBEXexcBad9 6 2 6" xfId="33356"/>
    <cellStyle name="SAPBEXexcBad9 6 2 7" xfId="33357"/>
    <cellStyle name="SAPBEXexcBad9 6 2 8" xfId="33358"/>
    <cellStyle name="SAPBEXexcBad9 6 2 9" xfId="33359"/>
    <cellStyle name="SAPBEXexcBad9 6 3" xfId="33360"/>
    <cellStyle name="SAPBEXexcBad9 6 3 10" xfId="33361"/>
    <cellStyle name="SAPBEXexcBad9 6 3 11" xfId="33362"/>
    <cellStyle name="SAPBEXexcBad9 6 3 12" xfId="33363"/>
    <cellStyle name="SAPBEXexcBad9 6 3 13" xfId="33364"/>
    <cellStyle name="SAPBEXexcBad9 6 3 14" xfId="33365"/>
    <cellStyle name="SAPBEXexcBad9 6 3 15" xfId="33366"/>
    <cellStyle name="SAPBEXexcBad9 6 3 16" xfId="33367"/>
    <cellStyle name="SAPBEXexcBad9 6 3 17" xfId="33368"/>
    <cellStyle name="SAPBEXexcBad9 6 3 18" xfId="33369"/>
    <cellStyle name="SAPBEXexcBad9 6 3 2" xfId="33370"/>
    <cellStyle name="SAPBEXexcBad9 6 3 2 2" xfId="33371"/>
    <cellStyle name="SAPBEXexcBad9 6 3 2 2 2" xfId="33372"/>
    <cellStyle name="SAPBEXexcBad9 6 3 2 3" xfId="33373"/>
    <cellStyle name="SAPBEXexcBad9 6 3 2 4" xfId="33374"/>
    <cellStyle name="SAPBEXexcBad9 6 3 3" xfId="33375"/>
    <cellStyle name="SAPBEXexcBad9 6 3 3 2" xfId="33376"/>
    <cellStyle name="SAPBEXexcBad9 6 3 3 3" xfId="33377"/>
    <cellStyle name="SAPBEXexcBad9 6 3 4" xfId="33378"/>
    <cellStyle name="SAPBEXexcBad9 6 3 4 2" xfId="33379"/>
    <cellStyle name="SAPBEXexcBad9 6 3 5" xfId="33380"/>
    <cellStyle name="SAPBEXexcBad9 6 3 6" xfId="33381"/>
    <cellStyle name="SAPBEXexcBad9 6 3 7" xfId="33382"/>
    <cellStyle name="SAPBEXexcBad9 6 3 8" xfId="33383"/>
    <cellStyle name="SAPBEXexcBad9 6 3 9" xfId="33384"/>
    <cellStyle name="SAPBEXexcBad9 6 4" xfId="33385"/>
    <cellStyle name="SAPBEXexcBad9 6 4 2" xfId="33386"/>
    <cellStyle name="SAPBEXexcBad9 6 4 2 2" xfId="33387"/>
    <cellStyle name="SAPBEXexcBad9 6 4 3" xfId="33388"/>
    <cellStyle name="SAPBEXexcBad9 6 4 4" xfId="33389"/>
    <cellStyle name="SAPBEXexcBad9 6 5" xfId="33390"/>
    <cellStyle name="SAPBEXexcBad9 6 5 2" xfId="33391"/>
    <cellStyle name="SAPBEXexcBad9 6 6" xfId="33392"/>
    <cellStyle name="SAPBEXexcBad9 6 7" xfId="33393"/>
    <cellStyle name="SAPBEXexcBad9 6 8" xfId="33394"/>
    <cellStyle name="SAPBEXexcBad9 6 9" xfId="33395"/>
    <cellStyle name="SAPBEXexcBad9 7" xfId="33396"/>
    <cellStyle name="SAPBEXexcBad9 7 10" xfId="33397"/>
    <cellStyle name="SAPBEXexcBad9 7 11" xfId="33398"/>
    <cellStyle name="SAPBEXexcBad9 7 12" xfId="33399"/>
    <cellStyle name="SAPBEXexcBad9 7 13" xfId="33400"/>
    <cellStyle name="SAPBEXexcBad9 7 14" xfId="33401"/>
    <cellStyle name="SAPBEXexcBad9 7 15" xfId="33402"/>
    <cellStyle name="SAPBEXexcBad9 7 16" xfId="33403"/>
    <cellStyle name="SAPBEXexcBad9 7 17" xfId="33404"/>
    <cellStyle name="SAPBEXexcBad9 7 18" xfId="33405"/>
    <cellStyle name="SAPBEXexcBad9 7 2" xfId="33406"/>
    <cellStyle name="SAPBEXexcBad9 7 3" xfId="33407"/>
    <cellStyle name="SAPBEXexcBad9 7 4" xfId="33408"/>
    <cellStyle name="SAPBEXexcBad9 7 5" xfId="33409"/>
    <cellStyle name="SAPBEXexcBad9 7 6" xfId="33410"/>
    <cellStyle name="SAPBEXexcBad9 7 7" xfId="33411"/>
    <cellStyle name="SAPBEXexcBad9 7 8" xfId="33412"/>
    <cellStyle name="SAPBEXexcBad9 7 9" xfId="33413"/>
    <cellStyle name="SAPBEXexcBad9 8" xfId="33414"/>
    <cellStyle name="SAPBEXexcBad9 9" xfId="33415"/>
    <cellStyle name="SAPBEXexcCritical4" xfId="33416"/>
    <cellStyle name="SAPBEXexcCritical4 10" xfId="33417"/>
    <cellStyle name="SAPBEXexcCritical4 11" xfId="33418"/>
    <cellStyle name="SAPBEXexcCritical4 12" xfId="33419"/>
    <cellStyle name="SAPBEXexcCritical4 13" xfId="33420"/>
    <cellStyle name="SAPBEXexcCritical4 14" xfId="33421"/>
    <cellStyle name="SAPBEXexcCritical4 15" xfId="33422"/>
    <cellStyle name="SAPBEXexcCritical4 16" xfId="33423"/>
    <cellStyle name="SAPBEXexcCritical4 17" xfId="33424"/>
    <cellStyle name="SAPBEXexcCritical4 18" xfId="33425"/>
    <cellStyle name="SAPBEXexcCritical4 19" xfId="33426"/>
    <cellStyle name="SAPBEXexcCritical4 2" xfId="33427"/>
    <cellStyle name="SAPBEXexcCritical4 2 10" xfId="33428"/>
    <cellStyle name="SAPBEXexcCritical4 2 11" xfId="33429"/>
    <cellStyle name="SAPBEXexcCritical4 2 12" xfId="33430"/>
    <cellStyle name="SAPBEXexcCritical4 2 13" xfId="33431"/>
    <cellStyle name="SAPBEXexcCritical4 2 14" xfId="33432"/>
    <cellStyle name="SAPBEXexcCritical4 2 15" xfId="33433"/>
    <cellStyle name="SAPBEXexcCritical4 2 16" xfId="33434"/>
    <cellStyle name="SAPBEXexcCritical4 2 17" xfId="33435"/>
    <cellStyle name="SAPBEXexcCritical4 2 18" xfId="33436"/>
    <cellStyle name="SAPBEXexcCritical4 2 19" xfId="33437"/>
    <cellStyle name="SAPBEXexcCritical4 2 2" xfId="33438"/>
    <cellStyle name="SAPBEXexcCritical4 2 2 10" xfId="33439"/>
    <cellStyle name="SAPBEXexcCritical4 2 2 11" xfId="33440"/>
    <cellStyle name="SAPBEXexcCritical4 2 2 12" xfId="33441"/>
    <cellStyle name="SAPBEXexcCritical4 2 2 13" xfId="33442"/>
    <cellStyle name="SAPBEXexcCritical4 2 2 14" xfId="33443"/>
    <cellStyle name="SAPBEXexcCritical4 2 2 15" xfId="33444"/>
    <cellStyle name="SAPBEXexcCritical4 2 2 16" xfId="33445"/>
    <cellStyle name="SAPBEXexcCritical4 2 2 17" xfId="33446"/>
    <cellStyle name="SAPBEXexcCritical4 2 2 18" xfId="33447"/>
    <cellStyle name="SAPBEXexcCritical4 2 2 19" xfId="33448"/>
    <cellStyle name="SAPBEXexcCritical4 2 2 2" xfId="33449"/>
    <cellStyle name="SAPBEXexcCritical4 2 2 2 2" xfId="33450"/>
    <cellStyle name="SAPBEXexcCritical4 2 2 2 2 2" xfId="33451"/>
    <cellStyle name="SAPBEXexcCritical4 2 2 2 3" xfId="33452"/>
    <cellStyle name="SAPBEXexcCritical4 2 2 2 4" xfId="33453"/>
    <cellStyle name="SAPBEXexcCritical4 2 2 20" xfId="33454"/>
    <cellStyle name="SAPBEXexcCritical4 2 2 21" xfId="33455"/>
    <cellStyle name="SAPBEXexcCritical4 2 2 3" xfId="33456"/>
    <cellStyle name="SAPBEXexcCritical4 2 2 3 2" xfId="33457"/>
    <cellStyle name="SAPBEXexcCritical4 2 2 3 3" xfId="33458"/>
    <cellStyle name="SAPBEXexcCritical4 2 2 4" xfId="33459"/>
    <cellStyle name="SAPBEXexcCritical4 2 2 4 2" xfId="33460"/>
    <cellStyle name="SAPBEXexcCritical4 2 2 5" xfId="33461"/>
    <cellStyle name="SAPBEXexcCritical4 2 2 6" xfId="33462"/>
    <cellStyle name="SAPBEXexcCritical4 2 2 7" xfId="33463"/>
    <cellStyle name="SAPBEXexcCritical4 2 2 8" xfId="33464"/>
    <cellStyle name="SAPBEXexcCritical4 2 2 9" xfId="33465"/>
    <cellStyle name="SAPBEXexcCritical4 2 20" xfId="33466"/>
    <cellStyle name="SAPBEXexcCritical4 2 21" xfId="33467"/>
    <cellStyle name="SAPBEXexcCritical4 2 22" xfId="33468"/>
    <cellStyle name="SAPBEXexcCritical4 2 23" xfId="33469"/>
    <cellStyle name="SAPBEXexcCritical4 2 24" xfId="33470"/>
    <cellStyle name="SAPBEXexcCritical4 2 3" xfId="33471"/>
    <cellStyle name="SAPBEXexcCritical4 2 3 10" xfId="33472"/>
    <cellStyle name="SAPBEXexcCritical4 2 3 11" xfId="33473"/>
    <cellStyle name="SAPBEXexcCritical4 2 3 12" xfId="33474"/>
    <cellStyle name="SAPBEXexcCritical4 2 3 13" xfId="33475"/>
    <cellStyle name="SAPBEXexcCritical4 2 3 14" xfId="33476"/>
    <cellStyle name="SAPBEXexcCritical4 2 3 15" xfId="33477"/>
    <cellStyle name="SAPBEXexcCritical4 2 3 16" xfId="33478"/>
    <cellStyle name="SAPBEXexcCritical4 2 3 17" xfId="33479"/>
    <cellStyle name="SAPBEXexcCritical4 2 3 18" xfId="33480"/>
    <cellStyle name="SAPBEXexcCritical4 2 3 2" xfId="33481"/>
    <cellStyle name="SAPBEXexcCritical4 2 3 2 2" xfId="33482"/>
    <cellStyle name="SAPBEXexcCritical4 2 3 2 2 2" xfId="33483"/>
    <cellStyle name="SAPBEXexcCritical4 2 3 2 3" xfId="33484"/>
    <cellStyle name="SAPBEXexcCritical4 2 3 2 4" xfId="33485"/>
    <cellStyle name="SAPBEXexcCritical4 2 3 3" xfId="33486"/>
    <cellStyle name="SAPBEXexcCritical4 2 3 3 2" xfId="33487"/>
    <cellStyle name="SAPBEXexcCritical4 2 3 3 3" xfId="33488"/>
    <cellStyle name="SAPBEXexcCritical4 2 3 4" xfId="33489"/>
    <cellStyle name="SAPBEXexcCritical4 2 3 4 2" xfId="33490"/>
    <cellStyle name="SAPBEXexcCritical4 2 3 5" xfId="33491"/>
    <cellStyle name="SAPBEXexcCritical4 2 3 6" xfId="33492"/>
    <cellStyle name="SAPBEXexcCritical4 2 3 7" xfId="33493"/>
    <cellStyle name="SAPBEXexcCritical4 2 3 8" xfId="33494"/>
    <cellStyle name="SAPBEXexcCritical4 2 3 9" xfId="33495"/>
    <cellStyle name="SAPBEXexcCritical4 2 4" xfId="33496"/>
    <cellStyle name="SAPBEXexcCritical4 2 4 2" xfId="33497"/>
    <cellStyle name="SAPBEXexcCritical4 2 4 2 2" xfId="33498"/>
    <cellStyle name="SAPBEXexcCritical4 2 4 2 3" xfId="33499"/>
    <cellStyle name="SAPBEXexcCritical4 2 4 3" xfId="33500"/>
    <cellStyle name="SAPBEXexcCritical4 2 4 3 2" xfId="33501"/>
    <cellStyle name="SAPBEXexcCritical4 2 4 4" xfId="33502"/>
    <cellStyle name="SAPBEXexcCritical4 2 4 5" xfId="33503"/>
    <cellStyle name="SAPBEXexcCritical4 2 5" xfId="33504"/>
    <cellStyle name="SAPBEXexcCritical4 2 5 2" xfId="33505"/>
    <cellStyle name="SAPBEXexcCritical4 2 5 2 2" xfId="33506"/>
    <cellStyle name="SAPBEXexcCritical4 2 5 3" xfId="33507"/>
    <cellStyle name="SAPBEXexcCritical4 2 5 4" xfId="33508"/>
    <cellStyle name="SAPBEXexcCritical4 2 6" xfId="33509"/>
    <cellStyle name="SAPBEXexcCritical4 2 6 2" xfId="33510"/>
    <cellStyle name="SAPBEXexcCritical4 2 6 3" xfId="33511"/>
    <cellStyle name="SAPBEXexcCritical4 2 7" xfId="33512"/>
    <cellStyle name="SAPBEXexcCritical4 2 7 2" xfId="33513"/>
    <cellStyle name="SAPBEXexcCritical4 2 8" xfId="33514"/>
    <cellStyle name="SAPBEXexcCritical4 2 9" xfId="33515"/>
    <cellStyle name="SAPBEXexcCritical4 3" xfId="33516"/>
    <cellStyle name="SAPBEXexcCritical4 3 10" xfId="33517"/>
    <cellStyle name="SAPBEXexcCritical4 3 11" xfId="33518"/>
    <cellStyle name="SAPBEXexcCritical4 3 12" xfId="33519"/>
    <cellStyle name="SAPBEXexcCritical4 3 13" xfId="33520"/>
    <cellStyle name="SAPBEXexcCritical4 3 14" xfId="33521"/>
    <cellStyle name="SAPBEXexcCritical4 3 15" xfId="33522"/>
    <cellStyle name="SAPBEXexcCritical4 3 16" xfId="33523"/>
    <cellStyle name="SAPBEXexcCritical4 3 17" xfId="33524"/>
    <cellStyle name="SAPBEXexcCritical4 3 18" xfId="33525"/>
    <cellStyle name="SAPBEXexcCritical4 3 19" xfId="33526"/>
    <cellStyle name="SAPBEXexcCritical4 3 2" xfId="33527"/>
    <cellStyle name="SAPBEXexcCritical4 3 2 10" xfId="33528"/>
    <cellStyle name="SAPBEXexcCritical4 3 2 11" xfId="33529"/>
    <cellStyle name="SAPBEXexcCritical4 3 2 12" xfId="33530"/>
    <cellStyle name="SAPBEXexcCritical4 3 2 13" xfId="33531"/>
    <cellStyle name="SAPBEXexcCritical4 3 2 14" xfId="33532"/>
    <cellStyle name="SAPBEXexcCritical4 3 2 15" xfId="33533"/>
    <cellStyle name="SAPBEXexcCritical4 3 2 16" xfId="33534"/>
    <cellStyle name="SAPBEXexcCritical4 3 2 17" xfId="33535"/>
    <cellStyle name="SAPBEXexcCritical4 3 2 18" xfId="33536"/>
    <cellStyle name="SAPBEXexcCritical4 3 2 2" xfId="33537"/>
    <cellStyle name="SAPBEXexcCritical4 3 2 2 2" xfId="33538"/>
    <cellStyle name="SAPBEXexcCritical4 3 2 2 2 2" xfId="33539"/>
    <cellStyle name="SAPBEXexcCritical4 3 2 2 3" xfId="33540"/>
    <cellStyle name="SAPBEXexcCritical4 3 2 2 4" xfId="33541"/>
    <cellStyle name="SAPBEXexcCritical4 3 2 3" xfId="33542"/>
    <cellStyle name="SAPBEXexcCritical4 3 2 3 2" xfId="33543"/>
    <cellStyle name="SAPBEXexcCritical4 3 2 3 3" xfId="33544"/>
    <cellStyle name="SAPBEXexcCritical4 3 2 4" xfId="33545"/>
    <cellStyle name="SAPBEXexcCritical4 3 2 4 2" xfId="33546"/>
    <cellStyle name="SAPBEXexcCritical4 3 2 5" xfId="33547"/>
    <cellStyle name="SAPBEXexcCritical4 3 2 6" xfId="33548"/>
    <cellStyle name="SAPBEXexcCritical4 3 2 7" xfId="33549"/>
    <cellStyle name="SAPBEXexcCritical4 3 2 8" xfId="33550"/>
    <cellStyle name="SAPBEXexcCritical4 3 2 9" xfId="33551"/>
    <cellStyle name="SAPBEXexcCritical4 3 20" xfId="33552"/>
    <cellStyle name="SAPBEXexcCritical4 3 21" xfId="33553"/>
    <cellStyle name="SAPBEXexcCritical4 3 22" xfId="33554"/>
    <cellStyle name="SAPBEXexcCritical4 3 3" xfId="33555"/>
    <cellStyle name="SAPBEXexcCritical4 3 3 10" xfId="33556"/>
    <cellStyle name="SAPBEXexcCritical4 3 3 11" xfId="33557"/>
    <cellStyle name="SAPBEXexcCritical4 3 3 12" xfId="33558"/>
    <cellStyle name="SAPBEXexcCritical4 3 3 13" xfId="33559"/>
    <cellStyle name="SAPBEXexcCritical4 3 3 14" xfId="33560"/>
    <cellStyle name="SAPBEXexcCritical4 3 3 15" xfId="33561"/>
    <cellStyle name="SAPBEXexcCritical4 3 3 16" xfId="33562"/>
    <cellStyle name="SAPBEXexcCritical4 3 3 17" xfId="33563"/>
    <cellStyle name="SAPBEXexcCritical4 3 3 18" xfId="33564"/>
    <cellStyle name="SAPBEXexcCritical4 3 3 2" xfId="33565"/>
    <cellStyle name="SAPBEXexcCritical4 3 3 2 2" xfId="33566"/>
    <cellStyle name="SAPBEXexcCritical4 3 3 2 2 2" xfId="33567"/>
    <cellStyle name="SAPBEXexcCritical4 3 3 2 3" xfId="33568"/>
    <cellStyle name="SAPBEXexcCritical4 3 3 2 4" xfId="33569"/>
    <cellStyle name="SAPBEXexcCritical4 3 3 3" xfId="33570"/>
    <cellStyle name="SAPBEXexcCritical4 3 3 3 2" xfId="33571"/>
    <cellStyle name="SAPBEXexcCritical4 3 3 3 3" xfId="33572"/>
    <cellStyle name="SAPBEXexcCritical4 3 3 4" xfId="33573"/>
    <cellStyle name="SAPBEXexcCritical4 3 3 4 2" xfId="33574"/>
    <cellStyle name="SAPBEXexcCritical4 3 3 5" xfId="33575"/>
    <cellStyle name="SAPBEXexcCritical4 3 3 6" xfId="33576"/>
    <cellStyle name="SAPBEXexcCritical4 3 3 7" xfId="33577"/>
    <cellStyle name="SAPBEXexcCritical4 3 3 8" xfId="33578"/>
    <cellStyle name="SAPBEXexcCritical4 3 3 9" xfId="33579"/>
    <cellStyle name="SAPBEXexcCritical4 3 4" xfId="33580"/>
    <cellStyle name="SAPBEXexcCritical4 3 4 2" xfId="33581"/>
    <cellStyle name="SAPBEXexcCritical4 3 4 2 2" xfId="33582"/>
    <cellStyle name="SAPBEXexcCritical4 3 4 2 3" xfId="33583"/>
    <cellStyle name="SAPBEXexcCritical4 3 4 3" xfId="33584"/>
    <cellStyle name="SAPBEXexcCritical4 3 4 3 2" xfId="33585"/>
    <cellStyle name="SAPBEXexcCritical4 3 4 4" xfId="33586"/>
    <cellStyle name="SAPBEXexcCritical4 3 4 5" xfId="33587"/>
    <cellStyle name="SAPBEXexcCritical4 3 5" xfId="33588"/>
    <cellStyle name="SAPBEXexcCritical4 3 5 2" xfId="33589"/>
    <cellStyle name="SAPBEXexcCritical4 3 5 2 2" xfId="33590"/>
    <cellStyle name="SAPBEXexcCritical4 3 5 3" xfId="33591"/>
    <cellStyle name="SAPBEXexcCritical4 3 5 4" xfId="33592"/>
    <cellStyle name="SAPBEXexcCritical4 3 6" xfId="33593"/>
    <cellStyle name="SAPBEXexcCritical4 3 6 2" xfId="33594"/>
    <cellStyle name="SAPBEXexcCritical4 3 6 3" xfId="33595"/>
    <cellStyle name="SAPBEXexcCritical4 3 7" xfId="33596"/>
    <cellStyle name="SAPBEXexcCritical4 3 7 2" xfId="33597"/>
    <cellStyle name="SAPBEXexcCritical4 3 8" xfId="33598"/>
    <cellStyle name="SAPBEXexcCritical4 3 9" xfId="33599"/>
    <cellStyle name="SAPBEXexcCritical4 4" xfId="33600"/>
    <cellStyle name="SAPBEXexcCritical4 4 10" xfId="33601"/>
    <cellStyle name="SAPBEXexcCritical4 4 11" xfId="33602"/>
    <cellStyle name="SAPBEXexcCritical4 4 12" xfId="33603"/>
    <cellStyle name="SAPBEXexcCritical4 4 13" xfId="33604"/>
    <cellStyle name="SAPBEXexcCritical4 4 14" xfId="33605"/>
    <cellStyle name="SAPBEXexcCritical4 4 15" xfId="33606"/>
    <cellStyle name="SAPBEXexcCritical4 4 16" xfId="33607"/>
    <cellStyle name="SAPBEXexcCritical4 4 17" xfId="33608"/>
    <cellStyle name="SAPBEXexcCritical4 4 18" xfId="33609"/>
    <cellStyle name="SAPBEXexcCritical4 4 19" xfId="33610"/>
    <cellStyle name="SAPBEXexcCritical4 4 2" xfId="33611"/>
    <cellStyle name="SAPBEXexcCritical4 4 2 10" xfId="33612"/>
    <cellStyle name="SAPBEXexcCritical4 4 2 11" xfId="33613"/>
    <cellStyle name="SAPBEXexcCritical4 4 2 12" xfId="33614"/>
    <cellStyle name="SAPBEXexcCritical4 4 2 13" xfId="33615"/>
    <cellStyle name="SAPBEXexcCritical4 4 2 14" xfId="33616"/>
    <cellStyle name="SAPBEXexcCritical4 4 2 15" xfId="33617"/>
    <cellStyle name="SAPBEXexcCritical4 4 2 16" xfId="33618"/>
    <cellStyle name="SAPBEXexcCritical4 4 2 17" xfId="33619"/>
    <cellStyle name="SAPBEXexcCritical4 4 2 18" xfId="33620"/>
    <cellStyle name="SAPBEXexcCritical4 4 2 2" xfId="33621"/>
    <cellStyle name="SAPBEXexcCritical4 4 2 2 2" xfId="33622"/>
    <cellStyle name="SAPBEXexcCritical4 4 2 2 2 2" xfId="33623"/>
    <cellStyle name="SAPBEXexcCritical4 4 2 2 3" xfId="33624"/>
    <cellStyle name="SAPBEXexcCritical4 4 2 2 4" xfId="33625"/>
    <cellStyle name="SAPBEXexcCritical4 4 2 3" xfId="33626"/>
    <cellStyle name="SAPBEXexcCritical4 4 2 3 2" xfId="33627"/>
    <cellStyle name="SAPBEXexcCritical4 4 2 3 3" xfId="33628"/>
    <cellStyle name="SAPBEXexcCritical4 4 2 4" xfId="33629"/>
    <cellStyle name="SAPBEXexcCritical4 4 2 4 2" xfId="33630"/>
    <cellStyle name="SAPBEXexcCritical4 4 2 5" xfId="33631"/>
    <cellStyle name="SAPBEXexcCritical4 4 2 6" xfId="33632"/>
    <cellStyle name="SAPBEXexcCritical4 4 2 7" xfId="33633"/>
    <cellStyle name="SAPBEXexcCritical4 4 2 8" xfId="33634"/>
    <cellStyle name="SAPBEXexcCritical4 4 2 9" xfId="33635"/>
    <cellStyle name="SAPBEXexcCritical4 4 20" xfId="33636"/>
    <cellStyle name="SAPBEXexcCritical4 4 21" xfId="33637"/>
    <cellStyle name="SAPBEXexcCritical4 4 22" xfId="33638"/>
    <cellStyle name="SAPBEXexcCritical4 4 3" xfId="33639"/>
    <cellStyle name="SAPBEXexcCritical4 4 3 10" xfId="33640"/>
    <cellStyle name="SAPBEXexcCritical4 4 3 11" xfId="33641"/>
    <cellStyle name="SAPBEXexcCritical4 4 3 12" xfId="33642"/>
    <cellStyle name="SAPBEXexcCritical4 4 3 13" xfId="33643"/>
    <cellStyle name="SAPBEXexcCritical4 4 3 14" xfId="33644"/>
    <cellStyle name="SAPBEXexcCritical4 4 3 15" xfId="33645"/>
    <cellStyle name="SAPBEXexcCritical4 4 3 16" xfId="33646"/>
    <cellStyle name="SAPBEXexcCritical4 4 3 17" xfId="33647"/>
    <cellStyle name="SAPBEXexcCritical4 4 3 18" xfId="33648"/>
    <cellStyle name="SAPBEXexcCritical4 4 3 2" xfId="33649"/>
    <cellStyle name="SAPBEXexcCritical4 4 3 2 2" xfId="33650"/>
    <cellStyle name="SAPBEXexcCritical4 4 3 2 2 2" xfId="33651"/>
    <cellStyle name="SAPBEXexcCritical4 4 3 2 3" xfId="33652"/>
    <cellStyle name="SAPBEXexcCritical4 4 3 2 4" xfId="33653"/>
    <cellStyle name="SAPBEXexcCritical4 4 3 3" xfId="33654"/>
    <cellStyle name="SAPBEXexcCritical4 4 3 3 2" xfId="33655"/>
    <cellStyle name="SAPBEXexcCritical4 4 3 3 3" xfId="33656"/>
    <cellStyle name="SAPBEXexcCritical4 4 3 4" xfId="33657"/>
    <cellStyle name="SAPBEXexcCritical4 4 3 4 2" xfId="33658"/>
    <cellStyle name="SAPBEXexcCritical4 4 3 5" xfId="33659"/>
    <cellStyle name="SAPBEXexcCritical4 4 3 6" xfId="33660"/>
    <cellStyle name="SAPBEXexcCritical4 4 3 7" xfId="33661"/>
    <cellStyle name="SAPBEXexcCritical4 4 3 8" xfId="33662"/>
    <cellStyle name="SAPBEXexcCritical4 4 3 9" xfId="33663"/>
    <cellStyle name="SAPBEXexcCritical4 4 4" xfId="33664"/>
    <cellStyle name="SAPBEXexcCritical4 4 4 2" xfId="33665"/>
    <cellStyle name="SAPBEXexcCritical4 4 4 2 2" xfId="33666"/>
    <cellStyle name="SAPBEXexcCritical4 4 4 2 3" xfId="33667"/>
    <cellStyle name="SAPBEXexcCritical4 4 4 3" xfId="33668"/>
    <cellStyle name="SAPBEXexcCritical4 4 4 3 2" xfId="33669"/>
    <cellStyle name="SAPBEXexcCritical4 4 4 4" xfId="33670"/>
    <cellStyle name="SAPBEXexcCritical4 4 4 5" xfId="33671"/>
    <cellStyle name="SAPBEXexcCritical4 4 5" xfId="33672"/>
    <cellStyle name="SAPBEXexcCritical4 4 5 2" xfId="33673"/>
    <cellStyle name="SAPBEXexcCritical4 4 5 2 2" xfId="33674"/>
    <cellStyle name="SAPBEXexcCritical4 4 5 3" xfId="33675"/>
    <cellStyle name="SAPBEXexcCritical4 4 5 4" xfId="33676"/>
    <cellStyle name="SAPBEXexcCritical4 4 6" xfId="33677"/>
    <cellStyle name="SAPBEXexcCritical4 4 6 2" xfId="33678"/>
    <cellStyle name="SAPBEXexcCritical4 4 6 3" xfId="33679"/>
    <cellStyle name="SAPBEXexcCritical4 4 7" xfId="33680"/>
    <cellStyle name="SAPBEXexcCritical4 4 7 2" xfId="33681"/>
    <cellStyle name="SAPBEXexcCritical4 4 8" xfId="33682"/>
    <cellStyle name="SAPBEXexcCritical4 4 9" xfId="33683"/>
    <cellStyle name="SAPBEXexcCritical4 5" xfId="33684"/>
    <cellStyle name="SAPBEXexcCritical4 5 10" xfId="33685"/>
    <cellStyle name="SAPBEXexcCritical4 5 11" xfId="33686"/>
    <cellStyle name="SAPBEXexcCritical4 5 12" xfId="33687"/>
    <cellStyle name="SAPBEXexcCritical4 5 13" xfId="33688"/>
    <cellStyle name="SAPBEXexcCritical4 5 14" xfId="33689"/>
    <cellStyle name="SAPBEXexcCritical4 5 15" xfId="33690"/>
    <cellStyle name="SAPBEXexcCritical4 5 16" xfId="33691"/>
    <cellStyle name="SAPBEXexcCritical4 5 17" xfId="33692"/>
    <cellStyle name="SAPBEXexcCritical4 5 18" xfId="33693"/>
    <cellStyle name="SAPBEXexcCritical4 5 19" xfId="33694"/>
    <cellStyle name="SAPBEXexcCritical4 5 2" xfId="33695"/>
    <cellStyle name="SAPBEXexcCritical4 5 2 10" xfId="33696"/>
    <cellStyle name="SAPBEXexcCritical4 5 2 11" xfId="33697"/>
    <cellStyle name="SAPBEXexcCritical4 5 2 12" xfId="33698"/>
    <cellStyle name="SAPBEXexcCritical4 5 2 13" xfId="33699"/>
    <cellStyle name="SAPBEXexcCritical4 5 2 14" xfId="33700"/>
    <cellStyle name="SAPBEXexcCritical4 5 2 15" xfId="33701"/>
    <cellStyle name="SAPBEXexcCritical4 5 2 16" xfId="33702"/>
    <cellStyle name="SAPBEXexcCritical4 5 2 17" xfId="33703"/>
    <cellStyle name="SAPBEXexcCritical4 5 2 18" xfId="33704"/>
    <cellStyle name="SAPBEXexcCritical4 5 2 2" xfId="33705"/>
    <cellStyle name="SAPBEXexcCritical4 5 2 2 2" xfId="33706"/>
    <cellStyle name="SAPBEXexcCritical4 5 2 2 2 2" xfId="33707"/>
    <cellStyle name="SAPBEXexcCritical4 5 2 2 3" xfId="33708"/>
    <cellStyle name="SAPBEXexcCritical4 5 2 2 4" xfId="33709"/>
    <cellStyle name="SAPBEXexcCritical4 5 2 3" xfId="33710"/>
    <cellStyle name="SAPBEXexcCritical4 5 2 3 2" xfId="33711"/>
    <cellStyle name="SAPBEXexcCritical4 5 2 3 3" xfId="33712"/>
    <cellStyle name="SAPBEXexcCritical4 5 2 4" xfId="33713"/>
    <cellStyle name="SAPBEXexcCritical4 5 2 4 2" xfId="33714"/>
    <cellStyle name="SAPBEXexcCritical4 5 2 5" xfId="33715"/>
    <cellStyle name="SAPBEXexcCritical4 5 2 6" xfId="33716"/>
    <cellStyle name="SAPBEXexcCritical4 5 2 7" xfId="33717"/>
    <cellStyle name="SAPBEXexcCritical4 5 2 8" xfId="33718"/>
    <cellStyle name="SAPBEXexcCritical4 5 2 9" xfId="33719"/>
    <cellStyle name="SAPBEXexcCritical4 5 20" xfId="33720"/>
    <cellStyle name="SAPBEXexcCritical4 5 21" xfId="33721"/>
    <cellStyle name="SAPBEXexcCritical4 5 22" xfId="33722"/>
    <cellStyle name="SAPBEXexcCritical4 5 3" xfId="33723"/>
    <cellStyle name="SAPBEXexcCritical4 5 3 10" xfId="33724"/>
    <cellStyle name="SAPBEXexcCritical4 5 3 11" xfId="33725"/>
    <cellStyle name="SAPBEXexcCritical4 5 3 12" xfId="33726"/>
    <cellStyle name="SAPBEXexcCritical4 5 3 13" xfId="33727"/>
    <cellStyle name="SAPBEXexcCritical4 5 3 14" xfId="33728"/>
    <cellStyle name="SAPBEXexcCritical4 5 3 15" xfId="33729"/>
    <cellStyle name="SAPBEXexcCritical4 5 3 16" xfId="33730"/>
    <cellStyle name="SAPBEXexcCritical4 5 3 17" xfId="33731"/>
    <cellStyle name="SAPBEXexcCritical4 5 3 18" xfId="33732"/>
    <cellStyle name="SAPBEXexcCritical4 5 3 2" xfId="33733"/>
    <cellStyle name="SAPBEXexcCritical4 5 3 2 2" xfId="33734"/>
    <cellStyle name="SAPBEXexcCritical4 5 3 2 2 2" xfId="33735"/>
    <cellStyle name="SAPBEXexcCritical4 5 3 2 3" xfId="33736"/>
    <cellStyle name="SAPBEXexcCritical4 5 3 2 4" xfId="33737"/>
    <cellStyle name="SAPBEXexcCritical4 5 3 3" xfId="33738"/>
    <cellStyle name="SAPBEXexcCritical4 5 3 3 2" xfId="33739"/>
    <cellStyle name="SAPBEXexcCritical4 5 3 3 3" xfId="33740"/>
    <cellStyle name="SAPBEXexcCritical4 5 3 4" xfId="33741"/>
    <cellStyle name="SAPBEXexcCritical4 5 3 4 2" xfId="33742"/>
    <cellStyle name="SAPBEXexcCritical4 5 3 5" xfId="33743"/>
    <cellStyle name="SAPBEXexcCritical4 5 3 6" xfId="33744"/>
    <cellStyle name="SAPBEXexcCritical4 5 3 7" xfId="33745"/>
    <cellStyle name="SAPBEXexcCritical4 5 3 8" xfId="33746"/>
    <cellStyle name="SAPBEXexcCritical4 5 3 9" xfId="33747"/>
    <cellStyle name="SAPBEXexcCritical4 5 4" xfId="33748"/>
    <cellStyle name="SAPBEXexcCritical4 5 4 2" xfId="33749"/>
    <cellStyle name="SAPBEXexcCritical4 5 4 2 2" xfId="33750"/>
    <cellStyle name="SAPBEXexcCritical4 5 4 2 3" xfId="33751"/>
    <cellStyle name="SAPBEXexcCritical4 5 4 3" xfId="33752"/>
    <cellStyle name="SAPBEXexcCritical4 5 4 3 2" xfId="33753"/>
    <cellStyle name="SAPBEXexcCritical4 5 4 4" xfId="33754"/>
    <cellStyle name="SAPBEXexcCritical4 5 4 5" xfId="33755"/>
    <cellStyle name="SAPBEXexcCritical4 5 5" xfId="33756"/>
    <cellStyle name="SAPBEXexcCritical4 5 5 2" xfId="33757"/>
    <cellStyle name="SAPBEXexcCritical4 5 5 2 2" xfId="33758"/>
    <cellStyle name="SAPBEXexcCritical4 5 5 3" xfId="33759"/>
    <cellStyle name="SAPBEXexcCritical4 5 5 4" xfId="33760"/>
    <cellStyle name="SAPBEXexcCritical4 5 6" xfId="33761"/>
    <cellStyle name="SAPBEXexcCritical4 5 6 2" xfId="33762"/>
    <cellStyle name="SAPBEXexcCritical4 5 6 3" xfId="33763"/>
    <cellStyle name="SAPBEXexcCritical4 5 7" xfId="33764"/>
    <cellStyle name="SAPBEXexcCritical4 5 7 2" xfId="33765"/>
    <cellStyle name="SAPBEXexcCritical4 5 8" xfId="33766"/>
    <cellStyle name="SAPBEXexcCritical4 5 9" xfId="33767"/>
    <cellStyle name="SAPBEXexcCritical4 6" xfId="33768"/>
    <cellStyle name="SAPBEXexcCritical4 6 10" xfId="33769"/>
    <cellStyle name="SAPBEXexcCritical4 6 11" xfId="33770"/>
    <cellStyle name="SAPBEXexcCritical4 6 12" xfId="33771"/>
    <cellStyle name="SAPBEXexcCritical4 6 13" xfId="33772"/>
    <cellStyle name="SAPBEXexcCritical4 6 14" xfId="33773"/>
    <cellStyle name="SAPBEXexcCritical4 6 15" xfId="33774"/>
    <cellStyle name="SAPBEXexcCritical4 6 2" xfId="33775"/>
    <cellStyle name="SAPBEXexcCritical4 6 2 10" xfId="33776"/>
    <cellStyle name="SAPBEXexcCritical4 6 2 11" xfId="33777"/>
    <cellStyle name="SAPBEXexcCritical4 6 2 12" xfId="33778"/>
    <cellStyle name="SAPBEXexcCritical4 6 2 13" xfId="33779"/>
    <cellStyle name="SAPBEXexcCritical4 6 2 14" xfId="33780"/>
    <cellStyle name="SAPBEXexcCritical4 6 2 15" xfId="33781"/>
    <cellStyle name="SAPBEXexcCritical4 6 2 16" xfId="33782"/>
    <cellStyle name="SAPBEXexcCritical4 6 2 17" xfId="33783"/>
    <cellStyle name="SAPBEXexcCritical4 6 2 18" xfId="33784"/>
    <cellStyle name="SAPBEXexcCritical4 6 2 2" xfId="33785"/>
    <cellStyle name="SAPBEXexcCritical4 6 2 2 2" xfId="33786"/>
    <cellStyle name="SAPBEXexcCritical4 6 2 2 2 2" xfId="33787"/>
    <cellStyle name="SAPBEXexcCritical4 6 2 2 3" xfId="33788"/>
    <cellStyle name="SAPBEXexcCritical4 6 2 2 4" xfId="33789"/>
    <cellStyle name="SAPBEXexcCritical4 6 2 3" xfId="33790"/>
    <cellStyle name="SAPBEXexcCritical4 6 2 3 2" xfId="33791"/>
    <cellStyle name="SAPBEXexcCritical4 6 2 3 3" xfId="33792"/>
    <cellStyle name="SAPBEXexcCritical4 6 2 4" xfId="33793"/>
    <cellStyle name="SAPBEXexcCritical4 6 2 4 2" xfId="33794"/>
    <cellStyle name="SAPBEXexcCritical4 6 2 5" xfId="33795"/>
    <cellStyle name="SAPBEXexcCritical4 6 2 6" xfId="33796"/>
    <cellStyle name="SAPBEXexcCritical4 6 2 7" xfId="33797"/>
    <cellStyle name="SAPBEXexcCritical4 6 2 8" xfId="33798"/>
    <cellStyle name="SAPBEXexcCritical4 6 2 9" xfId="33799"/>
    <cellStyle name="SAPBEXexcCritical4 6 3" xfId="33800"/>
    <cellStyle name="SAPBEXexcCritical4 6 3 10" xfId="33801"/>
    <cellStyle name="SAPBEXexcCritical4 6 3 11" xfId="33802"/>
    <cellStyle name="SAPBEXexcCritical4 6 3 12" xfId="33803"/>
    <cellStyle name="SAPBEXexcCritical4 6 3 13" xfId="33804"/>
    <cellStyle name="SAPBEXexcCritical4 6 3 14" xfId="33805"/>
    <cellStyle name="SAPBEXexcCritical4 6 3 15" xfId="33806"/>
    <cellStyle name="SAPBEXexcCritical4 6 3 16" xfId="33807"/>
    <cellStyle name="SAPBEXexcCritical4 6 3 17" xfId="33808"/>
    <cellStyle name="SAPBEXexcCritical4 6 3 18" xfId="33809"/>
    <cellStyle name="SAPBEXexcCritical4 6 3 2" xfId="33810"/>
    <cellStyle name="SAPBEXexcCritical4 6 3 2 2" xfId="33811"/>
    <cellStyle name="SAPBEXexcCritical4 6 3 2 2 2" xfId="33812"/>
    <cellStyle name="SAPBEXexcCritical4 6 3 2 3" xfId="33813"/>
    <cellStyle name="SAPBEXexcCritical4 6 3 2 4" xfId="33814"/>
    <cellStyle name="SAPBEXexcCritical4 6 3 3" xfId="33815"/>
    <cellStyle name="SAPBEXexcCritical4 6 3 3 2" xfId="33816"/>
    <cellStyle name="SAPBEXexcCritical4 6 3 3 3" xfId="33817"/>
    <cellStyle name="SAPBEXexcCritical4 6 3 4" xfId="33818"/>
    <cellStyle name="SAPBEXexcCritical4 6 3 4 2" xfId="33819"/>
    <cellStyle name="SAPBEXexcCritical4 6 3 5" xfId="33820"/>
    <cellStyle name="SAPBEXexcCritical4 6 3 6" xfId="33821"/>
    <cellStyle name="SAPBEXexcCritical4 6 3 7" xfId="33822"/>
    <cellStyle name="SAPBEXexcCritical4 6 3 8" xfId="33823"/>
    <cellStyle name="SAPBEXexcCritical4 6 3 9" xfId="33824"/>
    <cellStyle name="SAPBEXexcCritical4 6 4" xfId="33825"/>
    <cellStyle name="SAPBEXexcCritical4 6 4 2" xfId="33826"/>
    <cellStyle name="SAPBEXexcCritical4 6 4 2 2" xfId="33827"/>
    <cellStyle name="SAPBEXexcCritical4 6 4 3" xfId="33828"/>
    <cellStyle name="SAPBEXexcCritical4 6 4 4" xfId="33829"/>
    <cellStyle name="SAPBEXexcCritical4 6 5" xfId="33830"/>
    <cellStyle name="SAPBEXexcCritical4 6 5 2" xfId="33831"/>
    <cellStyle name="SAPBEXexcCritical4 6 6" xfId="33832"/>
    <cellStyle name="SAPBEXexcCritical4 6 7" xfId="33833"/>
    <cellStyle name="SAPBEXexcCritical4 6 8" xfId="33834"/>
    <cellStyle name="SAPBEXexcCritical4 6 9" xfId="33835"/>
    <cellStyle name="SAPBEXexcCritical4 7" xfId="33836"/>
    <cellStyle name="SAPBEXexcCritical4 7 10" xfId="33837"/>
    <cellStyle name="SAPBEXexcCritical4 7 11" xfId="33838"/>
    <cellStyle name="SAPBEXexcCritical4 7 12" xfId="33839"/>
    <cellStyle name="SAPBEXexcCritical4 7 13" xfId="33840"/>
    <cellStyle name="SAPBEXexcCritical4 7 14" xfId="33841"/>
    <cellStyle name="SAPBEXexcCritical4 7 15" xfId="33842"/>
    <cellStyle name="SAPBEXexcCritical4 7 16" xfId="33843"/>
    <cellStyle name="SAPBEXexcCritical4 7 17" xfId="33844"/>
    <cellStyle name="SAPBEXexcCritical4 7 18" xfId="33845"/>
    <cellStyle name="SAPBEXexcCritical4 7 2" xfId="33846"/>
    <cellStyle name="SAPBEXexcCritical4 7 3" xfId="33847"/>
    <cellStyle name="SAPBEXexcCritical4 7 4" xfId="33848"/>
    <cellStyle name="SAPBEXexcCritical4 7 5" xfId="33849"/>
    <cellStyle name="SAPBEXexcCritical4 7 6" xfId="33850"/>
    <cellStyle name="SAPBEXexcCritical4 7 7" xfId="33851"/>
    <cellStyle name="SAPBEXexcCritical4 7 8" xfId="33852"/>
    <cellStyle name="SAPBEXexcCritical4 7 9" xfId="33853"/>
    <cellStyle name="SAPBEXexcCritical4 8" xfId="33854"/>
    <cellStyle name="SAPBEXexcCritical4 9" xfId="33855"/>
    <cellStyle name="SAPBEXexcCritical5" xfId="33856"/>
    <cellStyle name="SAPBEXexcCritical5 10" xfId="33857"/>
    <cellStyle name="SAPBEXexcCritical5 11" xfId="33858"/>
    <cellStyle name="SAPBEXexcCritical5 12" xfId="33859"/>
    <cellStyle name="SAPBEXexcCritical5 13" xfId="33860"/>
    <cellStyle name="SAPBEXexcCritical5 14" xfId="33861"/>
    <cellStyle name="SAPBEXexcCritical5 15" xfId="33862"/>
    <cellStyle name="SAPBEXexcCritical5 16" xfId="33863"/>
    <cellStyle name="SAPBEXexcCritical5 17" xfId="33864"/>
    <cellStyle name="SAPBEXexcCritical5 18" xfId="33865"/>
    <cellStyle name="SAPBEXexcCritical5 19" xfId="33866"/>
    <cellStyle name="SAPBEXexcCritical5 2" xfId="33867"/>
    <cellStyle name="SAPBEXexcCritical5 2 10" xfId="33868"/>
    <cellStyle name="SAPBEXexcCritical5 2 11" xfId="33869"/>
    <cellStyle name="SAPBEXexcCritical5 2 12" xfId="33870"/>
    <cellStyle name="SAPBEXexcCritical5 2 13" xfId="33871"/>
    <cellStyle name="SAPBEXexcCritical5 2 14" xfId="33872"/>
    <cellStyle name="SAPBEXexcCritical5 2 15" xfId="33873"/>
    <cellStyle name="SAPBEXexcCritical5 2 16" xfId="33874"/>
    <cellStyle name="SAPBEXexcCritical5 2 17" xfId="33875"/>
    <cellStyle name="SAPBEXexcCritical5 2 18" xfId="33876"/>
    <cellStyle name="SAPBEXexcCritical5 2 19" xfId="33877"/>
    <cellStyle name="SAPBEXexcCritical5 2 2" xfId="33878"/>
    <cellStyle name="SAPBEXexcCritical5 2 2 10" xfId="33879"/>
    <cellStyle name="SAPBEXexcCritical5 2 2 11" xfId="33880"/>
    <cellStyle name="SAPBEXexcCritical5 2 2 12" xfId="33881"/>
    <cellStyle name="SAPBEXexcCritical5 2 2 13" xfId="33882"/>
    <cellStyle name="SAPBEXexcCritical5 2 2 14" xfId="33883"/>
    <cellStyle name="SAPBEXexcCritical5 2 2 15" xfId="33884"/>
    <cellStyle name="SAPBEXexcCritical5 2 2 16" xfId="33885"/>
    <cellStyle name="SAPBEXexcCritical5 2 2 17" xfId="33886"/>
    <cellStyle name="SAPBEXexcCritical5 2 2 18" xfId="33887"/>
    <cellStyle name="SAPBEXexcCritical5 2 2 19" xfId="33888"/>
    <cellStyle name="SAPBEXexcCritical5 2 2 2" xfId="33889"/>
    <cellStyle name="SAPBEXexcCritical5 2 2 2 2" xfId="33890"/>
    <cellStyle name="SAPBEXexcCritical5 2 2 2 2 2" xfId="33891"/>
    <cellStyle name="SAPBEXexcCritical5 2 2 2 3" xfId="33892"/>
    <cellStyle name="SAPBEXexcCritical5 2 2 2 4" xfId="33893"/>
    <cellStyle name="SAPBEXexcCritical5 2 2 20" xfId="33894"/>
    <cellStyle name="SAPBEXexcCritical5 2 2 21" xfId="33895"/>
    <cellStyle name="SAPBEXexcCritical5 2 2 3" xfId="33896"/>
    <cellStyle name="SAPBEXexcCritical5 2 2 3 2" xfId="33897"/>
    <cellStyle name="SAPBEXexcCritical5 2 2 3 3" xfId="33898"/>
    <cellStyle name="SAPBEXexcCritical5 2 2 4" xfId="33899"/>
    <cellStyle name="SAPBEXexcCritical5 2 2 4 2" xfId="33900"/>
    <cellStyle name="SAPBEXexcCritical5 2 2 5" xfId="33901"/>
    <cellStyle name="SAPBEXexcCritical5 2 2 6" xfId="33902"/>
    <cellStyle name="SAPBEXexcCritical5 2 2 7" xfId="33903"/>
    <cellStyle name="SAPBEXexcCritical5 2 2 8" xfId="33904"/>
    <cellStyle name="SAPBEXexcCritical5 2 2 9" xfId="33905"/>
    <cellStyle name="SAPBEXexcCritical5 2 20" xfId="33906"/>
    <cellStyle name="SAPBEXexcCritical5 2 21" xfId="33907"/>
    <cellStyle name="SAPBEXexcCritical5 2 22" xfId="33908"/>
    <cellStyle name="SAPBEXexcCritical5 2 23" xfId="33909"/>
    <cellStyle name="SAPBEXexcCritical5 2 24" xfId="33910"/>
    <cellStyle name="SAPBEXexcCritical5 2 3" xfId="33911"/>
    <cellStyle name="SAPBEXexcCritical5 2 3 10" xfId="33912"/>
    <cellStyle name="SAPBEXexcCritical5 2 3 11" xfId="33913"/>
    <cellStyle name="SAPBEXexcCritical5 2 3 12" xfId="33914"/>
    <cellStyle name="SAPBEXexcCritical5 2 3 13" xfId="33915"/>
    <cellStyle name="SAPBEXexcCritical5 2 3 14" xfId="33916"/>
    <cellStyle name="SAPBEXexcCritical5 2 3 15" xfId="33917"/>
    <cellStyle name="SAPBEXexcCritical5 2 3 16" xfId="33918"/>
    <cellStyle name="SAPBEXexcCritical5 2 3 17" xfId="33919"/>
    <cellStyle name="SAPBEXexcCritical5 2 3 18" xfId="33920"/>
    <cellStyle name="SAPBEXexcCritical5 2 3 2" xfId="33921"/>
    <cellStyle name="SAPBEXexcCritical5 2 3 2 2" xfId="33922"/>
    <cellStyle name="SAPBEXexcCritical5 2 3 2 2 2" xfId="33923"/>
    <cellStyle name="SAPBEXexcCritical5 2 3 2 3" xfId="33924"/>
    <cellStyle name="SAPBEXexcCritical5 2 3 2 4" xfId="33925"/>
    <cellStyle name="SAPBEXexcCritical5 2 3 3" xfId="33926"/>
    <cellStyle name="SAPBEXexcCritical5 2 3 3 2" xfId="33927"/>
    <cellStyle name="SAPBEXexcCritical5 2 3 3 3" xfId="33928"/>
    <cellStyle name="SAPBEXexcCritical5 2 3 4" xfId="33929"/>
    <cellStyle name="SAPBEXexcCritical5 2 3 4 2" xfId="33930"/>
    <cellStyle name="SAPBEXexcCritical5 2 3 5" xfId="33931"/>
    <cellStyle name="SAPBEXexcCritical5 2 3 6" xfId="33932"/>
    <cellStyle name="SAPBEXexcCritical5 2 3 7" xfId="33933"/>
    <cellStyle name="SAPBEXexcCritical5 2 3 8" xfId="33934"/>
    <cellStyle name="SAPBEXexcCritical5 2 3 9" xfId="33935"/>
    <cellStyle name="SAPBEXexcCritical5 2 4" xfId="33936"/>
    <cellStyle name="SAPBEXexcCritical5 2 4 2" xfId="33937"/>
    <cellStyle name="SAPBEXexcCritical5 2 4 2 2" xfId="33938"/>
    <cellStyle name="SAPBEXexcCritical5 2 4 2 3" xfId="33939"/>
    <cellStyle name="SAPBEXexcCritical5 2 4 3" xfId="33940"/>
    <cellStyle name="SAPBEXexcCritical5 2 4 3 2" xfId="33941"/>
    <cellStyle name="SAPBEXexcCritical5 2 4 4" xfId="33942"/>
    <cellStyle name="SAPBEXexcCritical5 2 4 5" xfId="33943"/>
    <cellStyle name="SAPBEXexcCritical5 2 5" xfId="33944"/>
    <cellStyle name="SAPBEXexcCritical5 2 5 2" xfId="33945"/>
    <cellStyle name="SAPBEXexcCritical5 2 5 2 2" xfId="33946"/>
    <cellStyle name="SAPBEXexcCritical5 2 5 3" xfId="33947"/>
    <cellStyle name="SAPBEXexcCritical5 2 5 4" xfId="33948"/>
    <cellStyle name="SAPBEXexcCritical5 2 6" xfId="33949"/>
    <cellStyle name="SAPBEXexcCritical5 2 6 2" xfId="33950"/>
    <cellStyle name="SAPBEXexcCritical5 2 6 3" xfId="33951"/>
    <cellStyle name="SAPBEXexcCritical5 2 7" xfId="33952"/>
    <cellStyle name="SAPBEXexcCritical5 2 7 2" xfId="33953"/>
    <cellStyle name="SAPBEXexcCritical5 2 8" xfId="33954"/>
    <cellStyle name="SAPBEXexcCritical5 2 9" xfId="33955"/>
    <cellStyle name="SAPBEXexcCritical5 3" xfId="33956"/>
    <cellStyle name="SAPBEXexcCritical5 3 10" xfId="33957"/>
    <cellStyle name="SAPBEXexcCritical5 3 11" xfId="33958"/>
    <cellStyle name="SAPBEXexcCritical5 3 12" xfId="33959"/>
    <cellStyle name="SAPBEXexcCritical5 3 13" xfId="33960"/>
    <cellStyle name="SAPBEXexcCritical5 3 14" xfId="33961"/>
    <cellStyle name="SAPBEXexcCritical5 3 15" xfId="33962"/>
    <cellStyle name="SAPBEXexcCritical5 3 16" xfId="33963"/>
    <cellStyle name="SAPBEXexcCritical5 3 17" xfId="33964"/>
    <cellStyle name="SAPBEXexcCritical5 3 18" xfId="33965"/>
    <cellStyle name="SAPBEXexcCritical5 3 19" xfId="33966"/>
    <cellStyle name="SAPBEXexcCritical5 3 2" xfId="33967"/>
    <cellStyle name="SAPBEXexcCritical5 3 2 10" xfId="33968"/>
    <cellStyle name="SAPBEXexcCritical5 3 2 11" xfId="33969"/>
    <cellStyle name="SAPBEXexcCritical5 3 2 12" xfId="33970"/>
    <cellStyle name="SAPBEXexcCritical5 3 2 13" xfId="33971"/>
    <cellStyle name="SAPBEXexcCritical5 3 2 14" xfId="33972"/>
    <cellStyle name="SAPBEXexcCritical5 3 2 15" xfId="33973"/>
    <cellStyle name="SAPBEXexcCritical5 3 2 16" xfId="33974"/>
    <cellStyle name="SAPBEXexcCritical5 3 2 17" xfId="33975"/>
    <cellStyle name="SAPBEXexcCritical5 3 2 18" xfId="33976"/>
    <cellStyle name="SAPBEXexcCritical5 3 2 2" xfId="33977"/>
    <cellStyle name="SAPBEXexcCritical5 3 2 2 2" xfId="33978"/>
    <cellStyle name="SAPBEXexcCritical5 3 2 2 2 2" xfId="33979"/>
    <cellStyle name="SAPBEXexcCritical5 3 2 2 3" xfId="33980"/>
    <cellStyle name="SAPBEXexcCritical5 3 2 2 4" xfId="33981"/>
    <cellStyle name="SAPBEXexcCritical5 3 2 3" xfId="33982"/>
    <cellStyle name="SAPBEXexcCritical5 3 2 3 2" xfId="33983"/>
    <cellStyle name="SAPBEXexcCritical5 3 2 3 3" xfId="33984"/>
    <cellStyle name="SAPBEXexcCritical5 3 2 4" xfId="33985"/>
    <cellStyle name="SAPBEXexcCritical5 3 2 4 2" xfId="33986"/>
    <cellStyle name="SAPBEXexcCritical5 3 2 5" xfId="33987"/>
    <cellStyle name="SAPBEXexcCritical5 3 2 6" xfId="33988"/>
    <cellStyle name="SAPBEXexcCritical5 3 2 7" xfId="33989"/>
    <cellStyle name="SAPBEXexcCritical5 3 2 8" xfId="33990"/>
    <cellStyle name="SAPBEXexcCritical5 3 2 9" xfId="33991"/>
    <cellStyle name="SAPBEXexcCritical5 3 20" xfId="33992"/>
    <cellStyle name="SAPBEXexcCritical5 3 21" xfId="33993"/>
    <cellStyle name="SAPBEXexcCritical5 3 22" xfId="33994"/>
    <cellStyle name="SAPBEXexcCritical5 3 3" xfId="33995"/>
    <cellStyle name="SAPBEXexcCritical5 3 3 10" xfId="33996"/>
    <cellStyle name="SAPBEXexcCritical5 3 3 11" xfId="33997"/>
    <cellStyle name="SAPBEXexcCritical5 3 3 12" xfId="33998"/>
    <cellStyle name="SAPBEXexcCritical5 3 3 13" xfId="33999"/>
    <cellStyle name="SAPBEXexcCritical5 3 3 14" xfId="34000"/>
    <cellStyle name="SAPBEXexcCritical5 3 3 15" xfId="34001"/>
    <cellStyle name="SAPBEXexcCritical5 3 3 16" xfId="34002"/>
    <cellStyle name="SAPBEXexcCritical5 3 3 17" xfId="34003"/>
    <cellStyle name="SAPBEXexcCritical5 3 3 18" xfId="34004"/>
    <cellStyle name="SAPBEXexcCritical5 3 3 2" xfId="34005"/>
    <cellStyle name="SAPBEXexcCritical5 3 3 2 2" xfId="34006"/>
    <cellStyle name="SAPBEXexcCritical5 3 3 2 2 2" xfId="34007"/>
    <cellStyle name="SAPBEXexcCritical5 3 3 2 3" xfId="34008"/>
    <cellStyle name="SAPBEXexcCritical5 3 3 2 4" xfId="34009"/>
    <cellStyle name="SAPBEXexcCritical5 3 3 3" xfId="34010"/>
    <cellStyle name="SAPBEXexcCritical5 3 3 3 2" xfId="34011"/>
    <cellStyle name="SAPBEXexcCritical5 3 3 3 3" xfId="34012"/>
    <cellStyle name="SAPBEXexcCritical5 3 3 4" xfId="34013"/>
    <cellStyle name="SAPBEXexcCritical5 3 3 4 2" xfId="34014"/>
    <cellStyle name="SAPBEXexcCritical5 3 3 5" xfId="34015"/>
    <cellStyle name="SAPBEXexcCritical5 3 3 6" xfId="34016"/>
    <cellStyle name="SAPBEXexcCritical5 3 3 7" xfId="34017"/>
    <cellStyle name="SAPBEXexcCritical5 3 3 8" xfId="34018"/>
    <cellStyle name="SAPBEXexcCritical5 3 3 9" xfId="34019"/>
    <cellStyle name="SAPBEXexcCritical5 3 4" xfId="34020"/>
    <cellStyle name="SAPBEXexcCritical5 3 4 2" xfId="34021"/>
    <cellStyle name="SAPBEXexcCritical5 3 4 2 2" xfId="34022"/>
    <cellStyle name="SAPBEXexcCritical5 3 4 2 3" xfId="34023"/>
    <cellStyle name="SAPBEXexcCritical5 3 4 3" xfId="34024"/>
    <cellStyle name="SAPBEXexcCritical5 3 4 3 2" xfId="34025"/>
    <cellStyle name="SAPBEXexcCritical5 3 4 4" xfId="34026"/>
    <cellStyle name="SAPBEXexcCritical5 3 4 5" xfId="34027"/>
    <cellStyle name="SAPBEXexcCritical5 3 5" xfId="34028"/>
    <cellStyle name="SAPBEXexcCritical5 3 5 2" xfId="34029"/>
    <cellStyle name="SAPBEXexcCritical5 3 5 2 2" xfId="34030"/>
    <cellStyle name="SAPBEXexcCritical5 3 5 3" xfId="34031"/>
    <cellStyle name="SAPBEXexcCritical5 3 5 4" xfId="34032"/>
    <cellStyle name="SAPBEXexcCritical5 3 6" xfId="34033"/>
    <cellStyle name="SAPBEXexcCritical5 3 6 2" xfId="34034"/>
    <cellStyle name="SAPBEXexcCritical5 3 6 3" xfId="34035"/>
    <cellStyle name="SAPBEXexcCritical5 3 7" xfId="34036"/>
    <cellStyle name="SAPBEXexcCritical5 3 7 2" xfId="34037"/>
    <cellStyle name="SAPBEXexcCritical5 3 8" xfId="34038"/>
    <cellStyle name="SAPBEXexcCritical5 3 9" xfId="34039"/>
    <cellStyle name="SAPBEXexcCritical5 4" xfId="34040"/>
    <cellStyle name="SAPBEXexcCritical5 4 10" xfId="34041"/>
    <cellStyle name="SAPBEXexcCritical5 4 11" xfId="34042"/>
    <cellStyle name="SAPBEXexcCritical5 4 12" xfId="34043"/>
    <cellStyle name="SAPBEXexcCritical5 4 13" xfId="34044"/>
    <cellStyle name="SAPBEXexcCritical5 4 14" xfId="34045"/>
    <cellStyle name="SAPBEXexcCritical5 4 15" xfId="34046"/>
    <cellStyle name="SAPBEXexcCritical5 4 16" xfId="34047"/>
    <cellStyle name="SAPBEXexcCritical5 4 17" xfId="34048"/>
    <cellStyle name="SAPBEXexcCritical5 4 18" xfId="34049"/>
    <cellStyle name="SAPBEXexcCritical5 4 19" xfId="34050"/>
    <cellStyle name="SAPBEXexcCritical5 4 2" xfId="34051"/>
    <cellStyle name="SAPBEXexcCritical5 4 2 10" xfId="34052"/>
    <cellStyle name="SAPBEXexcCritical5 4 2 11" xfId="34053"/>
    <cellStyle name="SAPBEXexcCritical5 4 2 12" xfId="34054"/>
    <cellStyle name="SAPBEXexcCritical5 4 2 13" xfId="34055"/>
    <cellStyle name="SAPBEXexcCritical5 4 2 14" xfId="34056"/>
    <cellStyle name="SAPBEXexcCritical5 4 2 15" xfId="34057"/>
    <cellStyle name="SAPBEXexcCritical5 4 2 16" xfId="34058"/>
    <cellStyle name="SAPBEXexcCritical5 4 2 17" xfId="34059"/>
    <cellStyle name="SAPBEXexcCritical5 4 2 18" xfId="34060"/>
    <cellStyle name="SAPBEXexcCritical5 4 2 2" xfId="34061"/>
    <cellStyle name="SAPBEXexcCritical5 4 2 2 2" xfId="34062"/>
    <cellStyle name="SAPBEXexcCritical5 4 2 2 2 2" xfId="34063"/>
    <cellStyle name="SAPBEXexcCritical5 4 2 2 3" xfId="34064"/>
    <cellStyle name="SAPBEXexcCritical5 4 2 2 4" xfId="34065"/>
    <cellStyle name="SAPBEXexcCritical5 4 2 3" xfId="34066"/>
    <cellStyle name="SAPBEXexcCritical5 4 2 3 2" xfId="34067"/>
    <cellStyle name="SAPBEXexcCritical5 4 2 3 3" xfId="34068"/>
    <cellStyle name="SAPBEXexcCritical5 4 2 4" xfId="34069"/>
    <cellStyle name="SAPBEXexcCritical5 4 2 4 2" xfId="34070"/>
    <cellStyle name="SAPBEXexcCritical5 4 2 5" xfId="34071"/>
    <cellStyle name="SAPBEXexcCritical5 4 2 6" xfId="34072"/>
    <cellStyle name="SAPBEXexcCritical5 4 2 7" xfId="34073"/>
    <cellStyle name="SAPBEXexcCritical5 4 2 8" xfId="34074"/>
    <cellStyle name="SAPBEXexcCritical5 4 2 9" xfId="34075"/>
    <cellStyle name="SAPBEXexcCritical5 4 20" xfId="34076"/>
    <cellStyle name="SAPBEXexcCritical5 4 21" xfId="34077"/>
    <cellStyle name="SAPBEXexcCritical5 4 22" xfId="34078"/>
    <cellStyle name="SAPBEXexcCritical5 4 3" xfId="34079"/>
    <cellStyle name="SAPBEXexcCritical5 4 3 10" xfId="34080"/>
    <cellStyle name="SAPBEXexcCritical5 4 3 11" xfId="34081"/>
    <cellStyle name="SAPBEXexcCritical5 4 3 12" xfId="34082"/>
    <cellStyle name="SAPBEXexcCritical5 4 3 13" xfId="34083"/>
    <cellStyle name="SAPBEXexcCritical5 4 3 14" xfId="34084"/>
    <cellStyle name="SAPBEXexcCritical5 4 3 15" xfId="34085"/>
    <cellStyle name="SAPBEXexcCritical5 4 3 16" xfId="34086"/>
    <cellStyle name="SAPBEXexcCritical5 4 3 17" xfId="34087"/>
    <cellStyle name="SAPBEXexcCritical5 4 3 18" xfId="34088"/>
    <cellStyle name="SAPBEXexcCritical5 4 3 2" xfId="34089"/>
    <cellStyle name="SAPBEXexcCritical5 4 3 2 2" xfId="34090"/>
    <cellStyle name="SAPBEXexcCritical5 4 3 2 2 2" xfId="34091"/>
    <cellStyle name="SAPBEXexcCritical5 4 3 2 3" xfId="34092"/>
    <cellStyle name="SAPBEXexcCritical5 4 3 2 4" xfId="34093"/>
    <cellStyle name="SAPBEXexcCritical5 4 3 3" xfId="34094"/>
    <cellStyle name="SAPBEXexcCritical5 4 3 3 2" xfId="34095"/>
    <cellStyle name="SAPBEXexcCritical5 4 3 3 3" xfId="34096"/>
    <cellStyle name="SAPBEXexcCritical5 4 3 4" xfId="34097"/>
    <cellStyle name="SAPBEXexcCritical5 4 3 4 2" xfId="34098"/>
    <cellStyle name="SAPBEXexcCritical5 4 3 5" xfId="34099"/>
    <cellStyle name="SAPBEXexcCritical5 4 3 6" xfId="34100"/>
    <cellStyle name="SAPBEXexcCritical5 4 3 7" xfId="34101"/>
    <cellStyle name="SAPBEXexcCritical5 4 3 8" xfId="34102"/>
    <cellStyle name="SAPBEXexcCritical5 4 3 9" xfId="34103"/>
    <cellStyle name="SAPBEXexcCritical5 4 4" xfId="34104"/>
    <cellStyle name="SAPBEXexcCritical5 4 4 2" xfId="34105"/>
    <cellStyle name="SAPBEXexcCritical5 4 4 2 2" xfId="34106"/>
    <cellStyle name="SAPBEXexcCritical5 4 4 2 3" xfId="34107"/>
    <cellStyle name="SAPBEXexcCritical5 4 4 3" xfId="34108"/>
    <cellStyle name="SAPBEXexcCritical5 4 4 3 2" xfId="34109"/>
    <cellStyle name="SAPBEXexcCritical5 4 4 4" xfId="34110"/>
    <cellStyle name="SAPBEXexcCritical5 4 4 5" xfId="34111"/>
    <cellStyle name="SAPBEXexcCritical5 4 5" xfId="34112"/>
    <cellStyle name="SAPBEXexcCritical5 4 5 2" xfId="34113"/>
    <cellStyle name="SAPBEXexcCritical5 4 5 2 2" xfId="34114"/>
    <cellStyle name="SAPBEXexcCritical5 4 5 3" xfId="34115"/>
    <cellStyle name="SAPBEXexcCritical5 4 5 4" xfId="34116"/>
    <cellStyle name="SAPBEXexcCritical5 4 6" xfId="34117"/>
    <cellStyle name="SAPBEXexcCritical5 4 6 2" xfId="34118"/>
    <cellStyle name="SAPBEXexcCritical5 4 6 3" xfId="34119"/>
    <cellStyle name="SAPBEXexcCritical5 4 7" xfId="34120"/>
    <cellStyle name="SAPBEXexcCritical5 4 7 2" xfId="34121"/>
    <cellStyle name="SAPBEXexcCritical5 4 8" xfId="34122"/>
    <cellStyle name="SAPBEXexcCritical5 4 9" xfId="34123"/>
    <cellStyle name="SAPBEXexcCritical5 5" xfId="34124"/>
    <cellStyle name="SAPBEXexcCritical5 5 10" xfId="34125"/>
    <cellStyle name="SAPBEXexcCritical5 5 11" xfId="34126"/>
    <cellStyle name="SAPBEXexcCritical5 5 12" xfId="34127"/>
    <cellStyle name="SAPBEXexcCritical5 5 13" xfId="34128"/>
    <cellStyle name="SAPBEXexcCritical5 5 14" xfId="34129"/>
    <cellStyle name="SAPBEXexcCritical5 5 15" xfId="34130"/>
    <cellStyle name="SAPBEXexcCritical5 5 16" xfId="34131"/>
    <cellStyle name="SAPBEXexcCritical5 5 17" xfId="34132"/>
    <cellStyle name="SAPBEXexcCritical5 5 18" xfId="34133"/>
    <cellStyle name="SAPBEXexcCritical5 5 19" xfId="34134"/>
    <cellStyle name="SAPBEXexcCritical5 5 2" xfId="34135"/>
    <cellStyle name="SAPBEXexcCritical5 5 2 10" xfId="34136"/>
    <cellStyle name="SAPBEXexcCritical5 5 2 11" xfId="34137"/>
    <cellStyle name="SAPBEXexcCritical5 5 2 12" xfId="34138"/>
    <cellStyle name="SAPBEXexcCritical5 5 2 13" xfId="34139"/>
    <cellStyle name="SAPBEXexcCritical5 5 2 14" xfId="34140"/>
    <cellStyle name="SAPBEXexcCritical5 5 2 15" xfId="34141"/>
    <cellStyle name="SAPBEXexcCritical5 5 2 16" xfId="34142"/>
    <cellStyle name="SAPBEXexcCritical5 5 2 17" xfId="34143"/>
    <cellStyle name="SAPBEXexcCritical5 5 2 18" xfId="34144"/>
    <cellStyle name="SAPBEXexcCritical5 5 2 2" xfId="34145"/>
    <cellStyle name="SAPBEXexcCritical5 5 2 2 2" xfId="34146"/>
    <cellStyle name="SAPBEXexcCritical5 5 2 2 2 2" xfId="34147"/>
    <cellStyle name="SAPBEXexcCritical5 5 2 2 3" xfId="34148"/>
    <cellStyle name="SAPBEXexcCritical5 5 2 2 4" xfId="34149"/>
    <cellStyle name="SAPBEXexcCritical5 5 2 3" xfId="34150"/>
    <cellStyle name="SAPBEXexcCritical5 5 2 3 2" xfId="34151"/>
    <cellStyle name="SAPBEXexcCritical5 5 2 3 3" xfId="34152"/>
    <cellStyle name="SAPBEXexcCritical5 5 2 4" xfId="34153"/>
    <cellStyle name="SAPBEXexcCritical5 5 2 4 2" xfId="34154"/>
    <cellStyle name="SAPBEXexcCritical5 5 2 5" xfId="34155"/>
    <cellStyle name="SAPBEXexcCritical5 5 2 6" xfId="34156"/>
    <cellStyle name="SAPBEXexcCritical5 5 2 7" xfId="34157"/>
    <cellStyle name="SAPBEXexcCritical5 5 2 8" xfId="34158"/>
    <cellStyle name="SAPBEXexcCritical5 5 2 9" xfId="34159"/>
    <cellStyle name="SAPBEXexcCritical5 5 20" xfId="34160"/>
    <cellStyle name="SAPBEXexcCritical5 5 21" xfId="34161"/>
    <cellStyle name="SAPBEXexcCritical5 5 22" xfId="34162"/>
    <cellStyle name="SAPBEXexcCritical5 5 3" xfId="34163"/>
    <cellStyle name="SAPBEXexcCritical5 5 3 10" xfId="34164"/>
    <cellStyle name="SAPBEXexcCritical5 5 3 11" xfId="34165"/>
    <cellStyle name="SAPBEXexcCritical5 5 3 12" xfId="34166"/>
    <cellStyle name="SAPBEXexcCritical5 5 3 13" xfId="34167"/>
    <cellStyle name="SAPBEXexcCritical5 5 3 14" xfId="34168"/>
    <cellStyle name="SAPBEXexcCritical5 5 3 15" xfId="34169"/>
    <cellStyle name="SAPBEXexcCritical5 5 3 16" xfId="34170"/>
    <cellStyle name="SAPBEXexcCritical5 5 3 17" xfId="34171"/>
    <cellStyle name="SAPBEXexcCritical5 5 3 18" xfId="34172"/>
    <cellStyle name="SAPBEXexcCritical5 5 3 2" xfId="34173"/>
    <cellStyle name="SAPBEXexcCritical5 5 3 2 2" xfId="34174"/>
    <cellStyle name="SAPBEXexcCritical5 5 3 2 2 2" xfId="34175"/>
    <cellStyle name="SAPBEXexcCritical5 5 3 2 3" xfId="34176"/>
    <cellStyle name="SAPBEXexcCritical5 5 3 2 4" xfId="34177"/>
    <cellStyle name="SAPBEXexcCritical5 5 3 3" xfId="34178"/>
    <cellStyle name="SAPBEXexcCritical5 5 3 3 2" xfId="34179"/>
    <cellStyle name="SAPBEXexcCritical5 5 3 3 3" xfId="34180"/>
    <cellStyle name="SAPBEXexcCritical5 5 3 4" xfId="34181"/>
    <cellStyle name="SAPBEXexcCritical5 5 3 4 2" xfId="34182"/>
    <cellStyle name="SAPBEXexcCritical5 5 3 5" xfId="34183"/>
    <cellStyle name="SAPBEXexcCritical5 5 3 6" xfId="34184"/>
    <cellStyle name="SAPBEXexcCritical5 5 3 7" xfId="34185"/>
    <cellStyle name="SAPBEXexcCritical5 5 3 8" xfId="34186"/>
    <cellStyle name="SAPBEXexcCritical5 5 3 9" xfId="34187"/>
    <cellStyle name="SAPBEXexcCritical5 5 4" xfId="34188"/>
    <cellStyle name="SAPBEXexcCritical5 5 4 2" xfId="34189"/>
    <cellStyle name="SAPBEXexcCritical5 5 4 2 2" xfId="34190"/>
    <cellStyle name="SAPBEXexcCritical5 5 4 2 3" xfId="34191"/>
    <cellStyle name="SAPBEXexcCritical5 5 4 3" xfId="34192"/>
    <cellStyle name="SAPBEXexcCritical5 5 4 3 2" xfId="34193"/>
    <cellStyle name="SAPBEXexcCritical5 5 4 4" xfId="34194"/>
    <cellStyle name="SAPBEXexcCritical5 5 4 5" xfId="34195"/>
    <cellStyle name="SAPBEXexcCritical5 5 5" xfId="34196"/>
    <cellStyle name="SAPBEXexcCritical5 5 5 2" xfId="34197"/>
    <cellStyle name="SAPBEXexcCritical5 5 5 2 2" xfId="34198"/>
    <cellStyle name="SAPBEXexcCritical5 5 5 3" xfId="34199"/>
    <cellStyle name="SAPBEXexcCritical5 5 5 4" xfId="34200"/>
    <cellStyle name="SAPBEXexcCritical5 5 6" xfId="34201"/>
    <cellStyle name="SAPBEXexcCritical5 5 6 2" xfId="34202"/>
    <cellStyle name="SAPBEXexcCritical5 5 6 3" xfId="34203"/>
    <cellStyle name="SAPBEXexcCritical5 5 7" xfId="34204"/>
    <cellStyle name="SAPBEXexcCritical5 5 7 2" xfId="34205"/>
    <cellStyle name="SAPBEXexcCritical5 5 8" xfId="34206"/>
    <cellStyle name="SAPBEXexcCritical5 5 9" xfId="34207"/>
    <cellStyle name="SAPBEXexcCritical5 6" xfId="34208"/>
    <cellStyle name="SAPBEXexcCritical5 6 10" xfId="34209"/>
    <cellStyle name="SAPBEXexcCritical5 6 11" xfId="34210"/>
    <cellStyle name="SAPBEXexcCritical5 6 12" xfId="34211"/>
    <cellStyle name="SAPBEXexcCritical5 6 13" xfId="34212"/>
    <cellStyle name="SAPBEXexcCritical5 6 14" xfId="34213"/>
    <cellStyle name="SAPBEXexcCritical5 6 15" xfId="34214"/>
    <cellStyle name="SAPBEXexcCritical5 6 2" xfId="34215"/>
    <cellStyle name="SAPBEXexcCritical5 6 2 10" xfId="34216"/>
    <cellStyle name="SAPBEXexcCritical5 6 2 11" xfId="34217"/>
    <cellStyle name="SAPBEXexcCritical5 6 2 12" xfId="34218"/>
    <cellStyle name="SAPBEXexcCritical5 6 2 13" xfId="34219"/>
    <cellStyle name="SAPBEXexcCritical5 6 2 14" xfId="34220"/>
    <cellStyle name="SAPBEXexcCritical5 6 2 15" xfId="34221"/>
    <cellStyle name="SAPBEXexcCritical5 6 2 16" xfId="34222"/>
    <cellStyle name="SAPBEXexcCritical5 6 2 17" xfId="34223"/>
    <cellStyle name="SAPBEXexcCritical5 6 2 18" xfId="34224"/>
    <cellStyle name="SAPBEXexcCritical5 6 2 2" xfId="34225"/>
    <cellStyle name="SAPBEXexcCritical5 6 2 2 2" xfId="34226"/>
    <cellStyle name="SAPBEXexcCritical5 6 2 2 2 2" xfId="34227"/>
    <cellStyle name="SAPBEXexcCritical5 6 2 2 3" xfId="34228"/>
    <cellStyle name="SAPBEXexcCritical5 6 2 2 4" xfId="34229"/>
    <cellStyle name="SAPBEXexcCritical5 6 2 3" xfId="34230"/>
    <cellStyle name="SAPBEXexcCritical5 6 2 3 2" xfId="34231"/>
    <cellStyle name="SAPBEXexcCritical5 6 2 3 3" xfId="34232"/>
    <cellStyle name="SAPBEXexcCritical5 6 2 4" xfId="34233"/>
    <cellStyle name="SAPBEXexcCritical5 6 2 4 2" xfId="34234"/>
    <cellStyle name="SAPBEXexcCritical5 6 2 5" xfId="34235"/>
    <cellStyle name="SAPBEXexcCritical5 6 2 6" xfId="34236"/>
    <cellStyle name="SAPBEXexcCritical5 6 2 7" xfId="34237"/>
    <cellStyle name="SAPBEXexcCritical5 6 2 8" xfId="34238"/>
    <cellStyle name="SAPBEXexcCritical5 6 2 9" xfId="34239"/>
    <cellStyle name="SAPBEXexcCritical5 6 3" xfId="34240"/>
    <cellStyle name="SAPBEXexcCritical5 6 3 10" xfId="34241"/>
    <cellStyle name="SAPBEXexcCritical5 6 3 11" xfId="34242"/>
    <cellStyle name="SAPBEXexcCritical5 6 3 12" xfId="34243"/>
    <cellStyle name="SAPBEXexcCritical5 6 3 13" xfId="34244"/>
    <cellStyle name="SAPBEXexcCritical5 6 3 14" xfId="34245"/>
    <cellStyle name="SAPBEXexcCritical5 6 3 15" xfId="34246"/>
    <cellStyle name="SAPBEXexcCritical5 6 3 16" xfId="34247"/>
    <cellStyle name="SAPBEXexcCritical5 6 3 17" xfId="34248"/>
    <cellStyle name="SAPBEXexcCritical5 6 3 18" xfId="34249"/>
    <cellStyle name="SAPBEXexcCritical5 6 3 2" xfId="34250"/>
    <cellStyle name="SAPBEXexcCritical5 6 3 2 2" xfId="34251"/>
    <cellStyle name="SAPBEXexcCritical5 6 3 2 2 2" xfId="34252"/>
    <cellStyle name="SAPBEXexcCritical5 6 3 2 3" xfId="34253"/>
    <cellStyle name="SAPBEXexcCritical5 6 3 2 4" xfId="34254"/>
    <cellStyle name="SAPBEXexcCritical5 6 3 3" xfId="34255"/>
    <cellStyle name="SAPBEXexcCritical5 6 3 3 2" xfId="34256"/>
    <cellStyle name="SAPBEXexcCritical5 6 3 3 3" xfId="34257"/>
    <cellStyle name="SAPBEXexcCritical5 6 3 4" xfId="34258"/>
    <cellStyle name="SAPBEXexcCritical5 6 3 4 2" xfId="34259"/>
    <cellStyle name="SAPBEXexcCritical5 6 3 5" xfId="34260"/>
    <cellStyle name="SAPBEXexcCritical5 6 3 6" xfId="34261"/>
    <cellStyle name="SAPBEXexcCritical5 6 3 7" xfId="34262"/>
    <cellStyle name="SAPBEXexcCritical5 6 3 8" xfId="34263"/>
    <cellStyle name="SAPBEXexcCritical5 6 3 9" xfId="34264"/>
    <cellStyle name="SAPBEXexcCritical5 6 4" xfId="34265"/>
    <cellStyle name="SAPBEXexcCritical5 6 4 2" xfId="34266"/>
    <cellStyle name="SAPBEXexcCritical5 6 4 2 2" xfId="34267"/>
    <cellStyle name="SAPBEXexcCritical5 6 4 3" xfId="34268"/>
    <cellStyle name="SAPBEXexcCritical5 6 4 4" xfId="34269"/>
    <cellStyle name="SAPBEXexcCritical5 6 5" xfId="34270"/>
    <cellStyle name="SAPBEXexcCritical5 6 5 2" xfId="34271"/>
    <cellStyle name="SAPBEXexcCritical5 6 6" xfId="34272"/>
    <cellStyle name="SAPBEXexcCritical5 6 7" xfId="34273"/>
    <cellStyle name="SAPBEXexcCritical5 6 8" xfId="34274"/>
    <cellStyle name="SAPBEXexcCritical5 6 9" xfId="34275"/>
    <cellStyle name="SAPBEXexcCritical5 7" xfId="34276"/>
    <cellStyle name="SAPBEXexcCritical5 7 10" xfId="34277"/>
    <cellStyle name="SAPBEXexcCritical5 7 11" xfId="34278"/>
    <cellStyle name="SAPBEXexcCritical5 7 12" xfId="34279"/>
    <cellStyle name="SAPBEXexcCritical5 7 13" xfId="34280"/>
    <cellStyle name="SAPBEXexcCritical5 7 14" xfId="34281"/>
    <cellStyle name="SAPBEXexcCritical5 7 15" xfId="34282"/>
    <cellStyle name="SAPBEXexcCritical5 7 16" xfId="34283"/>
    <cellStyle name="SAPBEXexcCritical5 7 17" xfId="34284"/>
    <cellStyle name="SAPBEXexcCritical5 7 18" xfId="34285"/>
    <cellStyle name="SAPBEXexcCritical5 7 2" xfId="34286"/>
    <cellStyle name="SAPBEXexcCritical5 7 3" xfId="34287"/>
    <cellStyle name="SAPBEXexcCritical5 7 4" xfId="34288"/>
    <cellStyle name="SAPBEXexcCritical5 7 5" xfId="34289"/>
    <cellStyle name="SAPBEXexcCritical5 7 6" xfId="34290"/>
    <cellStyle name="SAPBEXexcCritical5 7 7" xfId="34291"/>
    <cellStyle name="SAPBEXexcCritical5 7 8" xfId="34292"/>
    <cellStyle name="SAPBEXexcCritical5 7 9" xfId="34293"/>
    <cellStyle name="SAPBEXexcCritical5 8" xfId="34294"/>
    <cellStyle name="SAPBEXexcCritical5 9" xfId="34295"/>
    <cellStyle name="SAPBEXexcCritical6" xfId="34296"/>
    <cellStyle name="SAPBEXexcCritical6 10" xfId="34297"/>
    <cellStyle name="SAPBEXexcCritical6 11" xfId="34298"/>
    <cellStyle name="SAPBEXexcCritical6 12" xfId="34299"/>
    <cellStyle name="SAPBEXexcCritical6 13" xfId="34300"/>
    <cellStyle name="SAPBEXexcCritical6 14" xfId="34301"/>
    <cellStyle name="SAPBEXexcCritical6 15" xfId="34302"/>
    <cellStyle name="SAPBEXexcCritical6 16" xfId="34303"/>
    <cellStyle name="SAPBEXexcCritical6 17" xfId="34304"/>
    <cellStyle name="SAPBEXexcCritical6 18" xfId="34305"/>
    <cellStyle name="SAPBEXexcCritical6 19" xfId="34306"/>
    <cellStyle name="SAPBEXexcCritical6 2" xfId="34307"/>
    <cellStyle name="SAPBEXexcCritical6 2 10" xfId="34308"/>
    <cellStyle name="SAPBEXexcCritical6 2 11" xfId="34309"/>
    <cellStyle name="SAPBEXexcCritical6 2 12" xfId="34310"/>
    <cellStyle name="SAPBEXexcCritical6 2 13" xfId="34311"/>
    <cellStyle name="SAPBEXexcCritical6 2 14" xfId="34312"/>
    <cellStyle name="SAPBEXexcCritical6 2 15" xfId="34313"/>
    <cellStyle name="SAPBEXexcCritical6 2 16" xfId="34314"/>
    <cellStyle name="SAPBEXexcCritical6 2 17" xfId="34315"/>
    <cellStyle name="SAPBEXexcCritical6 2 18" xfId="34316"/>
    <cellStyle name="SAPBEXexcCritical6 2 19" xfId="34317"/>
    <cellStyle name="SAPBEXexcCritical6 2 2" xfId="34318"/>
    <cellStyle name="SAPBEXexcCritical6 2 2 10" xfId="34319"/>
    <cellStyle name="SAPBEXexcCritical6 2 2 11" xfId="34320"/>
    <cellStyle name="SAPBEXexcCritical6 2 2 12" xfId="34321"/>
    <cellStyle name="SAPBEXexcCritical6 2 2 13" xfId="34322"/>
    <cellStyle name="SAPBEXexcCritical6 2 2 14" xfId="34323"/>
    <cellStyle name="SAPBEXexcCritical6 2 2 15" xfId="34324"/>
    <cellStyle name="SAPBEXexcCritical6 2 2 16" xfId="34325"/>
    <cellStyle name="SAPBEXexcCritical6 2 2 17" xfId="34326"/>
    <cellStyle name="SAPBEXexcCritical6 2 2 18" xfId="34327"/>
    <cellStyle name="SAPBEXexcCritical6 2 2 19" xfId="34328"/>
    <cellStyle name="SAPBEXexcCritical6 2 2 2" xfId="34329"/>
    <cellStyle name="SAPBEXexcCritical6 2 2 2 2" xfId="34330"/>
    <cellStyle name="SAPBEXexcCritical6 2 2 2 2 2" xfId="34331"/>
    <cellStyle name="SAPBEXexcCritical6 2 2 2 3" xfId="34332"/>
    <cellStyle name="SAPBEXexcCritical6 2 2 2 4" xfId="34333"/>
    <cellStyle name="SAPBEXexcCritical6 2 2 20" xfId="34334"/>
    <cellStyle name="SAPBEXexcCritical6 2 2 21" xfId="34335"/>
    <cellStyle name="SAPBEXexcCritical6 2 2 3" xfId="34336"/>
    <cellStyle name="SAPBEXexcCritical6 2 2 3 2" xfId="34337"/>
    <cellStyle name="SAPBEXexcCritical6 2 2 3 3" xfId="34338"/>
    <cellStyle name="SAPBEXexcCritical6 2 2 4" xfId="34339"/>
    <cellStyle name="SAPBEXexcCritical6 2 2 4 2" xfId="34340"/>
    <cellStyle name="SAPBEXexcCritical6 2 2 5" xfId="34341"/>
    <cellStyle name="SAPBEXexcCritical6 2 2 6" xfId="34342"/>
    <cellStyle name="SAPBEXexcCritical6 2 2 7" xfId="34343"/>
    <cellStyle name="SAPBEXexcCritical6 2 2 8" xfId="34344"/>
    <cellStyle name="SAPBEXexcCritical6 2 2 9" xfId="34345"/>
    <cellStyle name="SAPBEXexcCritical6 2 20" xfId="34346"/>
    <cellStyle name="SAPBEXexcCritical6 2 21" xfId="34347"/>
    <cellStyle name="SAPBEXexcCritical6 2 22" xfId="34348"/>
    <cellStyle name="SAPBEXexcCritical6 2 23" xfId="34349"/>
    <cellStyle name="SAPBEXexcCritical6 2 24" xfId="34350"/>
    <cellStyle name="SAPBEXexcCritical6 2 3" xfId="34351"/>
    <cellStyle name="SAPBEXexcCritical6 2 3 10" xfId="34352"/>
    <cellStyle name="SAPBEXexcCritical6 2 3 11" xfId="34353"/>
    <cellStyle name="SAPBEXexcCritical6 2 3 12" xfId="34354"/>
    <cellStyle name="SAPBEXexcCritical6 2 3 13" xfId="34355"/>
    <cellStyle name="SAPBEXexcCritical6 2 3 14" xfId="34356"/>
    <cellStyle name="SAPBEXexcCritical6 2 3 15" xfId="34357"/>
    <cellStyle name="SAPBEXexcCritical6 2 3 16" xfId="34358"/>
    <cellStyle name="SAPBEXexcCritical6 2 3 17" xfId="34359"/>
    <cellStyle name="SAPBEXexcCritical6 2 3 18" xfId="34360"/>
    <cellStyle name="SAPBEXexcCritical6 2 3 2" xfId="34361"/>
    <cellStyle name="SAPBEXexcCritical6 2 3 2 2" xfId="34362"/>
    <cellStyle name="SAPBEXexcCritical6 2 3 2 2 2" xfId="34363"/>
    <cellStyle name="SAPBEXexcCritical6 2 3 2 3" xfId="34364"/>
    <cellStyle name="SAPBEXexcCritical6 2 3 2 4" xfId="34365"/>
    <cellStyle name="SAPBEXexcCritical6 2 3 3" xfId="34366"/>
    <cellStyle name="SAPBEXexcCritical6 2 3 3 2" xfId="34367"/>
    <cellStyle name="SAPBEXexcCritical6 2 3 3 3" xfId="34368"/>
    <cellStyle name="SAPBEXexcCritical6 2 3 4" xfId="34369"/>
    <cellStyle name="SAPBEXexcCritical6 2 3 4 2" xfId="34370"/>
    <cellStyle name="SAPBEXexcCritical6 2 3 5" xfId="34371"/>
    <cellStyle name="SAPBEXexcCritical6 2 3 6" xfId="34372"/>
    <cellStyle name="SAPBEXexcCritical6 2 3 7" xfId="34373"/>
    <cellStyle name="SAPBEXexcCritical6 2 3 8" xfId="34374"/>
    <cellStyle name="SAPBEXexcCritical6 2 3 9" xfId="34375"/>
    <cellStyle name="SAPBEXexcCritical6 2 4" xfId="34376"/>
    <cellStyle name="SAPBEXexcCritical6 2 4 2" xfId="34377"/>
    <cellStyle name="SAPBEXexcCritical6 2 4 2 2" xfId="34378"/>
    <cellStyle name="SAPBEXexcCritical6 2 4 2 3" xfId="34379"/>
    <cellStyle name="SAPBEXexcCritical6 2 4 3" xfId="34380"/>
    <cellStyle name="SAPBEXexcCritical6 2 4 3 2" xfId="34381"/>
    <cellStyle name="SAPBEXexcCritical6 2 4 4" xfId="34382"/>
    <cellStyle name="SAPBEXexcCritical6 2 4 5" xfId="34383"/>
    <cellStyle name="SAPBEXexcCritical6 2 5" xfId="34384"/>
    <cellStyle name="SAPBEXexcCritical6 2 5 2" xfId="34385"/>
    <cellStyle name="SAPBEXexcCritical6 2 5 2 2" xfId="34386"/>
    <cellStyle name="SAPBEXexcCritical6 2 5 3" xfId="34387"/>
    <cellStyle name="SAPBEXexcCritical6 2 5 4" xfId="34388"/>
    <cellStyle name="SAPBEXexcCritical6 2 6" xfId="34389"/>
    <cellStyle name="SAPBEXexcCritical6 2 6 2" xfId="34390"/>
    <cellStyle name="SAPBEXexcCritical6 2 6 3" xfId="34391"/>
    <cellStyle name="SAPBEXexcCritical6 2 7" xfId="34392"/>
    <cellStyle name="SAPBEXexcCritical6 2 7 2" xfId="34393"/>
    <cellStyle name="SAPBEXexcCritical6 2 8" xfId="34394"/>
    <cellStyle name="SAPBEXexcCritical6 2 9" xfId="34395"/>
    <cellStyle name="SAPBEXexcCritical6 3" xfId="34396"/>
    <cellStyle name="SAPBEXexcCritical6 3 10" xfId="34397"/>
    <cellStyle name="SAPBEXexcCritical6 3 11" xfId="34398"/>
    <cellStyle name="SAPBEXexcCritical6 3 12" xfId="34399"/>
    <cellStyle name="SAPBEXexcCritical6 3 13" xfId="34400"/>
    <cellStyle name="SAPBEXexcCritical6 3 14" xfId="34401"/>
    <cellStyle name="SAPBEXexcCritical6 3 15" xfId="34402"/>
    <cellStyle name="SAPBEXexcCritical6 3 16" xfId="34403"/>
    <cellStyle name="SAPBEXexcCritical6 3 17" xfId="34404"/>
    <cellStyle name="SAPBEXexcCritical6 3 18" xfId="34405"/>
    <cellStyle name="SAPBEXexcCritical6 3 19" xfId="34406"/>
    <cellStyle name="SAPBEXexcCritical6 3 2" xfId="34407"/>
    <cellStyle name="SAPBEXexcCritical6 3 2 10" xfId="34408"/>
    <cellStyle name="SAPBEXexcCritical6 3 2 11" xfId="34409"/>
    <cellStyle name="SAPBEXexcCritical6 3 2 12" xfId="34410"/>
    <cellStyle name="SAPBEXexcCritical6 3 2 13" xfId="34411"/>
    <cellStyle name="SAPBEXexcCritical6 3 2 14" xfId="34412"/>
    <cellStyle name="SAPBEXexcCritical6 3 2 15" xfId="34413"/>
    <cellStyle name="SAPBEXexcCritical6 3 2 16" xfId="34414"/>
    <cellStyle name="SAPBEXexcCritical6 3 2 17" xfId="34415"/>
    <cellStyle name="SAPBEXexcCritical6 3 2 18" xfId="34416"/>
    <cellStyle name="SAPBEXexcCritical6 3 2 2" xfId="34417"/>
    <cellStyle name="SAPBEXexcCritical6 3 2 2 2" xfId="34418"/>
    <cellStyle name="SAPBEXexcCritical6 3 2 2 2 2" xfId="34419"/>
    <cellStyle name="SAPBEXexcCritical6 3 2 2 3" xfId="34420"/>
    <cellStyle name="SAPBEXexcCritical6 3 2 2 4" xfId="34421"/>
    <cellStyle name="SAPBEXexcCritical6 3 2 3" xfId="34422"/>
    <cellStyle name="SAPBEXexcCritical6 3 2 3 2" xfId="34423"/>
    <cellStyle name="SAPBEXexcCritical6 3 2 3 3" xfId="34424"/>
    <cellStyle name="SAPBEXexcCritical6 3 2 4" xfId="34425"/>
    <cellStyle name="SAPBEXexcCritical6 3 2 4 2" xfId="34426"/>
    <cellStyle name="SAPBEXexcCritical6 3 2 5" xfId="34427"/>
    <cellStyle name="SAPBEXexcCritical6 3 2 6" xfId="34428"/>
    <cellStyle name="SAPBEXexcCritical6 3 2 7" xfId="34429"/>
    <cellStyle name="SAPBEXexcCritical6 3 2 8" xfId="34430"/>
    <cellStyle name="SAPBEXexcCritical6 3 2 9" xfId="34431"/>
    <cellStyle name="SAPBEXexcCritical6 3 20" xfId="34432"/>
    <cellStyle name="SAPBEXexcCritical6 3 21" xfId="34433"/>
    <cellStyle name="SAPBEXexcCritical6 3 22" xfId="34434"/>
    <cellStyle name="SAPBEXexcCritical6 3 3" xfId="34435"/>
    <cellStyle name="SAPBEXexcCritical6 3 3 10" xfId="34436"/>
    <cellStyle name="SAPBEXexcCritical6 3 3 11" xfId="34437"/>
    <cellStyle name="SAPBEXexcCritical6 3 3 12" xfId="34438"/>
    <cellStyle name="SAPBEXexcCritical6 3 3 13" xfId="34439"/>
    <cellStyle name="SAPBEXexcCritical6 3 3 14" xfId="34440"/>
    <cellStyle name="SAPBEXexcCritical6 3 3 15" xfId="34441"/>
    <cellStyle name="SAPBEXexcCritical6 3 3 16" xfId="34442"/>
    <cellStyle name="SAPBEXexcCritical6 3 3 17" xfId="34443"/>
    <cellStyle name="SAPBEXexcCritical6 3 3 18" xfId="34444"/>
    <cellStyle name="SAPBEXexcCritical6 3 3 2" xfId="34445"/>
    <cellStyle name="SAPBEXexcCritical6 3 3 2 2" xfId="34446"/>
    <cellStyle name="SAPBEXexcCritical6 3 3 2 2 2" xfId="34447"/>
    <cellStyle name="SAPBEXexcCritical6 3 3 2 3" xfId="34448"/>
    <cellStyle name="SAPBEXexcCritical6 3 3 2 4" xfId="34449"/>
    <cellStyle name="SAPBEXexcCritical6 3 3 3" xfId="34450"/>
    <cellStyle name="SAPBEXexcCritical6 3 3 3 2" xfId="34451"/>
    <cellStyle name="SAPBEXexcCritical6 3 3 3 3" xfId="34452"/>
    <cellStyle name="SAPBEXexcCritical6 3 3 4" xfId="34453"/>
    <cellStyle name="SAPBEXexcCritical6 3 3 4 2" xfId="34454"/>
    <cellStyle name="SAPBEXexcCritical6 3 3 5" xfId="34455"/>
    <cellStyle name="SAPBEXexcCritical6 3 3 6" xfId="34456"/>
    <cellStyle name="SAPBEXexcCritical6 3 3 7" xfId="34457"/>
    <cellStyle name="SAPBEXexcCritical6 3 3 8" xfId="34458"/>
    <cellStyle name="SAPBEXexcCritical6 3 3 9" xfId="34459"/>
    <cellStyle name="SAPBEXexcCritical6 3 4" xfId="34460"/>
    <cellStyle name="SAPBEXexcCritical6 3 4 2" xfId="34461"/>
    <cellStyle name="SAPBEXexcCritical6 3 4 2 2" xfId="34462"/>
    <cellStyle name="SAPBEXexcCritical6 3 4 2 3" xfId="34463"/>
    <cellStyle name="SAPBEXexcCritical6 3 4 3" xfId="34464"/>
    <cellStyle name="SAPBEXexcCritical6 3 4 3 2" xfId="34465"/>
    <cellStyle name="SAPBEXexcCritical6 3 4 4" xfId="34466"/>
    <cellStyle name="SAPBEXexcCritical6 3 4 5" xfId="34467"/>
    <cellStyle name="SAPBEXexcCritical6 3 5" xfId="34468"/>
    <cellStyle name="SAPBEXexcCritical6 3 5 2" xfId="34469"/>
    <cellStyle name="SAPBEXexcCritical6 3 5 2 2" xfId="34470"/>
    <cellStyle name="SAPBEXexcCritical6 3 5 3" xfId="34471"/>
    <cellStyle name="SAPBEXexcCritical6 3 5 4" xfId="34472"/>
    <cellStyle name="SAPBEXexcCritical6 3 6" xfId="34473"/>
    <cellStyle name="SAPBEXexcCritical6 3 6 2" xfId="34474"/>
    <cellStyle name="SAPBEXexcCritical6 3 6 3" xfId="34475"/>
    <cellStyle name="SAPBEXexcCritical6 3 7" xfId="34476"/>
    <cellStyle name="SAPBEXexcCritical6 3 7 2" xfId="34477"/>
    <cellStyle name="SAPBEXexcCritical6 3 8" xfId="34478"/>
    <cellStyle name="SAPBEXexcCritical6 3 9" xfId="34479"/>
    <cellStyle name="SAPBEXexcCritical6 4" xfId="34480"/>
    <cellStyle name="SAPBEXexcCritical6 4 10" xfId="34481"/>
    <cellStyle name="SAPBEXexcCritical6 4 11" xfId="34482"/>
    <cellStyle name="SAPBEXexcCritical6 4 12" xfId="34483"/>
    <cellStyle name="SAPBEXexcCritical6 4 13" xfId="34484"/>
    <cellStyle name="SAPBEXexcCritical6 4 14" xfId="34485"/>
    <cellStyle name="SAPBEXexcCritical6 4 15" xfId="34486"/>
    <cellStyle name="SAPBEXexcCritical6 4 16" xfId="34487"/>
    <cellStyle name="SAPBEXexcCritical6 4 17" xfId="34488"/>
    <cellStyle name="SAPBEXexcCritical6 4 18" xfId="34489"/>
    <cellStyle name="SAPBEXexcCritical6 4 19" xfId="34490"/>
    <cellStyle name="SAPBEXexcCritical6 4 2" xfId="34491"/>
    <cellStyle name="SAPBEXexcCritical6 4 2 10" xfId="34492"/>
    <cellStyle name="SAPBEXexcCritical6 4 2 11" xfId="34493"/>
    <cellStyle name="SAPBEXexcCritical6 4 2 12" xfId="34494"/>
    <cellStyle name="SAPBEXexcCritical6 4 2 13" xfId="34495"/>
    <cellStyle name="SAPBEXexcCritical6 4 2 14" xfId="34496"/>
    <cellStyle name="SAPBEXexcCritical6 4 2 15" xfId="34497"/>
    <cellStyle name="SAPBEXexcCritical6 4 2 16" xfId="34498"/>
    <cellStyle name="SAPBEXexcCritical6 4 2 17" xfId="34499"/>
    <cellStyle name="SAPBEXexcCritical6 4 2 18" xfId="34500"/>
    <cellStyle name="SAPBEXexcCritical6 4 2 2" xfId="34501"/>
    <cellStyle name="SAPBEXexcCritical6 4 2 2 2" xfId="34502"/>
    <cellStyle name="SAPBEXexcCritical6 4 2 2 2 2" xfId="34503"/>
    <cellStyle name="SAPBEXexcCritical6 4 2 2 3" xfId="34504"/>
    <cellStyle name="SAPBEXexcCritical6 4 2 2 4" xfId="34505"/>
    <cellStyle name="SAPBEXexcCritical6 4 2 3" xfId="34506"/>
    <cellStyle name="SAPBEXexcCritical6 4 2 3 2" xfId="34507"/>
    <cellStyle name="SAPBEXexcCritical6 4 2 3 3" xfId="34508"/>
    <cellStyle name="SAPBEXexcCritical6 4 2 4" xfId="34509"/>
    <cellStyle name="SAPBEXexcCritical6 4 2 4 2" xfId="34510"/>
    <cellStyle name="SAPBEXexcCritical6 4 2 5" xfId="34511"/>
    <cellStyle name="SAPBEXexcCritical6 4 2 6" xfId="34512"/>
    <cellStyle name="SAPBEXexcCritical6 4 2 7" xfId="34513"/>
    <cellStyle name="SAPBEXexcCritical6 4 2 8" xfId="34514"/>
    <cellStyle name="SAPBEXexcCritical6 4 2 9" xfId="34515"/>
    <cellStyle name="SAPBEXexcCritical6 4 20" xfId="34516"/>
    <cellStyle name="SAPBEXexcCritical6 4 21" xfId="34517"/>
    <cellStyle name="SAPBEXexcCritical6 4 22" xfId="34518"/>
    <cellStyle name="SAPBEXexcCritical6 4 3" xfId="34519"/>
    <cellStyle name="SAPBEXexcCritical6 4 3 10" xfId="34520"/>
    <cellStyle name="SAPBEXexcCritical6 4 3 11" xfId="34521"/>
    <cellStyle name="SAPBEXexcCritical6 4 3 12" xfId="34522"/>
    <cellStyle name="SAPBEXexcCritical6 4 3 13" xfId="34523"/>
    <cellStyle name="SAPBEXexcCritical6 4 3 14" xfId="34524"/>
    <cellStyle name="SAPBEXexcCritical6 4 3 15" xfId="34525"/>
    <cellStyle name="SAPBEXexcCritical6 4 3 16" xfId="34526"/>
    <cellStyle name="SAPBEXexcCritical6 4 3 17" xfId="34527"/>
    <cellStyle name="SAPBEXexcCritical6 4 3 18" xfId="34528"/>
    <cellStyle name="SAPBEXexcCritical6 4 3 2" xfId="34529"/>
    <cellStyle name="SAPBEXexcCritical6 4 3 2 2" xfId="34530"/>
    <cellStyle name="SAPBEXexcCritical6 4 3 2 2 2" xfId="34531"/>
    <cellStyle name="SAPBEXexcCritical6 4 3 2 3" xfId="34532"/>
    <cellStyle name="SAPBEXexcCritical6 4 3 2 4" xfId="34533"/>
    <cellStyle name="SAPBEXexcCritical6 4 3 3" xfId="34534"/>
    <cellStyle name="SAPBEXexcCritical6 4 3 3 2" xfId="34535"/>
    <cellStyle name="SAPBEXexcCritical6 4 3 3 3" xfId="34536"/>
    <cellStyle name="SAPBEXexcCritical6 4 3 4" xfId="34537"/>
    <cellStyle name="SAPBEXexcCritical6 4 3 4 2" xfId="34538"/>
    <cellStyle name="SAPBEXexcCritical6 4 3 5" xfId="34539"/>
    <cellStyle name="SAPBEXexcCritical6 4 3 6" xfId="34540"/>
    <cellStyle name="SAPBEXexcCritical6 4 3 7" xfId="34541"/>
    <cellStyle name="SAPBEXexcCritical6 4 3 8" xfId="34542"/>
    <cellStyle name="SAPBEXexcCritical6 4 3 9" xfId="34543"/>
    <cellStyle name="SAPBEXexcCritical6 4 4" xfId="34544"/>
    <cellStyle name="SAPBEXexcCritical6 4 4 2" xfId="34545"/>
    <cellStyle name="SAPBEXexcCritical6 4 4 2 2" xfId="34546"/>
    <cellStyle name="SAPBEXexcCritical6 4 4 2 3" xfId="34547"/>
    <cellStyle name="SAPBEXexcCritical6 4 4 3" xfId="34548"/>
    <cellStyle name="SAPBEXexcCritical6 4 4 3 2" xfId="34549"/>
    <cellStyle name="SAPBEXexcCritical6 4 4 4" xfId="34550"/>
    <cellStyle name="SAPBEXexcCritical6 4 4 5" xfId="34551"/>
    <cellStyle name="SAPBEXexcCritical6 4 5" xfId="34552"/>
    <cellStyle name="SAPBEXexcCritical6 4 5 2" xfId="34553"/>
    <cellStyle name="SAPBEXexcCritical6 4 5 2 2" xfId="34554"/>
    <cellStyle name="SAPBEXexcCritical6 4 5 3" xfId="34555"/>
    <cellStyle name="SAPBEXexcCritical6 4 5 4" xfId="34556"/>
    <cellStyle name="SAPBEXexcCritical6 4 6" xfId="34557"/>
    <cellStyle name="SAPBEXexcCritical6 4 6 2" xfId="34558"/>
    <cellStyle name="SAPBEXexcCritical6 4 6 3" xfId="34559"/>
    <cellStyle name="SAPBEXexcCritical6 4 7" xfId="34560"/>
    <cellStyle name="SAPBEXexcCritical6 4 7 2" xfId="34561"/>
    <cellStyle name="SAPBEXexcCritical6 4 8" xfId="34562"/>
    <cellStyle name="SAPBEXexcCritical6 4 9" xfId="34563"/>
    <cellStyle name="SAPBEXexcCritical6 5" xfId="34564"/>
    <cellStyle name="SAPBEXexcCritical6 5 10" xfId="34565"/>
    <cellStyle name="SAPBEXexcCritical6 5 11" xfId="34566"/>
    <cellStyle name="SAPBEXexcCritical6 5 12" xfId="34567"/>
    <cellStyle name="SAPBEXexcCritical6 5 13" xfId="34568"/>
    <cellStyle name="SAPBEXexcCritical6 5 14" xfId="34569"/>
    <cellStyle name="SAPBEXexcCritical6 5 15" xfId="34570"/>
    <cellStyle name="SAPBEXexcCritical6 5 16" xfId="34571"/>
    <cellStyle name="SAPBEXexcCritical6 5 17" xfId="34572"/>
    <cellStyle name="SAPBEXexcCritical6 5 18" xfId="34573"/>
    <cellStyle name="SAPBEXexcCritical6 5 19" xfId="34574"/>
    <cellStyle name="SAPBEXexcCritical6 5 2" xfId="34575"/>
    <cellStyle name="SAPBEXexcCritical6 5 2 10" xfId="34576"/>
    <cellStyle name="SAPBEXexcCritical6 5 2 11" xfId="34577"/>
    <cellStyle name="SAPBEXexcCritical6 5 2 12" xfId="34578"/>
    <cellStyle name="SAPBEXexcCritical6 5 2 13" xfId="34579"/>
    <cellStyle name="SAPBEXexcCritical6 5 2 14" xfId="34580"/>
    <cellStyle name="SAPBEXexcCritical6 5 2 15" xfId="34581"/>
    <cellStyle name="SAPBEXexcCritical6 5 2 16" xfId="34582"/>
    <cellStyle name="SAPBEXexcCritical6 5 2 17" xfId="34583"/>
    <cellStyle name="SAPBEXexcCritical6 5 2 18" xfId="34584"/>
    <cellStyle name="SAPBEXexcCritical6 5 2 2" xfId="34585"/>
    <cellStyle name="SAPBEXexcCritical6 5 2 2 2" xfId="34586"/>
    <cellStyle name="SAPBEXexcCritical6 5 2 2 2 2" xfId="34587"/>
    <cellStyle name="SAPBEXexcCritical6 5 2 2 3" xfId="34588"/>
    <cellStyle name="SAPBEXexcCritical6 5 2 2 4" xfId="34589"/>
    <cellStyle name="SAPBEXexcCritical6 5 2 3" xfId="34590"/>
    <cellStyle name="SAPBEXexcCritical6 5 2 3 2" xfId="34591"/>
    <cellStyle name="SAPBEXexcCritical6 5 2 3 3" xfId="34592"/>
    <cellStyle name="SAPBEXexcCritical6 5 2 4" xfId="34593"/>
    <cellStyle name="SAPBEXexcCritical6 5 2 4 2" xfId="34594"/>
    <cellStyle name="SAPBEXexcCritical6 5 2 5" xfId="34595"/>
    <cellStyle name="SAPBEXexcCritical6 5 2 6" xfId="34596"/>
    <cellStyle name="SAPBEXexcCritical6 5 2 7" xfId="34597"/>
    <cellStyle name="SAPBEXexcCritical6 5 2 8" xfId="34598"/>
    <cellStyle name="SAPBEXexcCritical6 5 2 9" xfId="34599"/>
    <cellStyle name="SAPBEXexcCritical6 5 20" xfId="34600"/>
    <cellStyle name="SAPBEXexcCritical6 5 21" xfId="34601"/>
    <cellStyle name="SAPBEXexcCritical6 5 22" xfId="34602"/>
    <cellStyle name="SAPBEXexcCritical6 5 3" xfId="34603"/>
    <cellStyle name="SAPBEXexcCritical6 5 3 10" xfId="34604"/>
    <cellStyle name="SAPBEXexcCritical6 5 3 11" xfId="34605"/>
    <cellStyle name="SAPBEXexcCritical6 5 3 12" xfId="34606"/>
    <cellStyle name="SAPBEXexcCritical6 5 3 13" xfId="34607"/>
    <cellStyle name="SAPBEXexcCritical6 5 3 14" xfId="34608"/>
    <cellStyle name="SAPBEXexcCritical6 5 3 15" xfId="34609"/>
    <cellStyle name="SAPBEXexcCritical6 5 3 16" xfId="34610"/>
    <cellStyle name="SAPBEXexcCritical6 5 3 17" xfId="34611"/>
    <cellStyle name="SAPBEXexcCritical6 5 3 18" xfId="34612"/>
    <cellStyle name="SAPBEXexcCritical6 5 3 2" xfId="34613"/>
    <cellStyle name="SAPBEXexcCritical6 5 3 2 2" xfId="34614"/>
    <cellStyle name="SAPBEXexcCritical6 5 3 2 2 2" xfId="34615"/>
    <cellStyle name="SAPBEXexcCritical6 5 3 2 3" xfId="34616"/>
    <cellStyle name="SAPBEXexcCritical6 5 3 2 4" xfId="34617"/>
    <cellStyle name="SAPBEXexcCritical6 5 3 3" xfId="34618"/>
    <cellStyle name="SAPBEXexcCritical6 5 3 3 2" xfId="34619"/>
    <cellStyle name="SAPBEXexcCritical6 5 3 3 3" xfId="34620"/>
    <cellStyle name="SAPBEXexcCritical6 5 3 4" xfId="34621"/>
    <cellStyle name="SAPBEXexcCritical6 5 3 4 2" xfId="34622"/>
    <cellStyle name="SAPBEXexcCritical6 5 3 5" xfId="34623"/>
    <cellStyle name="SAPBEXexcCritical6 5 3 6" xfId="34624"/>
    <cellStyle name="SAPBEXexcCritical6 5 3 7" xfId="34625"/>
    <cellStyle name="SAPBEXexcCritical6 5 3 8" xfId="34626"/>
    <cellStyle name="SAPBEXexcCritical6 5 3 9" xfId="34627"/>
    <cellStyle name="SAPBEXexcCritical6 5 4" xfId="34628"/>
    <cellStyle name="SAPBEXexcCritical6 5 4 2" xfId="34629"/>
    <cellStyle name="SAPBEXexcCritical6 5 4 2 2" xfId="34630"/>
    <cellStyle name="SAPBEXexcCritical6 5 4 2 3" xfId="34631"/>
    <cellStyle name="SAPBEXexcCritical6 5 4 3" xfId="34632"/>
    <cellStyle name="SAPBEXexcCritical6 5 4 3 2" xfId="34633"/>
    <cellStyle name="SAPBEXexcCritical6 5 4 4" xfId="34634"/>
    <cellStyle name="SAPBEXexcCritical6 5 4 5" xfId="34635"/>
    <cellStyle name="SAPBEXexcCritical6 5 5" xfId="34636"/>
    <cellStyle name="SAPBEXexcCritical6 5 5 2" xfId="34637"/>
    <cellStyle name="SAPBEXexcCritical6 5 5 2 2" xfId="34638"/>
    <cellStyle name="SAPBEXexcCritical6 5 5 3" xfId="34639"/>
    <cellStyle name="SAPBEXexcCritical6 5 5 4" xfId="34640"/>
    <cellStyle name="SAPBEXexcCritical6 5 6" xfId="34641"/>
    <cellStyle name="SAPBEXexcCritical6 5 6 2" xfId="34642"/>
    <cellStyle name="SAPBEXexcCritical6 5 6 3" xfId="34643"/>
    <cellStyle name="SAPBEXexcCritical6 5 7" xfId="34644"/>
    <cellStyle name="SAPBEXexcCritical6 5 7 2" xfId="34645"/>
    <cellStyle name="SAPBEXexcCritical6 5 8" xfId="34646"/>
    <cellStyle name="SAPBEXexcCritical6 5 9" xfId="34647"/>
    <cellStyle name="SAPBEXexcCritical6 6" xfId="34648"/>
    <cellStyle name="SAPBEXexcCritical6 6 10" xfId="34649"/>
    <cellStyle name="SAPBEXexcCritical6 6 11" xfId="34650"/>
    <cellStyle name="SAPBEXexcCritical6 6 12" xfId="34651"/>
    <cellStyle name="SAPBEXexcCritical6 6 13" xfId="34652"/>
    <cellStyle name="SAPBEXexcCritical6 6 14" xfId="34653"/>
    <cellStyle name="SAPBEXexcCritical6 6 15" xfId="34654"/>
    <cellStyle name="SAPBEXexcCritical6 6 2" xfId="34655"/>
    <cellStyle name="SAPBEXexcCritical6 6 2 10" xfId="34656"/>
    <cellStyle name="SAPBEXexcCritical6 6 2 11" xfId="34657"/>
    <cellStyle name="SAPBEXexcCritical6 6 2 12" xfId="34658"/>
    <cellStyle name="SAPBEXexcCritical6 6 2 13" xfId="34659"/>
    <cellStyle name="SAPBEXexcCritical6 6 2 14" xfId="34660"/>
    <cellStyle name="SAPBEXexcCritical6 6 2 15" xfId="34661"/>
    <cellStyle name="SAPBEXexcCritical6 6 2 16" xfId="34662"/>
    <cellStyle name="SAPBEXexcCritical6 6 2 17" xfId="34663"/>
    <cellStyle name="SAPBEXexcCritical6 6 2 18" xfId="34664"/>
    <cellStyle name="SAPBEXexcCritical6 6 2 2" xfId="34665"/>
    <cellStyle name="SAPBEXexcCritical6 6 2 2 2" xfId="34666"/>
    <cellStyle name="SAPBEXexcCritical6 6 2 2 2 2" xfId="34667"/>
    <cellStyle name="SAPBEXexcCritical6 6 2 2 3" xfId="34668"/>
    <cellStyle name="SAPBEXexcCritical6 6 2 2 4" xfId="34669"/>
    <cellStyle name="SAPBEXexcCritical6 6 2 3" xfId="34670"/>
    <cellStyle name="SAPBEXexcCritical6 6 2 3 2" xfId="34671"/>
    <cellStyle name="SAPBEXexcCritical6 6 2 3 3" xfId="34672"/>
    <cellStyle name="SAPBEXexcCritical6 6 2 4" xfId="34673"/>
    <cellStyle name="SAPBEXexcCritical6 6 2 4 2" xfId="34674"/>
    <cellStyle name="SAPBEXexcCritical6 6 2 5" xfId="34675"/>
    <cellStyle name="SAPBEXexcCritical6 6 2 6" xfId="34676"/>
    <cellStyle name="SAPBEXexcCritical6 6 2 7" xfId="34677"/>
    <cellStyle name="SAPBEXexcCritical6 6 2 8" xfId="34678"/>
    <cellStyle name="SAPBEXexcCritical6 6 2 9" xfId="34679"/>
    <cellStyle name="SAPBEXexcCritical6 6 3" xfId="34680"/>
    <cellStyle name="SAPBEXexcCritical6 6 3 10" xfId="34681"/>
    <cellStyle name="SAPBEXexcCritical6 6 3 11" xfId="34682"/>
    <cellStyle name="SAPBEXexcCritical6 6 3 12" xfId="34683"/>
    <cellStyle name="SAPBEXexcCritical6 6 3 13" xfId="34684"/>
    <cellStyle name="SAPBEXexcCritical6 6 3 14" xfId="34685"/>
    <cellStyle name="SAPBEXexcCritical6 6 3 15" xfId="34686"/>
    <cellStyle name="SAPBEXexcCritical6 6 3 16" xfId="34687"/>
    <cellStyle name="SAPBEXexcCritical6 6 3 17" xfId="34688"/>
    <cellStyle name="SAPBEXexcCritical6 6 3 18" xfId="34689"/>
    <cellStyle name="SAPBEXexcCritical6 6 3 2" xfId="34690"/>
    <cellStyle name="SAPBEXexcCritical6 6 3 2 2" xfId="34691"/>
    <cellStyle name="SAPBEXexcCritical6 6 3 2 2 2" xfId="34692"/>
    <cellStyle name="SAPBEXexcCritical6 6 3 2 3" xfId="34693"/>
    <cellStyle name="SAPBEXexcCritical6 6 3 2 4" xfId="34694"/>
    <cellStyle name="SAPBEXexcCritical6 6 3 3" xfId="34695"/>
    <cellStyle name="SAPBEXexcCritical6 6 3 3 2" xfId="34696"/>
    <cellStyle name="SAPBEXexcCritical6 6 3 3 3" xfId="34697"/>
    <cellStyle name="SAPBEXexcCritical6 6 3 4" xfId="34698"/>
    <cellStyle name="SAPBEXexcCritical6 6 3 4 2" xfId="34699"/>
    <cellStyle name="SAPBEXexcCritical6 6 3 5" xfId="34700"/>
    <cellStyle name="SAPBEXexcCritical6 6 3 6" xfId="34701"/>
    <cellStyle name="SAPBEXexcCritical6 6 3 7" xfId="34702"/>
    <cellStyle name="SAPBEXexcCritical6 6 3 8" xfId="34703"/>
    <cellStyle name="SAPBEXexcCritical6 6 3 9" xfId="34704"/>
    <cellStyle name="SAPBEXexcCritical6 6 4" xfId="34705"/>
    <cellStyle name="SAPBEXexcCritical6 6 4 2" xfId="34706"/>
    <cellStyle name="SAPBEXexcCritical6 6 4 2 2" xfId="34707"/>
    <cellStyle name="SAPBEXexcCritical6 6 4 3" xfId="34708"/>
    <cellStyle name="SAPBEXexcCritical6 6 4 4" xfId="34709"/>
    <cellStyle name="SAPBEXexcCritical6 6 5" xfId="34710"/>
    <cellStyle name="SAPBEXexcCritical6 6 5 2" xfId="34711"/>
    <cellStyle name="SAPBEXexcCritical6 6 6" xfId="34712"/>
    <cellStyle name="SAPBEXexcCritical6 6 7" xfId="34713"/>
    <cellStyle name="SAPBEXexcCritical6 6 8" xfId="34714"/>
    <cellStyle name="SAPBEXexcCritical6 6 9" xfId="34715"/>
    <cellStyle name="SAPBEXexcCritical6 7" xfId="34716"/>
    <cellStyle name="SAPBEXexcCritical6 7 10" xfId="34717"/>
    <cellStyle name="SAPBEXexcCritical6 7 11" xfId="34718"/>
    <cellStyle name="SAPBEXexcCritical6 7 12" xfId="34719"/>
    <cellStyle name="SAPBEXexcCritical6 7 13" xfId="34720"/>
    <cellStyle name="SAPBEXexcCritical6 7 14" xfId="34721"/>
    <cellStyle name="SAPBEXexcCritical6 7 15" xfId="34722"/>
    <cellStyle name="SAPBEXexcCritical6 7 16" xfId="34723"/>
    <cellStyle name="SAPBEXexcCritical6 7 17" xfId="34724"/>
    <cellStyle name="SAPBEXexcCritical6 7 18" xfId="34725"/>
    <cellStyle name="SAPBEXexcCritical6 7 2" xfId="34726"/>
    <cellStyle name="SAPBEXexcCritical6 7 3" xfId="34727"/>
    <cellStyle name="SAPBEXexcCritical6 7 4" xfId="34728"/>
    <cellStyle name="SAPBEXexcCritical6 7 5" xfId="34729"/>
    <cellStyle name="SAPBEXexcCritical6 7 6" xfId="34730"/>
    <cellStyle name="SAPBEXexcCritical6 7 7" xfId="34731"/>
    <cellStyle name="SAPBEXexcCritical6 7 8" xfId="34732"/>
    <cellStyle name="SAPBEXexcCritical6 7 9" xfId="34733"/>
    <cellStyle name="SAPBEXexcCritical6 8" xfId="34734"/>
    <cellStyle name="SAPBEXexcCritical6 9" xfId="34735"/>
    <cellStyle name="SAPBEXexcGood1" xfId="34736"/>
    <cellStyle name="SAPBEXexcGood1 10" xfId="34737"/>
    <cellStyle name="SAPBEXexcGood1 11" xfId="34738"/>
    <cellStyle name="SAPBEXexcGood1 12" xfId="34739"/>
    <cellStyle name="SAPBEXexcGood1 13" xfId="34740"/>
    <cellStyle name="SAPBEXexcGood1 14" xfId="34741"/>
    <cellStyle name="SAPBEXexcGood1 15" xfId="34742"/>
    <cellStyle name="SAPBEXexcGood1 16" xfId="34743"/>
    <cellStyle name="SAPBEXexcGood1 17" xfId="34744"/>
    <cellStyle name="SAPBEXexcGood1 18" xfId="34745"/>
    <cellStyle name="SAPBEXexcGood1 19" xfId="34746"/>
    <cellStyle name="SAPBEXexcGood1 2" xfId="34747"/>
    <cellStyle name="SAPBEXexcGood1 2 10" xfId="34748"/>
    <cellStyle name="SAPBEXexcGood1 2 11" xfId="34749"/>
    <cellStyle name="SAPBEXexcGood1 2 12" xfId="34750"/>
    <cellStyle name="SAPBEXexcGood1 2 13" xfId="34751"/>
    <cellStyle name="SAPBEXexcGood1 2 14" xfId="34752"/>
    <cellStyle name="SAPBEXexcGood1 2 15" xfId="34753"/>
    <cellStyle name="SAPBEXexcGood1 2 16" xfId="34754"/>
    <cellStyle name="SAPBEXexcGood1 2 17" xfId="34755"/>
    <cellStyle name="SAPBEXexcGood1 2 18" xfId="34756"/>
    <cellStyle name="SAPBEXexcGood1 2 19" xfId="34757"/>
    <cellStyle name="SAPBEXexcGood1 2 2" xfId="34758"/>
    <cellStyle name="SAPBEXexcGood1 2 2 10" xfId="34759"/>
    <cellStyle name="SAPBEXexcGood1 2 2 11" xfId="34760"/>
    <cellStyle name="SAPBEXexcGood1 2 2 12" xfId="34761"/>
    <cellStyle name="SAPBEXexcGood1 2 2 13" xfId="34762"/>
    <cellStyle name="SAPBEXexcGood1 2 2 14" xfId="34763"/>
    <cellStyle name="SAPBEXexcGood1 2 2 15" xfId="34764"/>
    <cellStyle name="SAPBEXexcGood1 2 2 16" xfId="34765"/>
    <cellStyle name="SAPBEXexcGood1 2 2 17" xfId="34766"/>
    <cellStyle name="SAPBEXexcGood1 2 2 18" xfId="34767"/>
    <cellStyle name="SAPBEXexcGood1 2 2 19" xfId="34768"/>
    <cellStyle name="SAPBEXexcGood1 2 2 2" xfId="34769"/>
    <cellStyle name="SAPBEXexcGood1 2 2 2 2" xfId="34770"/>
    <cellStyle name="SAPBEXexcGood1 2 2 2 2 2" xfId="34771"/>
    <cellStyle name="SAPBEXexcGood1 2 2 2 3" xfId="34772"/>
    <cellStyle name="SAPBEXexcGood1 2 2 2 4" xfId="34773"/>
    <cellStyle name="SAPBEXexcGood1 2 2 20" xfId="34774"/>
    <cellStyle name="SAPBEXexcGood1 2 2 21" xfId="34775"/>
    <cellStyle name="SAPBEXexcGood1 2 2 3" xfId="34776"/>
    <cellStyle name="SAPBEXexcGood1 2 2 3 2" xfId="34777"/>
    <cellStyle name="SAPBEXexcGood1 2 2 3 3" xfId="34778"/>
    <cellStyle name="SAPBEXexcGood1 2 2 4" xfId="34779"/>
    <cellStyle name="SAPBEXexcGood1 2 2 4 2" xfId="34780"/>
    <cellStyle name="SAPBEXexcGood1 2 2 5" xfId="34781"/>
    <cellStyle name="SAPBEXexcGood1 2 2 6" xfId="34782"/>
    <cellStyle name="SAPBEXexcGood1 2 2 7" xfId="34783"/>
    <cellStyle name="SAPBEXexcGood1 2 2 8" xfId="34784"/>
    <cellStyle name="SAPBEXexcGood1 2 2 9" xfId="34785"/>
    <cellStyle name="SAPBEXexcGood1 2 20" xfId="34786"/>
    <cellStyle name="SAPBEXexcGood1 2 21" xfId="34787"/>
    <cellStyle name="SAPBEXexcGood1 2 22" xfId="34788"/>
    <cellStyle name="SAPBEXexcGood1 2 23" xfId="34789"/>
    <cellStyle name="SAPBEXexcGood1 2 24" xfId="34790"/>
    <cellStyle name="SAPBEXexcGood1 2 3" xfId="34791"/>
    <cellStyle name="SAPBEXexcGood1 2 3 10" xfId="34792"/>
    <cellStyle name="SAPBEXexcGood1 2 3 11" xfId="34793"/>
    <cellStyle name="SAPBEXexcGood1 2 3 12" xfId="34794"/>
    <cellStyle name="SAPBEXexcGood1 2 3 13" xfId="34795"/>
    <cellStyle name="SAPBEXexcGood1 2 3 14" xfId="34796"/>
    <cellStyle name="SAPBEXexcGood1 2 3 15" xfId="34797"/>
    <cellStyle name="SAPBEXexcGood1 2 3 16" xfId="34798"/>
    <cellStyle name="SAPBEXexcGood1 2 3 17" xfId="34799"/>
    <cellStyle name="SAPBEXexcGood1 2 3 18" xfId="34800"/>
    <cellStyle name="SAPBEXexcGood1 2 3 2" xfId="34801"/>
    <cellStyle name="SAPBEXexcGood1 2 3 2 2" xfId="34802"/>
    <cellStyle name="SAPBEXexcGood1 2 3 2 2 2" xfId="34803"/>
    <cellStyle name="SAPBEXexcGood1 2 3 2 3" xfId="34804"/>
    <cellStyle name="SAPBEXexcGood1 2 3 2 4" xfId="34805"/>
    <cellStyle name="SAPBEXexcGood1 2 3 3" xfId="34806"/>
    <cellStyle name="SAPBEXexcGood1 2 3 3 2" xfId="34807"/>
    <cellStyle name="SAPBEXexcGood1 2 3 3 3" xfId="34808"/>
    <cellStyle name="SAPBEXexcGood1 2 3 4" xfId="34809"/>
    <cellStyle name="SAPBEXexcGood1 2 3 4 2" xfId="34810"/>
    <cellStyle name="SAPBEXexcGood1 2 3 5" xfId="34811"/>
    <cellStyle name="SAPBEXexcGood1 2 3 6" xfId="34812"/>
    <cellStyle name="SAPBEXexcGood1 2 3 7" xfId="34813"/>
    <cellStyle name="SAPBEXexcGood1 2 3 8" xfId="34814"/>
    <cellStyle name="SAPBEXexcGood1 2 3 9" xfId="34815"/>
    <cellStyle name="SAPBEXexcGood1 2 4" xfId="34816"/>
    <cellStyle name="SAPBEXexcGood1 2 4 2" xfId="34817"/>
    <cellStyle name="SAPBEXexcGood1 2 4 2 2" xfId="34818"/>
    <cellStyle name="SAPBEXexcGood1 2 4 2 3" xfId="34819"/>
    <cellStyle name="SAPBEXexcGood1 2 4 3" xfId="34820"/>
    <cellStyle name="SAPBEXexcGood1 2 4 3 2" xfId="34821"/>
    <cellStyle name="SAPBEXexcGood1 2 4 4" xfId="34822"/>
    <cellStyle name="SAPBEXexcGood1 2 4 5" xfId="34823"/>
    <cellStyle name="SAPBEXexcGood1 2 5" xfId="34824"/>
    <cellStyle name="SAPBEXexcGood1 2 5 2" xfId="34825"/>
    <cellStyle name="SAPBEXexcGood1 2 5 2 2" xfId="34826"/>
    <cellStyle name="SAPBEXexcGood1 2 5 3" xfId="34827"/>
    <cellStyle name="SAPBEXexcGood1 2 5 4" xfId="34828"/>
    <cellStyle name="SAPBEXexcGood1 2 6" xfId="34829"/>
    <cellStyle name="SAPBEXexcGood1 2 6 2" xfId="34830"/>
    <cellStyle name="SAPBEXexcGood1 2 6 3" xfId="34831"/>
    <cellStyle name="SAPBEXexcGood1 2 7" xfId="34832"/>
    <cellStyle name="SAPBEXexcGood1 2 7 2" xfId="34833"/>
    <cellStyle name="SAPBEXexcGood1 2 8" xfId="34834"/>
    <cellStyle name="SAPBEXexcGood1 2 9" xfId="34835"/>
    <cellStyle name="SAPBEXexcGood1 3" xfId="34836"/>
    <cellStyle name="SAPBEXexcGood1 3 10" xfId="34837"/>
    <cellStyle name="SAPBEXexcGood1 3 11" xfId="34838"/>
    <cellStyle name="SAPBEXexcGood1 3 12" xfId="34839"/>
    <cellStyle name="SAPBEXexcGood1 3 13" xfId="34840"/>
    <cellStyle name="SAPBEXexcGood1 3 14" xfId="34841"/>
    <cellStyle name="SAPBEXexcGood1 3 15" xfId="34842"/>
    <cellStyle name="SAPBEXexcGood1 3 16" xfId="34843"/>
    <cellStyle name="SAPBEXexcGood1 3 17" xfId="34844"/>
    <cellStyle name="SAPBEXexcGood1 3 18" xfId="34845"/>
    <cellStyle name="SAPBEXexcGood1 3 19" xfId="34846"/>
    <cellStyle name="SAPBEXexcGood1 3 2" xfId="34847"/>
    <cellStyle name="SAPBEXexcGood1 3 2 10" xfId="34848"/>
    <cellStyle name="SAPBEXexcGood1 3 2 11" xfId="34849"/>
    <cellStyle name="SAPBEXexcGood1 3 2 12" xfId="34850"/>
    <cellStyle name="SAPBEXexcGood1 3 2 13" xfId="34851"/>
    <cellStyle name="SAPBEXexcGood1 3 2 14" xfId="34852"/>
    <cellStyle name="SAPBEXexcGood1 3 2 15" xfId="34853"/>
    <cellStyle name="SAPBEXexcGood1 3 2 16" xfId="34854"/>
    <cellStyle name="SAPBEXexcGood1 3 2 17" xfId="34855"/>
    <cellStyle name="SAPBEXexcGood1 3 2 18" xfId="34856"/>
    <cellStyle name="SAPBEXexcGood1 3 2 2" xfId="34857"/>
    <cellStyle name="SAPBEXexcGood1 3 2 2 2" xfId="34858"/>
    <cellStyle name="SAPBEXexcGood1 3 2 2 2 2" xfId="34859"/>
    <cellStyle name="SAPBEXexcGood1 3 2 2 3" xfId="34860"/>
    <cellStyle name="SAPBEXexcGood1 3 2 2 4" xfId="34861"/>
    <cellStyle name="SAPBEXexcGood1 3 2 3" xfId="34862"/>
    <cellStyle name="SAPBEXexcGood1 3 2 3 2" xfId="34863"/>
    <cellStyle name="SAPBEXexcGood1 3 2 3 3" xfId="34864"/>
    <cellStyle name="SAPBEXexcGood1 3 2 4" xfId="34865"/>
    <cellStyle name="SAPBEXexcGood1 3 2 4 2" xfId="34866"/>
    <cellStyle name="SAPBEXexcGood1 3 2 5" xfId="34867"/>
    <cellStyle name="SAPBEXexcGood1 3 2 6" xfId="34868"/>
    <cellStyle name="SAPBEXexcGood1 3 2 7" xfId="34869"/>
    <cellStyle name="SAPBEXexcGood1 3 2 8" xfId="34870"/>
    <cellStyle name="SAPBEXexcGood1 3 2 9" xfId="34871"/>
    <cellStyle name="SAPBEXexcGood1 3 20" xfId="34872"/>
    <cellStyle name="SAPBEXexcGood1 3 21" xfId="34873"/>
    <cellStyle name="SAPBEXexcGood1 3 22" xfId="34874"/>
    <cellStyle name="SAPBEXexcGood1 3 3" xfId="34875"/>
    <cellStyle name="SAPBEXexcGood1 3 3 10" xfId="34876"/>
    <cellStyle name="SAPBEXexcGood1 3 3 11" xfId="34877"/>
    <cellStyle name="SAPBEXexcGood1 3 3 12" xfId="34878"/>
    <cellStyle name="SAPBEXexcGood1 3 3 13" xfId="34879"/>
    <cellStyle name="SAPBEXexcGood1 3 3 14" xfId="34880"/>
    <cellStyle name="SAPBEXexcGood1 3 3 15" xfId="34881"/>
    <cellStyle name="SAPBEXexcGood1 3 3 16" xfId="34882"/>
    <cellStyle name="SAPBEXexcGood1 3 3 17" xfId="34883"/>
    <cellStyle name="SAPBEXexcGood1 3 3 18" xfId="34884"/>
    <cellStyle name="SAPBEXexcGood1 3 3 2" xfId="34885"/>
    <cellStyle name="SAPBEXexcGood1 3 3 2 2" xfId="34886"/>
    <cellStyle name="SAPBEXexcGood1 3 3 2 2 2" xfId="34887"/>
    <cellStyle name="SAPBEXexcGood1 3 3 2 3" xfId="34888"/>
    <cellStyle name="SAPBEXexcGood1 3 3 2 4" xfId="34889"/>
    <cellStyle name="SAPBEXexcGood1 3 3 3" xfId="34890"/>
    <cellStyle name="SAPBEXexcGood1 3 3 3 2" xfId="34891"/>
    <cellStyle name="SAPBEXexcGood1 3 3 3 3" xfId="34892"/>
    <cellStyle name="SAPBEXexcGood1 3 3 4" xfId="34893"/>
    <cellStyle name="SAPBEXexcGood1 3 3 4 2" xfId="34894"/>
    <cellStyle name="SAPBEXexcGood1 3 3 5" xfId="34895"/>
    <cellStyle name="SAPBEXexcGood1 3 3 6" xfId="34896"/>
    <cellStyle name="SAPBEXexcGood1 3 3 7" xfId="34897"/>
    <cellStyle name="SAPBEXexcGood1 3 3 8" xfId="34898"/>
    <cellStyle name="SAPBEXexcGood1 3 3 9" xfId="34899"/>
    <cellStyle name="SAPBEXexcGood1 3 4" xfId="34900"/>
    <cellStyle name="SAPBEXexcGood1 3 4 2" xfId="34901"/>
    <cellStyle name="SAPBEXexcGood1 3 4 2 2" xfId="34902"/>
    <cellStyle name="SAPBEXexcGood1 3 4 2 3" xfId="34903"/>
    <cellStyle name="SAPBEXexcGood1 3 4 3" xfId="34904"/>
    <cellStyle name="SAPBEXexcGood1 3 4 3 2" xfId="34905"/>
    <cellStyle name="SAPBEXexcGood1 3 4 4" xfId="34906"/>
    <cellStyle name="SAPBEXexcGood1 3 4 5" xfId="34907"/>
    <cellStyle name="SAPBEXexcGood1 3 5" xfId="34908"/>
    <cellStyle name="SAPBEXexcGood1 3 5 2" xfId="34909"/>
    <cellStyle name="SAPBEXexcGood1 3 5 2 2" xfId="34910"/>
    <cellStyle name="SAPBEXexcGood1 3 5 3" xfId="34911"/>
    <cellStyle name="SAPBEXexcGood1 3 5 4" xfId="34912"/>
    <cellStyle name="SAPBEXexcGood1 3 6" xfId="34913"/>
    <cellStyle name="SAPBEXexcGood1 3 6 2" xfId="34914"/>
    <cellStyle name="SAPBEXexcGood1 3 6 3" xfId="34915"/>
    <cellStyle name="SAPBEXexcGood1 3 7" xfId="34916"/>
    <cellStyle name="SAPBEXexcGood1 3 7 2" xfId="34917"/>
    <cellStyle name="SAPBEXexcGood1 3 8" xfId="34918"/>
    <cellStyle name="SAPBEXexcGood1 3 9" xfId="34919"/>
    <cellStyle name="SAPBEXexcGood1 4" xfId="34920"/>
    <cellStyle name="SAPBEXexcGood1 4 10" xfId="34921"/>
    <cellStyle name="SAPBEXexcGood1 4 11" xfId="34922"/>
    <cellStyle name="SAPBEXexcGood1 4 12" xfId="34923"/>
    <cellStyle name="SAPBEXexcGood1 4 13" xfId="34924"/>
    <cellStyle name="SAPBEXexcGood1 4 14" xfId="34925"/>
    <cellStyle name="SAPBEXexcGood1 4 15" xfId="34926"/>
    <cellStyle name="SAPBEXexcGood1 4 16" xfId="34927"/>
    <cellStyle name="SAPBEXexcGood1 4 17" xfId="34928"/>
    <cellStyle name="SAPBEXexcGood1 4 18" xfId="34929"/>
    <cellStyle name="SAPBEXexcGood1 4 19" xfId="34930"/>
    <cellStyle name="SAPBEXexcGood1 4 2" xfId="34931"/>
    <cellStyle name="SAPBEXexcGood1 4 2 10" xfId="34932"/>
    <cellStyle name="SAPBEXexcGood1 4 2 11" xfId="34933"/>
    <cellStyle name="SAPBEXexcGood1 4 2 12" xfId="34934"/>
    <cellStyle name="SAPBEXexcGood1 4 2 13" xfId="34935"/>
    <cellStyle name="SAPBEXexcGood1 4 2 14" xfId="34936"/>
    <cellStyle name="SAPBEXexcGood1 4 2 15" xfId="34937"/>
    <cellStyle name="SAPBEXexcGood1 4 2 16" xfId="34938"/>
    <cellStyle name="SAPBEXexcGood1 4 2 17" xfId="34939"/>
    <cellStyle name="SAPBEXexcGood1 4 2 18" xfId="34940"/>
    <cellStyle name="SAPBEXexcGood1 4 2 2" xfId="34941"/>
    <cellStyle name="SAPBEXexcGood1 4 2 2 2" xfId="34942"/>
    <cellStyle name="SAPBEXexcGood1 4 2 2 2 2" xfId="34943"/>
    <cellStyle name="SAPBEXexcGood1 4 2 2 3" xfId="34944"/>
    <cellStyle name="SAPBEXexcGood1 4 2 2 4" xfId="34945"/>
    <cellStyle name="SAPBEXexcGood1 4 2 3" xfId="34946"/>
    <cellStyle name="SAPBEXexcGood1 4 2 3 2" xfId="34947"/>
    <cellStyle name="SAPBEXexcGood1 4 2 3 3" xfId="34948"/>
    <cellStyle name="SAPBEXexcGood1 4 2 4" xfId="34949"/>
    <cellStyle name="SAPBEXexcGood1 4 2 4 2" xfId="34950"/>
    <cellStyle name="SAPBEXexcGood1 4 2 5" xfId="34951"/>
    <cellStyle name="SAPBEXexcGood1 4 2 6" xfId="34952"/>
    <cellStyle name="SAPBEXexcGood1 4 2 7" xfId="34953"/>
    <cellStyle name="SAPBEXexcGood1 4 2 8" xfId="34954"/>
    <cellStyle name="SAPBEXexcGood1 4 2 9" xfId="34955"/>
    <cellStyle name="SAPBEXexcGood1 4 20" xfId="34956"/>
    <cellStyle name="SAPBEXexcGood1 4 21" xfId="34957"/>
    <cellStyle name="SAPBEXexcGood1 4 22" xfId="34958"/>
    <cellStyle name="SAPBEXexcGood1 4 3" xfId="34959"/>
    <cellStyle name="SAPBEXexcGood1 4 3 10" xfId="34960"/>
    <cellStyle name="SAPBEXexcGood1 4 3 11" xfId="34961"/>
    <cellStyle name="SAPBEXexcGood1 4 3 12" xfId="34962"/>
    <cellStyle name="SAPBEXexcGood1 4 3 13" xfId="34963"/>
    <cellStyle name="SAPBEXexcGood1 4 3 14" xfId="34964"/>
    <cellStyle name="SAPBEXexcGood1 4 3 15" xfId="34965"/>
    <cellStyle name="SAPBEXexcGood1 4 3 16" xfId="34966"/>
    <cellStyle name="SAPBEXexcGood1 4 3 17" xfId="34967"/>
    <cellStyle name="SAPBEXexcGood1 4 3 18" xfId="34968"/>
    <cellStyle name="SAPBEXexcGood1 4 3 2" xfId="34969"/>
    <cellStyle name="SAPBEXexcGood1 4 3 2 2" xfId="34970"/>
    <cellStyle name="SAPBEXexcGood1 4 3 2 2 2" xfId="34971"/>
    <cellStyle name="SAPBEXexcGood1 4 3 2 3" xfId="34972"/>
    <cellStyle name="SAPBEXexcGood1 4 3 2 4" xfId="34973"/>
    <cellStyle name="SAPBEXexcGood1 4 3 3" xfId="34974"/>
    <cellStyle name="SAPBEXexcGood1 4 3 3 2" xfId="34975"/>
    <cellStyle name="SAPBEXexcGood1 4 3 3 3" xfId="34976"/>
    <cellStyle name="SAPBEXexcGood1 4 3 4" xfId="34977"/>
    <cellStyle name="SAPBEXexcGood1 4 3 4 2" xfId="34978"/>
    <cellStyle name="SAPBEXexcGood1 4 3 5" xfId="34979"/>
    <cellStyle name="SAPBEXexcGood1 4 3 6" xfId="34980"/>
    <cellStyle name="SAPBEXexcGood1 4 3 7" xfId="34981"/>
    <cellStyle name="SAPBEXexcGood1 4 3 8" xfId="34982"/>
    <cellStyle name="SAPBEXexcGood1 4 3 9" xfId="34983"/>
    <cellStyle name="SAPBEXexcGood1 4 4" xfId="34984"/>
    <cellStyle name="SAPBEXexcGood1 4 4 2" xfId="34985"/>
    <cellStyle name="SAPBEXexcGood1 4 4 2 2" xfId="34986"/>
    <cellStyle name="SAPBEXexcGood1 4 4 2 3" xfId="34987"/>
    <cellStyle name="SAPBEXexcGood1 4 4 3" xfId="34988"/>
    <cellStyle name="SAPBEXexcGood1 4 4 3 2" xfId="34989"/>
    <cellStyle name="SAPBEXexcGood1 4 4 4" xfId="34990"/>
    <cellStyle name="SAPBEXexcGood1 4 4 5" xfId="34991"/>
    <cellStyle name="SAPBEXexcGood1 4 5" xfId="34992"/>
    <cellStyle name="SAPBEXexcGood1 4 5 2" xfId="34993"/>
    <cellStyle name="SAPBEXexcGood1 4 5 2 2" xfId="34994"/>
    <cellStyle name="SAPBEXexcGood1 4 5 3" xfId="34995"/>
    <cellStyle name="SAPBEXexcGood1 4 5 4" xfId="34996"/>
    <cellStyle name="SAPBEXexcGood1 4 6" xfId="34997"/>
    <cellStyle name="SAPBEXexcGood1 4 6 2" xfId="34998"/>
    <cellStyle name="SAPBEXexcGood1 4 6 3" xfId="34999"/>
    <cellStyle name="SAPBEXexcGood1 4 7" xfId="35000"/>
    <cellStyle name="SAPBEXexcGood1 4 7 2" xfId="35001"/>
    <cellStyle name="SAPBEXexcGood1 4 8" xfId="35002"/>
    <cellStyle name="SAPBEXexcGood1 4 9" xfId="35003"/>
    <cellStyle name="SAPBEXexcGood1 5" xfId="35004"/>
    <cellStyle name="SAPBEXexcGood1 5 10" xfId="35005"/>
    <cellStyle name="SAPBEXexcGood1 5 11" xfId="35006"/>
    <cellStyle name="SAPBEXexcGood1 5 12" xfId="35007"/>
    <cellStyle name="SAPBEXexcGood1 5 13" xfId="35008"/>
    <cellStyle name="SAPBEXexcGood1 5 14" xfId="35009"/>
    <cellStyle name="SAPBEXexcGood1 5 15" xfId="35010"/>
    <cellStyle name="SAPBEXexcGood1 5 16" xfId="35011"/>
    <cellStyle name="SAPBEXexcGood1 5 17" xfId="35012"/>
    <cellStyle name="SAPBEXexcGood1 5 18" xfId="35013"/>
    <cellStyle name="SAPBEXexcGood1 5 19" xfId="35014"/>
    <cellStyle name="SAPBEXexcGood1 5 2" xfId="35015"/>
    <cellStyle name="SAPBEXexcGood1 5 2 10" xfId="35016"/>
    <cellStyle name="SAPBEXexcGood1 5 2 11" xfId="35017"/>
    <cellStyle name="SAPBEXexcGood1 5 2 12" xfId="35018"/>
    <cellStyle name="SAPBEXexcGood1 5 2 13" xfId="35019"/>
    <cellStyle name="SAPBEXexcGood1 5 2 14" xfId="35020"/>
    <cellStyle name="SAPBEXexcGood1 5 2 15" xfId="35021"/>
    <cellStyle name="SAPBEXexcGood1 5 2 16" xfId="35022"/>
    <cellStyle name="SAPBEXexcGood1 5 2 17" xfId="35023"/>
    <cellStyle name="SAPBEXexcGood1 5 2 18" xfId="35024"/>
    <cellStyle name="SAPBEXexcGood1 5 2 2" xfId="35025"/>
    <cellStyle name="SAPBEXexcGood1 5 2 2 2" xfId="35026"/>
    <cellStyle name="SAPBEXexcGood1 5 2 2 2 2" xfId="35027"/>
    <cellStyle name="SAPBEXexcGood1 5 2 2 3" xfId="35028"/>
    <cellStyle name="SAPBEXexcGood1 5 2 2 4" xfId="35029"/>
    <cellStyle name="SAPBEXexcGood1 5 2 3" xfId="35030"/>
    <cellStyle name="SAPBEXexcGood1 5 2 3 2" xfId="35031"/>
    <cellStyle name="SAPBEXexcGood1 5 2 3 3" xfId="35032"/>
    <cellStyle name="SAPBEXexcGood1 5 2 4" xfId="35033"/>
    <cellStyle name="SAPBEXexcGood1 5 2 4 2" xfId="35034"/>
    <cellStyle name="SAPBEXexcGood1 5 2 5" xfId="35035"/>
    <cellStyle name="SAPBEXexcGood1 5 2 6" xfId="35036"/>
    <cellStyle name="SAPBEXexcGood1 5 2 7" xfId="35037"/>
    <cellStyle name="SAPBEXexcGood1 5 2 8" xfId="35038"/>
    <cellStyle name="SAPBEXexcGood1 5 2 9" xfId="35039"/>
    <cellStyle name="SAPBEXexcGood1 5 20" xfId="35040"/>
    <cellStyle name="SAPBEXexcGood1 5 21" xfId="35041"/>
    <cellStyle name="SAPBEXexcGood1 5 22" xfId="35042"/>
    <cellStyle name="SAPBEXexcGood1 5 3" xfId="35043"/>
    <cellStyle name="SAPBEXexcGood1 5 3 10" xfId="35044"/>
    <cellStyle name="SAPBEXexcGood1 5 3 11" xfId="35045"/>
    <cellStyle name="SAPBEXexcGood1 5 3 12" xfId="35046"/>
    <cellStyle name="SAPBEXexcGood1 5 3 13" xfId="35047"/>
    <cellStyle name="SAPBEXexcGood1 5 3 14" xfId="35048"/>
    <cellStyle name="SAPBEXexcGood1 5 3 15" xfId="35049"/>
    <cellStyle name="SAPBEXexcGood1 5 3 16" xfId="35050"/>
    <cellStyle name="SAPBEXexcGood1 5 3 17" xfId="35051"/>
    <cellStyle name="SAPBEXexcGood1 5 3 18" xfId="35052"/>
    <cellStyle name="SAPBEXexcGood1 5 3 2" xfId="35053"/>
    <cellStyle name="SAPBEXexcGood1 5 3 2 2" xfId="35054"/>
    <cellStyle name="SAPBEXexcGood1 5 3 2 2 2" xfId="35055"/>
    <cellStyle name="SAPBEXexcGood1 5 3 2 3" xfId="35056"/>
    <cellStyle name="SAPBEXexcGood1 5 3 2 4" xfId="35057"/>
    <cellStyle name="SAPBEXexcGood1 5 3 3" xfId="35058"/>
    <cellStyle name="SAPBEXexcGood1 5 3 3 2" xfId="35059"/>
    <cellStyle name="SAPBEXexcGood1 5 3 3 3" xfId="35060"/>
    <cellStyle name="SAPBEXexcGood1 5 3 4" xfId="35061"/>
    <cellStyle name="SAPBEXexcGood1 5 3 4 2" xfId="35062"/>
    <cellStyle name="SAPBEXexcGood1 5 3 5" xfId="35063"/>
    <cellStyle name="SAPBEXexcGood1 5 3 6" xfId="35064"/>
    <cellStyle name="SAPBEXexcGood1 5 3 7" xfId="35065"/>
    <cellStyle name="SAPBEXexcGood1 5 3 8" xfId="35066"/>
    <cellStyle name="SAPBEXexcGood1 5 3 9" xfId="35067"/>
    <cellStyle name="SAPBEXexcGood1 5 4" xfId="35068"/>
    <cellStyle name="SAPBEXexcGood1 5 4 2" xfId="35069"/>
    <cellStyle name="SAPBEXexcGood1 5 4 2 2" xfId="35070"/>
    <cellStyle name="SAPBEXexcGood1 5 4 2 3" xfId="35071"/>
    <cellStyle name="SAPBEXexcGood1 5 4 3" xfId="35072"/>
    <cellStyle name="SAPBEXexcGood1 5 4 3 2" xfId="35073"/>
    <cellStyle name="SAPBEXexcGood1 5 4 4" xfId="35074"/>
    <cellStyle name="SAPBEXexcGood1 5 4 5" xfId="35075"/>
    <cellStyle name="SAPBEXexcGood1 5 5" xfId="35076"/>
    <cellStyle name="SAPBEXexcGood1 5 5 2" xfId="35077"/>
    <cellStyle name="SAPBEXexcGood1 5 5 2 2" xfId="35078"/>
    <cellStyle name="SAPBEXexcGood1 5 5 3" xfId="35079"/>
    <cellStyle name="SAPBEXexcGood1 5 5 4" xfId="35080"/>
    <cellStyle name="SAPBEXexcGood1 5 6" xfId="35081"/>
    <cellStyle name="SAPBEXexcGood1 5 6 2" xfId="35082"/>
    <cellStyle name="SAPBEXexcGood1 5 6 3" xfId="35083"/>
    <cellStyle name="SAPBEXexcGood1 5 7" xfId="35084"/>
    <cellStyle name="SAPBEXexcGood1 5 7 2" xfId="35085"/>
    <cellStyle name="SAPBEXexcGood1 5 8" xfId="35086"/>
    <cellStyle name="SAPBEXexcGood1 5 9" xfId="35087"/>
    <cellStyle name="SAPBEXexcGood1 6" xfId="35088"/>
    <cellStyle name="SAPBEXexcGood1 6 10" xfId="35089"/>
    <cellStyle name="SAPBEXexcGood1 6 11" xfId="35090"/>
    <cellStyle name="SAPBEXexcGood1 6 12" xfId="35091"/>
    <cellStyle name="SAPBEXexcGood1 6 13" xfId="35092"/>
    <cellStyle name="SAPBEXexcGood1 6 14" xfId="35093"/>
    <cellStyle name="SAPBEXexcGood1 6 15" xfId="35094"/>
    <cellStyle name="SAPBEXexcGood1 6 2" xfId="35095"/>
    <cellStyle name="SAPBEXexcGood1 6 2 10" xfId="35096"/>
    <cellStyle name="SAPBEXexcGood1 6 2 11" xfId="35097"/>
    <cellStyle name="SAPBEXexcGood1 6 2 12" xfId="35098"/>
    <cellStyle name="SAPBEXexcGood1 6 2 13" xfId="35099"/>
    <cellStyle name="SAPBEXexcGood1 6 2 14" xfId="35100"/>
    <cellStyle name="SAPBEXexcGood1 6 2 15" xfId="35101"/>
    <cellStyle name="SAPBEXexcGood1 6 2 16" xfId="35102"/>
    <cellStyle name="SAPBEXexcGood1 6 2 17" xfId="35103"/>
    <cellStyle name="SAPBEXexcGood1 6 2 18" xfId="35104"/>
    <cellStyle name="SAPBEXexcGood1 6 2 2" xfId="35105"/>
    <cellStyle name="SAPBEXexcGood1 6 2 2 2" xfId="35106"/>
    <cellStyle name="SAPBEXexcGood1 6 2 2 2 2" xfId="35107"/>
    <cellStyle name="SAPBEXexcGood1 6 2 2 3" xfId="35108"/>
    <cellStyle name="SAPBEXexcGood1 6 2 2 4" xfId="35109"/>
    <cellStyle name="SAPBEXexcGood1 6 2 3" xfId="35110"/>
    <cellStyle name="SAPBEXexcGood1 6 2 3 2" xfId="35111"/>
    <cellStyle name="SAPBEXexcGood1 6 2 3 3" xfId="35112"/>
    <cellStyle name="SAPBEXexcGood1 6 2 4" xfId="35113"/>
    <cellStyle name="SAPBEXexcGood1 6 2 4 2" xfId="35114"/>
    <cellStyle name="SAPBEXexcGood1 6 2 5" xfId="35115"/>
    <cellStyle name="SAPBEXexcGood1 6 2 6" xfId="35116"/>
    <cellStyle name="SAPBEXexcGood1 6 2 7" xfId="35117"/>
    <cellStyle name="SAPBEXexcGood1 6 2 8" xfId="35118"/>
    <cellStyle name="SAPBEXexcGood1 6 2 9" xfId="35119"/>
    <cellStyle name="SAPBEXexcGood1 6 3" xfId="35120"/>
    <cellStyle name="SAPBEXexcGood1 6 3 10" xfId="35121"/>
    <cellStyle name="SAPBEXexcGood1 6 3 11" xfId="35122"/>
    <cellStyle name="SAPBEXexcGood1 6 3 12" xfId="35123"/>
    <cellStyle name="SAPBEXexcGood1 6 3 13" xfId="35124"/>
    <cellStyle name="SAPBEXexcGood1 6 3 14" xfId="35125"/>
    <cellStyle name="SAPBEXexcGood1 6 3 15" xfId="35126"/>
    <cellStyle name="SAPBEXexcGood1 6 3 16" xfId="35127"/>
    <cellStyle name="SAPBEXexcGood1 6 3 17" xfId="35128"/>
    <cellStyle name="SAPBEXexcGood1 6 3 18" xfId="35129"/>
    <cellStyle name="SAPBEXexcGood1 6 3 2" xfId="35130"/>
    <cellStyle name="SAPBEXexcGood1 6 3 2 2" xfId="35131"/>
    <cellStyle name="SAPBEXexcGood1 6 3 2 2 2" xfId="35132"/>
    <cellStyle name="SAPBEXexcGood1 6 3 2 3" xfId="35133"/>
    <cellStyle name="SAPBEXexcGood1 6 3 2 4" xfId="35134"/>
    <cellStyle name="SAPBEXexcGood1 6 3 3" xfId="35135"/>
    <cellStyle name="SAPBEXexcGood1 6 3 3 2" xfId="35136"/>
    <cellStyle name="SAPBEXexcGood1 6 3 3 3" xfId="35137"/>
    <cellStyle name="SAPBEXexcGood1 6 3 4" xfId="35138"/>
    <cellStyle name="SAPBEXexcGood1 6 3 4 2" xfId="35139"/>
    <cellStyle name="SAPBEXexcGood1 6 3 5" xfId="35140"/>
    <cellStyle name="SAPBEXexcGood1 6 3 6" xfId="35141"/>
    <cellStyle name="SAPBEXexcGood1 6 3 7" xfId="35142"/>
    <cellStyle name="SAPBEXexcGood1 6 3 8" xfId="35143"/>
    <cellStyle name="SAPBEXexcGood1 6 3 9" xfId="35144"/>
    <cellStyle name="SAPBEXexcGood1 6 4" xfId="35145"/>
    <cellStyle name="SAPBEXexcGood1 6 4 2" xfId="35146"/>
    <cellStyle name="SAPBEXexcGood1 6 4 2 2" xfId="35147"/>
    <cellStyle name="SAPBEXexcGood1 6 4 3" xfId="35148"/>
    <cellStyle name="SAPBEXexcGood1 6 4 4" xfId="35149"/>
    <cellStyle name="SAPBEXexcGood1 6 5" xfId="35150"/>
    <cellStyle name="SAPBEXexcGood1 6 5 2" xfId="35151"/>
    <cellStyle name="SAPBEXexcGood1 6 6" xfId="35152"/>
    <cellStyle name="SAPBEXexcGood1 6 7" xfId="35153"/>
    <cellStyle name="SAPBEXexcGood1 6 8" xfId="35154"/>
    <cellStyle name="SAPBEXexcGood1 6 9" xfId="35155"/>
    <cellStyle name="SAPBEXexcGood1 7" xfId="35156"/>
    <cellStyle name="SAPBEXexcGood1 7 10" xfId="35157"/>
    <cellStyle name="SAPBEXexcGood1 7 11" xfId="35158"/>
    <cellStyle name="SAPBEXexcGood1 7 12" xfId="35159"/>
    <cellStyle name="SAPBEXexcGood1 7 13" xfId="35160"/>
    <cellStyle name="SAPBEXexcGood1 7 14" xfId="35161"/>
    <cellStyle name="SAPBEXexcGood1 7 15" xfId="35162"/>
    <cellStyle name="SAPBEXexcGood1 7 16" xfId="35163"/>
    <cellStyle name="SAPBEXexcGood1 7 17" xfId="35164"/>
    <cellStyle name="SAPBEXexcGood1 7 18" xfId="35165"/>
    <cellStyle name="SAPBEXexcGood1 7 2" xfId="35166"/>
    <cellStyle name="SAPBEXexcGood1 7 3" xfId="35167"/>
    <cellStyle name="SAPBEXexcGood1 7 4" xfId="35168"/>
    <cellStyle name="SAPBEXexcGood1 7 5" xfId="35169"/>
    <cellStyle name="SAPBEXexcGood1 7 6" xfId="35170"/>
    <cellStyle name="SAPBEXexcGood1 7 7" xfId="35171"/>
    <cellStyle name="SAPBEXexcGood1 7 8" xfId="35172"/>
    <cellStyle name="SAPBEXexcGood1 7 9" xfId="35173"/>
    <cellStyle name="SAPBEXexcGood1 8" xfId="35174"/>
    <cellStyle name="SAPBEXexcGood1 9" xfId="35175"/>
    <cellStyle name="SAPBEXexcGood2" xfId="35176"/>
    <cellStyle name="SAPBEXexcGood2 10" xfId="35177"/>
    <cellStyle name="SAPBEXexcGood2 11" xfId="35178"/>
    <cellStyle name="SAPBEXexcGood2 12" xfId="35179"/>
    <cellStyle name="SAPBEXexcGood2 13" xfId="35180"/>
    <cellStyle name="SAPBEXexcGood2 14" xfId="35181"/>
    <cellStyle name="SAPBEXexcGood2 15" xfId="35182"/>
    <cellStyle name="SAPBEXexcGood2 16" xfId="35183"/>
    <cellStyle name="SAPBEXexcGood2 17" xfId="35184"/>
    <cellStyle name="SAPBEXexcGood2 18" xfId="35185"/>
    <cellStyle name="SAPBEXexcGood2 19" xfId="35186"/>
    <cellStyle name="SAPBEXexcGood2 2" xfId="35187"/>
    <cellStyle name="SAPBEXexcGood2 2 10" xfId="35188"/>
    <cellStyle name="SAPBEXexcGood2 2 11" xfId="35189"/>
    <cellStyle name="SAPBEXexcGood2 2 12" xfId="35190"/>
    <cellStyle name="SAPBEXexcGood2 2 13" xfId="35191"/>
    <cellStyle name="SAPBEXexcGood2 2 14" xfId="35192"/>
    <cellStyle name="SAPBEXexcGood2 2 15" xfId="35193"/>
    <cellStyle name="SAPBEXexcGood2 2 16" xfId="35194"/>
    <cellStyle name="SAPBEXexcGood2 2 17" xfId="35195"/>
    <cellStyle name="SAPBEXexcGood2 2 18" xfId="35196"/>
    <cellStyle name="SAPBEXexcGood2 2 19" xfId="35197"/>
    <cellStyle name="SAPBEXexcGood2 2 2" xfId="35198"/>
    <cellStyle name="SAPBEXexcGood2 2 2 10" xfId="35199"/>
    <cellStyle name="SAPBEXexcGood2 2 2 11" xfId="35200"/>
    <cellStyle name="SAPBEXexcGood2 2 2 12" xfId="35201"/>
    <cellStyle name="SAPBEXexcGood2 2 2 13" xfId="35202"/>
    <cellStyle name="SAPBEXexcGood2 2 2 14" xfId="35203"/>
    <cellStyle name="SAPBEXexcGood2 2 2 15" xfId="35204"/>
    <cellStyle name="SAPBEXexcGood2 2 2 16" xfId="35205"/>
    <cellStyle name="SAPBEXexcGood2 2 2 17" xfId="35206"/>
    <cellStyle name="SAPBEXexcGood2 2 2 18" xfId="35207"/>
    <cellStyle name="SAPBEXexcGood2 2 2 19" xfId="35208"/>
    <cellStyle name="SAPBEXexcGood2 2 2 2" xfId="35209"/>
    <cellStyle name="SAPBEXexcGood2 2 2 2 2" xfId="35210"/>
    <cellStyle name="SAPBEXexcGood2 2 2 2 2 2" xfId="35211"/>
    <cellStyle name="SAPBEXexcGood2 2 2 2 3" xfId="35212"/>
    <cellStyle name="SAPBEXexcGood2 2 2 2 4" xfId="35213"/>
    <cellStyle name="SAPBEXexcGood2 2 2 20" xfId="35214"/>
    <cellStyle name="SAPBEXexcGood2 2 2 21" xfId="35215"/>
    <cellStyle name="SAPBEXexcGood2 2 2 3" xfId="35216"/>
    <cellStyle name="SAPBEXexcGood2 2 2 3 2" xfId="35217"/>
    <cellStyle name="SAPBEXexcGood2 2 2 3 3" xfId="35218"/>
    <cellStyle name="SAPBEXexcGood2 2 2 4" xfId="35219"/>
    <cellStyle name="SAPBEXexcGood2 2 2 4 2" xfId="35220"/>
    <cellStyle name="SAPBEXexcGood2 2 2 5" xfId="35221"/>
    <cellStyle name="SAPBEXexcGood2 2 2 6" xfId="35222"/>
    <cellStyle name="SAPBEXexcGood2 2 2 7" xfId="35223"/>
    <cellStyle name="SAPBEXexcGood2 2 2 8" xfId="35224"/>
    <cellStyle name="SAPBEXexcGood2 2 2 9" xfId="35225"/>
    <cellStyle name="SAPBEXexcGood2 2 20" xfId="35226"/>
    <cellStyle name="SAPBEXexcGood2 2 21" xfId="35227"/>
    <cellStyle name="SAPBEXexcGood2 2 22" xfId="35228"/>
    <cellStyle name="SAPBEXexcGood2 2 23" xfId="35229"/>
    <cellStyle name="SAPBEXexcGood2 2 24" xfId="35230"/>
    <cellStyle name="SAPBEXexcGood2 2 3" xfId="35231"/>
    <cellStyle name="SAPBEXexcGood2 2 3 10" xfId="35232"/>
    <cellStyle name="SAPBEXexcGood2 2 3 11" xfId="35233"/>
    <cellStyle name="SAPBEXexcGood2 2 3 12" xfId="35234"/>
    <cellStyle name="SAPBEXexcGood2 2 3 13" xfId="35235"/>
    <cellStyle name="SAPBEXexcGood2 2 3 14" xfId="35236"/>
    <cellStyle name="SAPBEXexcGood2 2 3 15" xfId="35237"/>
    <cellStyle name="SAPBEXexcGood2 2 3 16" xfId="35238"/>
    <cellStyle name="SAPBEXexcGood2 2 3 17" xfId="35239"/>
    <cellStyle name="SAPBEXexcGood2 2 3 18" xfId="35240"/>
    <cellStyle name="SAPBEXexcGood2 2 3 2" xfId="35241"/>
    <cellStyle name="SAPBEXexcGood2 2 3 2 2" xfId="35242"/>
    <cellStyle name="SAPBEXexcGood2 2 3 2 2 2" xfId="35243"/>
    <cellStyle name="SAPBEXexcGood2 2 3 2 3" xfId="35244"/>
    <cellStyle name="SAPBEXexcGood2 2 3 2 4" xfId="35245"/>
    <cellStyle name="SAPBEXexcGood2 2 3 3" xfId="35246"/>
    <cellStyle name="SAPBEXexcGood2 2 3 3 2" xfId="35247"/>
    <cellStyle name="SAPBEXexcGood2 2 3 3 3" xfId="35248"/>
    <cellStyle name="SAPBEXexcGood2 2 3 4" xfId="35249"/>
    <cellStyle name="SAPBEXexcGood2 2 3 4 2" xfId="35250"/>
    <cellStyle name="SAPBEXexcGood2 2 3 5" xfId="35251"/>
    <cellStyle name="SAPBEXexcGood2 2 3 6" xfId="35252"/>
    <cellStyle name="SAPBEXexcGood2 2 3 7" xfId="35253"/>
    <cellStyle name="SAPBEXexcGood2 2 3 8" xfId="35254"/>
    <cellStyle name="SAPBEXexcGood2 2 3 9" xfId="35255"/>
    <cellStyle name="SAPBEXexcGood2 2 4" xfId="35256"/>
    <cellStyle name="SAPBEXexcGood2 2 4 2" xfId="35257"/>
    <cellStyle name="SAPBEXexcGood2 2 4 2 2" xfId="35258"/>
    <cellStyle name="SAPBEXexcGood2 2 4 2 3" xfId="35259"/>
    <cellStyle name="SAPBEXexcGood2 2 4 3" xfId="35260"/>
    <cellStyle name="SAPBEXexcGood2 2 4 3 2" xfId="35261"/>
    <cellStyle name="SAPBEXexcGood2 2 4 4" xfId="35262"/>
    <cellStyle name="SAPBEXexcGood2 2 4 5" xfId="35263"/>
    <cellStyle name="SAPBEXexcGood2 2 5" xfId="35264"/>
    <cellStyle name="SAPBEXexcGood2 2 5 2" xfId="35265"/>
    <cellStyle name="SAPBEXexcGood2 2 5 2 2" xfId="35266"/>
    <cellStyle name="SAPBEXexcGood2 2 5 3" xfId="35267"/>
    <cellStyle name="SAPBEXexcGood2 2 5 4" xfId="35268"/>
    <cellStyle name="SAPBEXexcGood2 2 6" xfId="35269"/>
    <cellStyle name="SAPBEXexcGood2 2 6 2" xfId="35270"/>
    <cellStyle name="SAPBEXexcGood2 2 6 3" xfId="35271"/>
    <cellStyle name="SAPBEXexcGood2 2 7" xfId="35272"/>
    <cellStyle name="SAPBEXexcGood2 2 7 2" xfId="35273"/>
    <cellStyle name="SAPBEXexcGood2 2 8" xfId="35274"/>
    <cellStyle name="SAPBEXexcGood2 2 9" xfId="35275"/>
    <cellStyle name="SAPBEXexcGood2 3" xfId="35276"/>
    <cellStyle name="SAPBEXexcGood2 3 10" xfId="35277"/>
    <cellStyle name="SAPBEXexcGood2 3 11" xfId="35278"/>
    <cellStyle name="SAPBEXexcGood2 3 12" xfId="35279"/>
    <cellStyle name="SAPBEXexcGood2 3 13" xfId="35280"/>
    <cellStyle name="SAPBEXexcGood2 3 14" xfId="35281"/>
    <cellStyle name="SAPBEXexcGood2 3 15" xfId="35282"/>
    <cellStyle name="SAPBEXexcGood2 3 16" xfId="35283"/>
    <cellStyle name="SAPBEXexcGood2 3 17" xfId="35284"/>
    <cellStyle name="SAPBEXexcGood2 3 18" xfId="35285"/>
    <cellStyle name="SAPBEXexcGood2 3 19" xfId="35286"/>
    <cellStyle name="SAPBEXexcGood2 3 2" xfId="35287"/>
    <cellStyle name="SAPBEXexcGood2 3 2 10" xfId="35288"/>
    <cellStyle name="SAPBEXexcGood2 3 2 11" xfId="35289"/>
    <cellStyle name="SAPBEXexcGood2 3 2 12" xfId="35290"/>
    <cellStyle name="SAPBEXexcGood2 3 2 13" xfId="35291"/>
    <cellStyle name="SAPBEXexcGood2 3 2 14" xfId="35292"/>
    <cellStyle name="SAPBEXexcGood2 3 2 15" xfId="35293"/>
    <cellStyle name="SAPBEXexcGood2 3 2 16" xfId="35294"/>
    <cellStyle name="SAPBEXexcGood2 3 2 17" xfId="35295"/>
    <cellStyle name="SAPBEXexcGood2 3 2 18" xfId="35296"/>
    <cellStyle name="SAPBEXexcGood2 3 2 2" xfId="35297"/>
    <cellStyle name="SAPBEXexcGood2 3 2 2 2" xfId="35298"/>
    <cellStyle name="SAPBEXexcGood2 3 2 2 2 2" xfId="35299"/>
    <cellStyle name="SAPBEXexcGood2 3 2 2 3" xfId="35300"/>
    <cellStyle name="SAPBEXexcGood2 3 2 2 4" xfId="35301"/>
    <cellStyle name="SAPBEXexcGood2 3 2 3" xfId="35302"/>
    <cellStyle name="SAPBEXexcGood2 3 2 3 2" xfId="35303"/>
    <cellStyle name="SAPBEXexcGood2 3 2 3 3" xfId="35304"/>
    <cellStyle name="SAPBEXexcGood2 3 2 4" xfId="35305"/>
    <cellStyle name="SAPBEXexcGood2 3 2 4 2" xfId="35306"/>
    <cellStyle name="SAPBEXexcGood2 3 2 5" xfId="35307"/>
    <cellStyle name="SAPBEXexcGood2 3 2 6" xfId="35308"/>
    <cellStyle name="SAPBEXexcGood2 3 2 7" xfId="35309"/>
    <cellStyle name="SAPBEXexcGood2 3 2 8" xfId="35310"/>
    <cellStyle name="SAPBEXexcGood2 3 2 9" xfId="35311"/>
    <cellStyle name="SAPBEXexcGood2 3 20" xfId="35312"/>
    <cellStyle name="SAPBEXexcGood2 3 21" xfId="35313"/>
    <cellStyle name="SAPBEXexcGood2 3 22" xfId="35314"/>
    <cellStyle name="SAPBEXexcGood2 3 3" xfId="35315"/>
    <cellStyle name="SAPBEXexcGood2 3 3 10" xfId="35316"/>
    <cellStyle name="SAPBEXexcGood2 3 3 11" xfId="35317"/>
    <cellStyle name="SAPBEXexcGood2 3 3 12" xfId="35318"/>
    <cellStyle name="SAPBEXexcGood2 3 3 13" xfId="35319"/>
    <cellStyle name="SAPBEXexcGood2 3 3 14" xfId="35320"/>
    <cellStyle name="SAPBEXexcGood2 3 3 15" xfId="35321"/>
    <cellStyle name="SAPBEXexcGood2 3 3 16" xfId="35322"/>
    <cellStyle name="SAPBEXexcGood2 3 3 17" xfId="35323"/>
    <cellStyle name="SAPBEXexcGood2 3 3 18" xfId="35324"/>
    <cellStyle name="SAPBEXexcGood2 3 3 2" xfId="35325"/>
    <cellStyle name="SAPBEXexcGood2 3 3 2 2" xfId="35326"/>
    <cellStyle name="SAPBEXexcGood2 3 3 2 2 2" xfId="35327"/>
    <cellStyle name="SAPBEXexcGood2 3 3 2 3" xfId="35328"/>
    <cellStyle name="SAPBEXexcGood2 3 3 2 4" xfId="35329"/>
    <cellStyle name="SAPBEXexcGood2 3 3 3" xfId="35330"/>
    <cellStyle name="SAPBEXexcGood2 3 3 3 2" xfId="35331"/>
    <cellStyle name="SAPBEXexcGood2 3 3 3 3" xfId="35332"/>
    <cellStyle name="SAPBEXexcGood2 3 3 4" xfId="35333"/>
    <cellStyle name="SAPBEXexcGood2 3 3 4 2" xfId="35334"/>
    <cellStyle name="SAPBEXexcGood2 3 3 5" xfId="35335"/>
    <cellStyle name="SAPBEXexcGood2 3 3 6" xfId="35336"/>
    <cellStyle name="SAPBEXexcGood2 3 3 7" xfId="35337"/>
    <cellStyle name="SAPBEXexcGood2 3 3 8" xfId="35338"/>
    <cellStyle name="SAPBEXexcGood2 3 3 9" xfId="35339"/>
    <cellStyle name="SAPBEXexcGood2 3 4" xfId="35340"/>
    <cellStyle name="SAPBEXexcGood2 3 4 2" xfId="35341"/>
    <cellStyle name="SAPBEXexcGood2 3 4 2 2" xfId="35342"/>
    <cellStyle name="SAPBEXexcGood2 3 4 2 3" xfId="35343"/>
    <cellStyle name="SAPBEXexcGood2 3 4 3" xfId="35344"/>
    <cellStyle name="SAPBEXexcGood2 3 4 3 2" xfId="35345"/>
    <cellStyle name="SAPBEXexcGood2 3 4 4" xfId="35346"/>
    <cellStyle name="SAPBEXexcGood2 3 4 5" xfId="35347"/>
    <cellStyle name="SAPBEXexcGood2 3 5" xfId="35348"/>
    <cellStyle name="SAPBEXexcGood2 3 5 2" xfId="35349"/>
    <cellStyle name="SAPBEXexcGood2 3 5 2 2" xfId="35350"/>
    <cellStyle name="SAPBEXexcGood2 3 5 3" xfId="35351"/>
    <cellStyle name="SAPBEXexcGood2 3 5 4" xfId="35352"/>
    <cellStyle name="SAPBEXexcGood2 3 6" xfId="35353"/>
    <cellStyle name="SAPBEXexcGood2 3 6 2" xfId="35354"/>
    <cellStyle name="SAPBEXexcGood2 3 6 3" xfId="35355"/>
    <cellStyle name="SAPBEXexcGood2 3 7" xfId="35356"/>
    <cellStyle name="SAPBEXexcGood2 3 7 2" xfId="35357"/>
    <cellStyle name="SAPBEXexcGood2 3 8" xfId="35358"/>
    <cellStyle name="SAPBEXexcGood2 3 9" xfId="35359"/>
    <cellStyle name="SAPBEXexcGood2 4" xfId="35360"/>
    <cellStyle name="SAPBEXexcGood2 4 10" xfId="35361"/>
    <cellStyle name="SAPBEXexcGood2 4 11" xfId="35362"/>
    <cellStyle name="SAPBEXexcGood2 4 12" xfId="35363"/>
    <cellStyle name="SAPBEXexcGood2 4 13" xfId="35364"/>
    <cellStyle name="SAPBEXexcGood2 4 14" xfId="35365"/>
    <cellStyle name="SAPBEXexcGood2 4 15" xfId="35366"/>
    <cellStyle name="SAPBEXexcGood2 4 16" xfId="35367"/>
    <cellStyle name="SAPBEXexcGood2 4 17" xfId="35368"/>
    <cellStyle name="SAPBEXexcGood2 4 18" xfId="35369"/>
    <cellStyle name="SAPBEXexcGood2 4 19" xfId="35370"/>
    <cellStyle name="SAPBEXexcGood2 4 2" xfId="35371"/>
    <cellStyle name="SAPBEXexcGood2 4 2 10" xfId="35372"/>
    <cellStyle name="SAPBEXexcGood2 4 2 11" xfId="35373"/>
    <cellStyle name="SAPBEXexcGood2 4 2 12" xfId="35374"/>
    <cellStyle name="SAPBEXexcGood2 4 2 13" xfId="35375"/>
    <cellStyle name="SAPBEXexcGood2 4 2 14" xfId="35376"/>
    <cellStyle name="SAPBEXexcGood2 4 2 15" xfId="35377"/>
    <cellStyle name="SAPBEXexcGood2 4 2 16" xfId="35378"/>
    <cellStyle name="SAPBEXexcGood2 4 2 17" xfId="35379"/>
    <cellStyle name="SAPBEXexcGood2 4 2 18" xfId="35380"/>
    <cellStyle name="SAPBEXexcGood2 4 2 2" xfId="35381"/>
    <cellStyle name="SAPBEXexcGood2 4 2 2 2" xfId="35382"/>
    <cellStyle name="SAPBEXexcGood2 4 2 2 2 2" xfId="35383"/>
    <cellStyle name="SAPBEXexcGood2 4 2 2 3" xfId="35384"/>
    <cellStyle name="SAPBEXexcGood2 4 2 2 4" xfId="35385"/>
    <cellStyle name="SAPBEXexcGood2 4 2 3" xfId="35386"/>
    <cellStyle name="SAPBEXexcGood2 4 2 3 2" xfId="35387"/>
    <cellStyle name="SAPBEXexcGood2 4 2 3 3" xfId="35388"/>
    <cellStyle name="SAPBEXexcGood2 4 2 4" xfId="35389"/>
    <cellStyle name="SAPBEXexcGood2 4 2 4 2" xfId="35390"/>
    <cellStyle name="SAPBEXexcGood2 4 2 5" xfId="35391"/>
    <cellStyle name="SAPBEXexcGood2 4 2 6" xfId="35392"/>
    <cellStyle name="SAPBEXexcGood2 4 2 7" xfId="35393"/>
    <cellStyle name="SAPBEXexcGood2 4 2 8" xfId="35394"/>
    <cellStyle name="SAPBEXexcGood2 4 2 9" xfId="35395"/>
    <cellStyle name="SAPBEXexcGood2 4 20" xfId="35396"/>
    <cellStyle name="SAPBEXexcGood2 4 21" xfId="35397"/>
    <cellStyle name="SAPBEXexcGood2 4 22" xfId="35398"/>
    <cellStyle name="SAPBEXexcGood2 4 3" xfId="35399"/>
    <cellStyle name="SAPBEXexcGood2 4 3 10" xfId="35400"/>
    <cellStyle name="SAPBEXexcGood2 4 3 11" xfId="35401"/>
    <cellStyle name="SAPBEXexcGood2 4 3 12" xfId="35402"/>
    <cellStyle name="SAPBEXexcGood2 4 3 13" xfId="35403"/>
    <cellStyle name="SAPBEXexcGood2 4 3 14" xfId="35404"/>
    <cellStyle name="SAPBEXexcGood2 4 3 15" xfId="35405"/>
    <cellStyle name="SAPBEXexcGood2 4 3 16" xfId="35406"/>
    <cellStyle name="SAPBEXexcGood2 4 3 17" xfId="35407"/>
    <cellStyle name="SAPBEXexcGood2 4 3 18" xfId="35408"/>
    <cellStyle name="SAPBEXexcGood2 4 3 2" xfId="35409"/>
    <cellStyle name="SAPBEXexcGood2 4 3 2 2" xfId="35410"/>
    <cellStyle name="SAPBEXexcGood2 4 3 2 2 2" xfId="35411"/>
    <cellStyle name="SAPBEXexcGood2 4 3 2 3" xfId="35412"/>
    <cellStyle name="SAPBEXexcGood2 4 3 2 4" xfId="35413"/>
    <cellStyle name="SAPBEXexcGood2 4 3 3" xfId="35414"/>
    <cellStyle name="SAPBEXexcGood2 4 3 3 2" xfId="35415"/>
    <cellStyle name="SAPBEXexcGood2 4 3 3 3" xfId="35416"/>
    <cellStyle name="SAPBEXexcGood2 4 3 4" xfId="35417"/>
    <cellStyle name="SAPBEXexcGood2 4 3 4 2" xfId="35418"/>
    <cellStyle name="SAPBEXexcGood2 4 3 5" xfId="35419"/>
    <cellStyle name="SAPBEXexcGood2 4 3 6" xfId="35420"/>
    <cellStyle name="SAPBEXexcGood2 4 3 7" xfId="35421"/>
    <cellStyle name="SAPBEXexcGood2 4 3 8" xfId="35422"/>
    <cellStyle name="SAPBEXexcGood2 4 3 9" xfId="35423"/>
    <cellStyle name="SAPBEXexcGood2 4 4" xfId="35424"/>
    <cellStyle name="SAPBEXexcGood2 4 4 2" xfId="35425"/>
    <cellStyle name="SAPBEXexcGood2 4 4 2 2" xfId="35426"/>
    <cellStyle name="SAPBEXexcGood2 4 4 2 3" xfId="35427"/>
    <cellStyle name="SAPBEXexcGood2 4 4 3" xfId="35428"/>
    <cellStyle name="SAPBEXexcGood2 4 4 3 2" xfId="35429"/>
    <cellStyle name="SAPBEXexcGood2 4 4 4" xfId="35430"/>
    <cellStyle name="SAPBEXexcGood2 4 4 5" xfId="35431"/>
    <cellStyle name="SAPBEXexcGood2 4 5" xfId="35432"/>
    <cellStyle name="SAPBEXexcGood2 4 5 2" xfId="35433"/>
    <cellStyle name="SAPBEXexcGood2 4 5 2 2" xfId="35434"/>
    <cellStyle name="SAPBEXexcGood2 4 5 3" xfId="35435"/>
    <cellStyle name="SAPBEXexcGood2 4 5 4" xfId="35436"/>
    <cellStyle name="SAPBEXexcGood2 4 6" xfId="35437"/>
    <cellStyle name="SAPBEXexcGood2 4 6 2" xfId="35438"/>
    <cellStyle name="SAPBEXexcGood2 4 6 3" xfId="35439"/>
    <cellStyle name="SAPBEXexcGood2 4 7" xfId="35440"/>
    <cellStyle name="SAPBEXexcGood2 4 7 2" xfId="35441"/>
    <cellStyle name="SAPBEXexcGood2 4 8" xfId="35442"/>
    <cellStyle name="SAPBEXexcGood2 4 9" xfId="35443"/>
    <cellStyle name="SAPBEXexcGood2 5" xfId="35444"/>
    <cellStyle name="SAPBEXexcGood2 5 10" xfId="35445"/>
    <cellStyle name="SAPBEXexcGood2 5 11" xfId="35446"/>
    <cellStyle name="SAPBEXexcGood2 5 12" xfId="35447"/>
    <cellStyle name="SAPBEXexcGood2 5 13" xfId="35448"/>
    <cellStyle name="SAPBEXexcGood2 5 14" xfId="35449"/>
    <cellStyle name="SAPBEXexcGood2 5 15" xfId="35450"/>
    <cellStyle name="SAPBEXexcGood2 5 16" xfId="35451"/>
    <cellStyle name="SAPBEXexcGood2 5 17" xfId="35452"/>
    <cellStyle name="SAPBEXexcGood2 5 18" xfId="35453"/>
    <cellStyle name="SAPBEXexcGood2 5 19" xfId="35454"/>
    <cellStyle name="SAPBEXexcGood2 5 2" xfId="35455"/>
    <cellStyle name="SAPBEXexcGood2 5 2 10" xfId="35456"/>
    <cellStyle name="SAPBEXexcGood2 5 2 11" xfId="35457"/>
    <cellStyle name="SAPBEXexcGood2 5 2 12" xfId="35458"/>
    <cellStyle name="SAPBEXexcGood2 5 2 13" xfId="35459"/>
    <cellStyle name="SAPBEXexcGood2 5 2 14" xfId="35460"/>
    <cellStyle name="SAPBEXexcGood2 5 2 15" xfId="35461"/>
    <cellStyle name="SAPBEXexcGood2 5 2 16" xfId="35462"/>
    <cellStyle name="SAPBEXexcGood2 5 2 17" xfId="35463"/>
    <cellStyle name="SAPBEXexcGood2 5 2 18" xfId="35464"/>
    <cellStyle name="SAPBEXexcGood2 5 2 2" xfId="35465"/>
    <cellStyle name="SAPBEXexcGood2 5 2 2 2" xfId="35466"/>
    <cellStyle name="SAPBEXexcGood2 5 2 2 2 2" xfId="35467"/>
    <cellStyle name="SAPBEXexcGood2 5 2 2 3" xfId="35468"/>
    <cellStyle name="SAPBEXexcGood2 5 2 2 4" xfId="35469"/>
    <cellStyle name="SAPBEXexcGood2 5 2 3" xfId="35470"/>
    <cellStyle name="SAPBEXexcGood2 5 2 3 2" xfId="35471"/>
    <cellStyle name="SAPBEXexcGood2 5 2 3 3" xfId="35472"/>
    <cellStyle name="SAPBEXexcGood2 5 2 4" xfId="35473"/>
    <cellStyle name="SAPBEXexcGood2 5 2 4 2" xfId="35474"/>
    <cellStyle name="SAPBEXexcGood2 5 2 5" xfId="35475"/>
    <cellStyle name="SAPBEXexcGood2 5 2 6" xfId="35476"/>
    <cellStyle name="SAPBEXexcGood2 5 2 7" xfId="35477"/>
    <cellStyle name="SAPBEXexcGood2 5 2 8" xfId="35478"/>
    <cellStyle name="SAPBEXexcGood2 5 2 9" xfId="35479"/>
    <cellStyle name="SAPBEXexcGood2 5 20" xfId="35480"/>
    <cellStyle name="SAPBEXexcGood2 5 21" xfId="35481"/>
    <cellStyle name="SAPBEXexcGood2 5 22" xfId="35482"/>
    <cellStyle name="SAPBEXexcGood2 5 3" xfId="35483"/>
    <cellStyle name="SAPBEXexcGood2 5 3 10" xfId="35484"/>
    <cellStyle name="SAPBEXexcGood2 5 3 11" xfId="35485"/>
    <cellStyle name="SAPBEXexcGood2 5 3 12" xfId="35486"/>
    <cellStyle name="SAPBEXexcGood2 5 3 13" xfId="35487"/>
    <cellStyle name="SAPBEXexcGood2 5 3 14" xfId="35488"/>
    <cellStyle name="SAPBEXexcGood2 5 3 15" xfId="35489"/>
    <cellStyle name="SAPBEXexcGood2 5 3 16" xfId="35490"/>
    <cellStyle name="SAPBEXexcGood2 5 3 17" xfId="35491"/>
    <cellStyle name="SAPBEXexcGood2 5 3 18" xfId="35492"/>
    <cellStyle name="SAPBEXexcGood2 5 3 2" xfId="35493"/>
    <cellStyle name="SAPBEXexcGood2 5 3 2 2" xfId="35494"/>
    <cellStyle name="SAPBEXexcGood2 5 3 2 2 2" xfId="35495"/>
    <cellStyle name="SAPBEXexcGood2 5 3 2 3" xfId="35496"/>
    <cellStyle name="SAPBEXexcGood2 5 3 2 4" xfId="35497"/>
    <cellStyle name="SAPBEXexcGood2 5 3 3" xfId="35498"/>
    <cellStyle name="SAPBEXexcGood2 5 3 3 2" xfId="35499"/>
    <cellStyle name="SAPBEXexcGood2 5 3 3 3" xfId="35500"/>
    <cellStyle name="SAPBEXexcGood2 5 3 4" xfId="35501"/>
    <cellStyle name="SAPBEXexcGood2 5 3 4 2" xfId="35502"/>
    <cellStyle name="SAPBEXexcGood2 5 3 5" xfId="35503"/>
    <cellStyle name="SAPBEXexcGood2 5 3 6" xfId="35504"/>
    <cellStyle name="SAPBEXexcGood2 5 3 7" xfId="35505"/>
    <cellStyle name="SAPBEXexcGood2 5 3 8" xfId="35506"/>
    <cellStyle name="SAPBEXexcGood2 5 3 9" xfId="35507"/>
    <cellStyle name="SAPBEXexcGood2 5 4" xfId="35508"/>
    <cellStyle name="SAPBEXexcGood2 5 4 2" xfId="35509"/>
    <cellStyle name="SAPBEXexcGood2 5 4 2 2" xfId="35510"/>
    <cellStyle name="SAPBEXexcGood2 5 4 2 3" xfId="35511"/>
    <cellStyle name="SAPBEXexcGood2 5 4 3" xfId="35512"/>
    <cellStyle name="SAPBEXexcGood2 5 4 3 2" xfId="35513"/>
    <cellStyle name="SAPBEXexcGood2 5 4 4" xfId="35514"/>
    <cellStyle name="SAPBEXexcGood2 5 4 5" xfId="35515"/>
    <cellStyle name="SAPBEXexcGood2 5 5" xfId="35516"/>
    <cellStyle name="SAPBEXexcGood2 5 5 2" xfId="35517"/>
    <cellStyle name="SAPBEXexcGood2 5 5 2 2" xfId="35518"/>
    <cellStyle name="SAPBEXexcGood2 5 5 3" xfId="35519"/>
    <cellStyle name="SAPBEXexcGood2 5 5 4" xfId="35520"/>
    <cellStyle name="SAPBEXexcGood2 5 6" xfId="35521"/>
    <cellStyle name="SAPBEXexcGood2 5 6 2" xfId="35522"/>
    <cellStyle name="SAPBEXexcGood2 5 6 3" xfId="35523"/>
    <cellStyle name="SAPBEXexcGood2 5 7" xfId="35524"/>
    <cellStyle name="SAPBEXexcGood2 5 7 2" xfId="35525"/>
    <cellStyle name="SAPBEXexcGood2 5 8" xfId="35526"/>
    <cellStyle name="SAPBEXexcGood2 5 9" xfId="35527"/>
    <cellStyle name="SAPBEXexcGood2 6" xfId="35528"/>
    <cellStyle name="SAPBEXexcGood2 6 10" xfId="35529"/>
    <cellStyle name="SAPBEXexcGood2 6 11" xfId="35530"/>
    <cellStyle name="SAPBEXexcGood2 6 12" xfId="35531"/>
    <cellStyle name="SAPBEXexcGood2 6 13" xfId="35532"/>
    <cellStyle name="SAPBEXexcGood2 6 14" xfId="35533"/>
    <cellStyle name="SAPBEXexcGood2 6 15" xfId="35534"/>
    <cellStyle name="SAPBEXexcGood2 6 2" xfId="35535"/>
    <cellStyle name="SAPBEXexcGood2 6 2 10" xfId="35536"/>
    <cellStyle name="SAPBEXexcGood2 6 2 11" xfId="35537"/>
    <cellStyle name="SAPBEXexcGood2 6 2 12" xfId="35538"/>
    <cellStyle name="SAPBEXexcGood2 6 2 13" xfId="35539"/>
    <cellStyle name="SAPBEXexcGood2 6 2 14" xfId="35540"/>
    <cellStyle name="SAPBEXexcGood2 6 2 15" xfId="35541"/>
    <cellStyle name="SAPBEXexcGood2 6 2 16" xfId="35542"/>
    <cellStyle name="SAPBEXexcGood2 6 2 17" xfId="35543"/>
    <cellStyle name="SAPBEXexcGood2 6 2 18" xfId="35544"/>
    <cellStyle name="SAPBEXexcGood2 6 2 2" xfId="35545"/>
    <cellStyle name="SAPBEXexcGood2 6 2 2 2" xfId="35546"/>
    <cellStyle name="SAPBEXexcGood2 6 2 2 2 2" xfId="35547"/>
    <cellStyle name="SAPBEXexcGood2 6 2 2 3" xfId="35548"/>
    <cellStyle name="SAPBEXexcGood2 6 2 2 4" xfId="35549"/>
    <cellStyle name="SAPBEXexcGood2 6 2 3" xfId="35550"/>
    <cellStyle name="SAPBEXexcGood2 6 2 3 2" xfId="35551"/>
    <cellStyle name="SAPBEXexcGood2 6 2 3 3" xfId="35552"/>
    <cellStyle name="SAPBEXexcGood2 6 2 4" xfId="35553"/>
    <cellStyle name="SAPBEXexcGood2 6 2 4 2" xfId="35554"/>
    <cellStyle name="SAPBEXexcGood2 6 2 5" xfId="35555"/>
    <cellStyle name="SAPBEXexcGood2 6 2 6" xfId="35556"/>
    <cellStyle name="SAPBEXexcGood2 6 2 7" xfId="35557"/>
    <cellStyle name="SAPBEXexcGood2 6 2 8" xfId="35558"/>
    <cellStyle name="SAPBEXexcGood2 6 2 9" xfId="35559"/>
    <cellStyle name="SAPBEXexcGood2 6 3" xfId="35560"/>
    <cellStyle name="SAPBEXexcGood2 6 3 10" xfId="35561"/>
    <cellStyle name="SAPBEXexcGood2 6 3 11" xfId="35562"/>
    <cellStyle name="SAPBEXexcGood2 6 3 12" xfId="35563"/>
    <cellStyle name="SAPBEXexcGood2 6 3 13" xfId="35564"/>
    <cellStyle name="SAPBEXexcGood2 6 3 14" xfId="35565"/>
    <cellStyle name="SAPBEXexcGood2 6 3 15" xfId="35566"/>
    <cellStyle name="SAPBEXexcGood2 6 3 16" xfId="35567"/>
    <cellStyle name="SAPBEXexcGood2 6 3 17" xfId="35568"/>
    <cellStyle name="SAPBEXexcGood2 6 3 18" xfId="35569"/>
    <cellStyle name="SAPBEXexcGood2 6 3 2" xfId="35570"/>
    <cellStyle name="SAPBEXexcGood2 6 3 2 2" xfId="35571"/>
    <cellStyle name="SAPBEXexcGood2 6 3 2 2 2" xfId="35572"/>
    <cellStyle name="SAPBEXexcGood2 6 3 2 3" xfId="35573"/>
    <cellStyle name="SAPBEXexcGood2 6 3 2 4" xfId="35574"/>
    <cellStyle name="SAPBEXexcGood2 6 3 3" xfId="35575"/>
    <cellStyle name="SAPBEXexcGood2 6 3 3 2" xfId="35576"/>
    <cellStyle name="SAPBEXexcGood2 6 3 3 3" xfId="35577"/>
    <cellStyle name="SAPBEXexcGood2 6 3 4" xfId="35578"/>
    <cellStyle name="SAPBEXexcGood2 6 3 4 2" xfId="35579"/>
    <cellStyle name="SAPBEXexcGood2 6 3 5" xfId="35580"/>
    <cellStyle name="SAPBEXexcGood2 6 3 6" xfId="35581"/>
    <cellStyle name="SAPBEXexcGood2 6 3 7" xfId="35582"/>
    <cellStyle name="SAPBEXexcGood2 6 3 8" xfId="35583"/>
    <cellStyle name="SAPBEXexcGood2 6 3 9" xfId="35584"/>
    <cellStyle name="SAPBEXexcGood2 6 4" xfId="35585"/>
    <cellStyle name="SAPBEXexcGood2 6 4 2" xfId="35586"/>
    <cellStyle name="SAPBEXexcGood2 6 4 2 2" xfId="35587"/>
    <cellStyle name="SAPBEXexcGood2 6 4 3" xfId="35588"/>
    <cellStyle name="SAPBEXexcGood2 6 4 4" xfId="35589"/>
    <cellStyle name="SAPBEXexcGood2 6 5" xfId="35590"/>
    <cellStyle name="SAPBEXexcGood2 6 5 2" xfId="35591"/>
    <cellStyle name="SAPBEXexcGood2 6 6" xfId="35592"/>
    <cellStyle name="SAPBEXexcGood2 6 7" xfId="35593"/>
    <cellStyle name="SAPBEXexcGood2 6 8" xfId="35594"/>
    <cellStyle name="SAPBEXexcGood2 6 9" xfId="35595"/>
    <cellStyle name="SAPBEXexcGood2 7" xfId="35596"/>
    <cellStyle name="SAPBEXexcGood2 7 10" xfId="35597"/>
    <cellStyle name="SAPBEXexcGood2 7 11" xfId="35598"/>
    <cellStyle name="SAPBEXexcGood2 7 12" xfId="35599"/>
    <cellStyle name="SAPBEXexcGood2 7 13" xfId="35600"/>
    <cellStyle name="SAPBEXexcGood2 7 14" xfId="35601"/>
    <cellStyle name="SAPBEXexcGood2 7 15" xfId="35602"/>
    <cellStyle name="SAPBEXexcGood2 7 16" xfId="35603"/>
    <cellStyle name="SAPBEXexcGood2 7 17" xfId="35604"/>
    <cellStyle name="SAPBEXexcGood2 7 18" xfId="35605"/>
    <cellStyle name="SAPBEXexcGood2 7 2" xfId="35606"/>
    <cellStyle name="SAPBEXexcGood2 7 3" xfId="35607"/>
    <cellStyle name="SAPBEXexcGood2 7 4" xfId="35608"/>
    <cellStyle name="SAPBEXexcGood2 7 5" xfId="35609"/>
    <cellStyle name="SAPBEXexcGood2 7 6" xfId="35610"/>
    <cellStyle name="SAPBEXexcGood2 7 7" xfId="35611"/>
    <cellStyle name="SAPBEXexcGood2 7 8" xfId="35612"/>
    <cellStyle name="SAPBEXexcGood2 7 9" xfId="35613"/>
    <cellStyle name="SAPBEXexcGood2 8" xfId="35614"/>
    <cellStyle name="SAPBEXexcGood2 9" xfId="35615"/>
    <cellStyle name="SAPBEXexcGood3" xfId="35616"/>
    <cellStyle name="SAPBEXexcGood3 10" xfId="35617"/>
    <cellStyle name="SAPBEXexcGood3 11" xfId="35618"/>
    <cellStyle name="SAPBEXexcGood3 12" xfId="35619"/>
    <cellStyle name="SAPBEXexcGood3 13" xfId="35620"/>
    <cellStyle name="SAPBEXexcGood3 14" xfId="35621"/>
    <cellStyle name="SAPBEXexcGood3 15" xfId="35622"/>
    <cellStyle name="SAPBEXexcGood3 16" xfId="35623"/>
    <cellStyle name="SAPBEXexcGood3 17" xfId="35624"/>
    <cellStyle name="SAPBEXexcGood3 18" xfId="35625"/>
    <cellStyle name="SAPBEXexcGood3 19" xfId="35626"/>
    <cellStyle name="SAPBEXexcGood3 2" xfId="35627"/>
    <cellStyle name="SAPBEXexcGood3 2 10" xfId="35628"/>
    <cellStyle name="SAPBEXexcGood3 2 11" xfId="35629"/>
    <cellStyle name="SAPBEXexcGood3 2 12" xfId="35630"/>
    <cellStyle name="SAPBEXexcGood3 2 13" xfId="35631"/>
    <cellStyle name="SAPBEXexcGood3 2 14" xfId="35632"/>
    <cellStyle name="SAPBEXexcGood3 2 15" xfId="35633"/>
    <cellStyle name="SAPBEXexcGood3 2 16" xfId="35634"/>
    <cellStyle name="SAPBEXexcGood3 2 17" xfId="35635"/>
    <cellStyle name="SAPBEXexcGood3 2 18" xfId="35636"/>
    <cellStyle name="SAPBEXexcGood3 2 19" xfId="35637"/>
    <cellStyle name="SAPBEXexcGood3 2 2" xfId="35638"/>
    <cellStyle name="SAPBEXexcGood3 2 2 10" xfId="35639"/>
    <cellStyle name="SAPBEXexcGood3 2 2 11" xfId="35640"/>
    <cellStyle name="SAPBEXexcGood3 2 2 12" xfId="35641"/>
    <cellStyle name="SAPBEXexcGood3 2 2 13" xfId="35642"/>
    <cellStyle name="SAPBEXexcGood3 2 2 14" xfId="35643"/>
    <cellStyle name="SAPBEXexcGood3 2 2 15" xfId="35644"/>
    <cellStyle name="SAPBEXexcGood3 2 2 16" xfId="35645"/>
    <cellStyle name="SAPBEXexcGood3 2 2 17" xfId="35646"/>
    <cellStyle name="SAPBEXexcGood3 2 2 18" xfId="35647"/>
    <cellStyle name="SAPBEXexcGood3 2 2 19" xfId="35648"/>
    <cellStyle name="SAPBEXexcGood3 2 2 2" xfId="35649"/>
    <cellStyle name="SAPBEXexcGood3 2 2 2 2" xfId="35650"/>
    <cellStyle name="SAPBEXexcGood3 2 2 2 2 2" xfId="35651"/>
    <cellStyle name="SAPBEXexcGood3 2 2 2 3" xfId="35652"/>
    <cellStyle name="SAPBEXexcGood3 2 2 2 4" xfId="35653"/>
    <cellStyle name="SAPBEXexcGood3 2 2 20" xfId="35654"/>
    <cellStyle name="SAPBEXexcGood3 2 2 21" xfId="35655"/>
    <cellStyle name="SAPBEXexcGood3 2 2 3" xfId="35656"/>
    <cellStyle name="SAPBEXexcGood3 2 2 3 2" xfId="35657"/>
    <cellStyle name="SAPBEXexcGood3 2 2 3 3" xfId="35658"/>
    <cellStyle name="SAPBEXexcGood3 2 2 4" xfId="35659"/>
    <cellStyle name="SAPBEXexcGood3 2 2 4 2" xfId="35660"/>
    <cellStyle name="SAPBEXexcGood3 2 2 5" xfId="35661"/>
    <cellStyle name="SAPBEXexcGood3 2 2 6" xfId="35662"/>
    <cellStyle name="SAPBEXexcGood3 2 2 7" xfId="35663"/>
    <cellStyle name="SAPBEXexcGood3 2 2 8" xfId="35664"/>
    <cellStyle name="SAPBEXexcGood3 2 2 9" xfId="35665"/>
    <cellStyle name="SAPBEXexcGood3 2 20" xfId="35666"/>
    <cellStyle name="SAPBEXexcGood3 2 21" xfId="35667"/>
    <cellStyle name="SAPBEXexcGood3 2 22" xfId="35668"/>
    <cellStyle name="SAPBEXexcGood3 2 23" xfId="35669"/>
    <cellStyle name="SAPBEXexcGood3 2 24" xfId="35670"/>
    <cellStyle name="SAPBEXexcGood3 2 3" xfId="35671"/>
    <cellStyle name="SAPBEXexcGood3 2 3 10" xfId="35672"/>
    <cellStyle name="SAPBEXexcGood3 2 3 11" xfId="35673"/>
    <cellStyle name="SAPBEXexcGood3 2 3 12" xfId="35674"/>
    <cellStyle name="SAPBEXexcGood3 2 3 13" xfId="35675"/>
    <cellStyle name="SAPBEXexcGood3 2 3 14" xfId="35676"/>
    <cellStyle name="SAPBEXexcGood3 2 3 15" xfId="35677"/>
    <cellStyle name="SAPBEXexcGood3 2 3 16" xfId="35678"/>
    <cellStyle name="SAPBEXexcGood3 2 3 17" xfId="35679"/>
    <cellStyle name="SAPBEXexcGood3 2 3 18" xfId="35680"/>
    <cellStyle name="SAPBEXexcGood3 2 3 2" xfId="35681"/>
    <cellStyle name="SAPBEXexcGood3 2 3 2 2" xfId="35682"/>
    <cellStyle name="SAPBEXexcGood3 2 3 2 2 2" xfId="35683"/>
    <cellStyle name="SAPBEXexcGood3 2 3 2 3" xfId="35684"/>
    <cellStyle name="SAPBEXexcGood3 2 3 2 4" xfId="35685"/>
    <cellStyle name="SAPBEXexcGood3 2 3 3" xfId="35686"/>
    <cellStyle name="SAPBEXexcGood3 2 3 3 2" xfId="35687"/>
    <cellStyle name="SAPBEXexcGood3 2 3 3 3" xfId="35688"/>
    <cellStyle name="SAPBEXexcGood3 2 3 4" xfId="35689"/>
    <cellStyle name="SAPBEXexcGood3 2 3 4 2" xfId="35690"/>
    <cellStyle name="SAPBEXexcGood3 2 3 5" xfId="35691"/>
    <cellStyle name="SAPBEXexcGood3 2 3 6" xfId="35692"/>
    <cellStyle name="SAPBEXexcGood3 2 3 7" xfId="35693"/>
    <cellStyle name="SAPBEXexcGood3 2 3 8" xfId="35694"/>
    <cellStyle name="SAPBEXexcGood3 2 3 9" xfId="35695"/>
    <cellStyle name="SAPBEXexcGood3 2 4" xfId="35696"/>
    <cellStyle name="SAPBEXexcGood3 2 4 2" xfId="35697"/>
    <cellStyle name="SAPBEXexcGood3 2 4 2 2" xfId="35698"/>
    <cellStyle name="SAPBEXexcGood3 2 4 2 3" xfId="35699"/>
    <cellStyle name="SAPBEXexcGood3 2 4 3" xfId="35700"/>
    <cellStyle name="SAPBEXexcGood3 2 4 3 2" xfId="35701"/>
    <cellStyle name="SAPBEXexcGood3 2 4 4" xfId="35702"/>
    <cellStyle name="SAPBEXexcGood3 2 4 5" xfId="35703"/>
    <cellStyle name="SAPBEXexcGood3 2 5" xfId="35704"/>
    <cellStyle name="SAPBEXexcGood3 2 5 2" xfId="35705"/>
    <cellStyle name="SAPBEXexcGood3 2 5 2 2" xfId="35706"/>
    <cellStyle name="SAPBEXexcGood3 2 5 3" xfId="35707"/>
    <cellStyle name="SAPBEXexcGood3 2 5 4" xfId="35708"/>
    <cellStyle name="SAPBEXexcGood3 2 6" xfId="35709"/>
    <cellStyle name="SAPBEXexcGood3 2 6 2" xfId="35710"/>
    <cellStyle name="SAPBEXexcGood3 2 6 3" xfId="35711"/>
    <cellStyle name="SAPBEXexcGood3 2 7" xfId="35712"/>
    <cellStyle name="SAPBEXexcGood3 2 7 2" xfId="35713"/>
    <cellStyle name="SAPBEXexcGood3 2 8" xfId="35714"/>
    <cellStyle name="SAPBEXexcGood3 2 9" xfId="35715"/>
    <cellStyle name="SAPBEXexcGood3 3" xfId="35716"/>
    <cellStyle name="SAPBEXexcGood3 3 10" xfId="35717"/>
    <cellStyle name="SAPBEXexcGood3 3 11" xfId="35718"/>
    <cellStyle name="SAPBEXexcGood3 3 12" xfId="35719"/>
    <cellStyle name="SAPBEXexcGood3 3 13" xfId="35720"/>
    <cellStyle name="SAPBEXexcGood3 3 14" xfId="35721"/>
    <cellStyle name="SAPBEXexcGood3 3 15" xfId="35722"/>
    <cellStyle name="SAPBEXexcGood3 3 16" xfId="35723"/>
    <cellStyle name="SAPBEXexcGood3 3 17" xfId="35724"/>
    <cellStyle name="SAPBEXexcGood3 3 18" xfId="35725"/>
    <cellStyle name="SAPBEXexcGood3 3 19" xfId="35726"/>
    <cellStyle name="SAPBEXexcGood3 3 2" xfId="35727"/>
    <cellStyle name="SAPBEXexcGood3 3 2 10" xfId="35728"/>
    <cellStyle name="SAPBEXexcGood3 3 2 11" xfId="35729"/>
    <cellStyle name="SAPBEXexcGood3 3 2 12" xfId="35730"/>
    <cellStyle name="SAPBEXexcGood3 3 2 13" xfId="35731"/>
    <cellStyle name="SAPBEXexcGood3 3 2 14" xfId="35732"/>
    <cellStyle name="SAPBEXexcGood3 3 2 15" xfId="35733"/>
    <cellStyle name="SAPBEXexcGood3 3 2 16" xfId="35734"/>
    <cellStyle name="SAPBEXexcGood3 3 2 17" xfId="35735"/>
    <cellStyle name="SAPBEXexcGood3 3 2 18" xfId="35736"/>
    <cellStyle name="SAPBEXexcGood3 3 2 2" xfId="35737"/>
    <cellStyle name="SAPBEXexcGood3 3 2 2 2" xfId="35738"/>
    <cellStyle name="SAPBEXexcGood3 3 2 2 2 2" xfId="35739"/>
    <cellStyle name="SAPBEXexcGood3 3 2 2 3" xfId="35740"/>
    <cellStyle name="SAPBEXexcGood3 3 2 2 4" xfId="35741"/>
    <cellStyle name="SAPBEXexcGood3 3 2 3" xfId="35742"/>
    <cellStyle name="SAPBEXexcGood3 3 2 3 2" xfId="35743"/>
    <cellStyle name="SAPBEXexcGood3 3 2 3 3" xfId="35744"/>
    <cellStyle name="SAPBEXexcGood3 3 2 4" xfId="35745"/>
    <cellStyle name="SAPBEXexcGood3 3 2 4 2" xfId="35746"/>
    <cellStyle name="SAPBEXexcGood3 3 2 5" xfId="35747"/>
    <cellStyle name="SAPBEXexcGood3 3 2 6" xfId="35748"/>
    <cellStyle name="SAPBEXexcGood3 3 2 7" xfId="35749"/>
    <cellStyle name="SAPBEXexcGood3 3 2 8" xfId="35750"/>
    <cellStyle name="SAPBEXexcGood3 3 2 9" xfId="35751"/>
    <cellStyle name="SAPBEXexcGood3 3 20" xfId="35752"/>
    <cellStyle name="SAPBEXexcGood3 3 21" xfId="35753"/>
    <cellStyle name="SAPBEXexcGood3 3 22" xfId="35754"/>
    <cellStyle name="SAPBEXexcGood3 3 3" xfId="35755"/>
    <cellStyle name="SAPBEXexcGood3 3 3 10" xfId="35756"/>
    <cellStyle name="SAPBEXexcGood3 3 3 11" xfId="35757"/>
    <cellStyle name="SAPBEXexcGood3 3 3 12" xfId="35758"/>
    <cellStyle name="SAPBEXexcGood3 3 3 13" xfId="35759"/>
    <cellStyle name="SAPBEXexcGood3 3 3 14" xfId="35760"/>
    <cellStyle name="SAPBEXexcGood3 3 3 15" xfId="35761"/>
    <cellStyle name="SAPBEXexcGood3 3 3 16" xfId="35762"/>
    <cellStyle name="SAPBEXexcGood3 3 3 17" xfId="35763"/>
    <cellStyle name="SAPBEXexcGood3 3 3 18" xfId="35764"/>
    <cellStyle name="SAPBEXexcGood3 3 3 2" xfId="35765"/>
    <cellStyle name="SAPBEXexcGood3 3 3 2 2" xfId="35766"/>
    <cellStyle name="SAPBEXexcGood3 3 3 2 2 2" xfId="35767"/>
    <cellStyle name="SAPBEXexcGood3 3 3 2 3" xfId="35768"/>
    <cellStyle name="SAPBEXexcGood3 3 3 2 4" xfId="35769"/>
    <cellStyle name="SAPBEXexcGood3 3 3 3" xfId="35770"/>
    <cellStyle name="SAPBEXexcGood3 3 3 3 2" xfId="35771"/>
    <cellStyle name="SAPBEXexcGood3 3 3 3 3" xfId="35772"/>
    <cellStyle name="SAPBEXexcGood3 3 3 4" xfId="35773"/>
    <cellStyle name="SAPBEXexcGood3 3 3 4 2" xfId="35774"/>
    <cellStyle name="SAPBEXexcGood3 3 3 5" xfId="35775"/>
    <cellStyle name="SAPBEXexcGood3 3 3 6" xfId="35776"/>
    <cellStyle name="SAPBEXexcGood3 3 3 7" xfId="35777"/>
    <cellStyle name="SAPBEXexcGood3 3 3 8" xfId="35778"/>
    <cellStyle name="SAPBEXexcGood3 3 3 9" xfId="35779"/>
    <cellStyle name="SAPBEXexcGood3 3 4" xfId="35780"/>
    <cellStyle name="SAPBEXexcGood3 3 4 2" xfId="35781"/>
    <cellStyle name="SAPBEXexcGood3 3 4 2 2" xfId="35782"/>
    <cellStyle name="SAPBEXexcGood3 3 4 2 3" xfId="35783"/>
    <cellStyle name="SAPBEXexcGood3 3 4 3" xfId="35784"/>
    <cellStyle name="SAPBEXexcGood3 3 4 3 2" xfId="35785"/>
    <cellStyle name="SAPBEXexcGood3 3 4 4" xfId="35786"/>
    <cellStyle name="SAPBEXexcGood3 3 4 5" xfId="35787"/>
    <cellStyle name="SAPBEXexcGood3 3 5" xfId="35788"/>
    <cellStyle name="SAPBEXexcGood3 3 5 2" xfId="35789"/>
    <cellStyle name="SAPBEXexcGood3 3 5 2 2" xfId="35790"/>
    <cellStyle name="SAPBEXexcGood3 3 5 3" xfId="35791"/>
    <cellStyle name="SAPBEXexcGood3 3 5 4" xfId="35792"/>
    <cellStyle name="SAPBEXexcGood3 3 6" xfId="35793"/>
    <cellStyle name="SAPBEXexcGood3 3 6 2" xfId="35794"/>
    <cellStyle name="SAPBEXexcGood3 3 6 3" xfId="35795"/>
    <cellStyle name="SAPBEXexcGood3 3 7" xfId="35796"/>
    <cellStyle name="SAPBEXexcGood3 3 7 2" xfId="35797"/>
    <cellStyle name="SAPBEXexcGood3 3 8" xfId="35798"/>
    <cellStyle name="SAPBEXexcGood3 3 9" xfId="35799"/>
    <cellStyle name="SAPBEXexcGood3 4" xfId="35800"/>
    <cellStyle name="SAPBEXexcGood3 4 10" xfId="35801"/>
    <cellStyle name="SAPBEXexcGood3 4 11" xfId="35802"/>
    <cellStyle name="SAPBEXexcGood3 4 12" xfId="35803"/>
    <cellStyle name="SAPBEXexcGood3 4 13" xfId="35804"/>
    <cellStyle name="SAPBEXexcGood3 4 14" xfId="35805"/>
    <cellStyle name="SAPBEXexcGood3 4 15" xfId="35806"/>
    <cellStyle name="SAPBEXexcGood3 4 16" xfId="35807"/>
    <cellStyle name="SAPBEXexcGood3 4 17" xfId="35808"/>
    <cellStyle name="SAPBEXexcGood3 4 18" xfId="35809"/>
    <cellStyle name="SAPBEXexcGood3 4 19" xfId="35810"/>
    <cellStyle name="SAPBEXexcGood3 4 2" xfId="35811"/>
    <cellStyle name="SAPBEXexcGood3 4 2 10" xfId="35812"/>
    <cellStyle name="SAPBEXexcGood3 4 2 11" xfId="35813"/>
    <cellStyle name="SAPBEXexcGood3 4 2 12" xfId="35814"/>
    <cellStyle name="SAPBEXexcGood3 4 2 13" xfId="35815"/>
    <cellStyle name="SAPBEXexcGood3 4 2 14" xfId="35816"/>
    <cellStyle name="SAPBEXexcGood3 4 2 15" xfId="35817"/>
    <cellStyle name="SAPBEXexcGood3 4 2 16" xfId="35818"/>
    <cellStyle name="SAPBEXexcGood3 4 2 17" xfId="35819"/>
    <cellStyle name="SAPBEXexcGood3 4 2 18" xfId="35820"/>
    <cellStyle name="SAPBEXexcGood3 4 2 2" xfId="35821"/>
    <cellStyle name="SAPBEXexcGood3 4 2 2 2" xfId="35822"/>
    <cellStyle name="SAPBEXexcGood3 4 2 2 2 2" xfId="35823"/>
    <cellStyle name="SAPBEXexcGood3 4 2 2 3" xfId="35824"/>
    <cellStyle name="SAPBEXexcGood3 4 2 2 4" xfId="35825"/>
    <cellStyle name="SAPBEXexcGood3 4 2 3" xfId="35826"/>
    <cellStyle name="SAPBEXexcGood3 4 2 3 2" xfId="35827"/>
    <cellStyle name="SAPBEXexcGood3 4 2 3 3" xfId="35828"/>
    <cellStyle name="SAPBEXexcGood3 4 2 4" xfId="35829"/>
    <cellStyle name="SAPBEXexcGood3 4 2 4 2" xfId="35830"/>
    <cellStyle name="SAPBEXexcGood3 4 2 5" xfId="35831"/>
    <cellStyle name="SAPBEXexcGood3 4 2 6" xfId="35832"/>
    <cellStyle name="SAPBEXexcGood3 4 2 7" xfId="35833"/>
    <cellStyle name="SAPBEXexcGood3 4 2 8" xfId="35834"/>
    <cellStyle name="SAPBEXexcGood3 4 2 9" xfId="35835"/>
    <cellStyle name="SAPBEXexcGood3 4 20" xfId="35836"/>
    <cellStyle name="SAPBEXexcGood3 4 21" xfId="35837"/>
    <cellStyle name="SAPBEXexcGood3 4 22" xfId="35838"/>
    <cellStyle name="SAPBEXexcGood3 4 3" xfId="35839"/>
    <cellStyle name="SAPBEXexcGood3 4 3 10" xfId="35840"/>
    <cellStyle name="SAPBEXexcGood3 4 3 11" xfId="35841"/>
    <cellStyle name="SAPBEXexcGood3 4 3 12" xfId="35842"/>
    <cellStyle name="SAPBEXexcGood3 4 3 13" xfId="35843"/>
    <cellStyle name="SAPBEXexcGood3 4 3 14" xfId="35844"/>
    <cellStyle name="SAPBEXexcGood3 4 3 15" xfId="35845"/>
    <cellStyle name="SAPBEXexcGood3 4 3 16" xfId="35846"/>
    <cellStyle name="SAPBEXexcGood3 4 3 17" xfId="35847"/>
    <cellStyle name="SAPBEXexcGood3 4 3 18" xfId="35848"/>
    <cellStyle name="SAPBEXexcGood3 4 3 2" xfId="35849"/>
    <cellStyle name="SAPBEXexcGood3 4 3 2 2" xfId="35850"/>
    <cellStyle name="SAPBEXexcGood3 4 3 2 2 2" xfId="35851"/>
    <cellStyle name="SAPBEXexcGood3 4 3 2 3" xfId="35852"/>
    <cellStyle name="SAPBEXexcGood3 4 3 2 4" xfId="35853"/>
    <cellStyle name="SAPBEXexcGood3 4 3 3" xfId="35854"/>
    <cellStyle name="SAPBEXexcGood3 4 3 3 2" xfId="35855"/>
    <cellStyle name="SAPBEXexcGood3 4 3 3 3" xfId="35856"/>
    <cellStyle name="SAPBEXexcGood3 4 3 4" xfId="35857"/>
    <cellStyle name="SAPBEXexcGood3 4 3 4 2" xfId="35858"/>
    <cellStyle name="SAPBEXexcGood3 4 3 5" xfId="35859"/>
    <cellStyle name="SAPBEXexcGood3 4 3 6" xfId="35860"/>
    <cellStyle name="SAPBEXexcGood3 4 3 7" xfId="35861"/>
    <cellStyle name="SAPBEXexcGood3 4 3 8" xfId="35862"/>
    <cellStyle name="SAPBEXexcGood3 4 3 9" xfId="35863"/>
    <cellStyle name="SAPBEXexcGood3 4 4" xfId="35864"/>
    <cellStyle name="SAPBEXexcGood3 4 4 2" xfId="35865"/>
    <cellStyle name="SAPBEXexcGood3 4 4 2 2" xfId="35866"/>
    <cellStyle name="SAPBEXexcGood3 4 4 2 3" xfId="35867"/>
    <cellStyle name="SAPBEXexcGood3 4 4 3" xfId="35868"/>
    <cellStyle name="SAPBEXexcGood3 4 4 3 2" xfId="35869"/>
    <cellStyle name="SAPBEXexcGood3 4 4 4" xfId="35870"/>
    <cellStyle name="SAPBEXexcGood3 4 4 5" xfId="35871"/>
    <cellStyle name="SAPBEXexcGood3 4 5" xfId="35872"/>
    <cellStyle name="SAPBEXexcGood3 4 5 2" xfId="35873"/>
    <cellStyle name="SAPBEXexcGood3 4 5 2 2" xfId="35874"/>
    <cellStyle name="SAPBEXexcGood3 4 5 3" xfId="35875"/>
    <cellStyle name="SAPBEXexcGood3 4 5 4" xfId="35876"/>
    <cellStyle name="SAPBEXexcGood3 4 6" xfId="35877"/>
    <cellStyle name="SAPBEXexcGood3 4 6 2" xfId="35878"/>
    <cellStyle name="SAPBEXexcGood3 4 6 3" xfId="35879"/>
    <cellStyle name="SAPBEXexcGood3 4 7" xfId="35880"/>
    <cellStyle name="SAPBEXexcGood3 4 7 2" xfId="35881"/>
    <cellStyle name="SAPBEXexcGood3 4 8" xfId="35882"/>
    <cellStyle name="SAPBEXexcGood3 4 9" xfId="35883"/>
    <cellStyle name="SAPBEXexcGood3 5" xfId="35884"/>
    <cellStyle name="SAPBEXexcGood3 5 10" xfId="35885"/>
    <cellStyle name="SAPBEXexcGood3 5 11" xfId="35886"/>
    <cellStyle name="SAPBEXexcGood3 5 12" xfId="35887"/>
    <cellStyle name="SAPBEXexcGood3 5 13" xfId="35888"/>
    <cellStyle name="SAPBEXexcGood3 5 14" xfId="35889"/>
    <cellStyle name="SAPBEXexcGood3 5 15" xfId="35890"/>
    <cellStyle name="SAPBEXexcGood3 5 16" xfId="35891"/>
    <cellStyle name="SAPBEXexcGood3 5 17" xfId="35892"/>
    <cellStyle name="SAPBEXexcGood3 5 18" xfId="35893"/>
    <cellStyle name="SAPBEXexcGood3 5 19" xfId="35894"/>
    <cellStyle name="SAPBEXexcGood3 5 2" xfId="35895"/>
    <cellStyle name="SAPBEXexcGood3 5 2 10" xfId="35896"/>
    <cellStyle name="SAPBEXexcGood3 5 2 11" xfId="35897"/>
    <cellStyle name="SAPBEXexcGood3 5 2 12" xfId="35898"/>
    <cellStyle name="SAPBEXexcGood3 5 2 13" xfId="35899"/>
    <cellStyle name="SAPBEXexcGood3 5 2 14" xfId="35900"/>
    <cellStyle name="SAPBEXexcGood3 5 2 15" xfId="35901"/>
    <cellStyle name="SAPBEXexcGood3 5 2 16" xfId="35902"/>
    <cellStyle name="SAPBEXexcGood3 5 2 17" xfId="35903"/>
    <cellStyle name="SAPBEXexcGood3 5 2 18" xfId="35904"/>
    <cellStyle name="SAPBEXexcGood3 5 2 2" xfId="35905"/>
    <cellStyle name="SAPBEXexcGood3 5 2 2 2" xfId="35906"/>
    <cellStyle name="SAPBEXexcGood3 5 2 2 2 2" xfId="35907"/>
    <cellStyle name="SAPBEXexcGood3 5 2 2 3" xfId="35908"/>
    <cellStyle name="SAPBEXexcGood3 5 2 2 4" xfId="35909"/>
    <cellStyle name="SAPBEXexcGood3 5 2 3" xfId="35910"/>
    <cellStyle name="SAPBEXexcGood3 5 2 3 2" xfId="35911"/>
    <cellStyle name="SAPBEXexcGood3 5 2 3 3" xfId="35912"/>
    <cellStyle name="SAPBEXexcGood3 5 2 4" xfId="35913"/>
    <cellStyle name="SAPBEXexcGood3 5 2 4 2" xfId="35914"/>
    <cellStyle name="SAPBEXexcGood3 5 2 5" xfId="35915"/>
    <cellStyle name="SAPBEXexcGood3 5 2 6" xfId="35916"/>
    <cellStyle name="SAPBEXexcGood3 5 2 7" xfId="35917"/>
    <cellStyle name="SAPBEXexcGood3 5 2 8" xfId="35918"/>
    <cellStyle name="SAPBEXexcGood3 5 2 9" xfId="35919"/>
    <cellStyle name="SAPBEXexcGood3 5 20" xfId="35920"/>
    <cellStyle name="SAPBEXexcGood3 5 21" xfId="35921"/>
    <cellStyle name="SAPBEXexcGood3 5 22" xfId="35922"/>
    <cellStyle name="SAPBEXexcGood3 5 3" xfId="35923"/>
    <cellStyle name="SAPBEXexcGood3 5 3 10" xfId="35924"/>
    <cellStyle name="SAPBEXexcGood3 5 3 11" xfId="35925"/>
    <cellStyle name="SAPBEXexcGood3 5 3 12" xfId="35926"/>
    <cellStyle name="SAPBEXexcGood3 5 3 13" xfId="35927"/>
    <cellStyle name="SAPBEXexcGood3 5 3 14" xfId="35928"/>
    <cellStyle name="SAPBEXexcGood3 5 3 15" xfId="35929"/>
    <cellStyle name="SAPBEXexcGood3 5 3 16" xfId="35930"/>
    <cellStyle name="SAPBEXexcGood3 5 3 17" xfId="35931"/>
    <cellStyle name="SAPBEXexcGood3 5 3 18" xfId="35932"/>
    <cellStyle name="SAPBEXexcGood3 5 3 2" xfId="35933"/>
    <cellStyle name="SAPBEXexcGood3 5 3 2 2" xfId="35934"/>
    <cellStyle name="SAPBEXexcGood3 5 3 2 2 2" xfId="35935"/>
    <cellStyle name="SAPBEXexcGood3 5 3 2 3" xfId="35936"/>
    <cellStyle name="SAPBEXexcGood3 5 3 2 4" xfId="35937"/>
    <cellStyle name="SAPBEXexcGood3 5 3 3" xfId="35938"/>
    <cellStyle name="SAPBEXexcGood3 5 3 3 2" xfId="35939"/>
    <cellStyle name="SAPBEXexcGood3 5 3 3 3" xfId="35940"/>
    <cellStyle name="SAPBEXexcGood3 5 3 4" xfId="35941"/>
    <cellStyle name="SAPBEXexcGood3 5 3 4 2" xfId="35942"/>
    <cellStyle name="SAPBEXexcGood3 5 3 5" xfId="35943"/>
    <cellStyle name="SAPBEXexcGood3 5 3 6" xfId="35944"/>
    <cellStyle name="SAPBEXexcGood3 5 3 7" xfId="35945"/>
    <cellStyle name="SAPBEXexcGood3 5 3 8" xfId="35946"/>
    <cellStyle name="SAPBEXexcGood3 5 3 9" xfId="35947"/>
    <cellStyle name="SAPBEXexcGood3 5 4" xfId="35948"/>
    <cellStyle name="SAPBEXexcGood3 5 4 2" xfId="35949"/>
    <cellStyle name="SAPBEXexcGood3 5 4 2 2" xfId="35950"/>
    <cellStyle name="SAPBEXexcGood3 5 4 2 3" xfId="35951"/>
    <cellStyle name="SAPBEXexcGood3 5 4 3" xfId="35952"/>
    <cellStyle name="SAPBEXexcGood3 5 4 3 2" xfId="35953"/>
    <cellStyle name="SAPBEXexcGood3 5 4 4" xfId="35954"/>
    <cellStyle name="SAPBEXexcGood3 5 4 5" xfId="35955"/>
    <cellStyle name="SAPBEXexcGood3 5 5" xfId="35956"/>
    <cellStyle name="SAPBEXexcGood3 5 5 2" xfId="35957"/>
    <cellStyle name="SAPBEXexcGood3 5 5 2 2" xfId="35958"/>
    <cellStyle name="SAPBEXexcGood3 5 5 3" xfId="35959"/>
    <cellStyle name="SAPBEXexcGood3 5 5 4" xfId="35960"/>
    <cellStyle name="SAPBEXexcGood3 5 6" xfId="35961"/>
    <cellStyle name="SAPBEXexcGood3 5 6 2" xfId="35962"/>
    <cellStyle name="SAPBEXexcGood3 5 6 3" xfId="35963"/>
    <cellStyle name="SAPBEXexcGood3 5 7" xfId="35964"/>
    <cellStyle name="SAPBEXexcGood3 5 7 2" xfId="35965"/>
    <cellStyle name="SAPBEXexcGood3 5 8" xfId="35966"/>
    <cellStyle name="SAPBEXexcGood3 5 9" xfId="35967"/>
    <cellStyle name="SAPBEXexcGood3 6" xfId="35968"/>
    <cellStyle name="SAPBEXexcGood3 6 10" xfId="35969"/>
    <cellStyle name="SAPBEXexcGood3 6 11" xfId="35970"/>
    <cellStyle name="SAPBEXexcGood3 6 12" xfId="35971"/>
    <cellStyle name="SAPBEXexcGood3 6 13" xfId="35972"/>
    <cellStyle name="SAPBEXexcGood3 6 14" xfId="35973"/>
    <cellStyle name="SAPBEXexcGood3 6 15" xfId="35974"/>
    <cellStyle name="SAPBEXexcGood3 6 2" xfId="35975"/>
    <cellStyle name="SAPBEXexcGood3 6 2 10" xfId="35976"/>
    <cellStyle name="SAPBEXexcGood3 6 2 11" xfId="35977"/>
    <cellStyle name="SAPBEXexcGood3 6 2 12" xfId="35978"/>
    <cellStyle name="SAPBEXexcGood3 6 2 13" xfId="35979"/>
    <cellStyle name="SAPBEXexcGood3 6 2 14" xfId="35980"/>
    <cellStyle name="SAPBEXexcGood3 6 2 15" xfId="35981"/>
    <cellStyle name="SAPBEXexcGood3 6 2 16" xfId="35982"/>
    <cellStyle name="SAPBEXexcGood3 6 2 17" xfId="35983"/>
    <cellStyle name="SAPBEXexcGood3 6 2 18" xfId="35984"/>
    <cellStyle name="SAPBEXexcGood3 6 2 2" xfId="35985"/>
    <cellStyle name="SAPBEXexcGood3 6 2 2 2" xfId="35986"/>
    <cellStyle name="SAPBEXexcGood3 6 2 2 2 2" xfId="35987"/>
    <cellStyle name="SAPBEXexcGood3 6 2 2 3" xfId="35988"/>
    <cellStyle name="SAPBEXexcGood3 6 2 2 4" xfId="35989"/>
    <cellStyle name="SAPBEXexcGood3 6 2 3" xfId="35990"/>
    <cellStyle name="SAPBEXexcGood3 6 2 3 2" xfId="35991"/>
    <cellStyle name="SAPBEXexcGood3 6 2 3 3" xfId="35992"/>
    <cellStyle name="SAPBEXexcGood3 6 2 4" xfId="35993"/>
    <cellStyle name="SAPBEXexcGood3 6 2 4 2" xfId="35994"/>
    <cellStyle name="SAPBEXexcGood3 6 2 5" xfId="35995"/>
    <cellStyle name="SAPBEXexcGood3 6 2 6" xfId="35996"/>
    <cellStyle name="SAPBEXexcGood3 6 2 7" xfId="35997"/>
    <cellStyle name="SAPBEXexcGood3 6 2 8" xfId="35998"/>
    <cellStyle name="SAPBEXexcGood3 6 2 9" xfId="35999"/>
    <cellStyle name="SAPBEXexcGood3 6 3" xfId="36000"/>
    <cellStyle name="SAPBEXexcGood3 6 3 10" xfId="36001"/>
    <cellStyle name="SAPBEXexcGood3 6 3 11" xfId="36002"/>
    <cellStyle name="SAPBEXexcGood3 6 3 12" xfId="36003"/>
    <cellStyle name="SAPBEXexcGood3 6 3 13" xfId="36004"/>
    <cellStyle name="SAPBEXexcGood3 6 3 14" xfId="36005"/>
    <cellStyle name="SAPBEXexcGood3 6 3 15" xfId="36006"/>
    <cellStyle name="SAPBEXexcGood3 6 3 16" xfId="36007"/>
    <cellStyle name="SAPBEXexcGood3 6 3 17" xfId="36008"/>
    <cellStyle name="SAPBEXexcGood3 6 3 18" xfId="36009"/>
    <cellStyle name="SAPBEXexcGood3 6 3 2" xfId="36010"/>
    <cellStyle name="SAPBEXexcGood3 6 3 2 2" xfId="36011"/>
    <cellStyle name="SAPBEXexcGood3 6 3 2 2 2" xfId="36012"/>
    <cellStyle name="SAPBEXexcGood3 6 3 2 3" xfId="36013"/>
    <cellStyle name="SAPBEXexcGood3 6 3 2 4" xfId="36014"/>
    <cellStyle name="SAPBEXexcGood3 6 3 3" xfId="36015"/>
    <cellStyle name="SAPBEXexcGood3 6 3 3 2" xfId="36016"/>
    <cellStyle name="SAPBEXexcGood3 6 3 3 3" xfId="36017"/>
    <cellStyle name="SAPBEXexcGood3 6 3 4" xfId="36018"/>
    <cellStyle name="SAPBEXexcGood3 6 3 4 2" xfId="36019"/>
    <cellStyle name="SAPBEXexcGood3 6 3 5" xfId="36020"/>
    <cellStyle name="SAPBEXexcGood3 6 3 6" xfId="36021"/>
    <cellStyle name="SAPBEXexcGood3 6 3 7" xfId="36022"/>
    <cellStyle name="SAPBEXexcGood3 6 3 8" xfId="36023"/>
    <cellStyle name="SAPBEXexcGood3 6 3 9" xfId="36024"/>
    <cellStyle name="SAPBEXexcGood3 6 4" xfId="36025"/>
    <cellStyle name="SAPBEXexcGood3 6 4 2" xfId="36026"/>
    <cellStyle name="SAPBEXexcGood3 6 4 2 2" xfId="36027"/>
    <cellStyle name="SAPBEXexcGood3 6 4 3" xfId="36028"/>
    <cellStyle name="SAPBEXexcGood3 6 4 4" xfId="36029"/>
    <cellStyle name="SAPBEXexcGood3 6 5" xfId="36030"/>
    <cellStyle name="SAPBEXexcGood3 6 5 2" xfId="36031"/>
    <cellStyle name="SAPBEXexcGood3 6 6" xfId="36032"/>
    <cellStyle name="SAPBEXexcGood3 6 7" xfId="36033"/>
    <cellStyle name="SAPBEXexcGood3 6 8" xfId="36034"/>
    <cellStyle name="SAPBEXexcGood3 6 9" xfId="36035"/>
    <cellStyle name="SAPBEXexcGood3 7" xfId="36036"/>
    <cellStyle name="SAPBEXexcGood3 7 10" xfId="36037"/>
    <cellStyle name="SAPBEXexcGood3 7 11" xfId="36038"/>
    <cellStyle name="SAPBEXexcGood3 7 12" xfId="36039"/>
    <cellStyle name="SAPBEXexcGood3 7 13" xfId="36040"/>
    <cellStyle name="SAPBEXexcGood3 7 14" xfId="36041"/>
    <cellStyle name="SAPBEXexcGood3 7 15" xfId="36042"/>
    <cellStyle name="SAPBEXexcGood3 7 16" xfId="36043"/>
    <cellStyle name="SAPBEXexcGood3 7 17" xfId="36044"/>
    <cellStyle name="SAPBEXexcGood3 7 18" xfId="36045"/>
    <cellStyle name="SAPBEXexcGood3 7 2" xfId="36046"/>
    <cellStyle name="SAPBEXexcGood3 7 3" xfId="36047"/>
    <cellStyle name="SAPBEXexcGood3 7 4" xfId="36048"/>
    <cellStyle name="SAPBEXexcGood3 7 5" xfId="36049"/>
    <cellStyle name="SAPBEXexcGood3 7 6" xfId="36050"/>
    <cellStyle name="SAPBEXexcGood3 7 7" xfId="36051"/>
    <cellStyle name="SAPBEXexcGood3 7 8" xfId="36052"/>
    <cellStyle name="SAPBEXexcGood3 7 9" xfId="36053"/>
    <cellStyle name="SAPBEXexcGood3 8" xfId="36054"/>
    <cellStyle name="SAPBEXexcGood3 9" xfId="36055"/>
    <cellStyle name="SAPBEXfilterDrill" xfId="36056"/>
    <cellStyle name="SAPBEXfilterDrill 2" xfId="36057"/>
    <cellStyle name="SAPBEXfilterDrill 3" xfId="36058"/>
    <cellStyle name="SAPBEXfilterDrill 4" xfId="36059"/>
    <cellStyle name="SAPBEXfilterDrill 5" xfId="36060"/>
    <cellStyle name="SAPBEXfilterDrill 6" xfId="36061"/>
    <cellStyle name="SAPBEXfilterItem" xfId="36062"/>
    <cellStyle name="SAPBEXfilterItem 2" xfId="36063"/>
    <cellStyle name="SAPBEXfilterItem 3" xfId="36064"/>
    <cellStyle name="SAPBEXfilterItem 4" xfId="36065"/>
    <cellStyle name="SAPBEXfilterItem 5" xfId="36066"/>
    <cellStyle name="SAPBEXfilterItem 6" xfId="36067"/>
    <cellStyle name="SAPBEXfilterText" xfId="36068"/>
    <cellStyle name="SAPBEXfilterText 2" xfId="36069"/>
    <cellStyle name="SAPBEXfilterText 2 2" xfId="36070"/>
    <cellStyle name="SAPBEXfilterText 3" xfId="36071"/>
    <cellStyle name="SAPBEXfilterText 4" xfId="36072"/>
    <cellStyle name="SAPBEXfilterText 5" xfId="36073"/>
    <cellStyle name="SAPBEXfilterText 6" xfId="36074"/>
    <cellStyle name="SAPBEXformats" xfId="36075"/>
    <cellStyle name="SAPBEXformats 10" xfId="36076"/>
    <cellStyle name="SAPBEXformats 11" xfId="36077"/>
    <cellStyle name="SAPBEXformats 12" xfId="36078"/>
    <cellStyle name="SAPBEXformats 13" xfId="36079"/>
    <cellStyle name="SAPBEXformats 14" xfId="36080"/>
    <cellStyle name="SAPBEXformats 15" xfId="36081"/>
    <cellStyle name="SAPBEXformats 16" xfId="36082"/>
    <cellStyle name="SAPBEXformats 17" xfId="36083"/>
    <cellStyle name="SAPBEXformats 18" xfId="36084"/>
    <cellStyle name="SAPBEXformats 19" xfId="36085"/>
    <cellStyle name="SAPBEXformats 2" xfId="36086"/>
    <cellStyle name="SAPBEXformats 2 10" xfId="36087"/>
    <cellStyle name="SAPBEXformats 2 11" xfId="36088"/>
    <cellStyle name="SAPBEXformats 2 12" xfId="36089"/>
    <cellStyle name="SAPBEXformats 2 13" xfId="36090"/>
    <cellStyle name="SAPBEXformats 2 14" xfId="36091"/>
    <cellStyle name="SAPBEXformats 2 15" xfId="36092"/>
    <cellStyle name="SAPBEXformats 2 16" xfId="36093"/>
    <cellStyle name="SAPBEXformats 2 17" xfId="36094"/>
    <cellStyle name="SAPBEXformats 2 18" xfId="36095"/>
    <cellStyle name="SAPBEXformats 2 19" xfId="36096"/>
    <cellStyle name="SAPBEXformats 2 2" xfId="36097"/>
    <cellStyle name="SAPBEXformats 2 2 10" xfId="36098"/>
    <cellStyle name="SAPBEXformats 2 2 11" xfId="36099"/>
    <cellStyle name="SAPBEXformats 2 2 12" xfId="36100"/>
    <cellStyle name="SAPBEXformats 2 2 13" xfId="36101"/>
    <cellStyle name="SAPBEXformats 2 2 14" xfId="36102"/>
    <cellStyle name="SAPBEXformats 2 2 15" xfId="36103"/>
    <cellStyle name="SAPBEXformats 2 2 16" xfId="36104"/>
    <cellStyle name="SAPBEXformats 2 2 17" xfId="36105"/>
    <cellStyle name="SAPBEXformats 2 2 18" xfId="36106"/>
    <cellStyle name="SAPBEXformats 2 2 19" xfId="36107"/>
    <cellStyle name="SAPBEXformats 2 2 2" xfId="36108"/>
    <cellStyle name="SAPBEXformats 2 2 2 2" xfId="36109"/>
    <cellStyle name="SAPBEXformats 2 2 2 2 2" xfId="36110"/>
    <cellStyle name="SAPBEXformats 2 2 2 3" xfId="36111"/>
    <cellStyle name="SAPBEXformats 2 2 2 4" xfId="36112"/>
    <cellStyle name="SAPBEXformats 2 2 20" xfId="36113"/>
    <cellStyle name="SAPBEXformats 2 2 21" xfId="36114"/>
    <cellStyle name="SAPBEXformats 2 2 3" xfId="36115"/>
    <cellStyle name="SAPBEXformats 2 2 3 2" xfId="36116"/>
    <cellStyle name="SAPBEXformats 2 2 3 3" xfId="36117"/>
    <cellStyle name="SAPBEXformats 2 2 4" xfId="36118"/>
    <cellStyle name="SAPBEXformats 2 2 4 2" xfId="36119"/>
    <cellStyle name="SAPBEXformats 2 2 5" xfId="36120"/>
    <cellStyle name="SAPBEXformats 2 2 6" xfId="36121"/>
    <cellStyle name="SAPBEXformats 2 2 7" xfId="36122"/>
    <cellStyle name="SAPBEXformats 2 2 8" xfId="36123"/>
    <cellStyle name="SAPBEXformats 2 2 9" xfId="36124"/>
    <cellStyle name="SAPBEXformats 2 20" xfId="36125"/>
    <cellStyle name="SAPBEXformats 2 21" xfId="36126"/>
    <cellStyle name="SAPBEXformats 2 22" xfId="36127"/>
    <cellStyle name="SAPBEXformats 2 23" xfId="36128"/>
    <cellStyle name="SAPBEXformats 2 24" xfId="36129"/>
    <cellStyle name="SAPBEXformats 2 3" xfId="36130"/>
    <cellStyle name="SAPBEXformats 2 3 10" xfId="36131"/>
    <cellStyle name="SAPBEXformats 2 3 11" xfId="36132"/>
    <cellStyle name="SAPBEXformats 2 3 12" xfId="36133"/>
    <cellStyle name="SAPBEXformats 2 3 13" xfId="36134"/>
    <cellStyle name="SAPBEXformats 2 3 14" xfId="36135"/>
    <cellStyle name="SAPBEXformats 2 3 15" xfId="36136"/>
    <cellStyle name="SAPBEXformats 2 3 16" xfId="36137"/>
    <cellStyle name="SAPBEXformats 2 3 17" xfId="36138"/>
    <cellStyle name="SAPBEXformats 2 3 18" xfId="36139"/>
    <cellStyle name="SAPBEXformats 2 3 2" xfId="36140"/>
    <cellStyle name="SAPBEXformats 2 3 2 2" xfId="36141"/>
    <cellStyle name="SAPBEXformats 2 3 2 2 2" xfId="36142"/>
    <cellStyle name="SAPBEXformats 2 3 2 3" xfId="36143"/>
    <cellStyle name="SAPBEXformats 2 3 2 4" xfId="36144"/>
    <cellStyle name="SAPBEXformats 2 3 3" xfId="36145"/>
    <cellStyle name="SAPBEXformats 2 3 3 2" xfId="36146"/>
    <cellStyle name="SAPBEXformats 2 3 3 3" xfId="36147"/>
    <cellStyle name="SAPBEXformats 2 3 4" xfId="36148"/>
    <cellStyle name="SAPBEXformats 2 3 4 2" xfId="36149"/>
    <cellStyle name="SAPBEXformats 2 3 5" xfId="36150"/>
    <cellStyle name="SAPBEXformats 2 3 6" xfId="36151"/>
    <cellStyle name="SAPBEXformats 2 3 7" xfId="36152"/>
    <cellStyle name="SAPBEXformats 2 3 8" xfId="36153"/>
    <cellStyle name="SAPBEXformats 2 3 9" xfId="36154"/>
    <cellStyle name="SAPBEXformats 2 4" xfId="36155"/>
    <cellStyle name="SAPBEXformats 2 4 2" xfId="36156"/>
    <cellStyle name="SAPBEXformats 2 4 2 2" xfId="36157"/>
    <cellStyle name="SAPBEXformats 2 4 2 3" xfId="36158"/>
    <cellStyle name="SAPBEXformats 2 4 3" xfId="36159"/>
    <cellStyle name="SAPBEXformats 2 4 3 2" xfId="36160"/>
    <cellStyle name="SAPBEXformats 2 4 4" xfId="36161"/>
    <cellStyle name="SAPBEXformats 2 4 5" xfId="36162"/>
    <cellStyle name="SAPBEXformats 2 5" xfId="36163"/>
    <cellStyle name="SAPBEXformats 2 5 2" xfId="36164"/>
    <cellStyle name="SAPBEXformats 2 5 2 2" xfId="36165"/>
    <cellStyle name="SAPBEXformats 2 5 3" xfId="36166"/>
    <cellStyle name="SAPBEXformats 2 5 4" xfId="36167"/>
    <cellStyle name="SAPBEXformats 2 6" xfId="36168"/>
    <cellStyle name="SAPBEXformats 2 6 2" xfId="36169"/>
    <cellStyle name="SAPBEXformats 2 6 3" xfId="36170"/>
    <cellStyle name="SAPBEXformats 2 7" xfId="36171"/>
    <cellStyle name="SAPBEXformats 2 7 2" xfId="36172"/>
    <cellStyle name="SAPBEXformats 2 8" xfId="36173"/>
    <cellStyle name="SAPBEXformats 2 9" xfId="36174"/>
    <cellStyle name="SAPBEXformats 3" xfId="36175"/>
    <cellStyle name="SAPBEXformats 3 10" xfId="36176"/>
    <cellStyle name="SAPBEXformats 3 11" xfId="36177"/>
    <cellStyle name="SAPBEXformats 3 12" xfId="36178"/>
    <cellStyle name="SAPBEXformats 3 13" xfId="36179"/>
    <cellStyle name="SAPBEXformats 3 14" xfId="36180"/>
    <cellStyle name="SAPBEXformats 3 15" xfId="36181"/>
    <cellStyle name="SAPBEXformats 3 16" xfId="36182"/>
    <cellStyle name="SAPBEXformats 3 17" xfId="36183"/>
    <cellStyle name="SAPBEXformats 3 18" xfId="36184"/>
    <cellStyle name="SAPBEXformats 3 19" xfId="36185"/>
    <cellStyle name="SAPBEXformats 3 2" xfId="36186"/>
    <cellStyle name="SAPBEXformats 3 2 10" xfId="36187"/>
    <cellStyle name="SAPBEXformats 3 2 11" xfId="36188"/>
    <cellStyle name="SAPBEXformats 3 2 12" xfId="36189"/>
    <cellStyle name="SAPBEXformats 3 2 13" xfId="36190"/>
    <cellStyle name="SAPBEXformats 3 2 14" xfId="36191"/>
    <cellStyle name="SAPBEXformats 3 2 15" xfId="36192"/>
    <cellStyle name="SAPBEXformats 3 2 16" xfId="36193"/>
    <cellStyle name="SAPBEXformats 3 2 17" xfId="36194"/>
    <cellStyle name="SAPBEXformats 3 2 18" xfId="36195"/>
    <cellStyle name="SAPBEXformats 3 2 2" xfId="36196"/>
    <cellStyle name="SAPBEXformats 3 2 2 2" xfId="36197"/>
    <cellStyle name="SAPBEXformats 3 2 2 2 2" xfId="36198"/>
    <cellStyle name="SAPBEXformats 3 2 2 3" xfId="36199"/>
    <cellStyle name="SAPBEXformats 3 2 2 4" xfId="36200"/>
    <cellStyle name="SAPBEXformats 3 2 3" xfId="36201"/>
    <cellStyle name="SAPBEXformats 3 2 3 2" xfId="36202"/>
    <cellStyle name="SAPBEXformats 3 2 3 3" xfId="36203"/>
    <cellStyle name="SAPBEXformats 3 2 4" xfId="36204"/>
    <cellStyle name="SAPBEXformats 3 2 4 2" xfId="36205"/>
    <cellStyle name="SAPBEXformats 3 2 5" xfId="36206"/>
    <cellStyle name="SAPBEXformats 3 2 6" xfId="36207"/>
    <cellStyle name="SAPBEXformats 3 2 7" xfId="36208"/>
    <cellStyle name="SAPBEXformats 3 2 8" xfId="36209"/>
    <cellStyle name="SAPBEXformats 3 2 9" xfId="36210"/>
    <cellStyle name="SAPBEXformats 3 20" xfId="36211"/>
    <cellStyle name="SAPBEXformats 3 21" xfId="36212"/>
    <cellStyle name="SAPBEXformats 3 22" xfId="36213"/>
    <cellStyle name="SAPBEXformats 3 3" xfId="36214"/>
    <cellStyle name="SAPBEXformats 3 3 10" xfId="36215"/>
    <cellStyle name="SAPBEXformats 3 3 11" xfId="36216"/>
    <cellStyle name="SAPBEXformats 3 3 12" xfId="36217"/>
    <cellStyle name="SAPBEXformats 3 3 13" xfId="36218"/>
    <cellStyle name="SAPBEXformats 3 3 14" xfId="36219"/>
    <cellStyle name="SAPBEXformats 3 3 15" xfId="36220"/>
    <cellStyle name="SAPBEXformats 3 3 16" xfId="36221"/>
    <cellStyle name="SAPBEXformats 3 3 17" xfId="36222"/>
    <cellStyle name="SAPBEXformats 3 3 18" xfId="36223"/>
    <cellStyle name="SAPBEXformats 3 3 2" xfId="36224"/>
    <cellStyle name="SAPBEXformats 3 3 2 2" xfId="36225"/>
    <cellStyle name="SAPBEXformats 3 3 2 2 2" xfId="36226"/>
    <cellStyle name="SAPBEXformats 3 3 2 3" xfId="36227"/>
    <cellStyle name="SAPBEXformats 3 3 2 4" xfId="36228"/>
    <cellStyle name="SAPBEXformats 3 3 3" xfId="36229"/>
    <cellStyle name="SAPBEXformats 3 3 3 2" xfId="36230"/>
    <cellStyle name="SAPBEXformats 3 3 3 3" xfId="36231"/>
    <cellStyle name="SAPBEXformats 3 3 4" xfId="36232"/>
    <cellStyle name="SAPBEXformats 3 3 4 2" xfId="36233"/>
    <cellStyle name="SAPBEXformats 3 3 5" xfId="36234"/>
    <cellStyle name="SAPBEXformats 3 3 6" xfId="36235"/>
    <cellStyle name="SAPBEXformats 3 3 7" xfId="36236"/>
    <cellStyle name="SAPBEXformats 3 3 8" xfId="36237"/>
    <cellStyle name="SAPBEXformats 3 3 9" xfId="36238"/>
    <cellStyle name="SAPBEXformats 3 4" xfId="36239"/>
    <cellStyle name="SAPBEXformats 3 4 2" xfId="36240"/>
    <cellStyle name="SAPBEXformats 3 4 2 2" xfId="36241"/>
    <cellStyle name="SAPBEXformats 3 4 2 3" xfId="36242"/>
    <cellStyle name="SAPBEXformats 3 4 3" xfId="36243"/>
    <cellStyle name="SAPBEXformats 3 4 3 2" xfId="36244"/>
    <cellStyle name="SAPBEXformats 3 4 4" xfId="36245"/>
    <cellStyle name="SAPBEXformats 3 4 5" xfId="36246"/>
    <cellStyle name="SAPBEXformats 3 5" xfId="36247"/>
    <cellStyle name="SAPBEXformats 3 5 2" xfId="36248"/>
    <cellStyle name="SAPBEXformats 3 5 2 2" xfId="36249"/>
    <cellStyle name="SAPBEXformats 3 5 3" xfId="36250"/>
    <cellStyle name="SAPBEXformats 3 5 4" xfId="36251"/>
    <cellStyle name="SAPBEXformats 3 6" xfId="36252"/>
    <cellStyle name="SAPBEXformats 3 6 2" xfId="36253"/>
    <cellStyle name="SAPBEXformats 3 6 3" xfId="36254"/>
    <cellStyle name="SAPBEXformats 3 7" xfId="36255"/>
    <cellStyle name="SAPBEXformats 3 7 2" xfId="36256"/>
    <cellStyle name="SAPBEXformats 3 8" xfId="36257"/>
    <cellStyle name="SAPBEXformats 3 9" xfId="36258"/>
    <cellStyle name="SAPBEXformats 4" xfId="36259"/>
    <cellStyle name="SAPBEXformats 4 10" xfId="36260"/>
    <cellStyle name="SAPBEXformats 4 11" xfId="36261"/>
    <cellStyle name="SAPBEXformats 4 12" xfId="36262"/>
    <cellStyle name="SAPBEXformats 4 13" xfId="36263"/>
    <cellStyle name="SAPBEXformats 4 14" xfId="36264"/>
    <cellStyle name="SAPBEXformats 4 15" xfId="36265"/>
    <cellStyle name="SAPBEXformats 4 16" xfId="36266"/>
    <cellStyle name="SAPBEXformats 4 17" xfId="36267"/>
    <cellStyle name="SAPBEXformats 4 18" xfId="36268"/>
    <cellStyle name="SAPBEXformats 4 19" xfId="36269"/>
    <cellStyle name="SAPBEXformats 4 2" xfId="36270"/>
    <cellStyle name="SAPBEXformats 4 2 10" xfId="36271"/>
    <cellStyle name="SAPBEXformats 4 2 11" xfId="36272"/>
    <cellStyle name="SAPBEXformats 4 2 12" xfId="36273"/>
    <cellStyle name="SAPBEXformats 4 2 13" xfId="36274"/>
    <cellStyle name="SAPBEXformats 4 2 14" xfId="36275"/>
    <cellStyle name="SAPBEXformats 4 2 15" xfId="36276"/>
    <cellStyle name="SAPBEXformats 4 2 16" xfId="36277"/>
    <cellStyle name="SAPBEXformats 4 2 17" xfId="36278"/>
    <cellStyle name="SAPBEXformats 4 2 18" xfId="36279"/>
    <cellStyle name="SAPBEXformats 4 2 2" xfId="36280"/>
    <cellStyle name="SAPBEXformats 4 2 2 2" xfId="36281"/>
    <cellStyle name="SAPBEXformats 4 2 2 2 2" xfId="36282"/>
    <cellStyle name="SAPBEXformats 4 2 2 3" xfId="36283"/>
    <cellStyle name="SAPBEXformats 4 2 2 4" xfId="36284"/>
    <cellStyle name="SAPBEXformats 4 2 3" xfId="36285"/>
    <cellStyle name="SAPBEXformats 4 2 3 2" xfId="36286"/>
    <cellStyle name="SAPBEXformats 4 2 3 3" xfId="36287"/>
    <cellStyle name="SAPBEXformats 4 2 4" xfId="36288"/>
    <cellStyle name="SAPBEXformats 4 2 4 2" xfId="36289"/>
    <cellStyle name="SAPBEXformats 4 2 5" xfId="36290"/>
    <cellStyle name="SAPBEXformats 4 2 6" xfId="36291"/>
    <cellStyle name="SAPBEXformats 4 2 7" xfId="36292"/>
    <cellStyle name="SAPBEXformats 4 2 8" xfId="36293"/>
    <cellStyle name="SAPBEXformats 4 2 9" xfId="36294"/>
    <cellStyle name="SAPBEXformats 4 20" xfId="36295"/>
    <cellStyle name="SAPBEXformats 4 21" xfId="36296"/>
    <cellStyle name="SAPBEXformats 4 22" xfId="36297"/>
    <cellStyle name="SAPBEXformats 4 3" xfId="36298"/>
    <cellStyle name="SAPBEXformats 4 3 10" xfId="36299"/>
    <cellStyle name="SAPBEXformats 4 3 11" xfId="36300"/>
    <cellStyle name="SAPBEXformats 4 3 12" xfId="36301"/>
    <cellStyle name="SAPBEXformats 4 3 13" xfId="36302"/>
    <cellStyle name="SAPBEXformats 4 3 14" xfId="36303"/>
    <cellStyle name="SAPBEXformats 4 3 15" xfId="36304"/>
    <cellStyle name="SAPBEXformats 4 3 16" xfId="36305"/>
    <cellStyle name="SAPBEXformats 4 3 17" xfId="36306"/>
    <cellStyle name="SAPBEXformats 4 3 18" xfId="36307"/>
    <cellStyle name="SAPBEXformats 4 3 2" xfId="36308"/>
    <cellStyle name="SAPBEXformats 4 3 2 2" xfId="36309"/>
    <cellStyle name="SAPBEXformats 4 3 2 2 2" xfId="36310"/>
    <cellStyle name="SAPBEXformats 4 3 2 3" xfId="36311"/>
    <cellStyle name="SAPBEXformats 4 3 2 4" xfId="36312"/>
    <cellStyle name="SAPBEXformats 4 3 3" xfId="36313"/>
    <cellStyle name="SAPBEXformats 4 3 3 2" xfId="36314"/>
    <cellStyle name="SAPBEXformats 4 3 3 3" xfId="36315"/>
    <cellStyle name="SAPBEXformats 4 3 4" xfId="36316"/>
    <cellStyle name="SAPBEXformats 4 3 4 2" xfId="36317"/>
    <cellStyle name="SAPBEXformats 4 3 5" xfId="36318"/>
    <cellStyle name="SAPBEXformats 4 3 6" xfId="36319"/>
    <cellStyle name="SAPBEXformats 4 3 7" xfId="36320"/>
    <cellStyle name="SAPBEXformats 4 3 8" xfId="36321"/>
    <cellStyle name="SAPBEXformats 4 3 9" xfId="36322"/>
    <cellStyle name="SAPBEXformats 4 4" xfId="36323"/>
    <cellStyle name="SAPBEXformats 4 4 2" xfId="36324"/>
    <cellStyle name="SAPBEXformats 4 4 2 2" xfId="36325"/>
    <cellStyle name="SAPBEXformats 4 4 2 3" xfId="36326"/>
    <cellStyle name="SAPBEXformats 4 4 3" xfId="36327"/>
    <cellStyle name="SAPBEXformats 4 4 3 2" xfId="36328"/>
    <cellStyle name="SAPBEXformats 4 4 4" xfId="36329"/>
    <cellStyle name="SAPBEXformats 4 4 5" xfId="36330"/>
    <cellStyle name="SAPBEXformats 4 5" xfId="36331"/>
    <cellStyle name="SAPBEXformats 4 5 2" xfId="36332"/>
    <cellStyle name="SAPBEXformats 4 5 2 2" xfId="36333"/>
    <cellStyle name="SAPBEXformats 4 5 3" xfId="36334"/>
    <cellStyle name="SAPBEXformats 4 5 4" xfId="36335"/>
    <cellStyle name="SAPBEXformats 4 6" xfId="36336"/>
    <cellStyle name="SAPBEXformats 4 6 2" xfId="36337"/>
    <cellStyle name="SAPBEXformats 4 6 3" xfId="36338"/>
    <cellStyle name="SAPBEXformats 4 7" xfId="36339"/>
    <cellStyle name="SAPBEXformats 4 7 2" xfId="36340"/>
    <cellStyle name="SAPBEXformats 4 8" xfId="36341"/>
    <cellStyle name="SAPBEXformats 4 9" xfId="36342"/>
    <cellStyle name="SAPBEXformats 5" xfId="36343"/>
    <cellStyle name="SAPBEXformats 5 10" xfId="36344"/>
    <cellStyle name="SAPBEXformats 5 11" xfId="36345"/>
    <cellStyle name="SAPBEXformats 5 12" xfId="36346"/>
    <cellStyle name="SAPBEXformats 5 13" xfId="36347"/>
    <cellStyle name="SAPBEXformats 5 14" xfId="36348"/>
    <cellStyle name="SAPBEXformats 5 15" xfId="36349"/>
    <cellStyle name="SAPBEXformats 5 16" xfId="36350"/>
    <cellStyle name="SAPBEXformats 5 17" xfId="36351"/>
    <cellStyle name="SAPBEXformats 5 18" xfId="36352"/>
    <cellStyle name="SAPBEXformats 5 19" xfId="36353"/>
    <cellStyle name="SAPBEXformats 5 2" xfId="36354"/>
    <cellStyle name="SAPBEXformats 5 2 10" xfId="36355"/>
    <cellStyle name="SAPBEXformats 5 2 11" xfId="36356"/>
    <cellStyle name="SAPBEXformats 5 2 12" xfId="36357"/>
    <cellStyle name="SAPBEXformats 5 2 13" xfId="36358"/>
    <cellStyle name="SAPBEXformats 5 2 14" xfId="36359"/>
    <cellStyle name="SAPBEXformats 5 2 15" xfId="36360"/>
    <cellStyle name="SAPBEXformats 5 2 16" xfId="36361"/>
    <cellStyle name="SAPBEXformats 5 2 17" xfId="36362"/>
    <cellStyle name="SAPBEXformats 5 2 18" xfId="36363"/>
    <cellStyle name="SAPBEXformats 5 2 2" xfId="36364"/>
    <cellStyle name="SAPBEXformats 5 2 2 2" xfId="36365"/>
    <cellStyle name="SAPBEXformats 5 2 2 2 2" xfId="36366"/>
    <cellStyle name="SAPBEXformats 5 2 2 3" xfId="36367"/>
    <cellStyle name="SAPBEXformats 5 2 2 4" xfId="36368"/>
    <cellStyle name="SAPBEXformats 5 2 3" xfId="36369"/>
    <cellStyle name="SAPBEXformats 5 2 3 2" xfId="36370"/>
    <cellStyle name="SAPBEXformats 5 2 3 3" xfId="36371"/>
    <cellStyle name="SAPBEXformats 5 2 4" xfId="36372"/>
    <cellStyle name="SAPBEXformats 5 2 4 2" xfId="36373"/>
    <cellStyle name="SAPBEXformats 5 2 5" xfId="36374"/>
    <cellStyle name="SAPBEXformats 5 2 6" xfId="36375"/>
    <cellStyle name="SAPBEXformats 5 2 7" xfId="36376"/>
    <cellStyle name="SAPBEXformats 5 2 8" xfId="36377"/>
    <cellStyle name="SAPBEXformats 5 2 9" xfId="36378"/>
    <cellStyle name="SAPBEXformats 5 20" xfId="36379"/>
    <cellStyle name="SAPBEXformats 5 21" xfId="36380"/>
    <cellStyle name="SAPBEXformats 5 22" xfId="36381"/>
    <cellStyle name="SAPBEXformats 5 3" xfId="36382"/>
    <cellStyle name="SAPBEXformats 5 3 10" xfId="36383"/>
    <cellStyle name="SAPBEXformats 5 3 11" xfId="36384"/>
    <cellStyle name="SAPBEXformats 5 3 12" xfId="36385"/>
    <cellStyle name="SAPBEXformats 5 3 13" xfId="36386"/>
    <cellStyle name="SAPBEXformats 5 3 14" xfId="36387"/>
    <cellStyle name="SAPBEXformats 5 3 15" xfId="36388"/>
    <cellStyle name="SAPBEXformats 5 3 16" xfId="36389"/>
    <cellStyle name="SAPBEXformats 5 3 17" xfId="36390"/>
    <cellStyle name="SAPBEXformats 5 3 18" xfId="36391"/>
    <cellStyle name="SAPBEXformats 5 3 2" xfId="36392"/>
    <cellStyle name="SAPBEXformats 5 3 2 2" xfId="36393"/>
    <cellStyle name="SAPBEXformats 5 3 2 2 2" xfId="36394"/>
    <cellStyle name="SAPBEXformats 5 3 2 3" xfId="36395"/>
    <cellStyle name="SAPBEXformats 5 3 2 4" xfId="36396"/>
    <cellStyle name="SAPBEXformats 5 3 3" xfId="36397"/>
    <cellStyle name="SAPBEXformats 5 3 3 2" xfId="36398"/>
    <cellStyle name="SAPBEXformats 5 3 3 3" xfId="36399"/>
    <cellStyle name="SAPBEXformats 5 3 4" xfId="36400"/>
    <cellStyle name="SAPBEXformats 5 3 4 2" xfId="36401"/>
    <cellStyle name="SAPBEXformats 5 3 5" xfId="36402"/>
    <cellStyle name="SAPBEXformats 5 3 6" xfId="36403"/>
    <cellStyle name="SAPBEXformats 5 3 7" xfId="36404"/>
    <cellStyle name="SAPBEXformats 5 3 8" xfId="36405"/>
    <cellStyle name="SAPBEXformats 5 3 9" xfId="36406"/>
    <cellStyle name="SAPBEXformats 5 4" xfId="36407"/>
    <cellStyle name="SAPBEXformats 5 4 2" xfId="36408"/>
    <cellStyle name="SAPBEXformats 5 4 2 2" xfId="36409"/>
    <cellStyle name="SAPBEXformats 5 4 2 3" xfId="36410"/>
    <cellStyle name="SAPBEXformats 5 4 3" xfId="36411"/>
    <cellStyle name="SAPBEXformats 5 4 3 2" xfId="36412"/>
    <cellStyle name="SAPBEXformats 5 4 4" xfId="36413"/>
    <cellStyle name="SAPBEXformats 5 4 5" xfId="36414"/>
    <cellStyle name="SAPBEXformats 5 5" xfId="36415"/>
    <cellStyle name="SAPBEXformats 5 5 2" xfId="36416"/>
    <cellStyle name="SAPBEXformats 5 5 2 2" xfId="36417"/>
    <cellStyle name="SAPBEXformats 5 5 3" xfId="36418"/>
    <cellStyle name="SAPBEXformats 5 5 4" xfId="36419"/>
    <cellStyle name="SAPBEXformats 5 6" xfId="36420"/>
    <cellStyle name="SAPBEXformats 5 6 2" xfId="36421"/>
    <cellStyle name="SAPBEXformats 5 6 3" xfId="36422"/>
    <cellStyle name="SAPBEXformats 5 7" xfId="36423"/>
    <cellStyle name="SAPBEXformats 5 7 2" xfId="36424"/>
    <cellStyle name="SAPBEXformats 5 8" xfId="36425"/>
    <cellStyle name="SAPBEXformats 5 9" xfId="36426"/>
    <cellStyle name="SAPBEXformats 6" xfId="36427"/>
    <cellStyle name="SAPBEXformats 6 10" xfId="36428"/>
    <cellStyle name="SAPBEXformats 6 11" xfId="36429"/>
    <cellStyle name="SAPBEXformats 6 12" xfId="36430"/>
    <cellStyle name="SAPBEXformats 6 13" xfId="36431"/>
    <cellStyle name="SAPBEXformats 6 14" xfId="36432"/>
    <cellStyle name="SAPBEXformats 6 15" xfId="36433"/>
    <cellStyle name="SAPBEXformats 6 2" xfId="36434"/>
    <cellStyle name="SAPBEXformats 6 2 10" xfId="36435"/>
    <cellStyle name="SAPBEXformats 6 2 11" xfId="36436"/>
    <cellStyle name="SAPBEXformats 6 2 12" xfId="36437"/>
    <cellStyle name="SAPBEXformats 6 2 13" xfId="36438"/>
    <cellStyle name="SAPBEXformats 6 2 14" xfId="36439"/>
    <cellStyle name="SAPBEXformats 6 2 15" xfId="36440"/>
    <cellStyle name="SAPBEXformats 6 2 16" xfId="36441"/>
    <cellStyle name="SAPBEXformats 6 2 17" xfId="36442"/>
    <cellStyle name="SAPBEXformats 6 2 18" xfId="36443"/>
    <cellStyle name="SAPBEXformats 6 2 2" xfId="36444"/>
    <cellStyle name="SAPBEXformats 6 2 2 2" xfId="36445"/>
    <cellStyle name="SAPBEXformats 6 2 2 2 2" xfId="36446"/>
    <cellStyle name="SAPBEXformats 6 2 2 3" xfId="36447"/>
    <cellStyle name="SAPBEXformats 6 2 2 4" xfId="36448"/>
    <cellStyle name="SAPBEXformats 6 2 3" xfId="36449"/>
    <cellStyle name="SAPBEXformats 6 2 3 2" xfId="36450"/>
    <cellStyle name="SAPBEXformats 6 2 3 3" xfId="36451"/>
    <cellStyle name="SAPBEXformats 6 2 4" xfId="36452"/>
    <cellStyle name="SAPBEXformats 6 2 4 2" xfId="36453"/>
    <cellStyle name="SAPBEXformats 6 2 5" xfId="36454"/>
    <cellStyle name="SAPBEXformats 6 2 6" xfId="36455"/>
    <cellStyle name="SAPBEXformats 6 2 7" xfId="36456"/>
    <cellStyle name="SAPBEXformats 6 2 8" xfId="36457"/>
    <cellStyle name="SAPBEXformats 6 2 9" xfId="36458"/>
    <cellStyle name="SAPBEXformats 6 3" xfId="36459"/>
    <cellStyle name="SAPBEXformats 6 3 10" xfId="36460"/>
    <cellStyle name="SAPBEXformats 6 3 11" xfId="36461"/>
    <cellStyle name="SAPBEXformats 6 3 12" xfId="36462"/>
    <cellStyle name="SAPBEXformats 6 3 13" xfId="36463"/>
    <cellStyle name="SAPBEXformats 6 3 14" xfId="36464"/>
    <cellStyle name="SAPBEXformats 6 3 15" xfId="36465"/>
    <cellStyle name="SAPBEXformats 6 3 16" xfId="36466"/>
    <cellStyle name="SAPBEXformats 6 3 17" xfId="36467"/>
    <cellStyle name="SAPBEXformats 6 3 18" xfId="36468"/>
    <cellStyle name="SAPBEXformats 6 3 2" xfId="36469"/>
    <cellStyle name="SAPBEXformats 6 3 2 2" xfId="36470"/>
    <cellStyle name="SAPBEXformats 6 3 2 2 2" xfId="36471"/>
    <cellStyle name="SAPBEXformats 6 3 2 3" xfId="36472"/>
    <cellStyle name="SAPBEXformats 6 3 2 4" xfId="36473"/>
    <cellStyle name="SAPBEXformats 6 3 3" xfId="36474"/>
    <cellStyle name="SAPBEXformats 6 3 3 2" xfId="36475"/>
    <cellStyle name="SAPBEXformats 6 3 3 3" xfId="36476"/>
    <cellStyle name="SAPBEXformats 6 3 4" xfId="36477"/>
    <cellStyle name="SAPBEXformats 6 3 4 2" xfId="36478"/>
    <cellStyle name="SAPBEXformats 6 3 5" xfId="36479"/>
    <cellStyle name="SAPBEXformats 6 3 6" xfId="36480"/>
    <cellStyle name="SAPBEXformats 6 3 7" xfId="36481"/>
    <cellStyle name="SAPBEXformats 6 3 8" xfId="36482"/>
    <cellStyle name="SAPBEXformats 6 3 9" xfId="36483"/>
    <cellStyle name="SAPBEXformats 6 4" xfId="36484"/>
    <cellStyle name="SAPBEXformats 6 4 2" xfId="36485"/>
    <cellStyle name="SAPBEXformats 6 4 2 2" xfId="36486"/>
    <cellStyle name="SAPBEXformats 6 4 3" xfId="36487"/>
    <cellStyle name="SAPBEXformats 6 4 4" xfId="36488"/>
    <cellStyle name="SAPBEXformats 6 5" xfId="36489"/>
    <cellStyle name="SAPBEXformats 6 5 2" xfId="36490"/>
    <cellStyle name="SAPBEXformats 6 6" xfId="36491"/>
    <cellStyle name="SAPBEXformats 6 7" xfId="36492"/>
    <cellStyle name="SAPBEXformats 6 8" xfId="36493"/>
    <cellStyle name="SAPBEXformats 6 9" xfId="36494"/>
    <cellStyle name="SAPBEXformats 7" xfId="36495"/>
    <cellStyle name="SAPBEXformats 7 10" xfId="36496"/>
    <cellStyle name="SAPBEXformats 7 11" xfId="36497"/>
    <cellStyle name="SAPBEXformats 7 12" xfId="36498"/>
    <cellStyle name="SAPBEXformats 7 13" xfId="36499"/>
    <cellStyle name="SAPBEXformats 7 14" xfId="36500"/>
    <cellStyle name="SAPBEXformats 7 15" xfId="36501"/>
    <cellStyle name="SAPBEXformats 7 16" xfId="36502"/>
    <cellStyle name="SAPBEXformats 7 17" xfId="36503"/>
    <cellStyle name="SAPBEXformats 7 18" xfId="36504"/>
    <cellStyle name="SAPBEXformats 7 2" xfId="36505"/>
    <cellStyle name="SAPBEXformats 7 3" xfId="36506"/>
    <cellStyle name="SAPBEXformats 7 4" xfId="36507"/>
    <cellStyle name="SAPBEXformats 7 5" xfId="36508"/>
    <cellStyle name="SAPBEXformats 7 6" xfId="36509"/>
    <cellStyle name="SAPBEXformats 7 7" xfId="36510"/>
    <cellStyle name="SAPBEXformats 7 8" xfId="36511"/>
    <cellStyle name="SAPBEXformats 7 9" xfId="36512"/>
    <cellStyle name="SAPBEXformats 8" xfId="36513"/>
    <cellStyle name="SAPBEXformats 9" xfId="36514"/>
    <cellStyle name="SAPBEXheaderItem" xfId="36515"/>
    <cellStyle name="SAPBEXheaderItem 2" xfId="36516"/>
    <cellStyle name="SAPBEXheaderItem 2 2" xfId="36517"/>
    <cellStyle name="SAPBEXheaderItem 3" xfId="36518"/>
    <cellStyle name="SAPBEXheaderItem 3 2" xfId="36519"/>
    <cellStyle name="SAPBEXheaderItem 4" xfId="36520"/>
    <cellStyle name="SAPBEXheaderItem 4 2" xfId="36521"/>
    <cellStyle name="SAPBEXheaderItem 5" xfId="36522"/>
    <cellStyle name="SAPBEXheaderItem 5 2" xfId="36523"/>
    <cellStyle name="SAPBEXheaderItem 6" xfId="36524"/>
    <cellStyle name="SAPBEXheaderText" xfId="36525"/>
    <cellStyle name="SAPBEXheaderText 2" xfId="36526"/>
    <cellStyle name="SAPBEXheaderText 2 2" xfId="36527"/>
    <cellStyle name="SAPBEXheaderText 3" xfId="36528"/>
    <cellStyle name="SAPBEXheaderText 3 2" xfId="36529"/>
    <cellStyle name="SAPBEXheaderText 4" xfId="36530"/>
    <cellStyle name="SAPBEXheaderText 4 2" xfId="36531"/>
    <cellStyle name="SAPBEXheaderText 5" xfId="36532"/>
    <cellStyle name="SAPBEXheaderText 5 2" xfId="36533"/>
    <cellStyle name="SAPBEXheaderText 6" xfId="36534"/>
    <cellStyle name="SAPBEXHLevel0" xfId="36535"/>
    <cellStyle name="SAPBEXHLevel0 10" xfId="36536"/>
    <cellStyle name="SAPBEXHLevel0 11" xfId="36537"/>
    <cellStyle name="SAPBEXHLevel0 12" xfId="36538"/>
    <cellStyle name="SAPBEXHLevel0 13" xfId="36539"/>
    <cellStyle name="SAPBEXHLevel0 14" xfId="36540"/>
    <cellStyle name="SAPBEXHLevel0 15" xfId="36541"/>
    <cellStyle name="SAPBEXHLevel0 16" xfId="36542"/>
    <cellStyle name="SAPBEXHLevel0 17" xfId="36543"/>
    <cellStyle name="SAPBEXHLevel0 18" xfId="36544"/>
    <cellStyle name="SAPBEXHLevel0 19" xfId="36545"/>
    <cellStyle name="SAPBEXHLevel0 2" xfId="36546"/>
    <cellStyle name="SAPBEXHLevel0 2 10" xfId="36547"/>
    <cellStyle name="SAPBEXHLevel0 2 11" xfId="36548"/>
    <cellStyle name="SAPBEXHLevel0 2 12" xfId="36549"/>
    <cellStyle name="SAPBEXHLevel0 2 13" xfId="36550"/>
    <cellStyle name="SAPBEXHLevel0 2 14" xfId="36551"/>
    <cellStyle name="SAPBEXHLevel0 2 15" xfId="36552"/>
    <cellStyle name="SAPBEXHLevel0 2 16" xfId="36553"/>
    <cellStyle name="SAPBEXHLevel0 2 17" xfId="36554"/>
    <cellStyle name="SAPBEXHLevel0 2 18" xfId="36555"/>
    <cellStyle name="SAPBEXHLevel0 2 19" xfId="36556"/>
    <cellStyle name="SAPBEXHLevel0 2 2" xfId="36557"/>
    <cellStyle name="SAPBEXHLevel0 2 2 10" xfId="36558"/>
    <cellStyle name="SAPBEXHLevel0 2 2 11" xfId="36559"/>
    <cellStyle name="SAPBEXHLevel0 2 2 12" xfId="36560"/>
    <cellStyle name="SAPBEXHLevel0 2 2 13" xfId="36561"/>
    <cellStyle name="SAPBEXHLevel0 2 2 14" xfId="36562"/>
    <cellStyle name="SAPBEXHLevel0 2 2 15" xfId="36563"/>
    <cellStyle name="SAPBEXHLevel0 2 2 16" xfId="36564"/>
    <cellStyle name="SAPBEXHLevel0 2 2 17" xfId="36565"/>
    <cellStyle name="SAPBEXHLevel0 2 2 18" xfId="36566"/>
    <cellStyle name="SAPBEXHLevel0 2 2 2" xfId="36567"/>
    <cellStyle name="SAPBEXHLevel0 2 2 2 2" xfId="36568"/>
    <cellStyle name="SAPBEXHLevel0 2 2 2 2 2" xfId="36569"/>
    <cellStyle name="SAPBEXHLevel0 2 2 2 3" xfId="36570"/>
    <cellStyle name="SAPBEXHLevel0 2 2 2 4" xfId="36571"/>
    <cellStyle name="SAPBEXHLevel0 2 2 3" xfId="36572"/>
    <cellStyle name="SAPBEXHLevel0 2 2 3 2" xfId="36573"/>
    <cellStyle name="SAPBEXHLevel0 2 2 3 3" xfId="36574"/>
    <cellStyle name="SAPBEXHLevel0 2 2 4" xfId="36575"/>
    <cellStyle name="SAPBEXHLevel0 2 2 4 2" xfId="36576"/>
    <cellStyle name="SAPBEXHLevel0 2 2 5" xfId="36577"/>
    <cellStyle name="SAPBEXHLevel0 2 2 6" xfId="36578"/>
    <cellStyle name="SAPBEXHLevel0 2 2 7" xfId="36579"/>
    <cellStyle name="SAPBEXHLevel0 2 2 8" xfId="36580"/>
    <cellStyle name="SAPBEXHLevel0 2 2 9" xfId="36581"/>
    <cellStyle name="SAPBEXHLevel0 2 20" xfId="36582"/>
    <cellStyle name="SAPBEXHLevel0 2 21" xfId="36583"/>
    <cellStyle name="SAPBEXHLevel0 2 22" xfId="36584"/>
    <cellStyle name="SAPBEXHLevel0 2 23" xfId="36585"/>
    <cellStyle name="SAPBEXHLevel0 2 24" xfId="36586"/>
    <cellStyle name="SAPBEXHLevel0 2 25" xfId="36587"/>
    <cellStyle name="SAPBEXHLevel0 2 3" xfId="36588"/>
    <cellStyle name="SAPBEXHLevel0 2 3 10" xfId="36589"/>
    <cellStyle name="SAPBEXHLevel0 2 3 11" xfId="36590"/>
    <cellStyle name="SAPBEXHLevel0 2 3 12" xfId="36591"/>
    <cellStyle name="SAPBEXHLevel0 2 3 13" xfId="36592"/>
    <cellStyle name="SAPBEXHLevel0 2 3 14" xfId="36593"/>
    <cellStyle name="SAPBEXHLevel0 2 3 15" xfId="36594"/>
    <cellStyle name="SAPBEXHLevel0 2 3 16" xfId="36595"/>
    <cellStyle name="SAPBEXHLevel0 2 3 17" xfId="36596"/>
    <cellStyle name="SAPBEXHLevel0 2 3 18" xfId="36597"/>
    <cellStyle name="SAPBEXHLevel0 2 3 2" xfId="36598"/>
    <cellStyle name="SAPBEXHLevel0 2 3 2 2" xfId="36599"/>
    <cellStyle name="SAPBEXHLevel0 2 3 2 2 2" xfId="36600"/>
    <cellStyle name="SAPBEXHLevel0 2 3 2 3" xfId="36601"/>
    <cellStyle name="SAPBEXHLevel0 2 3 2 4" xfId="36602"/>
    <cellStyle name="SAPBEXHLevel0 2 3 3" xfId="36603"/>
    <cellStyle name="SAPBEXHLevel0 2 3 3 2" xfId="36604"/>
    <cellStyle name="SAPBEXHLevel0 2 3 3 3" xfId="36605"/>
    <cellStyle name="SAPBEXHLevel0 2 3 4" xfId="36606"/>
    <cellStyle name="SAPBEXHLevel0 2 3 4 2" xfId="36607"/>
    <cellStyle name="SAPBEXHLevel0 2 3 5" xfId="36608"/>
    <cellStyle name="SAPBEXHLevel0 2 3 6" xfId="36609"/>
    <cellStyle name="SAPBEXHLevel0 2 3 7" xfId="36610"/>
    <cellStyle name="SAPBEXHLevel0 2 3 8" xfId="36611"/>
    <cellStyle name="SAPBEXHLevel0 2 3 9" xfId="36612"/>
    <cellStyle name="SAPBEXHLevel0 2 4" xfId="36613"/>
    <cellStyle name="SAPBEXHLevel0 2 4 2" xfId="36614"/>
    <cellStyle name="SAPBEXHLevel0 2 4 2 2" xfId="36615"/>
    <cellStyle name="SAPBEXHLevel0 2 4 2 3" xfId="36616"/>
    <cellStyle name="SAPBEXHLevel0 2 4 3" xfId="36617"/>
    <cellStyle name="SAPBEXHLevel0 2 4 3 2" xfId="36618"/>
    <cellStyle name="SAPBEXHLevel0 2 4 4" xfId="36619"/>
    <cellStyle name="SAPBEXHLevel0 2 4 5" xfId="36620"/>
    <cellStyle name="SAPBEXHLevel0 2 5" xfId="36621"/>
    <cellStyle name="SAPBEXHLevel0 2 5 2" xfId="36622"/>
    <cellStyle name="SAPBEXHLevel0 2 5 2 2" xfId="36623"/>
    <cellStyle name="SAPBEXHLevel0 2 5 3" xfId="36624"/>
    <cellStyle name="SAPBEXHLevel0 2 5 4" xfId="36625"/>
    <cellStyle name="SAPBEXHLevel0 2 6" xfId="36626"/>
    <cellStyle name="SAPBEXHLevel0 2 6 2" xfId="36627"/>
    <cellStyle name="SAPBEXHLevel0 2 6 3" xfId="36628"/>
    <cellStyle name="SAPBEXHLevel0 2 7" xfId="36629"/>
    <cellStyle name="SAPBEXHLevel0 2 7 2" xfId="36630"/>
    <cellStyle name="SAPBEXHLevel0 2 8" xfId="36631"/>
    <cellStyle name="SAPBEXHLevel0 2 9" xfId="36632"/>
    <cellStyle name="SAPBEXHLevel0 20" xfId="36633"/>
    <cellStyle name="SAPBEXHLevel0 3" xfId="36634"/>
    <cellStyle name="SAPBEXHLevel0 3 10" xfId="36635"/>
    <cellStyle name="SAPBEXHLevel0 3 11" xfId="36636"/>
    <cellStyle name="SAPBEXHLevel0 3 12" xfId="36637"/>
    <cellStyle name="SAPBEXHLevel0 3 13" xfId="36638"/>
    <cellStyle name="SAPBEXHLevel0 3 14" xfId="36639"/>
    <cellStyle name="SAPBEXHLevel0 3 15" xfId="36640"/>
    <cellStyle name="SAPBEXHLevel0 3 16" xfId="36641"/>
    <cellStyle name="SAPBEXHLevel0 3 17" xfId="36642"/>
    <cellStyle name="SAPBEXHLevel0 3 18" xfId="36643"/>
    <cellStyle name="SAPBEXHLevel0 3 19" xfId="36644"/>
    <cellStyle name="SAPBEXHLevel0 3 2" xfId="36645"/>
    <cellStyle name="SAPBEXHLevel0 3 2 10" xfId="36646"/>
    <cellStyle name="SAPBEXHLevel0 3 2 11" xfId="36647"/>
    <cellStyle name="SAPBEXHLevel0 3 2 12" xfId="36648"/>
    <cellStyle name="SAPBEXHLevel0 3 2 13" xfId="36649"/>
    <cellStyle name="SAPBEXHLevel0 3 2 14" xfId="36650"/>
    <cellStyle name="SAPBEXHLevel0 3 2 15" xfId="36651"/>
    <cellStyle name="SAPBEXHLevel0 3 2 16" xfId="36652"/>
    <cellStyle name="SAPBEXHLevel0 3 2 17" xfId="36653"/>
    <cellStyle name="SAPBEXHLevel0 3 2 18" xfId="36654"/>
    <cellStyle name="SAPBEXHLevel0 3 2 2" xfId="36655"/>
    <cellStyle name="SAPBEXHLevel0 3 2 2 2" xfId="36656"/>
    <cellStyle name="SAPBEXHLevel0 3 2 2 2 2" xfId="36657"/>
    <cellStyle name="SAPBEXHLevel0 3 2 2 3" xfId="36658"/>
    <cellStyle name="SAPBEXHLevel0 3 2 2 4" xfId="36659"/>
    <cellStyle name="SAPBEXHLevel0 3 2 3" xfId="36660"/>
    <cellStyle name="SAPBEXHLevel0 3 2 3 2" xfId="36661"/>
    <cellStyle name="SAPBEXHLevel0 3 2 3 3" xfId="36662"/>
    <cellStyle name="SAPBEXHLevel0 3 2 4" xfId="36663"/>
    <cellStyle name="SAPBEXHLevel0 3 2 4 2" xfId="36664"/>
    <cellStyle name="SAPBEXHLevel0 3 2 5" xfId="36665"/>
    <cellStyle name="SAPBEXHLevel0 3 2 6" xfId="36666"/>
    <cellStyle name="SAPBEXHLevel0 3 2 7" xfId="36667"/>
    <cellStyle name="SAPBEXHLevel0 3 2 8" xfId="36668"/>
    <cellStyle name="SAPBEXHLevel0 3 2 9" xfId="36669"/>
    <cellStyle name="SAPBEXHLevel0 3 20" xfId="36670"/>
    <cellStyle name="SAPBEXHLevel0 3 3" xfId="36671"/>
    <cellStyle name="SAPBEXHLevel0 3 3 10" xfId="36672"/>
    <cellStyle name="SAPBEXHLevel0 3 3 11" xfId="36673"/>
    <cellStyle name="SAPBEXHLevel0 3 3 12" xfId="36674"/>
    <cellStyle name="SAPBEXHLevel0 3 3 13" xfId="36675"/>
    <cellStyle name="SAPBEXHLevel0 3 3 14" xfId="36676"/>
    <cellStyle name="SAPBEXHLevel0 3 3 15" xfId="36677"/>
    <cellStyle name="SAPBEXHLevel0 3 3 16" xfId="36678"/>
    <cellStyle name="SAPBEXHLevel0 3 3 17" xfId="36679"/>
    <cellStyle name="SAPBEXHLevel0 3 3 18" xfId="36680"/>
    <cellStyle name="SAPBEXHLevel0 3 3 2" xfId="36681"/>
    <cellStyle name="SAPBEXHLevel0 3 3 2 2" xfId="36682"/>
    <cellStyle name="SAPBEXHLevel0 3 3 2 2 2" xfId="36683"/>
    <cellStyle name="SAPBEXHLevel0 3 3 2 3" xfId="36684"/>
    <cellStyle name="SAPBEXHLevel0 3 3 2 4" xfId="36685"/>
    <cellStyle name="SAPBEXHLevel0 3 3 3" xfId="36686"/>
    <cellStyle name="SAPBEXHLevel0 3 3 3 2" xfId="36687"/>
    <cellStyle name="SAPBEXHLevel0 3 3 3 3" xfId="36688"/>
    <cellStyle name="SAPBEXHLevel0 3 3 4" xfId="36689"/>
    <cellStyle name="SAPBEXHLevel0 3 3 4 2" xfId="36690"/>
    <cellStyle name="SAPBEXHLevel0 3 3 5" xfId="36691"/>
    <cellStyle name="SAPBEXHLevel0 3 3 6" xfId="36692"/>
    <cellStyle name="SAPBEXHLevel0 3 3 7" xfId="36693"/>
    <cellStyle name="SAPBEXHLevel0 3 3 8" xfId="36694"/>
    <cellStyle name="SAPBEXHLevel0 3 3 9" xfId="36695"/>
    <cellStyle name="SAPBEXHLevel0 3 4" xfId="36696"/>
    <cellStyle name="SAPBEXHLevel0 3 4 2" xfId="36697"/>
    <cellStyle name="SAPBEXHLevel0 3 4 2 2" xfId="36698"/>
    <cellStyle name="SAPBEXHLevel0 3 4 2 3" xfId="36699"/>
    <cellStyle name="SAPBEXHLevel0 3 4 3" xfId="36700"/>
    <cellStyle name="SAPBEXHLevel0 3 4 3 2" xfId="36701"/>
    <cellStyle name="SAPBEXHLevel0 3 4 4" xfId="36702"/>
    <cellStyle name="SAPBEXHLevel0 3 4 5" xfId="36703"/>
    <cellStyle name="SAPBEXHLevel0 3 5" xfId="36704"/>
    <cellStyle name="SAPBEXHLevel0 3 5 2" xfId="36705"/>
    <cellStyle name="SAPBEXHLevel0 3 5 2 2" xfId="36706"/>
    <cellStyle name="SAPBEXHLevel0 3 5 3" xfId="36707"/>
    <cellStyle name="SAPBEXHLevel0 3 5 4" xfId="36708"/>
    <cellStyle name="SAPBEXHLevel0 3 6" xfId="36709"/>
    <cellStyle name="SAPBEXHLevel0 3 6 2" xfId="36710"/>
    <cellStyle name="SAPBEXHLevel0 3 6 3" xfId="36711"/>
    <cellStyle name="SAPBEXHLevel0 3 7" xfId="36712"/>
    <cellStyle name="SAPBEXHLevel0 3 7 2" xfId="36713"/>
    <cellStyle name="SAPBEXHLevel0 3 8" xfId="36714"/>
    <cellStyle name="SAPBEXHLevel0 3 9" xfId="36715"/>
    <cellStyle name="SAPBEXHLevel0 4" xfId="36716"/>
    <cellStyle name="SAPBEXHLevel0 4 10" xfId="36717"/>
    <cellStyle name="SAPBEXHLevel0 4 11" xfId="36718"/>
    <cellStyle name="SAPBEXHLevel0 4 12" xfId="36719"/>
    <cellStyle name="SAPBEXHLevel0 4 13" xfId="36720"/>
    <cellStyle name="SAPBEXHLevel0 4 14" xfId="36721"/>
    <cellStyle name="SAPBEXHLevel0 4 15" xfId="36722"/>
    <cellStyle name="SAPBEXHLevel0 4 16" xfId="36723"/>
    <cellStyle name="SAPBEXHLevel0 4 17" xfId="36724"/>
    <cellStyle name="SAPBEXHLevel0 4 18" xfId="36725"/>
    <cellStyle name="SAPBEXHLevel0 4 19" xfId="36726"/>
    <cellStyle name="SAPBEXHLevel0 4 2" xfId="36727"/>
    <cellStyle name="SAPBEXHLevel0 4 2 10" xfId="36728"/>
    <cellStyle name="SAPBEXHLevel0 4 2 11" xfId="36729"/>
    <cellStyle name="SAPBEXHLevel0 4 2 12" xfId="36730"/>
    <cellStyle name="SAPBEXHLevel0 4 2 13" xfId="36731"/>
    <cellStyle name="SAPBEXHLevel0 4 2 14" xfId="36732"/>
    <cellStyle name="SAPBEXHLevel0 4 2 15" xfId="36733"/>
    <cellStyle name="SAPBEXHLevel0 4 2 16" xfId="36734"/>
    <cellStyle name="SAPBEXHLevel0 4 2 17" xfId="36735"/>
    <cellStyle name="SAPBEXHLevel0 4 2 18" xfId="36736"/>
    <cellStyle name="SAPBEXHLevel0 4 2 2" xfId="36737"/>
    <cellStyle name="SAPBEXHLevel0 4 2 2 2" xfId="36738"/>
    <cellStyle name="SAPBEXHLevel0 4 2 2 2 2" xfId="36739"/>
    <cellStyle name="SAPBEXHLevel0 4 2 2 3" xfId="36740"/>
    <cellStyle name="SAPBEXHLevel0 4 2 2 4" xfId="36741"/>
    <cellStyle name="SAPBEXHLevel0 4 2 3" xfId="36742"/>
    <cellStyle name="SAPBEXHLevel0 4 2 3 2" xfId="36743"/>
    <cellStyle name="SAPBEXHLevel0 4 2 3 3" xfId="36744"/>
    <cellStyle name="SAPBEXHLevel0 4 2 4" xfId="36745"/>
    <cellStyle name="SAPBEXHLevel0 4 2 4 2" xfId="36746"/>
    <cellStyle name="SAPBEXHLevel0 4 2 5" xfId="36747"/>
    <cellStyle name="SAPBEXHLevel0 4 2 6" xfId="36748"/>
    <cellStyle name="SAPBEXHLevel0 4 2 7" xfId="36749"/>
    <cellStyle name="SAPBEXHLevel0 4 2 8" xfId="36750"/>
    <cellStyle name="SAPBEXHLevel0 4 2 9" xfId="36751"/>
    <cellStyle name="SAPBEXHLevel0 4 20" xfId="36752"/>
    <cellStyle name="SAPBEXHLevel0 4 21" xfId="36753"/>
    <cellStyle name="SAPBEXHLevel0 4 22" xfId="36754"/>
    <cellStyle name="SAPBEXHLevel0 4 3" xfId="36755"/>
    <cellStyle name="SAPBEXHLevel0 4 3 10" xfId="36756"/>
    <cellStyle name="SAPBEXHLevel0 4 3 11" xfId="36757"/>
    <cellStyle name="SAPBEXHLevel0 4 3 12" xfId="36758"/>
    <cellStyle name="SAPBEXHLevel0 4 3 13" xfId="36759"/>
    <cellStyle name="SAPBEXHLevel0 4 3 14" xfId="36760"/>
    <cellStyle name="SAPBEXHLevel0 4 3 15" xfId="36761"/>
    <cellStyle name="SAPBEXHLevel0 4 3 16" xfId="36762"/>
    <cellStyle name="SAPBEXHLevel0 4 3 17" xfId="36763"/>
    <cellStyle name="SAPBEXHLevel0 4 3 18" xfId="36764"/>
    <cellStyle name="SAPBEXHLevel0 4 3 2" xfId="36765"/>
    <cellStyle name="SAPBEXHLevel0 4 3 2 2" xfId="36766"/>
    <cellStyle name="SAPBEXHLevel0 4 3 2 2 2" xfId="36767"/>
    <cellStyle name="SAPBEXHLevel0 4 3 2 3" xfId="36768"/>
    <cellStyle name="SAPBEXHLevel0 4 3 2 4" xfId="36769"/>
    <cellStyle name="SAPBEXHLevel0 4 3 3" xfId="36770"/>
    <cellStyle name="SAPBEXHLevel0 4 3 3 2" xfId="36771"/>
    <cellStyle name="SAPBEXHLevel0 4 3 3 3" xfId="36772"/>
    <cellStyle name="SAPBEXHLevel0 4 3 4" xfId="36773"/>
    <cellStyle name="SAPBEXHLevel0 4 3 4 2" xfId="36774"/>
    <cellStyle name="SAPBEXHLevel0 4 3 5" xfId="36775"/>
    <cellStyle name="SAPBEXHLevel0 4 3 6" xfId="36776"/>
    <cellStyle name="SAPBEXHLevel0 4 3 7" xfId="36777"/>
    <cellStyle name="SAPBEXHLevel0 4 3 8" xfId="36778"/>
    <cellStyle name="SAPBEXHLevel0 4 3 9" xfId="36779"/>
    <cellStyle name="SAPBEXHLevel0 4 4" xfId="36780"/>
    <cellStyle name="SAPBEXHLevel0 4 4 2" xfId="36781"/>
    <cellStyle name="SAPBEXHLevel0 4 4 2 2" xfId="36782"/>
    <cellStyle name="SAPBEXHLevel0 4 4 2 3" xfId="36783"/>
    <cellStyle name="SAPBEXHLevel0 4 4 3" xfId="36784"/>
    <cellStyle name="SAPBEXHLevel0 4 4 3 2" xfId="36785"/>
    <cellStyle name="SAPBEXHLevel0 4 4 4" xfId="36786"/>
    <cellStyle name="SAPBEXHLevel0 4 4 5" xfId="36787"/>
    <cellStyle name="SAPBEXHLevel0 4 5" xfId="36788"/>
    <cellStyle name="SAPBEXHLevel0 4 5 2" xfId="36789"/>
    <cellStyle name="SAPBEXHLevel0 4 5 2 2" xfId="36790"/>
    <cellStyle name="SAPBEXHLevel0 4 5 3" xfId="36791"/>
    <cellStyle name="SAPBEXHLevel0 4 5 4" xfId="36792"/>
    <cellStyle name="SAPBEXHLevel0 4 6" xfId="36793"/>
    <cellStyle name="SAPBEXHLevel0 4 6 2" xfId="36794"/>
    <cellStyle name="SAPBEXHLevel0 4 6 3" xfId="36795"/>
    <cellStyle name="SAPBEXHLevel0 4 7" xfId="36796"/>
    <cellStyle name="SAPBEXHLevel0 4 7 2" xfId="36797"/>
    <cellStyle name="SAPBEXHLevel0 4 8" xfId="36798"/>
    <cellStyle name="SAPBEXHLevel0 4 9" xfId="36799"/>
    <cellStyle name="SAPBEXHLevel0 5" xfId="36800"/>
    <cellStyle name="SAPBEXHLevel0 5 10" xfId="36801"/>
    <cellStyle name="SAPBEXHLevel0 5 11" xfId="36802"/>
    <cellStyle name="SAPBEXHLevel0 5 12" xfId="36803"/>
    <cellStyle name="SAPBEXHLevel0 5 13" xfId="36804"/>
    <cellStyle name="SAPBEXHLevel0 5 14" xfId="36805"/>
    <cellStyle name="SAPBEXHLevel0 5 15" xfId="36806"/>
    <cellStyle name="SAPBEXHLevel0 5 16" xfId="36807"/>
    <cellStyle name="SAPBEXHLevel0 5 17" xfId="36808"/>
    <cellStyle name="SAPBEXHLevel0 5 18" xfId="36809"/>
    <cellStyle name="SAPBEXHLevel0 5 19" xfId="36810"/>
    <cellStyle name="SAPBEXHLevel0 5 2" xfId="36811"/>
    <cellStyle name="SAPBEXHLevel0 5 2 10" xfId="36812"/>
    <cellStyle name="SAPBEXHLevel0 5 2 11" xfId="36813"/>
    <cellStyle name="SAPBEXHLevel0 5 2 12" xfId="36814"/>
    <cellStyle name="SAPBEXHLevel0 5 2 13" xfId="36815"/>
    <cellStyle name="SAPBEXHLevel0 5 2 14" xfId="36816"/>
    <cellStyle name="SAPBEXHLevel0 5 2 15" xfId="36817"/>
    <cellStyle name="SAPBEXHLevel0 5 2 16" xfId="36818"/>
    <cellStyle name="SAPBEXHLevel0 5 2 17" xfId="36819"/>
    <cellStyle name="SAPBEXHLevel0 5 2 18" xfId="36820"/>
    <cellStyle name="SAPBEXHLevel0 5 2 2" xfId="36821"/>
    <cellStyle name="SAPBEXHLevel0 5 2 2 2" xfId="36822"/>
    <cellStyle name="SAPBEXHLevel0 5 2 2 2 2" xfId="36823"/>
    <cellStyle name="SAPBEXHLevel0 5 2 2 3" xfId="36824"/>
    <cellStyle name="SAPBEXHLevel0 5 2 2 4" xfId="36825"/>
    <cellStyle name="SAPBEXHLevel0 5 2 3" xfId="36826"/>
    <cellStyle name="SAPBEXHLevel0 5 2 3 2" xfId="36827"/>
    <cellStyle name="SAPBEXHLevel0 5 2 3 3" xfId="36828"/>
    <cellStyle name="SAPBEXHLevel0 5 2 4" xfId="36829"/>
    <cellStyle name="SAPBEXHLevel0 5 2 4 2" xfId="36830"/>
    <cellStyle name="SAPBEXHLevel0 5 2 5" xfId="36831"/>
    <cellStyle name="SAPBEXHLevel0 5 2 6" xfId="36832"/>
    <cellStyle name="SAPBEXHLevel0 5 2 7" xfId="36833"/>
    <cellStyle name="SAPBEXHLevel0 5 2 8" xfId="36834"/>
    <cellStyle name="SAPBEXHLevel0 5 2 9" xfId="36835"/>
    <cellStyle name="SAPBEXHLevel0 5 20" xfId="36836"/>
    <cellStyle name="SAPBEXHLevel0 5 21" xfId="36837"/>
    <cellStyle name="SAPBEXHLevel0 5 22" xfId="36838"/>
    <cellStyle name="SAPBEXHLevel0 5 3" xfId="36839"/>
    <cellStyle name="SAPBEXHLevel0 5 3 10" xfId="36840"/>
    <cellStyle name="SAPBEXHLevel0 5 3 11" xfId="36841"/>
    <cellStyle name="SAPBEXHLevel0 5 3 12" xfId="36842"/>
    <cellStyle name="SAPBEXHLevel0 5 3 13" xfId="36843"/>
    <cellStyle name="SAPBEXHLevel0 5 3 14" xfId="36844"/>
    <cellStyle name="SAPBEXHLevel0 5 3 15" xfId="36845"/>
    <cellStyle name="SAPBEXHLevel0 5 3 16" xfId="36846"/>
    <cellStyle name="SAPBEXHLevel0 5 3 17" xfId="36847"/>
    <cellStyle name="SAPBEXHLevel0 5 3 18" xfId="36848"/>
    <cellStyle name="SAPBEXHLevel0 5 3 2" xfId="36849"/>
    <cellStyle name="SAPBEXHLevel0 5 3 2 2" xfId="36850"/>
    <cellStyle name="SAPBEXHLevel0 5 3 2 2 2" xfId="36851"/>
    <cellStyle name="SAPBEXHLevel0 5 3 2 3" xfId="36852"/>
    <cellStyle name="SAPBEXHLevel0 5 3 2 4" xfId="36853"/>
    <cellStyle name="SAPBEXHLevel0 5 3 3" xfId="36854"/>
    <cellStyle name="SAPBEXHLevel0 5 3 3 2" xfId="36855"/>
    <cellStyle name="SAPBEXHLevel0 5 3 3 3" xfId="36856"/>
    <cellStyle name="SAPBEXHLevel0 5 3 4" xfId="36857"/>
    <cellStyle name="SAPBEXHLevel0 5 3 4 2" xfId="36858"/>
    <cellStyle name="SAPBEXHLevel0 5 3 5" xfId="36859"/>
    <cellStyle name="SAPBEXHLevel0 5 3 6" xfId="36860"/>
    <cellStyle name="SAPBEXHLevel0 5 3 7" xfId="36861"/>
    <cellStyle name="SAPBEXHLevel0 5 3 8" xfId="36862"/>
    <cellStyle name="SAPBEXHLevel0 5 3 9" xfId="36863"/>
    <cellStyle name="SAPBEXHLevel0 5 4" xfId="36864"/>
    <cellStyle name="SAPBEXHLevel0 5 4 2" xfId="36865"/>
    <cellStyle name="SAPBEXHLevel0 5 4 2 2" xfId="36866"/>
    <cellStyle name="SAPBEXHLevel0 5 4 2 3" xfId="36867"/>
    <cellStyle name="SAPBEXHLevel0 5 4 3" xfId="36868"/>
    <cellStyle name="SAPBEXHLevel0 5 4 3 2" xfId="36869"/>
    <cellStyle name="SAPBEXHLevel0 5 4 4" xfId="36870"/>
    <cellStyle name="SAPBEXHLevel0 5 4 5" xfId="36871"/>
    <cellStyle name="SAPBEXHLevel0 5 5" xfId="36872"/>
    <cellStyle name="SAPBEXHLevel0 5 5 2" xfId="36873"/>
    <cellStyle name="SAPBEXHLevel0 5 5 2 2" xfId="36874"/>
    <cellStyle name="SAPBEXHLevel0 5 5 3" xfId="36875"/>
    <cellStyle name="SAPBEXHLevel0 5 5 4" xfId="36876"/>
    <cellStyle name="SAPBEXHLevel0 5 6" xfId="36877"/>
    <cellStyle name="SAPBEXHLevel0 5 6 2" xfId="36878"/>
    <cellStyle name="SAPBEXHLevel0 5 6 3" xfId="36879"/>
    <cellStyle name="SAPBEXHLevel0 5 7" xfId="36880"/>
    <cellStyle name="SAPBEXHLevel0 5 7 2" xfId="36881"/>
    <cellStyle name="SAPBEXHLevel0 5 8" xfId="36882"/>
    <cellStyle name="SAPBEXHLevel0 5 9" xfId="36883"/>
    <cellStyle name="SAPBEXHLevel0 6" xfId="36884"/>
    <cellStyle name="SAPBEXHLevel0 6 10" xfId="36885"/>
    <cellStyle name="SAPBEXHLevel0 6 11" xfId="36886"/>
    <cellStyle name="SAPBEXHLevel0 6 12" xfId="36887"/>
    <cellStyle name="SAPBEXHLevel0 6 13" xfId="36888"/>
    <cellStyle name="SAPBEXHLevel0 6 14" xfId="36889"/>
    <cellStyle name="SAPBEXHLevel0 6 15" xfId="36890"/>
    <cellStyle name="SAPBEXHLevel0 6 2" xfId="36891"/>
    <cellStyle name="SAPBEXHLevel0 6 2 10" xfId="36892"/>
    <cellStyle name="SAPBEXHLevel0 6 2 11" xfId="36893"/>
    <cellStyle name="SAPBEXHLevel0 6 2 12" xfId="36894"/>
    <cellStyle name="SAPBEXHLevel0 6 2 13" xfId="36895"/>
    <cellStyle name="SAPBEXHLevel0 6 2 14" xfId="36896"/>
    <cellStyle name="SAPBEXHLevel0 6 2 15" xfId="36897"/>
    <cellStyle name="SAPBEXHLevel0 6 2 16" xfId="36898"/>
    <cellStyle name="SAPBEXHLevel0 6 2 17" xfId="36899"/>
    <cellStyle name="SAPBEXHLevel0 6 2 18" xfId="36900"/>
    <cellStyle name="SAPBEXHLevel0 6 2 2" xfId="36901"/>
    <cellStyle name="SAPBEXHLevel0 6 2 2 2" xfId="36902"/>
    <cellStyle name="SAPBEXHLevel0 6 2 2 2 2" xfId="36903"/>
    <cellStyle name="SAPBEXHLevel0 6 2 2 3" xfId="36904"/>
    <cellStyle name="SAPBEXHLevel0 6 2 2 4" xfId="36905"/>
    <cellStyle name="SAPBEXHLevel0 6 2 3" xfId="36906"/>
    <cellStyle name="SAPBEXHLevel0 6 2 3 2" xfId="36907"/>
    <cellStyle name="SAPBEXHLevel0 6 2 3 3" xfId="36908"/>
    <cellStyle name="SAPBEXHLevel0 6 2 4" xfId="36909"/>
    <cellStyle name="SAPBEXHLevel0 6 2 4 2" xfId="36910"/>
    <cellStyle name="SAPBEXHLevel0 6 2 5" xfId="36911"/>
    <cellStyle name="SAPBEXHLevel0 6 2 6" xfId="36912"/>
    <cellStyle name="SAPBEXHLevel0 6 2 7" xfId="36913"/>
    <cellStyle name="SAPBEXHLevel0 6 2 8" xfId="36914"/>
    <cellStyle name="SAPBEXHLevel0 6 2 9" xfId="36915"/>
    <cellStyle name="SAPBEXHLevel0 6 3" xfId="36916"/>
    <cellStyle name="SAPBEXHLevel0 6 3 10" xfId="36917"/>
    <cellStyle name="SAPBEXHLevel0 6 3 11" xfId="36918"/>
    <cellStyle name="SAPBEXHLevel0 6 3 12" xfId="36919"/>
    <cellStyle name="SAPBEXHLevel0 6 3 13" xfId="36920"/>
    <cellStyle name="SAPBEXHLevel0 6 3 14" xfId="36921"/>
    <cellStyle name="SAPBEXHLevel0 6 3 15" xfId="36922"/>
    <cellStyle name="SAPBEXHLevel0 6 3 16" xfId="36923"/>
    <cellStyle name="SAPBEXHLevel0 6 3 17" xfId="36924"/>
    <cellStyle name="SAPBEXHLevel0 6 3 18" xfId="36925"/>
    <cellStyle name="SAPBEXHLevel0 6 3 2" xfId="36926"/>
    <cellStyle name="SAPBEXHLevel0 6 3 2 2" xfId="36927"/>
    <cellStyle name="SAPBEXHLevel0 6 3 2 2 2" xfId="36928"/>
    <cellStyle name="SAPBEXHLevel0 6 3 2 3" xfId="36929"/>
    <cellStyle name="SAPBEXHLevel0 6 3 2 4" xfId="36930"/>
    <cellStyle name="SAPBEXHLevel0 6 3 3" xfId="36931"/>
    <cellStyle name="SAPBEXHLevel0 6 3 3 2" xfId="36932"/>
    <cellStyle name="SAPBEXHLevel0 6 3 3 3" xfId="36933"/>
    <cellStyle name="SAPBEXHLevel0 6 3 4" xfId="36934"/>
    <cellStyle name="SAPBEXHLevel0 6 3 4 2" xfId="36935"/>
    <cellStyle name="SAPBEXHLevel0 6 3 5" xfId="36936"/>
    <cellStyle name="SAPBEXHLevel0 6 3 6" xfId="36937"/>
    <cellStyle name="SAPBEXHLevel0 6 3 7" xfId="36938"/>
    <cellStyle name="SAPBEXHLevel0 6 3 8" xfId="36939"/>
    <cellStyle name="SAPBEXHLevel0 6 3 9" xfId="36940"/>
    <cellStyle name="SAPBEXHLevel0 6 4" xfId="36941"/>
    <cellStyle name="SAPBEXHLevel0 6 4 2" xfId="36942"/>
    <cellStyle name="SAPBEXHLevel0 6 4 2 2" xfId="36943"/>
    <cellStyle name="SAPBEXHLevel0 6 4 3" xfId="36944"/>
    <cellStyle name="SAPBEXHLevel0 6 4 4" xfId="36945"/>
    <cellStyle name="SAPBEXHLevel0 6 5" xfId="36946"/>
    <cellStyle name="SAPBEXHLevel0 6 5 2" xfId="36947"/>
    <cellStyle name="SAPBEXHLevel0 6 6" xfId="36948"/>
    <cellStyle name="SAPBEXHLevel0 6 7" xfId="36949"/>
    <cellStyle name="SAPBEXHLevel0 6 8" xfId="36950"/>
    <cellStyle name="SAPBEXHLevel0 6 9" xfId="36951"/>
    <cellStyle name="SAPBEXHLevel0 7" xfId="36952"/>
    <cellStyle name="SAPBEXHLevel0 7 10" xfId="36953"/>
    <cellStyle name="SAPBEXHLevel0 7 11" xfId="36954"/>
    <cellStyle name="SAPBEXHLevel0 7 12" xfId="36955"/>
    <cellStyle name="SAPBEXHLevel0 7 13" xfId="36956"/>
    <cellStyle name="SAPBEXHLevel0 7 14" xfId="36957"/>
    <cellStyle name="SAPBEXHLevel0 7 15" xfId="36958"/>
    <cellStyle name="SAPBEXHLevel0 7 16" xfId="36959"/>
    <cellStyle name="SAPBEXHLevel0 7 17" xfId="36960"/>
    <cellStyle name="SAPBEXHLevel0 7 18" xfId="36961"/>
    <cellStyle name="SAPBEXHLevel0 7 19" xfId="36962"/>
    <cellStyle name="SAPBEXHLevel0 7 2" xfId="36963"/>
    <cellStyle name="SAPBEXHLevel0 7 3" xfId="36964"/>
    <cellStyle name="SAPBEXHLevel0 7 4" xfId="36965"/>
    <cellStyle name="SAPBEXHLevel0 7 5" xfId="36966"/>
    <cellStyle name="SAPBEXHLevel0 7 6" xfId="36967"/>
    <cellStyle name="SAPBEXHLevel0 7 7" xfId="36968"/>
    <cellStyle name="SAPBEXHLevel0 7 8" xfId="36969"/>
    <cellStyle name="SAPBEXHLevel0 7 9" xfId="36970"/>
    <cellStyle name="SAPBEXHLevel0 8" xfId="36971"/>
    <cellStyle name="SAPBEXHLevel0 9" xfId="36972"/>
    <cellStyle name="SAPBEXHLevel0_7y-отчетная_РЖД_2009_04" xfId="36973"/>
    <cellStyle name="SAPBEXHLevel0X" xfId="36974"/>
    <cellStyle name="SAPBEXHLevel0X 10" xfId="36975"/>
    <cellStyle name="SAPBEXHLevel0X 11" xfId="36976"/>
    <cellStyle name="SAPBEXHLevel0X 12" xfId="36977"/>
    <cellStyle name="SAPBEXHLevel0X 13" xfId="36978"/>
    <cellStyle name="SAPBEXHLevel0X 14" xfId="36979"/>
    <cellStyle name="SAPBEXHLevel0X 15" xfId="36980"/>
    <cellStyle name="SAPBEXHLevel0X 16" xfId="36981"/>
    <cellStyle name="SAPBEXHLevel0X 17" xfId="36982"/>
    <cellStyle name="SAPBEXHLevel0X 18" xfId="36983"/>
    <cellStyle name="SAPBEXHLevel0X 19" xfId="36984"/>
    <cellStyle name="SAPBEXHLevel0X 2" xfId="36985"/>
    <cellStyle name="SAPBEXHLevel0X 2 10" xfId="36986"/>
    <cellStyle name="SAPBEXHLevel0X 2 11" xfId="36987"/>
    <cellStyle name="SAPBEXHLevel0X 2 12" xfId="36988"/>
    <cellStyle name="SAPBEXHLevel0X 2 13" xfId="36989"/>
    <cellStyle name="SAPBEXHLevel0X 2 14" xfId="36990"/>
    <cellStyle name="SAPBEXHLevel0X 2 15" xfId="36991"/>
    <cellStyle name="SAPBEXHLevel0X 2 16" xfId="36992"/>
    <cellStyle name="SAPBEXHLevel0X 2 17" xfId="36993"/>
    <cellStyle name="SAPBEXHLevel0X 2 18" xfId="36994"/>
    <cellStyle name="SAPBEXHLevel0X 2 19" xfId="36995"/>
    <cellStyle name="SAPBEXHLevel0X 2 2" xfId="36996"/>
    <cellStyle name="SAPBEXHLevel0X 2 2 10" xfId="36997"/>
    <cellStyle name="SAPBEXHLevel0X 2 2 11" xfId="36998"/>
    <cellStyle name="SAPBEXHLevel0X 2 2 12" xfId="36999"/>
    <cellStyle name="SAPBEXHLevel0X 2 2 13" xfId="37000"/>
    <cellStyle name="SAPBEXHLevel0X 2 2 14" xfId="37001"/>
    <cellStyle name="SAPBEXHLevel0X 2 2 15" xfId="37002"/>
    <cellStyle name="SAPBEXHLevel0X 2 2 16" xfId="37003"/>
    <cellStyle name="SAPBEXHLevel0X 2 2 17" xfId="37004"/>
    <cellStyle name="SAPBEXHLevel0X 2 2 18" xfId="37005"/>
    <cellStyle name="SAPBEXHLevel0X 2 2 2" xfId="37006"/>
    <cellStyle name="SAPBEXHLevel0X 2 2 2 2" xfId="37007"/>
    <cellStyle name="SAPBEXHLevel0X 2 2 2 2 2" xfId="37008"/>
    <cellStyle name="SAPBEXHLevel0X 2 2 2 3" xfId="37009"/>
    <cellStyle name="SAPBEXHLevel0X 2 2 2 4" xfId="37010"/>
    <cellStyle name="SAPBEXHLevel0X 2 2 3" xfId="37011"/>
    <cellStyle name="SAPBEXHLevel0X 2 2 3 2" xfId="37012"/>
    <cellStyle name="SAPBEXHLevel0X 2 2 3 3" xfId="37013"/>
    <cellStyle name="SAPBEXHLevel0X 2 2 4" xfId="37014"/>
    <cellStyle name="SAPBEXHLevel0X 2 2 4 2" xfId="37015"/>
    <cellStyle name="SAPBEXHLevel0X 2 2 5" xfId="37016"/>
    <cellStyle name="SAPBEXHLevel0X 2 2 6" xfId="37017"/>
    <cellStyle name="SAPBEXHLevel0X 2 2 7" xfId="37018"/>
    <cellStyle name="SAPBEXHLevel0X 2 2 8" xfId="37019"/>
    <cellStyle name="SAPBEXHLevel0X 2 2 9" xfId="37020"/>
    <cellStyle name="SAPBEXHLevel0X 2 20" xfId="37021"/>
    <cellStyle name="SAPBEXHLevel0X 2 21" xfId="37022"/>
    <cellStyle name="SAPBEXHLevel0X 2 22" xfId="37023"/>
    <cellStyle name="SAPBEXHLevel0X 2 23" xfId="37024"/>
    <cellStyle name="SAPBEXHLevel0X 2 24" xfId="37025"/>
    <cellStyle name="SAPBEXHLevel0X 2 25" xfId="37026"/>
    <cellStyle name="SAPBEXHLevel0X 2 3" xfId="37027"/>
    <cellStyle name="SAPBEXHLevel0X 2 3 10" xfId="37028"/>
    <cellStyle name="SAPBEXHLevel0X 2 3 11" xfId="37029"/>
    <cellStyle name="SAPBEXHLevel0X 2 3 12" xfId="37030"/>
    <cellStyle name="SAPBEXHLevel0X 2 3 13" xfId="37031"/>
    <cellStyle name="SAPBEXHLevel0X 2 3 14" xfId="37032"/>
    <cellStyle name="SAPBEXHLevel0X 2 3 15" xfId="37033"/>
    <cellStyle name="SAPBEXHLevel0X 2 3 16" xfId="37034"/>
    <cellStyle name="SAPBEXHLevel0X 2 3 17" xfId="37035"/>
    <cellStyle name="SAPBEXHLevel0X 2 3 18" xfId="37036"/>
    <cellStyle name="SAPBEXHLevel0X 2 3 2" xfId="37037"/>
    <cellStyle name="SAPBEXHLevel0X 2 3 2 2" xfId="37038"/>
    <cellStyle name="SAPBEXHLevel0X 2 3 2 2 2" xfId="37039"/>
    <cellStyle name="SAPBEXHLevel0X 2 3 2 3" xfId="37040"/>
    <cellStyle name="SAPBEXHLevel0X 2 3 2 4" xfId="37041"/>
    <cellStyle name="SAPBEXHLevel0X 2 3 3" xfId="37042"/>
    <cellStyle name="SAPBEXHLevel0X 2 3 3 2" xfId="37043"/>
    <cellStyle name="SAPBEXHLevel0X 2 3 3 3" xfId="37044"/>
    <cellStyle name="SAPBEXHLevel0X 2 3 4" xfId="37045"/>
    <cellStyle name="SAPBEXHLevel0X 2 3 4 2" xfId="37046"/>
    <cellStyle name="SAPBEXHLevel0X 2 3 5" xfId="37047"/>
    <cellStyle name="SAPBEXHLevel0X 2 3 6" xfId="37048"/>
    <cellStyle name="SAPBEXHLevel0X 2 3 7" xfId="37049"/>
    <cellStyle name="SAPBEXHLevel0X 2 3 8" xfId="37050"/>
    <cellStyle name="SAPBEXHLevel0X 2 3 9" xfId="37051"/>
    <cellStyle name="SAPBEXHLevel0X 2 4" xfId="37052"/>
    <cellStyle name="SAPBEXHLevel0X 2 4 2" xfId="37053"/>
    <cellStyle name="SAPBEXHLevel0X 2 4 2 2" xfId="37054"/>
    <cellStyle name="SAPBEXHLevel0X 2 4 2 3" xfId="37055"/>
    <cellStyle name="SAPBEXHLevel0X 2 4 3" xfId="37056"/>
    <cellStyle name="SAPBEXHLevel0X 2 4 3 2" xfId="37057"/>
    <cellStyle name="SAPBEXHLevel0X 2 4 4" xfId="37058"/>
    <cellStyle name="SAPBEXHLevel0X 2 4 5" xfId="37059"/>
    <cellStyle name="SAPBEXHLevel0X 2 5" xfId="37060"/>
    <cellStyle name="SAPBEXHLevel0X 2 5 2" xfId="37061"/>
    <cellStyle name="SAPBEXHLevel0X 2 5 2 2" xfId="37062"/>
    <cellStyle name="SAPBEXHLevel0X 2 5 3" xfId="37063"/>
    <cellStyle name="SAPBEXHLevel0X 2 5 4" xfId="37064"/>
    <cellStyle name="SAPBEXHLevel0X 2 6" xfId="37065"/>
    <cellStyle name="SAPBEXHLevel0X 2 6 2" xfId="37066"/>
    <cellStyle name="SAPBEXHLevel0X 2 6 3" xfId="37067"/>
    <cellStyle name="SAPBEXHLevel0X 2 7" xfId="37068"/>
    <cellStyle name="SAPBEXHLevel0X 2 7 2" xfId="37069"/>
    <cellStyle name="SAPBEXHLevel0X 2 8" xfId="37070"/>
    <cellStyle name="SAPBEXHLevel0X 2 9" xfId="37071"/>
    <cellStyle name="SAPBEXHLevel0X 20" xfId="37072"/>
    <cellStyle name="SAPBEXHLevel0X 3" xfId="37073"/>
    <cellStyle name="SAPBEXHLevel0X 3 10" xfId="37074"/>
    <cellStyle name="SAPBEXHLevel0X 3 11" xfId="37075"/>
    <cellStyle name="SAPBEXHLevel0X 3 12" xfId="37076"/>
    <cellStyle name="SAPBEXHLevel0X 3 13" xfId="37077"/>
    <cellStyle name="SAPBEXHLevel0X 3 14" xfId="37078"/>
    <cellStyle name="SAPBEXHLevel0X 3 15" xfId="37079"/>
    <cellStyle name="SAPBEXHLevel0X 3 16" xfId="37080"/>
    <cellStyle name="SAPBEXHLevel0X 3 17" xfId="37081"/>
    <cellStyle name="SAPBEXHLevel0X 3 18" xfId="37082"/>
    <cellStyle name="SAPBEXHLevel0X 3 19" xfId="37083"/>
    <cellStyle name="SAPBEXHLevel0X 3 2" xfId="37084"/>
    <cellStyle name="SAPBEXHLevel0X 3 2 10" xfId="37085"/>
    <cellStyle name="SAPBEXHLevel0X 3 2 11" xfId="37086"/>
    <cellStyle name="SAPBEXHLevel0X 3 2 12" xfId="37087"/>
    <cellStyle name="SAPBEXHLevel0X 3 2 13" xfId="37088"/>
    <cellStyle name="SAPBEXHLevel0X 3 2 14" xfId="37089"/>
    <cellStyle name="SAPBEXHLevel0X 3 2 15" xfId="37090"/>
    <cellStyle name="SAPBEXHLevel0X 3 2 16" xfId="37091"/>
    <cellStyle name="SAPBEXHLevel0X 3 2 17" xfId="37092"/>
    <cellStyle name="SAPBEXHLevel0X 3 2 18" xfId="37093"/>
    <cellStyle name="SAPBEXHLevel0X 3 2 2" xfId="37094"/>
    <cellStyle name="SAPBEXHLevel0X 3 2 2 2" xfId="37095"/>
    <cellStyle name="SAPBEXHLevel0X 3 2 2 2 2" xfId="37096"/>
    <cellStyle name="SAPBEXHLevel0X 3 2 2 3" xfId="37097"/>
    <cellStyle name="SAPBEXHLevel0X 3 2 2 4" xfId="37098"/>
    <cellStyle name="SAPBEXHLevel0X 3 2 3" xfId="37099"/>
    <cellStyle name="SAPBEXHLevel0X 3 2 3 2" xfId="37100"/>
    <cellStyle name="SAPBEXHLevel0X 3 2 3 3" xfId="37101"/>
    <cellStyle name="SAPBEXHLevel0X 3 2 4" xfId="37102"/>
    <cellStyle name="SAPBEXHLevel0X 3 2 4 2" xfId="37103"/>
    <cellStyle name="SAPBEXHLevel0X 3 2 5" xfId="37104"/>
    <cellStyle name="SAPBEXHLevel0X 3 2 6" xfId="37105"/>
    <cellStyle name="SAPBEXHLevel0X 3 2 7" xfId="37106"/>
    <cellStyle name="SAPBEXHLevel0X 3 2 8" xfId="37107"/>
    <cellStyle name="SAPBEXHLevel0X 3 2 9" xfId="37108"/>
    <cellStyle name="SAPBEXHLevel0X 3 20" xfId="37109"/>
    <cellStyle name="SAPBEXHLevel0X 3 3" xfId="37110"/>
    <cellStyle name="SAPBEXHLevel0X 3 3 10" xfId="37111"/>
    <cellStyle name="SAPBEXHLevel0X 3 3 11" xfId="37112"/>
    <cellStyle name="SAPBEXHLevel0X 3 3 12" xfId="37113"/>
    <cellStyle name="SAPBEXHLevel0X 3 3 13" xfId="37114"/>
    <cellStyle name="SAPBEXHLevel0X 3 3 14" xfId="37115"/>
    <cellStyle name="SAPBEXHLevel0X 3 3 15" xfId="37116"/>
    <cellStyle name="SAPBEXHLevel0X 3 3 16" xfId="37117"/>
    <cellStyle name="SAPBEXHLevel0X 3 3 17" xfId="37118"/>
    <cellStyle name="SAPBEXHLevel0X 3 3 18" xfId="37119"/>
    <cellStyle name="SAPBEXHLevel0X 3 3 2" xfId="37120"/>
    <cellStyle name="SAPBEXHLevel0X 3 3 2 2" xfId="37121"/>
    <cellStyle name="SAPBEXHLevel0X 3 3 2 2 2" xfId="37122"/>
    <cellStyle name="SAPBEXHLevel0X 3 3 2 3" xfId="37123"/>
    <cellStyle name="SAPBEXHLevel0X 3 3 2 4" xfId="37124"/>
    <cellStyle name="SAPBEXHLevel0X 3 3 3" xfId="37125"/>
    <cellStyle name="SAPBEXHLevel0X 3 3 3 2" xfId="37126"/>
    <cellStyle name="SAPBEXHLevel0X 3 3 3 3" xfId="37127"/>
    <cellStyle name="SAPBEXHLevel0X 3 3 4" xfId="37128"/>
    <cellStyle name="SAPBEXHLevel0X 3 3 4 2" xfId="37129"/>
    <cellStyle name="SAPBEXHLevel0X 3 3 5" xfId="37130"/>
    <cellStyle name="SAPBEXHLevel0X 3 3 6" xfId="37131"/>
    <cellStyle name="SAPBEXHLevel0X 3 3 7" xfId="37132"/>
    <cellStyle name="SAPBEXHLevel0X 3 3 8" xfId="37133"/>
    <cellStyle name="SAPBEXHLevel0X 3 3 9" xfId="37134"/>
    <cellStyle name="SAPBEXHLevel0X 3 4" xfId="37135"/>
    <cellStyle name="SAPBEXHLevel0X 3 4 2" xfId="37136"/>
    <cellStyle name="SAPBEXHLevel0X 3 4 2 2" xfId="37137"/>
    <cellStyle name="SAPBEXHLevel0X 3 4 2 3" xfId="37138"/>
    <cellStyle name="SAPBEXHLevel0X 3 4 3" xfId="37139"/>
    <cellStyle name="SAPBEXHLevel0X 3 4 3 2" xfId="37140"/>
    <cellStyle name="SAPBEXHLevel0X 3 4 4" xfId="37141"/>
    <cellStyle name="SAPBEXHLevel0X 3 4 5" xfId="37142"/>
    <cellStyle name="SAPBEXHLevel0X 3 5" xfId="37143"/>
    <cellStyle name="SAPBEXHLevel0X 3 5 2" xfId="37144"/>
    <cellStyle name="SAPBEXHLevel0X 3 5 2 2" xfId="37145"/>
    <cellStyle name="SAPBEXHLevel0X 3 5 3" xfId="37146"/>
    <cellStyle name="SAPBEXHLevel0X 3 5 4" xfId="37147"/>
    <cellStyle name="SAPBEXHLevel0X 3 6" xfId="37148"/>
    <cellStyle name="SAPBEXHLevel0X 3 6 2" xfId="37149"/>
    <cellStyle name="SAPBEXHLevel0X 3 6 3" xfId="37150"/>
    <cellStyle name="SAPBEXHLevel0X 3 7" xfId="37151"/>
    <cellStyle name="SAPBEXHLevel0X 3 7 2" xfId="37152"/>
    <cellStyle name="SAPBEXHLevel0X 3 8" xfId="37153"/>
    <cellStyle name="SAPBEXHLevel0X 3 9" xfId="37154"/>
    <cellStyle name="SAPBEXHLevel0X 4" xfId="37155"/>
    <cellStyle name="SAPBEXHLevel0X 4 10" xfId="37156"/>
    <cellStyle name="SAPBEXHLevel0X 4 11" xfId="37157"/>
    <cellStyle name="SAPBEXHLevel0X 4 12" xfId="37158"/>
    <cellStyle name="SAPBEXHLevel0X 4 13" xfId="37159"/>
    <cellStyle name="SAPBEXHLevel0X 4 14" xfId="37160"/>
    <cellStyle name="SAPBEXHLevel0X 4 15" xfId="37161"/>
    <cellStyle name="SAPBEXHLevel0X 4 16" xfId="37162"/>
    <cellStyle name="SAPBEXHLevel0X 4 17" xfId="37163"/>
    <cellStyle name="SAPBEXHLevel0X 4 18" xfId="37164"/>
    <cellStyle name="SAPBEXHLevel0X 4 19" xfId="37165"/>
    <cellStyle name="SAPBEXHLevel0X 4 2" xfId="37166"/>
    <cellStyle name="SAPBEXHLevel0X 4 2 10" xfId="37167"/>
    <cellStyle name="SAPBEXHLevel0X 4 2 11" xfId="37168"/>
    <cellStyle name="SAPBEXHLevel0X 4 2 12" xfId="37169"/>
    <cellStyle name="SAPBEXHLevel0X 4 2 13" xfId="37170"/>
    <cellStyle name="SAPBEXHLevel0X 4 2 14" xfId="37171"/>
    <cellStyle name="SAPBEXHLevel0X 4 2 15" xfId="37172"/>
    <cellStyle name="SAPBEXHLevel0X 4 2 16" xfId="37173"/>
    <cellStyle name="SAPBEXHLevel0X 4 2 17" xfId="37174"/>
    <cellStyle name="SAPBEXHLevel0X 4 2 18" xfId="37175"/>
    <cellStyle name="SAPBEXHLevel0X 4 2 2" xfId="37176"/>
    <cellStyle name="SAPBEXHLevel0X 4 2 2 2" xfId="37177"/>
    <cellStyle name="SAPBEXHLevel0X 4 2 2 2 2" xfId="37178"/>
    <cellStyle name="SAPBEXHLevel0X 4 2 2 3" xfId="37179"/>
    <cellStyle name="SAPBEXHLevel0X 4 2 2 4" xfId="37180"/>
    <cellStyle name="SAPBEXHLevel0X 4 2 3" xfId="37181"/>
    <cellStyle name="SAPBEXHLevel0X 4 2 3 2" xfId="37182"/>
    <cellStyle name="SAPBEXHLevel0X 4 2 3 3" xfId="37183"/>
    <cellStyle name="SAPBEXHLevel0X 4 2 4" xfId="37184"/>
    <cellStyle name="SAPBEXHLevel0X 4 2 4 2" xfId="37185"/>
    <cellStyle name="SAPBEXHLevel0X 4 2 5" xfId="37186"/>
    <cellStyle name="SAPBEXHLevel0X 4 2 6" xfId="37187"/>
    <cellStyle name="SAPBEXHLevel0X 4 2 7" xfId="37188"/>
    <cellStyle name="SAPBEXHLevel0X 4 2 8" xfId="37189"/>
    <cellStyle name="SAPBEXHLevel0X 4 2 9" xfId="37190"/>
    <cellStyle name="SAPBEXHLevel0X 4 20" xfId="37191"/>
    <cellStyle name="SAPBEXHLevel0X 4 21" xfId="37192"/>
    <cellStyle name="SAPBEXHLevel0X 4 22" xfId="37193"/>
    <cellStyle name="SAPBEXHLevel0X 4 3" xfId="37194"/>
    <cellStyle name="SAPBEXHLevel0X 4 3 10" xfId="37195"/>
    <cellStyle name="SAPBEXHLevel0X 4 3 11" xfId="37196"/>
    <cellStyle name="SAPBEXHLevel0X 4 3 12" xfId="37197"/>
    <cellStyle name="SAPBEXHLevel0X 4 3 13" xfId="37198"/>
    <cellStyle name="SAPBEXHLevel0X 4 3 14" xfId="37199"/>
    <cellStyle name="SAPBEXHLevel0X 4 3 15" xfId="37200"/>
    <cellStyle name="SAPBEXHLevel0X 4 3 16" xfId="37201"/>
    <cellStyle name="SAPBEXHLevel0X 4 3 17" xfId="37202"/>
    <cellStyle name="SAPBEXHLevel0X 4 3 18" xfId="37203"/>
    <cellStyle name="SAPBEXHLevel0X 4 3 2" xfId="37204"/>
    <cellStyle name="SAPBEXHLevel0X 4 3 2 2" xfId="37205"/>
    <cellStyle name="SAPBEXHLevel0X 4 3 2 2 2" xfId="37206"/>
    <cellStyle name="SAPBEXHLevel0X 4 3 2 3" xfId="37207"/>
    <cellStyle name="SAPBEXHLevel0X 4 3 2 4" xfId="37208"/>
    <cellStyle name="SAPBEXHLevel0X 4 3 3" xfId="37209"/>
    <cellStyle name="SAPBEXHLevel0X 4 3 3 2" xfId="37210"/>
    <cellStyle name="SAPBEXHLevel0X 4 3 3 3" xfId="37211"/>
    <cellStyle name="SAPBEXHLevel0X 4 3 4" xfId="37212"/>
    <cellStyle name="SAPBEXHLevel0X 4 3 4 2" xfId="37213"/>
    <cellStyle name="SAPBEXHLevel0X 4 3 5" xfId="37214"/>
    <cellStyle name="SAPBEXHLevel0X 4 3 6" xfId="37215"/>
    <cellStyle name="SAPBEXHLevel0X 4 3 7" xfId="37216"/>
    <cellStyle name="SAPBEXHLevel0X 4 3 8" xfId="37217"/>
    <cellStyle name="SAPBEXHLevel0X 4 3 9" xfId="37218"/>
    <cellStyle name="SAPBEXHLevel0X 4 4" xfId="37219"/>
    <cellStyle name="SAPBEXHLevel0X 4 4 2" xfId="37220"/>
    <cellStyle name="SAPBEXHLevel0X 4 4 2 2" xfId="37221"/>
    <cellStyle name="SAPBEXHLevel0X 4 4 2 3" xfId="37222"/>
    <cellStyle name="SAPBEXHLevel0X 4 4 3" xfId="37223"/>
    <cellStyle name="SAPBEXHLevel0X 4 4 3 2" xfId="37224"/>
    <cellStyle name="SAPBEXHLevel0X 4 4 4" xfId="37225"/>
    <cellStyle name="SAPBEXHLevel0X 4 4 5" xfId="37226"/>
    <cellStyle name="SAPBEXHLevel0X 4 5" xfId="37227"/>
    <cellStyle name="SAPBEXHLevel0X 4 5 2" xfId="37228"/>
    <cellStyle name="SAPBEXHLevel0X 4 5 2 2" xfId="37229"/>
    <cellStyle name="SAPBEXHLevel0X 4 5 3" xfId="37230"/>
    <cellStyle name="SAPBEXHLevel0X 4 5 4" xfId="37231"/>
    <cellStyle name="SAPBEXHLevel0X 4 6" xfId="37232"/>
    <cellStyle name="SAPBEXHLevel0X 4 6 2" xfId="37233"/>
    <cellStyle name="SAPBEXHLevel0X 4 6 3" xfId="37234"/>
    <cellStyle name="SAPBEXHLevel0X 4 7" xfId="37235"/>
    <cellStyle name="SAPBEXHLevel0X 4 7 2" xfId="37236"/>
    <cellStyle name="SAPBEXHLevel0X 4 8" xfId="37237"/>
    <cellStyle name="SAPBEXHLevel0X 4 9" xfId="37238"/>
    <cellStyle name="SAPBEXHLevel0X 5" xfId="37239"/>
    <cellStyle name="SAPBEXHLevel0X 5 10" xfId="37240"/>
    <cellStyle name="SAPBEXHLevel0X 5 11" xfId="37241"/>
    <cellStyle name="SAPBEXHLevel0X 5 12" xfId="37242"/>
    <cellStyle name="SAPBEXHLevel0X 5 13" xfId="37243"/>
    <cellStyle name="SAPBEXHLevel0X 5 14" xfId="37244"/>
    <cellStyle name="SAPBEXHLevel0X 5 15" xfId="37245"/>
    <cellStyle name="SAPBEXHLevel0X 5 16" xfId="37246"/>
    <cellStyle name="SAPBEXHLevel0X 5 17" xfId="37247"/>
    <cellStyle name="SAPBEXHLevel0X 5 18" xfId="37248"/>
    <cellStyle name="SAPBEXHLevel0X 5 19" xfId="37249"/>
    <cellStyle name="SAPBEXHLevel0X 5 2" xfId="37250"/>
    <cellStyle name="SAPBEXHLevel0X 5 2 10" xfId="37251"/>
    <cellStyle name="SAPBEXHLevel0X 5 2 11" xfId="37252"/>
    <cellStyle name="SAPBEXHLevel0X 5 2 12" xfId="37253"/>
    <cellStyle name="SAPBEXHLevel0X 5 2 13" xfId="37254"/>
    <cellStyle name="SAPBEXHLevel0X 5 2 14" xfId="37255"/>
    <cellStyle name="SAPBEXHLevel0X 5 2 15" xfId="37256"/>
    <cellStyle name="SAPBEXHLevel0X 5 2 16" xfId="37257"/>
    <cellStyle name="SAPBEXHLevel0X 5 2 17" xfId="37258"/>
    <cellStyle name="SAPBEXHLevel0X 5 2 18" xfId="37259"/>
    <cellStyle name="SAPBEXHLevel0X 5 2 2" xfId="37260"/>
    <cellStyle name="SAPBEXHLevel0X 5 2 2 2" xfId="37261"/>
    <cellStyle name="SAPBEXHLevel0X 5 2 2 2 2" xfId="37262"/>
    <cellStyle name="SAPBEXHLevel0X 5 2 2 3" xfId="37263"/>
    <cellStyle name="SAPBEXHLevel0X 5 2 2 4" xfId="37264"/>
    <cellStyle name="SAPBEXHLevel0X 5 2 3" xfId="37265"/>
    <cellStyle name="SAPBEXHLevel0X 5 2 3 2" xfId="37266"/>
    <cellStyle name="SAPBEXHLevel0X 5 2 3 3" xfId="37267"/>
    <cellStyle name="SAPBEXHLevel0X 5 2 4" xfId="37268"/>
    <cellStyle name="SAPBEXHLevel0X 5 2 4 2" xfId="37269"/>
    <cellStyle name="SAPBEXHLevel0X 5 2 5" xfId="37270"/>
    <cellStyle name="SAPBEXHLevel0X 5 2 6" xfId="37271"/>
    <cellStyle name="SAPBEXHLevel0X 5 2 7" xfId="37272"/>
    <cellStyle name="SAPBEXHLevel0X 5 2 8" xfId="37273"/>
    <cellStyle name="SAPBEXHLevel0X 5 2 9" xfId="37274"/>
    <cellStyle name="SAPBEXHLevel0X 5 20" xfId="37275"/>
    <cellStyle name="SAPBEXHLevel0X 5 21" xfId="37276"/>
    <cellStyle name="SAPBEXHLevel0X 5 22" xfId="37277"/>
    <cellStyle name="SAPBEXHLevel0X 5 3" xfId="37278"/>
    <cellStyle name="SAPBEXHLevel0X 5 3 10" xfId="37279"/>
    <cellStyle name="SAPBEXHLevel0X 5 3 11" xfId="37280"/>
    <cellStyle name="SAPBEXHLevel0X 5 3 12" xfId="37281"/>
    <cellStyle name="SAPBEXHLevel0X 5 3 13" xfId="37282"/>
    <cellStyle name="SAPBEXHLevel0X 5 3 14" xfId="37283"/>
    <cellStyle name="SAPBEXHLevel0X 5 3 15" xfId="37284"/>
    <cellStyle name="SAPBEXHLevel0X 5 3 16" xfId="37285"/>
    <cellStyle name="SAPBEXHLevel0X 5 3 17" xfId="37286"/>
    <cellStyle name="SAPBEXHLevel0X 5 3 18" xfId="37287"/>
    <cellStyle name="SAPBEXHLevel0X 5 3 2" xfId="37288"/>
    <cellStyle name="SAPBEXHLevel0X 5 3 2 2" xfId="37289"/>
    <cellStyle name="SAPBEXHLevel0X 5 3 2 2 2" xfId="37290"/>
    <cellStyle name="SAPBEXHLevel0X 5 3 2 3" xfId="37291"/>
    <cellStyle name="SAPBEXHLevel0X 5 3 2 4" xfId="37292"/>
    <cellStyle name="SAPBEXHLevel0X 5 3 3" xfId="37293"/>
    <cellStyle name="SAPBEXHLevel0X 5 3 3 2" xfId="37294"/>
    <cellStyle name="SAPBEXHLevel0X 5 3 3 3" xfId="37295"/>
    <cellStyle name="SAPBEXHLevel0X 5 3 4" xfId="37296"/>
    <cellStyle name="SAPBEXHLevel0X 5 3 4 2" xfId="37297"/>
    <cellStyle name="SAPBEXHLevel0X 5 3 5" xfId="37298"/>
    <cellStyle name="SAPBEXHLevel0X 5 3 6" xfId="37299"/>
    <cellStyle name="SAPBEXHLevel0X 5 3 7" xfId="37300"/>
    <cellStyle name="SAPBEXHLevel0X 5 3 8" xfId="37301"/>
    <cellStyle name="SAPBEXHLevel0X 5 3 9" xfId="37302"/>
    <cellStyle name="SAPBEXHLevel0X 5 4" xfId="37303"/>
    <cellStyle name="SAPBEXHLevel0X 5 4 2" xfId="37304"/>
    <cellStyle name="SAPBEXHLevel0X 5 4 2 2" xfId="37305"/>
    <cellStyle name="SAPBEXHLevel0X 5 4 2 3" xfId="37306"/>
    <cellStyle name="SAPBEXHLevel0X 5 4 3" xfId="37307"/>
    <cellStyle name="SAPBEXHLevel0X 5 4 3 2" xfId="37308"/>
    <cellStyle name="SAPBEXHLevel0X 5 4 4" xfId="37309"/>
    <cellStyle name="SAPBEXHLevel0X 5 4 5" xfId="37310"/>
    <cellStyle name="SAPBEXHLevel0X 5 5" xfId="37311"/>
    <cellStyle name="SAPBEXHLevel0X 5 5 2" xfId="37312"/>
    <cellStyle name="SAPBEXHLevel0X 5 5 2 2" xfId="37313"/>
    <cellStyle name="SAPBEXHLevel0X 5 5 3" xfId="37314"/>
    <cellStyle name="SAPBEXHLevel0X 5 5 4" xfId="37315"/>
    <cellStyle name="SAPBEXHLevel0X 5 6" xfId="37316"/>
    <cellStyle name="SAPBEXHLevel0X 5 6 2" xfId="37317"/>
    <cellStyle name="SAPBEXHLevel0X 5 6 3" xfId="37318"/>
    <cellStyle name="SAPBEXHLevel0X 5 7" xfId="37319"/>
    <cellStyle name="SAPBEXHLevel0X 5 7 2" xfId="37320"/>
    <cellStyle name="SAPBEXHLevel0X 5 8" xfId="37321"/>
    <cellStyle name="SAPBEXHLevel0X 5 9" xfId="37322"/>
    <cellStyle name="SAPBEXHLevel0X 6" xfId="37323"/>
    <cellStyle name="SAPBEXHLevel0X 6 10" xfId="37324"/>
    <cellStyle name="SAPBEXHLevel0X 6 11" xfId="37325"/>
    <cellStyle name="SAPBEXHLevel0X 6 12" xfId="37326"/>
    <cellStyle name="SAPBEXHLevel0X 6 13" xfId="37327"/>
    <cellStyle name="SAPBEXHLevel0X 6 14" xfId="37328"/>
    <cellStyle name="SAPBEXHLevel0X 6 15" xfId="37329"/>
    <cellStyle name="SAPBEXHLevel0X 6 2" xfId="37330"/>
    <cellStyle name="SAPBEXHLevel0X 6 2 10" xfId="37331"/>
    <cellStyle name="SAPBEXHLevel0X 6 2 11" xfId="37332"/>
    <cellStyle name="SAPBEXHLevel0X 6 2 12" xfId="37333"/>
    <cellStyle name="SAPBEXHLevel0X 6 2 13" xfId="37334"/>
    <cellStyle name="SAPBEXHLevel0X 6 2 14" xfId="37335"/>
    <cellStyle name="SAPBEXHLevel0X 6 2 15" xfId="37336"/>
    <cellStyle name="SAPBEXHLevel0X 6 2 16" xfId="37337"/>
    <cellStyle name="SAPBEXHLevel0X 6 2 17" xfId="37338"/>
    <cellStyle name="SAPBEXHLevel0X 6 2 18" xfId="37339"/>
    <cellStyle name="SAPBEXHLevel0X 6 2 2" xfId="37340"/>
    <cellStyle name="SAPBEXHLevel0X 6 2 2 2" xfId="37341"/>
    <cellStyle name="SAPBEXHLevel0X 6 2 2 2 2" xfId="37342"/>
    <cellStyle name="SAPBEXHLevel0X 6 2 2 3" xfId="37343"/>
    <cellStyle name="SAPBEXHLevel0X 6 2 2 4" xfId="37344"/>
    <cellStyle name="SAPBEXHLevel0X 6 2 3" xfId="37345"/>
    <cellStyle name="SAPBEXHLevel0X 6 2 3 2" xfId="37346"/>
    <cellStyle name="SAPBEXHLevel0X 6 2 3 3" xfId="37347"/>
    <cellStyle name="SAPBEXHLevel0X 6 2 4" xfId="37348"/>
    <cellStyle name="SAPBEXHLevel0X 6 2 4 2" xfId="37349"/>
    <cellStyle name="SAPBEXHLevel0X 6 2 5" xfId="37350"/>
    <cellStyle name="SAPBEXHLevel0X 6 2 6" xfId="37351"/>
    <cellStyle name="SAPBEXHLevel0X 6 2 7" xfId="37352"/>
    <cellStyle name="SAPBEXHLevel0X 6 2 8" xfId="37353"/>
    <cellStyle name="SAPBEXHLevel0X 6 2 9" xfId="37354"/>
    <cellStyle name="SAPBEXHLevel0X 6 3" xfId="37355"/>
    <cellStyle name="SAPBEXHLevel0X 6 3 10" xfId="37356"/>
    <cellStyle name="SAPBEXHLevel0X 6 3 11" xfId="37357"/>
    <cellStyle name="SAPBEXHLevel0X 6 3 12" xfId="37358"/>
    <cellStyle name="SAPBEXHLevel0X 6 3 13" xfId="37359"/>
    <cellStyle name="SAPBEXHLevel0X 6 3 14" xfId="37360"/>
    <cellStyle name="SAPBEXHLevel0X 6 3 15" xfId="37361"/>
    <cellStyle name="SAPBEXHLevel0X 6 3 16" xfId="37362"/>
    <cellStyle name="SAPBEXHLevel0X 6 3 17" xfId="37363"/>
    <cellStyle name="SAPBEXHLevel0X 6 3 18" xfId="37364"/>
    <cellStyle name="SAPBEXHLevel0X 6 3 2" xfId="37365"/>
    <cellStyle name="SAPBEXHLevel0X 6 3 2 2" xfId="37366"/>
    <cellStyle name="SAPBEXHLevel0X 6 3 2 2 2" xfId="37367"/>
    <cellStyle name="SAPBEXHLevel0X 6 3 2 3" xfId="37368"/>
    <cellStyle name="SAPBEXHLevel0X 6 3 2 4" xfId="37369"/>
    <cellStyle name="SAPBEXHLevel0X 6 3 3" xfId="37370"/>
    <cellStyle name="SAPBEXHLevel0X 6 3 3 2" xfId="37371"/>
    <cellStyle name="SAPBEXHLevel0X 6 3 3 3" xfId="37372"/>
    <cellStyle name="SAPBEXHLevel0X 6 3 4" xfId="37373"/>
    <cellStyle name="SAPBEXHLevel0X 6 3 4 2" xfId="37374"/>
    <cellStyle name="SAPBEXHLevel0X 6 3 5" xfId="37375"/>
    <cellStyle name="SAPBEXHLevel0X 6 3 6" xfId="37376"/>
    <cellStyle name="SAPBEXHLevel0X 6 3 7" xfId="37377"/>
    <cellStyle name="SAPBEXHLevel0X 6 3 8" xfId="37378"/>
    <cellStyle name="SAPBEXHLevel0X 6 3 9" xfId="37379"/>
    <cellStyle name="SAPBEXHLevel0X 6 4" xfId="37380"/>
    <cellStyle name="SAPBEXHLevel0X 6 4 2" xfId="37381"/>
    <cellStyle name="SAPBEXHLevel0X 6 4 2 2" xfId="37382"/>
    <cellStyle name="SAPBEXHLevel0X 6 4 3" xfId="37383"/>
    <cellStyle name="SAPBEXHLevel0X 6 4 4" xfId="37384"/>
    <cellStyle name="SAPBEXHLevel0X 6 5" xfId="37385"/>
    <cellStyle name="SAPBEXHLevel0X 6 5 2" xfId="37386"/>
    <cellStyle name="SAPBEXHLevel0X 6 6" xfId="37387"/>
    <cellStyle name="SAPBEXHLevel0X 6 7" xfId="37388"/>
    <cellStyle name="SAPBEXHLevel0X 6 8" xfId="37389"/>
    <cellStyle name="SAPBEXHLevel0X 6 9" xfId="37390"/>
    <cellStyle name="SAPBEXHLevel0X 7" xfId="37391"/>
    <cellStyle name="SAPBEXHLevel0X 7 10" xfId="37392"/>
    <cellStyle name="SAPBEXHLevel0X 7 11" xfId="37393"/>
    <cellStyle name="SAPBEXHLevel0X 7 12" xfId="37394"/>
    <cellStyle name="SAPBEXHLevel0X 7 13" xfId="37395"/>
    <cellStyle name="SAPBEXHLevel0X 7 14" xfId="37396"/>
    <cellStyle name="SAPBEXHLevel0X 7 15" xfId="37397"/>
    <cellStyle name="SAPBEXHLevel0X 7 16" xfId="37398"/>
    <cellStyle name="SAPBEXHLevel0X 7 17" xfId="37399"/>
    <cellStyle name="SAPBEXHLevel0X 7 18" xfId="37400"/>
    <cellStyle name="SAPBEXHLevel0X 7 19" xfId="37401"/>
    <cellStyle name="SAPBEXHLevel0X 7 2" xfId="37402"/>
    <cellStyle name="SAPBEXHLevel0X 7 3" xfId="37403"/>
    <cellStyle name="SAPBEXHLevel0X 7 4" xfId="37404"/>
    <cellStyle name="SAPBEXHLevel0X 7 5" xfId="37405"/>
    <cellStyle name="SAPBEXHLevel0X 7 6" xfId="37406"/>
    <cellStyle name="SAPBEXHLevel0X 7 7" xfId="37407"/>
    <cellStyle name="SAPBEXHLevel0X 7 8" xfId="37408"/>
    <cellStyle name="SAPBEXHLevel0X 7 9" xfId="37409"/>
    <cellStyle name="SAPBEXHLevel0X 8" xfId="37410"/>
    <cellStyle name="SAPBEXHLevel0X 8 2" xfId="37411"/>
    <cellStyle name="SAPBEXHLevel0X 9" xfId="37412"/>
    <cellStyle name="SAPBEXHLevel0X 9 2" xfId="37413"/>
    <cellStyle name="SAPBEXHLevel0X_7-р_Из_Системы" xfId="37414"/>
    <cellStyle name="SAPBEXHLevel1" xfId="37415"/>
    <cellStyle name="SAPBEXHLevel1 10" xfId="37416"/>
    <cellStyle name="SAPBEXHLevel1 11" xfId="37417"/>
    <cellStyle name="SAPBEXHLevel1 12" xfId="37418"/>
    <cellStyle name="SAPBEXHLevel1 13" xfId="37419"/>
    <cellStyle name="SAPBEXHLevel1 14" xfId="37420"/>
    <cellStyle name="SAPBEXHLevel1 15" xfId="37421"/>
    <cellStyle name="SAPBEXHLevel1 16" xfId="37422"/>
    <cellStyle name="SAPBEXHLevel1 17" xfId="37423"/>
    <cellStyle name="SAPBEXHLevel1 18" xfId="37424"/>
    <cellStyle name="SAPBEXHLevel1 19" xfId="37425"/>
    <cellStyle name="SAPBEXHLevel1 2" xfId="37426"/>
    <cellStyle name="SAPBEXHLevel1 2 10" xfId="37427"/>
    <cellStyle name="SAPBEXHLevel1 2 11" xfId="37428"/>
    <cellStyle name="SAPBEXHLevel1 2 12" xfId="37429"/>
    <cellStyle name="SAPBEXHLevel1 2 13" xfId="37430"/>
    <cellStyle name="SAPBEXHLevel1 2 14" xfId="37431"/>
    <cellStyle name="SAPBEXHLevel1 2 15" xfId="37432"/>
    <cellStyle name="SAPBEXHLevel1 2 16" xfId="37433"/>
    <cellStyle name="SAPBEXHLevel1 2 17" xfId="37434"/>
    <cellStyle name="SAPBEXHLevel1 2 18" xfId="37435"/>
    <cellStyle name="SAPBEXHLevel1 2 19" xfId="37436"/>
    <cellStyle name="SAPBEXHLevel1 2 2" xfId="37437"/>
    <cellStyle name="SAPBEXHLevel1 2 2 10" xfId="37438"/>
    <cellStyle name="SAPBEXHLevel1 2 2 11" xfId="37439"/>
    <cellStyle name="SAPBEXHLevel1 2 2 12" xfId="37440"/>
    <cellStyle name="SAPBEXHLevel1 2 2 13" xfId="37441"/>
    <cellStyle name="SAPBEXHLevel1 2 2 14" xfId="37442"/>
    <cellStyle name="SAPBEXHLevel1 2 2 15" xfId="37443"/>
    <cellStyle name="SAPBEXHLevel1 2 2 16" xfId="37444"/>
    <cellStyle name="SAPBEXHLevel1 2 2 17" xfId="37445"/>
    <cellStyle name="SAPBEXHLevel1 2 2 18" xfId="37446"/>
    <cellStyle name="SAPBEXHLevel1 2 2 2" xfId="37447"/>
    <cellStyle name="SAPBEXHLevel1 2 2 2 2" xfId="37448"/>
    <cellStyle name="SAPBEXHLevel1 2 2 2 2 2" xfId="37449"/>
    <cellStyle name="SAPBEXHLevel1 2 2 2 3" xfId="37450"/>
    <cellStyle name="SAPBEXHLevel1 2 2 2 4" xfId="37451"/>
    <cellStyle name="SAPBEXHLevel1 2 2 3" xfId="37452"/>
    <cellStyle name="SAPBEXHLevel1 2 2 3 2" xfId="37453"/>
    <cellStyle name="SAPBEXHLevel1 2 2 3 3" xfId="37454"/>
    <cellStyle name="SAPBEXHLevel1 2 2 4" xfId="37455"/>
    <cellStyle name="SAPBEXHLevel1 2 2 4 2" xfId="37456"/>
    <cellStyle name="SAPBEXHLevel1 2 2 5" xfId="37457"/>
    <cellStyle name="SAPBEXHLevel1 2 2 6" xfId="37458"/>
    <cellStyle name="SAPBEXHLevel1 2 2 7" xfId="37459"/>
    <cellStyle name="SAPBEXHLevel1 2 2 8" xfId="37460"/>
    <cellStyle name="SAPBEXHLevel1 2 2 9" xfId="37461"/>
    <cellStyle name="SAPBEXHLevel1 2 20" xfId="37462"/>
    <cellStyle name="SAPBEXHLevel1 2 21" xfId="37463"/>
    <cellStyle name="SAPBEXHLevel1 2 22" xfId="37464"/>
    <cellStyle name="SAPBEXHLevel1 2 23" xfId="37465"/>
    <cellStyle name="SAPBEXHLevel1 2 24" xfId="37466"/>
    <cellStyle name="SAPBEXHLevel1 2 25" xfId="37467"/>
    <cellStyle name="SAPBEXHLevel1 2 3" xfId="37468"/>
    <cellStyle name="SAPBEXHLevel1 2 3 10" xfId="37469"/>
    <cellStyle name="SAPBEXHLevel1 2 3 11" xfId="37470"/>
    <cellStyle name="SAPBEXHLevel1 2 3 12" xfId="37471"/>
    <cellStyle name="SAPBEXHLevel1 2 3 13" xfId="37472"/>
    <cellStyle name="SAPBEXHLevel1 2 3 14" xfId="37473"/>
    <cellStyle name="SAPBEXHLevel1 2 3 15" xfId="37474"/>
    <cellStyle name="SAPBEXHLevel1 2 3 16" xfId="37475"/>
    <cellStyle name="SAPBEXHLevel1 2 3 17" xfId="37476"/>
    <cellStyle name="SAPBEXHLevel1 2 3 18" xfId="37477"/>
    <cellStyle name="SAPBEXHLevel1 2 3 2" xfId="37478"/>
    <cellStyle name="SAPBEXHLevel1 2 3 2 2" xfId="37479"/>
    <cellStyle name="SAPBEXHLevel1 2 3 2 2 2" xfId="37480"/>
    <cellStyle name="SAPBEXHLevel1 2 3 2 3" xfId="37481"/>
    <cellStyle name="SAPBEXHLevel1 2 3 2 4" xfId="37482"/>
    <cellStyle name="SAPBEXHLevel1 2 3 3" xfId="37483"/>
    <cellStyle name="SAPBEXHLevel1 2 3 3 2" xfId="37484"/>
    <cellStyle name="SAPBEXHLevel1 2 3 3 3" xfId="37485"/>
    <cellStyle name="SAPBEXHLevel1 2 3 4" xfId="37486"/>
    <cellStyle name="SAPBEXHLevel1 2 3 4 2" xfId="37487"/>
    <cellStyle name="SAPBEXHLevel1 2 3 5" xfId="37488"/>
    <cellStyle name="SAPBEXHLevel1 2 3 6" xfId="37489"/>
    <cellStyle name="SAPBEXHLevel1 2 3 7" xfId="37490"/>
    <cellStyle name="SAPBEXHLevel1 2 3 8" xfId="37491"/>
    <cellStyle name="SAPBEXHLevel1 2 3 9" xfId="37492"/>
    <cellStyle name="SAPBEXHLevel1 2 4" xfId="37493"/>
    <cellStyle name="SAPBEXHLevel1 2 4 2" xfId="37494"/>
    <cellStyle name="SAPBEXHLevel1 2 4 2 2" xfId="37495"/>
    <cellStyle name="SAPBEXHLevel1 2 4 2 3" xfId="37496"/>
    <cellStyle name="SAPBEXHLevel1 2 4 3" xfId="37497"/>
    <cellStyle name="SAPBEXHLevel1 2 4 3 2" xfId="37498"/>
    <cellStyle name="SAPBEXHLevel1 2 4 4" xfId="37499"/>
    <cellStyle name="SAPBEXHLevel1 2 4 5" xfId="37500"/>
    <cellStyle name="SAPBEXHLevel1 2 5" xfId="37501"/>
    <cellStyle name="SAPBEXHLevel1 2 5 2" xfId="37502"/>
    <cellStyle name="SAPBEXHLevel1 2 5 2 2" xfId="37503"/>
    <cellStyle name="SAPBEXHLevel1 2 5 3" xfId="37504"/>
    <cellStyle name="SAPBEXHLevel1 2 5 4" xfId="37505"/>
    <cellStyle name="SAPBEXHLevel1 2 6" xfId="37506"/>
    <cellStyle name="SAPBEXHLevel1 2 6 2" xfId="37507"/>
    <cellStyle name="SAPBEXHLevel1 2 6 3" xfId="37508"/>
    <cellStyle name="SAPBEXHLevel1 2 7" xfId="37509"/>
    <cellStyle name="SAPBEXHLevel1 2 7 2" xfId="37510"/>
    <cellStyle name="SAPBEXHLevel1 2 8" xfId="37511"/>
    <cellStyle name="SAPBEXHLevel1 2 9" xfId="37512"/>
    <cellStyle name="SAPBEXHLevel1 20" xfId="37513"/>
    <cellStyle name="SAPBEXHLevel1 3" xfId="37514"/>
    <cellStyle name="SAPBEXHLevel1 3 10" xfId="37515"/>
    <cellStyle name="SAPBEXHLevel1 3 11" xfId="37516"/>
    <cellStyle name="SAPBEXHLevel1 3 12" xfId="37517"/>
    <cellStyle name="SAPBEXHLevel1 3 13" xfId="37518"/>
    <cellStyle name="SAPBEXHLevel1 3 14" xfId="37519"/>
    <cellStyle name="SAPBEXHLevel1 3 15" xfId="37520"/>
    <cellStyle name="SAPBEXHLevel1 3 16" xfId="37521"/>
    <cellStyle name="SAPBEXHLevel1 3 17" xfId="37522"/>
    <cellStyle name="SAPBEXHLevel1 3 18" xfId="37523"/>
    <cellStyle name="SAPBEXHLevel1 3 19" xfId="37524"/>
    <cellStyle name="SAPBEXHLevel1 3 2" xfId="37525"/>
    <cellStyle name="SAPBEXHLevel1 3 2 10" xfId="37526"/>
    <cellStyle name="SAPBEXHLevel1 3 2 11" xfId="37527"/>
    <cellStyle name="SAPBEXHLevel1 3 2 12" xfId="37528"/>
    <cellStyle name="SAPBEXHLevel1 3 2 13" xfId="37529"/>
    <cellStyle name="SAPBEXHLevel1 3 2 14" xfId="37530"/>
    <cellStyle name="SAPBEXHLevel1 3 2 15" xfId="37531"/>
    <cellStyle name="SAPBEXHLevel1 3 2 16" xfId="37532"/>
    <cellStyle name="SAPBEXHLevel1 3 2 17" xfId="37533"/>
    <cellStyle name="SAPBEXHLevel1 3 2 18" xfId="37534"/>
    <cellStyle name="SAPBEXHLevel1 3 2 2" xfId="37535"/>
    <cellStyle name="SAPBEXHLevel1 3 2 2 2" xfId="37536"/>
    <cellStyle name="SAPBEXHLevel1 3 2 2 2 2" xfId="37537"/>
    <cellStyle name="SAPBEXHLevel1 3 2 2 3" xfId="37538"/>
    <cellStyle name="SAPBEXHLevel1 3 2 2 4" xfId="37539"/>
    <cellStyle name="SAPBEXHLevel1 3 2 3" xfId="37540"/>
    <cellStyle name="SAPBEXHLevel1 3 2 3 2" xfId="37541"/>
    <cellStyle name="SAPBEXHLevel1 3 2 3 3" xfId="37542"/>
    <cellStyle name="SAPBEXHLevel1 3 2 4" xfId="37543"/>
    <cellStyle name="SAPBEXHLevel1 3 2 4 2" xfId="37544"/>
    <cellStyle name="SAPBEXHLevel1 3 2 5" xfId="37545"/>
    <cellStyle name="SAPBEXHLevel1 3 2 6" xfId="37546"/>
    <cellStyle name="SAPBEXHLevel1 3 2 7" xfId="37547"/>
    <cellStyle name="SAPBEXHLevel1 3 2 8" xfId="37548"/>
    <cellStyle name="SAPBEXHLevel1 3 2 9" xfId="37549"/>
    <cellStyle name="SAPBEXHLevel1 3 20" xfId="37550"/>
    <cellStyle name="SAPBEXHLevel1 3 3" xfId="37551"/>
    <cellStyle name="SAPBEXHLevel1 3 3 10" xfId="37552"/>
    <cellStyle name="SAPBEXHLevel1 3 3 11" xfId="37553"/>
    <cellStyle name="SAPBEXHLevel1 3 3 12" xfId="37554"/>
    <cellStyle name="SAPBEXHLevel1 3 3 13" xfId="37555"/>
    <cellStyle name="SAPBEXHLevel1 3 3 14" xfId="37556"/>
    <cellStyle name="SAPBEXHLevel1 3 3 15" xfId="37557"/>
    <cellStyle name="SAPBEXHLevel1 3 3 16" xfId="37558"/>
    <cellStyle name="SAPBEXHLevel1 3 3 17" xfId="37559"/>
    <cellStyle name="SAPBEXHLevel1 3 3 18" xfId="37560"/>
    <cellStyle name="SAPBEXHLevel1 3 3 2" xfId="37561"/>
    <cellStyle name="SAPBEXHLevel1 3 3 2 2" xfId="37562"/>
    <cellStyle name="SAPBEXHLevel1 3 3 2 2 2" xfId="37563"/>
    <cellStyle name="SAPBEXHLevel1 3 3 2 3" xfId="37564"/>
    <cellStyle name="SAPBEXHLevel1 3 3 2 4" xfId="37565"/>
    <cellStyle name="SAPBEXHLevel1 3 3 3" xfId="37566"/>
    <cellStyle name="SAPBEXHLevel1 3 3 3 2" xfId="37567"/>
    <cellStyle name="SAPBEXHLevel1 3 3 3 3" xfId="37568"/>
    <cellStyle name="SAPBEXHLevel1 3 3 4" xfId="37569"/>
    <cellStyle name="SAPBEXHLevel1 3 3 4 2" xfId="37570"/>
    <cellStyle name="SAPBEXHLevel1 3 3 5" xfId="37571"/>
    <cellStyle name="SAPBEXHLevel1 3 3 6" xfId="37572"/>
    <cellStyle name="SAPBEXHLevel1 3 3 7" xfId="37573"/>
    <cellStyle name="SAPBEXHLevel1 3 3 8" xfId="37574"/>
    <cellStyle name="SAPBEXHLevel1 3 3 9" xfId="37575"/>
    <cellStyle name="SAPBEXHLevel1 3 4" xfId="37576"/>
    <cellStyle name="SAPBEXHLevel1 3 4 2" xfId="37577"/>
    <cellStyle name="SAPBEXHLevel1 3 4 2 2" xfId="37578"/>
    <cellStyle name="SAPBEXHLevel1 3 4 2 3" xfId="37579"/>
    <cellStyle name="SAPBEXHLevel1 3 4 3" xfId="37580"/>
    <cellStyle name="SAPBEXHLevel1 3 4 3 2" xfId="37581"/>
    <cellStyle name="SAPBEXHLevel1 3 4 4" xfId="37582"/>
    <cellStyle name="SAPBEXHLevel1 3 4 5" xfId="37583"/>
    <cellStyle name="SAPBEXHLevel1 3 5" xfId="37584"/>
    <cellStyle name="SAPBEXHLevel1 3 5 2" xfId="37585"/>
    <cellStyle name="SAPBEXHLevel1 3 5 2 2" xfId="37586"/>
    <cellStyle name="SAPBEXHLevel1 3 5 3" xfId="37587"/>
    <cellStyle name="SAPBEXHLevel1 3 5 4" xfId="37588"/>
    <cellStyle name="SAPBEXHLevel1 3 6" xfId="37589"/>
    <cellStyle name="SAPBEXHLevel1 3 6 2" xfId="37590"/>
    <cellStyle name="SAPBEXHLevel1 3 6 3" xfId="37591"/>
    <cellStyle name="SAPBEXHLevel1 3 7" xfId="37592"/>
    <cellStyle name="SAPBEXHLevel1 3 7 2" xfId="37593"/>
    <cellStyle name="SAPBEXHLevel1 3 8" xfId="37594"/>
    <cellStyle name="SAPBEXHLevel1 3 9" xfId="37595"/>
    <cellStyle name="SAPBEXHLevel1 4" xfId="37596"/>
    <cellStyle name="SAPBEXHLevel1 4 10" xfId="37597"/>
    <cellStyle name="SAPBEXHLevel1 4 11" xfId="37598"/>
    <cellStyle name="SAPBEXHLevel1 4 12" xfId="37599"/>
    <cellStyle name="SAPBEXHLevel1 4 13" xfId="37600"/>
    <cellStyle name="SAPBEXHLevel1 4 14" xfId="37601"/>
    <cellStyle name="SAPBEXHLevel1 4 15" xfId="37602"/>
    <cellStyle name="SAPBEXHLevel1 4 16" xfId="37603"/>
    <cellStyle name="SAPBEXHLevel1 4 17" xfId="37604"/>
    <cellStyle name="SAPBEXHLevel1 4 18" xfId="37605"/>
    <cellStyle name="SAPBEXHLevel1 4 19" xfId="37606"/>
    <cellStyle name="SAPBEXHLevel1 4 2" xfId="37607"/>
    <cellStyle name="SAPBEXHLevel1 4 2 10" xfId="37608"/>
    <cellStyle name="SAPBEXHLevel1 4 2 11" xfId="37609"/>
    <cellStyle name="SAPBEXHLevel1 4 2 12" xfId="37610"/>
    <cellStyle name="SAPBEXHLevel1 4 2 13" xfId="37611"/>
    <cellStyle name="SAPBEXHLevel1 4 2 14" xfId="37612"/>
    <cellStyle name="SAPBEXHLevel1 4 2 15" xfId="37613"/>
    <cellStyle name="SAPBEXHLevel1 4 2 16" xfId="37614"/>
    <cellStyle name="SAPBEXHLevel1 4 2 17" xfId="37615"/>
    <cellStyle name="SAPBEXHLevel1 4 2 18" xfId="37616"/>
    <cellStyle name="SAPBEXHLevel1 4 2 2" xfId="37617"/>
    <cellStyle name="SAPBEXHLevel1 4 2 2 2" xfId="37618"/>
    <cellStyle name="SAPBEXHLevel1 4 2 2 2 2" xfId="37619"/>
    <cellStyle name="SAPBEXHLevel1 4 2 2 3" xfId="37620"/>
    <cellStyle name="SAPBEXHLevel1 4 2 2 4" xfId="37621"/>
    <cellStyle name="SAPBEXHLevel1 4 2 3" xfId="37622"/>
    <cellStyle name="SAPBEXHLevel1 4 2 3 2" xfId="37623"/>
    <cellStyle name="SAPBEXHLevel1 4 2 3 3" xfId="37624"/>
    <cellStyle name="SAPBEXHLevel1 4 2 4" xfId="37625"/>
    <cellStyle name="SAPBEXHLevel1 4 2 4 2" xfId="37626"/>
    <cellStyle name="SAPBEXHLevel1 4 2 5" xfId="37627"/>
    <cellStyle name="SAPBEXHLevel1 4 2 6" xfId="37628"/>
    <cellStyle name="SAPBEXHLevel1 4 2 7" xfId="37629"/>
    <cellStyle name="SAPBEXHLevel1 4 2 8" xfId="37630"/>
    <cellStyle name="SAPBEXHLevel1 4 2 9" xfId="37631"/>
    <cellStyle name="SAPBEXHLevel1 4 20" xfId="37632"/>
    <cellStyle name="SAPBEXHLevel1 4 21" xfId="37633"/>
    <cellStyle name="SAPBEXHLevel1 4 22" xfId="37634"/>
    <cellStyle name="SAPBEXHLevel1 4 3" xfId="37635"/>
    <cellStyle name="SAPBEXHLevel1 4 3 10" xfId="37636"/>
    <cellStyle name="SAPBEXHLevel1 4 3 11" xfId="37637"/>
    <cellStyle name="SAPBEXHLevel1 4 3 12" xfId="37638"/>
    <cellStyle name="SAPBEXHLevel1 4 3 13" xfId="37639"/>
    <cellStyle name="SAPBEXHLevel1 4 3 14" xfId="37640"/>
    <cellStyle name="SAPBEXHLevel1 4 3 15" xfId="37641"/>
    <cellStyle name="SAPBEXHLevel1 4 3 16" xfId="37642"/>
    <cellStyle name="SAPBEXHLevel1 4 3 17" xfId="37643"/>
    <cellStyle name="SAPBEXHLevel1 4 3 18" xfId="37644"/>
    <cellStyle name="SAPBEXHLevel1 4 3 2" xfId="37645"/>
    <cellStyle name="SAPBEXHLevel1 4 3 2 2" xfId="37646"/>
    <cellStyle name="SAPBEXHLevel1 4 3 2 2 2" xfId="37647"/>
    <cellStyle name="SAPBEXHLevel1 4 3 2 3" xfId="37648"/>
    <cellStyle name="SAPBEXHLevel1 4 3 2 4" xfId="37649"/>
    <cellStyle name="SAPBEXHLevel1 4 3 3" xfId="37650"/>
    <cellStyle name="SAPBEXHLevel1 4 3 3 2" xfId="37651"/>
    <cellStyle name="SAPBEXHLevel1 4 3 3 3" xfId="37652"/>
    <cellStyle name="SAPBEXHLevel1 4 3 4" xfId="37653"/>
    <cellStyle name="SAPBEXHLevel1 4 3 4 2" xfId="37654"/>
    <cellStyle name="SAPBEXHLevel1 4 3 5" xfId="37655"/>
    <cellStyle name="SAPBEXHLevel1 4 3 6" xfId="37656"/>
    <cellStyle name="SAPBEXHLevel1 4 3 7" xfId="37657"/>
    <cellStyle name="SAPBEXHLevel1 4 3 8" xfId="37658"/>
    <cellStyle name="SAPBEXHLevel1 4 3 9" xfId="37659"/>
    <cellStyle name="SAPBEXHLevel1 4 4" xfId="37660"/>
    <cellStyle name="SAPBEXHLevel1 4 4 2" xfId="37661"/>
    <cellStyle name="SAPBEXHLevel1 4 4 2 2" xfId="37662"/>
    <cellStyle name="SAPBEXHLevel1 4 4 2 3" xfId="37663"/>
    <cellStyle name="SAPBEXHLevel1 4 4 3" xfId="37664"/>
    <cellStyle name="SAPBEXHLevel1 4 4 3 2" xfId="37665"/>
    <cellStyle name="SAPBEXHLevel1 4 4 4" xfId="37666"/>
    <cellStyle name="SAPBEXHLevel1 4 4 5" xfId="37667"/>
    <cellStyle name="SAPBEXHLevel1 4 5" xfId="37668"/>
    <cellStyle name="SAPBEXHLevel1 4 5 2" xfId="37669"/>
    <cellStyle name="SAPBEXHLevel1 4 5 2 2" xfId="37670"/>
    <cellStyle name="SAPBEXHLevel1 4 5 3" xfId="37671"/>
    <cellStyle name="SAPBEXHLevel1 4 5 4" xfId="37672"/>
    <cellStyle name="SAPBEXHLevel1 4 6" xfId="37673"/>
    <cellStyle name="SAPBEXHLevel1 4 6 2" xfId="37674"/>
    <cellStyle name="SAPBEXHLevel1 4 6 3" xfId="37675"/>
    <cellStyle name="SAPBEXHLevel1 4 7" xfId="37676"/>
    <cellStyle name="SAPBEXHLevel1 4 7 2" xfId="37677"/>
    <cellStyle name="SAPBEXHLevel1 4 8" xfId="37678"/>
    <cellStyle name="SAPBEXHLevel1 4 9" xfId="37679"/>
    <cellStyle name="SAPBEXHLevel1 5" xfId="37680"/>
    <cellStyle name="SAPBEXHLevel1 5 10" xfId="37681"/>
    <cellStyle name="SAPBEXHLevel1 5 11" xfId="37682"/>
    <cellStyle name="SAPBEXHLevel1 5 12" xfId="37683"/>
    <cellStyle name="SAPBEXHLevel1 5 13" xfId="37684"/>
    <cellStyle name="SAPBEXHLevel1 5 14" xfId="37685"/>
    <cellStyle name="SAPBEXHLevel1 5 15" xfId="37686"/>
    <cellStyle name="SAPBEXHLevel1 5 16" xfId="37687"/>
    <cellStyle name="SAPBEXHLevel1 5 17" xfId="37688"/>
    <cellStyle name="SAPBEXHLevel1 5 18" xfId="37689"/>
    <cellStyle name="SAPBEXHLevel1 5 19" xfId="37690"/>
    <cellStyle name="SAPBEXHLevel1 5 2" xfId="37691"/>
    <cellStyle name="SAPBEXHLevel1 5 2 10" xfId="37692"/>
    <cellStyle name="SAPBEXHLevel1 5 2 11" xfId="37693"/>
    <cellStyle name="SAPBEXHLevel1 5 2 12" xfId="37694"/>
    <cellStyle name="SAPBEXHLevel1 5 2 13" xfId="37695"/>
    <cellStyle name="SAPBEXHLevel1 5 2 14" xfId="37696"/>
    <cellStyle name="SAPBEXHLevel1 5 2 15" xfId="37697"/>
    <cellStyle name="SAPBEXHLevel1 5 2 16" xfId="37698"/>
    <cellStyle name="SAPBEXHLevel1 5 2 17" xfId="37699"/>
    <cellStyle name="SAPBEXHLevel1 5 2 18" xfId="37700"/>
    <cellStyle name="SAPBEXHLevel1 5 2 2" xfId="37701"/>
    <cellStyle name="SAPBEXHLevel1 5 2 2 2" xfId="37702"/>
    <cellStyle name="SAPBEXHLevel1 5 2 2 2 2" xfId="37703"/>
    <cellStyle name="SAPBEXHLevel1 5 2 2 3" xfId="37704"/>
    <cellStyle name="SAPBEXHLevel1 5 2 2 4" xfId="37705"/>
    <cellStyle name="SAPBEXHLevel1 5 2 3" xfId="37706"/>
    <cellStyle name="SAPBEXHLevel1 5 2 3 2" xfId="37707"/>
    <cellStyle name="SAPBEXHLevel1 5 2 3 3" xfId="37708"/>
    <cellStyle name="SAPBEXHLevel1 5 2 4" xfId="37709"/>
    <cellStyle name="SAPBEXHLevel1 5 2 4 2" xfId="37710"/>
    <cellStyle name="SAPBEXHLevel1 5 2 5" xfId="37711"/>
    <cellStyle name="SAPBEXHLevel1 5 2 6" xfId="37712"/>
    <cellStyle name="SAPBEXHLevel1 5 2 7" xfId="37713"/>
    <cellStyle name="SAPBEXHLevel1 5 2 8" xfId="37714"/>
    <cellStyle name="SAPBEXHLevel1 5 2 9" xfId="37715"/>
    <cellStyle name="SAPBEXHLevel1 5 20" xfId="37716"/>
    <cellStyle name="SAPBEXHLevel1 5 21" xfId="37717"/>
    <cellStyle name="SAPBEXHLevel1 5 22" xfId="37718"/>
    <cellStyle name="SAPBEXHLevel1 5 3" xfId="37719"/>
    <cellStyle name="SAPBEXHLevel1 5 3 10" xfId="37720"/>
    <cellStyle name="SAPBEXHLevel1 5 3 11" xfId="37721"/>
    <cellStyle name="SAPBEXHLevel1 5 3 12" xfId="37722"/>
    <cellStyle name="SAPBEXHLevel1 5 3 13" xfId="37723"/>
    <cellStyle name="SAPBEXHLevel1 5 3 14" xfId="37724"/>
    <cellStyle name="SAPBEXHLevel1 5 3 15" xfId="37725"/>
    <cellStyle name="SAPBEXHLevel1 5 3 16" xfId="37726"/>
    <cellStyle name="SAPBEXHLevel1 5 3 17" xfId="37727"/>
    <cellStyle name="SAPBEXHLevel1 5 3 18" xfId="37728"/>
    <cellStyle name="SAPBEXHLevel1 5 3 2" xfId="37729"/>
    <cellStyle name="SAPBEXHLevel1 5 3 2 2" xfId="37730"/>
    <cellStyle name="SAPBEXHLevel1 5 3 2 2 2" xfId="37731"/>
    <cellStyle name="SAPBEXHLevel1 5 3 2 3" xfId="37732"/>
    <cellStyle name="SAPBEXHLevel1 5 3 2 4" xfId="37733"/>
    <cellStyle name="SAPBEXHLevel1 5 3 3" xfId="37734"/>
    <cellStyle name="SAPBEXHLevel1 5 3 3 2" xfId="37735"/>
    <cellStyle name="SAPBEXHLevel1 5 3 3 3" xfId="37736"/>
    <cellStyle name="SAPBEXHLevel1 5 3 4" xfId="37737"/>
    <cellStyle name="SAPBEXHLevel1 5 3 4 2" xfId="37738"/>
    <cellStyle name="SAPBEXHLevel1 5 3 5" xfId="37739"/>
    <cellStyle name="SAPBEXHLevel1 5 3 6" xfId="37740"/>
    <cellStyle name="SAPBEXHLevel1 5 3 7" xfId="37741"/>
    <cellStyle name="SAPBEXHLevel1 5 3 8" xfId="37742"/>
    <cellStyle name="SAPBEXHLevel1 5 3 9" xfId="37743"/>
    <cellStyle name="SAPBEXHLevel1 5 4" xfId="37744"/>
    <cellStyle name="SAPBEXHLevel1 5 4 2" xfId="37745"/>
    <cellStyle name="SAPBEXHLevel1 5 4 2 2" xfId="37746"/>
    <cellStyle name="SAPBEXHLevel1 5 4 2 3" xfId="37747"/>
    <cellStyle name="SAPBEXHLevel1 5 4 3" xfId="37748"/>
    <cellStyle name="SAPBEXHLevel1 5 4 3 2" xfId="37749"/>
    <cellStyle name="SAPBEXHLevel1 5 4 4" xfId="37750"/>
    <cellStyle name="SAPBEXHLevel1 5 4 5" xfId="37751"/>
    <cellStyle name="SAPBEXHLevel1 5 5" xfId="37752"/>
    <cellStyle name="SAPBEXHLevel1 5 5 2" xfId="37753"/>
    <cellStyle name="SAPBEXHLevel1 5 5 2 2" xfId="37754"/>
    <cellStyle name="SAPBEXHLevel1 5 5 3" xfId="37755"/>
    <cellStyle name="SAPBEXHLevel1 5 5 4" xfId="37756"/>
    <cellStyle name="SAPBEXHLevel1 5 6" xfId="37757"/>
    <cellStyle name="SAPBEXHLevel1 5 6 2" xfId="37758"/>
    <cellStyle name="SAPBEXHLevel1 5 6 3" xfId="37759"/>
    <cellStyle name="SAPBEXHLevel1 5 7" xfId="37760"/>
    <cellStyle name="SAPBEXHLevel1 5 7 2" xfId="37761"/>
    <cellStyle name="SAPBEXHLevel1 5 8" xfId="37762"/>
    <cellStyle name="SAPBEXHLevel1 5 9" xfId="37763"/>
    <cellStyle name="SAPBEXHLevel1 6" xfId="37764"/>
    <cellStyle name="SAPBEXHLevel1 6 10" xfId="37765"/>
    <cellStyle name="SAPBEXHLevel1 6 11" xfId="37766"/>
    <cellStyle name="SAPBEXHLevel1 6 12" xfId="37767"/>
    <cellStyle name="SAPBEXHLevel1 6 13" xfId="37768"/>
    <cellStyle name="SAPBEXHLevel1 6 14" xfId="37769"/>
    <cellStyle name="SAPBEXHLevel1 6 15" xfId="37770"/>
    <cellStyle name="SAPBEXHLevel1 6 2" xfId="37771"/>
    <cellStyle name="SAPBEXHLevel1 6 2 10" xfId="37772"/>
    <cellStyle name="SAPBEXHLevel1 6 2 11" xfId="37773"/>
    <cellStyle name="SAPBEXHLevel1 6 2 12" xfId="37774"/>
    <cellStyle name="SAPBEXHLevel1 6 2 13" xfId="37775"/>
    <cellStyle name="SAPBEXHLevel1 6 2 14" xfId="37776"/>
    <cellStyle name="SAPBEXHLevel1 6 2 15" xfId="37777"/>
    <cellStyle name="SAPBEXHLevel1 6 2 16" xfId="37778"/>
    <cellStyle name="SAPBEXHLevel1 6 2 17" xfId="37779"/>
    <cellStyle name="SAPBEXHLevel1 6 2 18" xfId="37780"/>
    <cellStyle name="SAPBEXHLevel1 6 2 2" xfId="37781"/>
    <cellStyle name="SAPBEXHLevel1 6 2 2 2" xfId="37782"/>
    <cellStyle name="SAPBEXHLevel1 6 2 2 2 2" xfId="37783"/>
    <cellStyle name="SAPBEXHLevel1 6 2 2 3" xfId="37784"/>
    <cellStyle name="SAPBEXHLevel1 6 2 2 4" xfId="37785"/>
    <cellStyle name="SAPBEXHLevel1 6 2 3" xfId="37786"/>
    <cellStyle name="SAPBEXHLevel1 6 2 3 2" xfId="37787"/>
    <cellStyle name="SAPBEXHLevel1 6 2 3 3" xfId="37788"/>
    <cellStyle name="SAPBEXHLevel1 6 2 4" xfId="37789"/>
    <cellStyle name="SAPBEXHLevel1 6 2 4 2" xfId="37790"/>
    <cellStyle name="SAPBEXHLevel1 6 2 5" xfId="37791"/>
    <cellStyle name="SAPBEXHLevel1 6 2 6" xfId="37792"/>
    <cellStyle name="SAPBEXHLevel1 6 2 7" xfId="37793"/>
    <cellStyle name="SAPBEXHLevel1 6 2 8" xfId="37794"/>
    <cellStyle name="SAPBEXHLevel1 6 2 9" xfId="37795"/>
    <cellStyle name="SAPBEXHLevel1 6 3" xfId="37796"/>
    <cellStyle name="SAPBEXHLevel1 6 3 10" xfId="37797"/>
    <cellStyle name="SAPBEXHLevel1 6 3 11" xfId="37798"/>
    <cellStyle name="SAPBEXHLevel1 6 3 12" xfId="37799"/>
    <cellStyle name="SAPBEXHLevel1 6 3 13" xfId="37800"/>
    <cellStyle name="SAPBEXHLevel1 6 3 14" xfId="37801"/>
    <cellStyle name="SAPBEXHLevel1 6 3 15" xfId="37802"/>
    <cellStyle name="SAPBEXHLevel1 6 3 16" xfId="37803"/>
    <cellStyle name="SAPBEXHLevel1 6 3 17" xfId="37804"/>
    <cellStyle name="SAPBEXHLevel1 6 3 18" xfId="37805"/>
    <cellStyle name="SAPBEXHLevel1 6 3 2" xfId="37806"/>
    <cellStyle name="SAPBEXHLevel1 6 3 2 2" xfId="37807"/>
    <cellStyle name="SAPBEXHLevel1 6 3 2 2 2" xfId="37808"/>
    <cellStyle name="SAPBEXHLevel1 6 3 2 3" xfId="37809"/>
    <cellStyle name="SAPBEXHLevel1 6 3 2 4" xfId="37810"/>
    <cellStyle name="SAPBEXHLevel1 6 3 3" xfId="37811"/>
    <cellStyle name="SAPBEXHLevel1 6 3 3 2" xfId="37812"/>
    <cellStyle name="SAPBEXHLevel1 6 3 3 3" xfId="37813"/>
    <cellStyle name="SAPBEXHLevel1 6 3 4" xfId="37814"/>
    <cellStyle name="SAPBEXHLevel1 6 3 4 2" xfId="37815"/>
    <cellStyle name="SAPBEXHLevel1 6 3 5" xfId="37816"/>
    <cellStyle name="SAPBEXHLevel1 6 3 6" xfId="37817"/>
    <cellStyle name="SAPBEXHLevel1 6 3 7" xfId="37818"/>
    <cellStyle name="SAPBEXHLevel1 6 3 8" xfId="37819"/>
    <cellStyle name="SAPBEXHLevel1 6 3 9" xfId="37820"/>
    <cellStyle name="SAPBEXHLevel1 6 4" xfId="37821"/>
    <cellStyle name="SAPBEXHLevel1 6 4 2" xfId="37822"/>
    <cellStyle name="SAPBEXHLevel1 6 4 2 2" xfId="37823"/>
    <cellStyle name="SAPBEXHLevel1 6 4 3" xfId="37824"/>
    <cellStyle name="SAPBEXHLevel1 6 4 4" xfId="37825"/>
    <cellStyle name="SAPBEXHLevel1 6 5" xfId="37826"/>
    <cellStyle name="SAPBEXHLevel1 6 5 2" xfId="37827"/>
    <cellStyle name="SAPBEXHLevel1 6 6" xfId="37828"/>
    <cellStyle name="SAPBEXHLevel1 6 7" xfId="37829"/>
    <cellStyle name="SAPBEXHLevel1 6 8" xfId="37830"/>
    <cellStyle name="SAPBEXHLevel1 6 9" xfId="37831"/>
    <cellStyle name="SAPBEXHLevel1 7" xfId="37832"/>
    <cellStyle name="SAPBEXHLevel1 7 10" xfId="37833"/>
    <cellStyle name="SAPBEXHLevel1 7 11" xfId="37834"/>
    <cellStyle name="SAPBEXHLevel1 7 12" xfId="37835"/>
    <cellStyle name="SAPBEXHLevel1 7 13" xfId="37836"/>
    <cellStyle name="SAPBEXHLevel1 7 14" xfId="37837"/>
    <cellStyle name="SAPBEXHLevel1 7 15" xfId="37838"/>
    <cellStyle name="SAPBEXHLevel1 7 16" xfId="37839"/>
    <cellStyle name="SAPBEXHLevel1 7 17" xfId="37840"/>
    <cellStyle name="SAPBEXHLevel1 7 18" xfId="37841"/>
    <cellStyle name="SAPBEXHLevel1 7 19" xfId="37842"/>
    <cellStyle name="SAPBEXHLevel1 7 2" xfId="37843"/>
    <cellStyle name="SAPBEXHLevel1 7 3" xfId="37844"/>
    <cellStyle name="SAPBEXHLevel1 7 4" xfId="37845"/>
    <cellStyle name="SAPBEXHLevel1 7 5" xfId="37846"/>
    <cellStyle name="SAPBEXHLevel1 7 6" xfId="37847"/>
    <cellStyle name="SAPBEXHLevel1 7 7" xfId="37848"/>
    <cellStyle name="SAPBEXHLevel1 7 8" xfId="37849"/>
    <cellStyle name="SAPBEXHLevel1 7 9" xfId="37850"/>
    <cellStyle name="SAPBEXHLevel1 8" xfId="37851"/>
    <cellStyle name="SAPBEXHLevel1 9" xfId="37852"/>
    <cellStyle name="SAPBEXHLevel1_7y-отчетная_РЖД_2009_04" xfId="37853"/>
    <cellStyle name="SAPBEXHLevel1X" xfId="37854"/>
    <cellStyle name="SAPBEXHLevel1X 10" xfId="37855"/>
    <cellStyle name="SAPBEXHLevel1X 11" xfId="37856"/>
    <cellStyle name="SAPBEXHLevel1X 12" xfId="37857"/>
    <cellStyle name="SAPBEXHLevel1X 13" xfId="37858"/>
    <cellStyle name="SAPBEXHLevel1X 14" xfId="37859"/>
    <cellStyle name="SAPBEXHLevel1X 15" xfId="37860"/>
    <cellStyle name="SAPBEXHLevel1X 16" xfId="37861"/>
    <cellStyle name="SAPBEXHLevel1X 17" xfId="37862"/>
    <cellStyle name="SAPBEXHLevel1X 18" xfId="37863"/>
    <cellStyle name="SAPBEXHLevel1X 19" xfId="37864"/>
    <cellStyle name="SAPBEXHLevel1X 2" xfId="37865"/>
    <cellStyle name="SAPBEXHLevel1X 2 10" xfId="37866"/>
    <cellStyle name="SAPBEXHLevel1X 2 11" xfId="37867"/>
    <cellStyle name="SAPBEXHLevel1X 2 12" xfId="37868"/>
    <cellStyle name="SAPBEXHLevel1X 2 13" xfId="37869"/>
    <cellStyle name="SAPBEXHLevel1X 2 14" xfId="37870"/>
    <cellStyle name="SAPBEXHLevel1X 2 15" xfId="37871"/>
    <cellStyle name="SAPBEXHLevel1X 2 16" xfId="37872"/>
    <cellStyle name="SAPBEXHLevel1X 2 17" xfId="37873"/>
    <cellStyle name="SAPBEXHLevel1X 2 18" xfId="37874"/>
    <cellStyle name="SAPBEXHLevel1X 2 19" xfId="37875"/>
    <cellStyle name="SAPBEXHLevel1X 2 2" xfId="37876"/>
    <cellStyle name="SAPBEXHLevel1X 2 2 10" xfId="37877"/>
    <cellStyle name="SAPBEXHLevel1X 2 2 11" xfId="37878"/>
    <cellStyle name="SAPBEXHLevel1X 2 2 12" xfId="37879"/>
    <cellStyle name="SAPBEXHLevel1X 2 2 13" xfId="37880"/>
    <cellStyle name="SAPBEXHLevel1X 2 2 14" xfId="37881"/>
    <cellStyle name="SAPBEXHLevel1X 2 2 15" xfId="37882"/>
    <cellStyle name="SAPBEXHLevel1X 2 2 16" xfId="37883"/>
    <cellStyle name="SAPBEXHLevel1X 2 2 17" xfId="37884"/>
    <cellStyle name="SAPBEXHLevel1X 2 2 18" xfId="37885"/>
    <cellStyle name="SAPBEXHLevel1X 2 2 2" xfId="37886"/>
    <cellStyle name="SAPBEXHLevel1X 2 2 2 2" xfId="37887"/>
    <cellStyle name="SAPBEXHLevel1X 2 2 2 2 2" xfId="37888"/>
    <cellStyle name="SAPBEXHLevel1X 2 2 2 3" xfId="37889"/>
    <cellStyle name="SAPBEXHLevel1X 2 2 2 4" xfId="37890"/>
    <cellStyle name="SAPBEXHLevel1X 2 2 3" xfId="37891"/>
    <cellStyle name="SAPBEXHLevel1X 2 2 3 2" xfId="37892"/>
    <cellStyle name="SAPBEXHLevel1X 2 2 3 3" xfId="37893"/>
    <cellStyle name="SAPBEXHLevel1X 2 2 4" xfId="37894"/>
    <cellStyle name="SAPBEXHLevel1X 2 2 4 2" xfId="37895"/>
    <cellStyle name="SAPBEXHLevel1X 2 2 5" xfId="37896"/>
    <cellStyle name="SAPBEXHLevel1X 2 2 6" xfId="37897"/>
    <cellStyle name="SAPBEXHLevel1X 2 2 7" xfId="37898"/>
    <cellStyle name="SAPBEXHLevel1X 2 2 8" xfId="37899"/>
    <cellStyle name="SAPBEXHLevel1X 2 2 9" xfId="37900"/>
    <cellStyle name="SAPBEXHLevel1X 2 20" xfId="37901"/>
    <cellStyle name="SAPBEXHLevel1X 2 21" xfId="37902"/>
    <cellStyle name="SAPBEXHLevel1X 2 22" xfId="37903"/>
    <cellStyle name="SAPBEXHLevel1X 2 23" xfId="37904"/>
    <cellStyle name="SAPBEXHLevel1X 2 24" xfId="37905"/>
    <cellStyle name="SAPBEXHLevel1X 2 25" xfId="37906"/>
    <cellStyle name="SAPBEXHLevel1X 2 3" xfId="37907"/>
    <cellStyle name="SAPBEXHLevel1X 2 3 10" xfId="37908"/>
    <cellStyle name="SAPBEXHLevel1X 2 3 11" xfId="37909"/>
    <cellStyle name="SAPBEXHLevel1X 2 3 12" xfId="37910"/>
    <cellStyle name="SAPBEXHLevel1X 2 3 13" xfId="37911"/>
    <cellStyle name="SAPBEXHLevel1X 2 3 14" xfId="37912"/>
    <cellStyle name="SAPBEXHLevel1X 2 3 15" xfId="37913"/>
    <cellStyle name="SAPBEXHLevel1X 2 3 16" xfId="37914"/>
    <cellStyle name="SAPBEXHLevel1X 2 3 17" xfId="37915"/>
    <cellStyle name="SAPBEXHLevel1X 2 3 18" xfId="37916"/>
    <cellStyle name="SAPBEXHLevel1X 2 3 2" xfId="37917"/>
    <cellStyle name="SAPBEXHLevel1X 2 3 2 2" xfId="37918"/>
    <cellStyle name="SAPBEXHLevel1X 2 3 2 2 2" xfId="37919"/>
    <cellStyle name="SAPBEXHLevel1X 2 3 2 3" xfId="37920"/>
    <cellStyle name="SAPBEXHLevel1X 2 3 2 4" xfId="37921"/>
    <cellStyle name="SAPBEXHLevel1X 2 3 3" xfId="37922"/>
    <cellStyle name="SAPBEXHLevel1X 2 3 3 2" xfId="37923"/>
    <cellStyle name="SAPBEXHLevel1X 2 3 3 3" xfId="37924"/>
    <cellStyle name="SAPBEXHLevel1X 2 3 4" xfId="37925"/>
    <cellStyle name="SAPBEXHLevel1X 2 3 4 2" xfId="37926"/>
    <cellStyle name="SAPBEXHLevel1X 2 3 5" xfId="37927"/>
    <cellStyle name="SAPBEXHLevel1X 2 3 6" xfId="37928"/>
    <cellStyle name="SAPBEXHLevel1X 2 3 7" xfId="37929"/>
    <cellStyle name="SAPBEXHLevel1X 2 3 8" xfId="37930"/>
    <cellStyle name="SAPBEXHLevel1X 2 3 9" xfId="37931"/>
    <cellStyle name="SAPBEXHLevel1X 2 4" xfId="37932"/>
    <cellStyle name="SAPBEXHLevel1X 2 4 2" xfId="37933"/>
    <cellStyle name="SAPBEXHLevel1X 2 4 2 2" xfId="37934"/>
    <cellStyle name="SAPBEXHLevel1X 2 4 2 3" xfId="37935"/>
    <cellStyle name="SAPBEXHLevel1X 2 4 3" xfId="37936"/>
    <cellStyle name="SAPBEXHLevel1X 2 4 3 2" xfId="37937"/>
    <cellStyle name="SAPBEXHLevel1X 2 4 4" xfId="37938"/>
    <cellStyle name="SAPBEXHLevel1X 2 4 5" xfId="37939"/>
    <cellStyle name="SAPBEXHLevel1X 2 5" xfId="37940"/>
    <cellStyle name="SAPBEXHLevel1X 2 5 2" xfId="37941"/>
    <cellStyle name="SAPBEXHLevel1X 2 5 2 2" xfId="37942"/>
    <cellStyle name="SAPBEXHLevel1X 2 5 3" xfId="37943"/>
    <cellStyle name="SAPBEXHLevel1X 2 5 4" xfId="37944"/>
    <cellStyle name="SAPBEXHLevel1X 2 6" xfId="37945"/>
    <cellStyle name="SAPBEXHLevel1X 2 6 2" xfId="37946"/>
    <cellStyle name="SAPBEXHLevel1X 2 6 3" xfId="37947"/>
    <cellStyle name="SAPBEXHLevel1X 2 7" xfId="37948"/>
    <cellStyle name="SAPBEXHLevel1X 2 7 2" xfId="37949"/>
    <cellStyle name="SAPBEXHLevel1X 2 8" xfId="37950"/>
    <cellStyle name="SAPBEXHLevel1X 2 9" xfId="37951"/>
    <cellStyle name="SAPBEXHLevel1X 20" xfId="37952"/>
    <cellStyle name="SAPBEXHLevel1X 3" xfId="37953"/>
    <cellStyle name="SAPBEXHLevel1X 3 10" xfId="37954"/>
    <cellStyle name="SAPBEXHLevel1X 3 11" xfId="37955"/>
    <cellStyle name="SAPBEXHLevel1X 3 12" xfId="37956"/>
    <cellStyle name="SAPBEXHLevel1X 3 13" xfId="37957"/>
    <cellStyle name="SAPBEXHLevel1X 3 14" xfId="37958"/>
    <cellStyle name="SAPBEXHLevel1X 3 15" xfId="37959"/>
    <cellStyle name="SAPBEXHLevel1X 3 16" xfId="37960"/>
    <cellStyle name="SAPBEXHLevel1X 3 17" xfId="37961"/>
    <cellStyle name="SAPBEXHLevel1X 3 18" xfId="37962"/>
    <cellStyle name="SAPBEXHLevel1X 3 19" xfId="37963"/>
    <cellStyle name="SAPBEXHLevel1X 3 2" xfId="37964"/>
    <cellStyle name="SAPBEXHLevel1X 3 2 10" xfId="37965"/>
    <cellStyle name="SAPBEXHLevel1X 3 2 11" xfId="37966"/>
    <cellStyle name="SAPBEXHLevel1X 3 2 12" xfId="37967"/>
    <cellStyle name="SAPBEXHLevel1X 3 2 13" xfId="37968"/>
    <cellStyle name="SAPBEXHLevel1X 3 2 14" xfId="37969"/>
    <cellStyle name="SAPBEXHLevel1X 3 2 15" xfId="37970"/>
    <cellStyle name="SAPBEXHLevel1X 3 2 16" xfId="37971"/>
    <cellStyle name="SAPBEXHLevel1X 3 2 17" xfId="37972"/>
    <cellStyle name="SAPBEXHLevel1X 3 2 18" xfId="37973"/>
    <cellStyle name="SAPBEXHLevel1X 3 2 2" xfId="37974"/>
    <cellStyle name="SAPBEXHLevel1X 3 2 2 2" xfId="37975"/>
    <cellStyle name="SAPBEXHLevel1X 3 2 2 2 2" xfId="37976"/>
    <cellStyle name="SAPBEXHLevel1X 3 2 2 3" xfId="37977"/>
    <cellStyle name="SAPBEXHLevel1X 3 2 2 4" xfId="37978"/>
    <cellStyle name="SAPBEXHLevel1X 3 2 3" xfId="37979"/>
    <cellStyle name="SAPBEXHLevel1X 3 2 3 2" xfId="37980"/>
    <cellStyle name="SAPBEXHLevel1X 3 2 3 3" xfId="37981"/>
    <cellStyle name="SAPBEXHLevel1X 3 2 4" xfId="37982"/>
    <cellStyle name="SAPBEXHLevel1X 3 2 4 2" xfId="37983"/>
    <cellStyle name="SAPBEXHLevel1X 3 2 5" xfId="37984"/>
    <cellStyle name="SAPBEXHLevel1X 3 2 6" xfId="37985"/>
    <cellStyle name="SAPBEXHLevel1X 3 2 7" xfId="37986"/>
    <cellStyle name="SAPBEXHLevel1X 3 2 8" xfId="37987"/>
    <cellStyle name="SAPBEXHLevel1X 3 2 9" xfId="37988"/>
    <cellStyle name="SAPBEXHLevel1X 3 20" xfId="37989"/>
    <cellStyle name="SAPBEXHLevel1X 3 3" xfId="37990"/>
    <cellStyle name="SAPBEXHLevel1X 3 3 10" xfId="37991"/>
    <cellStyle name="SAPBEXHLevel1X 3 3 11" xfId="37992"/>
    <cellStyle name="SAPBEXHLevel1X 3 3 12" xfId="37993"/>
    <cellStyle name="SAPBEXHLevel1X 3 3 13" xfId="37994"/>
    <cellStyle name="SAPBEXHLevel1X 3 3 14" xfId="37995"/>
    <cellStyle name="SAPBEXHLevel1X 3 3 15" xfId="37996"/>
    <cellStyle name="SAPBEXHLevel1X 3 3 16" xfId="37997"/>
    <cellStyle name="SAPBEXHLevel1X 3 3 17" xfId="37998"/>
    <cellStyle name="SAPBEXHLevel1X 3 3 18" xfId="37999"/>
    <cellStyle name="SAPBEXHLevel1X 3 3 2" xfId="38000"/>
    <cellStyle name="SAPBEXHLevel1X 3 3 2 2" xfId="38001"/>
    <cellStyle name="SAPBEXHLevel1X 3 3 2 2 2" xfId="38002"/>
    <cellStyle name="SAPBEXHLevel1X 3 3 2 3" xfId="38003"/>
    <cellStyle name="SAPBEXHLevel1X 3 3 2 4" xfId="38004"/>
    <cellStyle name="SAPBEXHLevel1X 3 3 3" xfId="38005"/>
    <cellStyle name="SAPBEXHLevel1X 3 3 3 2" xfId="38006"/>
    <cellStyle name="SAPBEXHLevel1X 3 3 3 3" xfId="38007"/>
    <cellStyle name="SAPBEXHLevel1X 3 3 4" xfId="38008"/>
    <cellStyle name="SAPBEXHLevel1X 3 3 4 2" xfId="38009"/>
    <cellStyle name="SAPBEXHLevel1X 3 3 5" xfId="38010"/>
    <cellStyle name="SAPBEXHLevel1X 3 3 6" xfId="38011"/>
    <cellStyle name="SAPBEXHLevel1X 3 3 7" xfId="38012"/>
    <cellStyle name="SAPBEXHLevel1X 3 3 8" xfId="38013"/>
    <cellStyle name="SAPBEXHLevel1X 3 3 9" xfId="38014"/>
    <cellStyle name="SAPBEXHLevel1X 3 4" xfId="38015"/>
    <cellStyle name="SAPBEXHLevel1X 3 4 2" xfId="38016"/>
    <cellStyle name="SAPBEXHLevel1X 3 4 2 2" xfId="38017"/>
    <cellStyle name="SAPBEXHLevel1X 3 4 2 3" xfId="38018"/>
    <cellStyle name="SAPBEXHLevel1X 3 4 3" xfId="38019"/>
    <cellStyle name="SAPBEXHLevel1X 3 4 3 2" xfId="38020"/>
    <cellStyle name="SAPBEXHLevel1X 3 4 4" xfId="38021"/>
    <cellStyle name="SAPBEXHLevel1X 3 4 5" xfId="38022"/>
    <cellStyle name="SAPBEXHLevel1X 3 5" xfId="38023"/>
    <cellStyle name="SAPBEXHLevel1X 3 5 2" xfId="38024"/>
    <cellStyle name="SAPBEXHLevel1X 3 5 2 2" xfId="38025"/>
    <cellStyle name="SAPBEXHLevel1X 3 5 3" xfId="38026"/>
    <cellStyle name="SAPBEXHLevel1X 3 5 4" xfId="38027"/>
    <cellStyle name="SAPBEXHLevel1X 3 6" xfId="38028"/>
    <cellStyle name="SAPBEXHLevel1X 3 6 2" xfId="38029"/>
    <cellStyle name="SAPBEXHLevel1X 3 6 3" xfId="38030"/>
    <cellStyle name="SAPBEXHLevel1X 3 7" xfId="38031"/>
    <cellStyle name="SAPBEXHLevel1X 3 7 2" xfId="38032"/>
    <cellStyle name="SAPBEXHLevel1X 3 8" xfId="38033"/>
    <cellStyle name="SAPBEXHLevel1X 3 9" xfId="38034"/>
    <cellStyle name="SAPBEXHLevel1X 4" xfId="38035"/>
    <cellStyle name="SAPBEXHLevel1X 4 10" xfId="38036"/>
    <cellStyle name="SAPBEXHLevel1X 4 11" xfId="38037"/>
    <cellStyle name="SAPBEXHLevel1X 4 12" xfId="38038"/>
    <cellStyle name="SAPBEXHLevel1X 4 13" xfId="38039"/>
    <cellStyle name="SAPBEXHLevel1X 4 14" xfId="38040"/>
    <cellStyle name="SAPBEXHLevel1X 4 15" xfId="38041"/>
    <cellStyle name="SAPBEXHLevel1X 4 16" xfId="38042"/>
    <cellStyle name="SAPBEXHLevel1X 4 17" xfId="38043"/>
    <cellStyle name="SAPBEXHLevel1X 4 18" xfId="38044"/>
    <cellStyle name="SAPBEXHLevel1X 4 19" xfId="38045"/>
    <cellStyle name="SAPBEXHLevel1X 4 2" xfId="38046"/>
    <cellStyle name="SAPBEXHLevel1X 4 2 10" xfId="38047"/>
    <cellStyle name="SAPBEXHLevel1X 4 2 11" xfId="38048"/>
    <cellStyle name="SAPBEXHLevel1X 4 2 12" xfId="38049"/>
    <cellStyle name="SAPBEXHLevel1X 4 2 13" xfId="38050"/>
    <cellStyle name="SAPBEXHLevel1X 4 2 14" xfId="38051"/>
    <cellStyle name="SAPBEXHLevel1X 4 2 15" xfId="38052"/>
    <cellStyle name="SAPBEXHLevel1X 4 2 16" xfId="38053"/>
    <cellStyle name="SAPBEXHLevel1X 4 2 17" xfId="38054"/>
    <cellStyle name="SAPBEXHLevel1X 4 2 18" xfId="38055"/>
    <cellStyle name="SAPBEXHLevel1X 4 2 2" xfId="38056"/>
    <cellStyle name="SAPBEXHLevel1X 4 2 2 2" xfId="38057"/>
    <cellStyle name="SAPBEXHLevel1X 4 2 2 2 2" xfId="38058"/>
    <cellStyle name="SAPBEXHLevel1X 4 2 2 3" xfId="38059"/>
    <cellStyle name="SAPBEXHLevel1X 4 2 2 4" xfId="38060"/>
    <cellStyle name="SAPBEXHLevel1X 4 2 3" xfId="38061"/>
    <cellStyle name="SAPBEXHLevel1X 4 2 3 2" xfId="38062"/>
    <cellStyle name="SAPBEXHLevel1X 4 2 3 3" xfId="38063"/>
    <cellStyle name="SAPBEXHLevel1X 4 2 4" xfId="38064"/>
    <cellStyle name="SAPBEXHLevel1X 4 2 4 2" xfId="38065"/>
    <cellStyle name="SAPBEXHLevel1X 4 2 5" xfId="38066"/>
    <cellStyle name="SAPBEXHLevel1X 4 2 6" xfId="38067"/>
    <cellStyle name="SAPBEXHLevel1X 4 2 7" xfId="38068"/>
    <cellStyle name="SAPBEXHLevel1X 4 2 8" xfId="38069"/>
    <cellStyle name="SAPBEXHLevel1X 4 2 9" xfId="38070"/>
    <cellStyle name="SAPBEXHLevel1X 4 20" xfId="38071"/>
    <cellStyle name="SAPBEXHLevel1X 4 21" xfId="38072"/>
    <cellStyle name="SAPBEXHLevel1X 4 22" xfId="38073"/>
    <cellStyle name="SAPBEXHLevel1X 4 3" xfId="38074"/>
    <cellStyle name="SAPBEXHLevel1X 4 3 10" xfId="38075"/>
    <cellStyle name="SAPBEXHLevel1X 4 3 11" xfId="38076"/>
    <cellStyle name="SAPBEXHLevel1X 4 3 12" xfId="38077"/>
    <cellStyle name="SAPBEXHLevel1X 4 3 13" xfId="38078"/>
    <cellStyle name="SAPBEXHLevel1X 4 3 14" xfId="38079"/>
    <cellStyle name="SAPBEXHLevel1X 4 3 15" xfId="38080"/>
    <cellStyle name="SAPBEXHLevel1X 4 3 16" xfId="38081"/>
    <cellStyle name="SAPBEXHLevel1X 4 3 17" xfId="38082"/>
    <cellStyle name="SAPBEXHLevel1X 4 3 18" xfId="38083"/>
    <cellStyle name="SAPBEXHLevel1X 4 3 2" xfId="38084"/>
    <cellStyle name="SAPBEXHLevel1X 4 3 2 2" xfId="38085"/>
    <cellStyle name="SAPBEXHLevel1X 4 3 2 2 2" xfId="38086"/>
    <cellStyle name="SAPBEXHLevel1X 4 3 2 3" xfId="38087"/>
    <cellStyle name="SAPBEXHLevel1X 4 3 2 4" xfId="38088"/>
    <cellStyle name="SAPBEXHLevel1X 4 3 3" xfId="38089"/>
    <cellStyle name="SAPBEXHLevel1X 4 3 3 2" xfId="38090"/>
    <cellStyle name="SAPBEXHLevel1X 4 3 3 3" xfId="38091"/>
    <cellStyle name="SAPBEXHLevel1X 4 3 4" xfId="38092"/>
    <cellStyle name="SAPBEXHLevel1X 4 3 4 2" xfId="38093"/>
    <cellStyle name="SAPBEXHLevel1X 4 3 5" xfId="38094"/>
    <cellStyle name="SAPBEXHLevel1X 4 3 6" xfId="38095"/>
    <cellStyle name="SAPBEXHLevel1X 4 3 7" xfId="38096"/>
    <cellStyle name="SAPBEXHLevel1X 4 3 8" xfId="38097"/>
    <cellStyle name="SAPBEXHLevel1X 4 3 9" xfId="38098"/>
    <cellStyle name="SAPBEXHLevel1X 4 4" xfId="38099"/>
    <cellStyle name="SAPBEXHLevel1X 4 4 2" xfId="38100"/>
    <cellStyle name="SAPBEXHLevel1X 4 4 2 2" xfId="38101"/>
    <cellStyle name="SAPBEXHLevel1X 4 4 2 3" xfId="38102"/>
    <cellStyle name="SAPBEXHLevel1X 4 4 3" xfId="38103"/>
    <cellStyle name="SAPBEXHLevel1X 4 4 3 2" xfId="38104"/>
    <cellStyle name="SAPBEXHLevel1X 4 4 4" xfId="38105"/>
    <cellStyle name="SAPBEXHLevel1X 4 4 5" xfId="38106"/>
    <cellStyle name="SAPBEXHLevel1X 4 5" xfId="38107"/>
    <cellStyle name="SAPBEXHLevel1X 4 5 2" xfId="38108"/>
    <cellStyle name="SAPBEXHLevel1X 4 5 2 2" xfId="38109"/>
    <cellStyle name="SAPBEXHLevel1X 4 5 3" xfId="38110"/>
    <cellStyle name="SAPBEXHLevel1X 4 5 4" xfId="38111"/>
    <cellStyle name="SAPBEXHLevel1X 4 6" xfId="38112"/>
    <cellStyle name="SAPBEXHLevel1X 4 6 2" xfId="38113"/>
    <cellStyle name="SAPBEXHLevel1X 4 6 3" xfId="38114"/>
    <cellStyle name="SAPBEXHLevel1X 4 7" xfId="38115"/>
    <cellStyle name="SAPBEXHLevel1X 4 7 2" xfId="38116"/>
    <cellStyle name="SAPBEXHLevel1X 4 8" xfId="38117"/>
    <cellStyle name="SAPBEXHLevel1X 4 9" xfId="38118"/>
    <cellStyle name="SAPBEXHLevel1X 5" xfId="38119"/>
    <cellStyle name="SAPBEXHLevel1X 5 10" xfId="38120"/>
    <cellStyle name="SAPBEXHLevel1X 5 11" xfId="38121"/>
    <cellStyle name="SAPBEXHLevel1X 5 12" xfId="38122"/>
    <cellStyle name="SAPBEXHLevel1X 5 13" xfId="38123"/>
    <cellStyle name="SAPBEXHLevel1X 5 14" xfId="38124"/>
    <cellStyle name="SAPBEXHLevel1X 5 15" xfId="38125"/>
    <cellStyle name="SAPBEXHLevel1X 5 16" xfId="38126"/>
    <cellStyle name="SAPBEXHLevel1X 5 17" xfId="38127"/>
    <cellStyle name="SAPBEXHLevel1X 5 18" xfId="38128"/>
    <cellStyle name="SAPBEXHLevel1X 5 19" xfId="38129"/>
    <cellStyle name="SAPBEXHLevel1X 5 2" xfId="38130"/>
    <cellStyle name="SAPBEXHLevel1X 5 2 10" xfId="38131"/>
    <cellStyle name="SAPBEXHLevel1X 5 2 11" xfId="38132"/>
    <cellStyle name="SAPBEXHLevel1X 5 2 12" xfId="38133"/>
    <cellStyle name="SAPBEXHLevel1X 5 2 13" xfId="38134"/>
    <cellStyle name="SAPBEXHLevel1X 5 2 14" xfId="38135"/>
    <cellStyle name="SAPBEXHLevel1X 5 2 15" xfId="38136"/>
    <cellStyle name="SAPBEXHLevel1X 5 2 16" xfId="38137"/>
    <cellStyle name="SAPBEXHLevel1X 5 2 17" xfId="38138"/>
    <cellStyle name="SAPBEXHLevel1X 5 2 18" xfId="38139"/>
    <cellStyle name="SAPBEXHLevel1X 5 2 2" xfId="38140"/>
    <cellStyle name="SAPBEXHLevel1X 5 2 2 2" xfId="38141"/>
    <cellStyle name="SAPBEXHLevel1X 5 2 2 2 2" xfId="38142"/>
    <cellStyle name="SAPBEXHLevel1X 5 2 2 3" xfId="38143"/>
    <cellStyle name="SAPBEXHLevel1X 5 2 2 4" xfId="38144"/>
    <cellStyle name="SAPBEXHLevel1X 5 2 3" xfId="38145"/>
    <cellStyle name="SAPBEXHLevel1X 5 2 3 2" xfId="38146"/>
    <cellStyle name="SAPBEXHLevel1X 5 2 3 3" xfId="38147"/>
    <cellStyle name="SAPBEXHLevel1X 5 2 4" xfId="38148"/>
    <cellStyle name="SAPBEXHLevel1X 5 2 4 2" xfId="38149"/>
    <cellStyle name="SAPBEXHLevel1X 5 2 5" xfId="38150"/>
    <cellStyle name="SAPBEXHLevel1X 5 2 6" xfId="38151"/>
    <cellStyle name="SAPBEXHLevel1X 5 2 7" xfId="38152"/>
    <cellStyle name="SAPBEXHLevel1X 5 2 8" xfId="38153"/>
    <cellStyle name="SAPBEXHLevel1X 5 2 9" xfId="38154"/>
    <cellStyle name="SAPBEXHLevel1X 5 20" xfId="38155"/>
    <cellStyle name="SAPBEXHLevel1X 5 21" xfId="38156"/>
    <cellStyle name="SAPBEXHLevel1X 5 22" xfId="38157"/>
    <cellStyle name="SAPBEXHLevel1X 5 3" xfId="38158"/>
    <cellStyle name="SAPBEXHLevel1X 5 3 10" xfId="38159"/>
    <cellStyle name="SAPBEXHLevel1X 5 3 11" xfId="38160"/>
    <cellStyle name="SAPBEXHLevel1X 5 3 12" xfId="38161"/>
    <cellStyle name="SAPBEXHLevel1X 5 3 13" xfId="38162"/>
    <cellStyle name="SAPBEXHLevel1X 5 3 14" xfId="38163"/>
    <cellStyle name="SAPBEXHLevel1X 5 3 15" xfId="38164"/>
    <cellStyle name="SAPBEXHLevel1X 5 3 16" xfId="38165"/>
    <cellStyle name="SAPBEXHLevel1X 5 3 17" xfId="38166"/>
    <cellStyle name="SAPBEXHLevel1X 5 3 18" xfId="38167"/>
    <cellStyle name="SAPBEXHLevel1X 5 3 2" xfId="38168"/>
    <cellStyle name="SAPBEXHLevel1X 5 3 2 2" xfId="38169"/>
    <cellStyle name="SAPBEXHLevel1X 5 3 2 2 2" xfId="38170"/>
    <cellStyle name="SAPBEXHLevel1X 5 3 2 3" xfId="38171"/>
    <cellStyle name="SAPBEXHLevel1X 5 3 2 4" xfId="38172"/>
    <cellStyle name="SAPBEXHLevel1X 5 3 3" xfId="38173"/>
    <cellStyle name="SAPBEXHLevel1X 5 3 3 2" xfId="38174"/>
    <cellStyle name="SAPBEXHLevel1X 5 3 3 3" xfId="38175"/>
    <cellStyle name="SAPBEXHLevel1X 5 3 4" xfId="38176"/>
    <cellStyle name="SAPBEXHLevel1X 5 3 4 2" xfId="38177"/>
    <cellStyle name="SAPBEXHLevel1X 5 3 5" xfId="38178"/>
    <cellStyle name="SAPBEXHLevel1X 5 3 6" xfId="38179"/>
    <cellStyle name="SAPBEXHLevel1X 5 3 7" xfId="38180"/>
    <cellStyle name="SAPBEXHLevel1X 5 3 8" xfId="38181"/>
    <cellStyle name="SAPBEXHLevel1X 5 3 9" xfId="38182"/>
    <cellStyle name="SAPBEXHLevel1X 5 4" xfId="38183"/>
    <cellStyle name="SAPBEXHLevel1X 5 4 2" xfId="38184"/>
    <cellStyle name="SAPBEXHLevel1X 5 4 2 2" xfId="38185"/>
    <cellStyle name="SAPBEXHLevel1X 5 4 2 3" xfId="38186"/>
    <cellStyle name="SAPBEXHLevel1X 5 4 3" xfId="38187"/>
    <cellStyle name="SAPBEXHLevel1X 5 4 3 2" xfId="38188"/>
    <cellStyle name="SAPBEXHLevel1X 5 4 4" xfId="38189"/>
    <cellStyle name="SAPBEXHLevel1X 5 4 5" xfId="38190"/>
    <cellStyle name="SAPBEXHLevel1X 5 5" xfId="38191"/>
    <cellStyle name="SAPBEXHLevel1X 5 5 2" xfId="38192"/>
    <cellStyle name="SAPBEXHLevel1X 5 5 2 2" xfId="38193"/>
    <cellStyle name="SAPBEXHLevel1X 5 5 3" xfId="38194"/>
    <cellStyle name="SAPBEXHLevel1X 5 5 4" xfId="38195"/>
    <cellStyle name="SAPBEXHLevel1X 5 6" xfId="38196"/>
    <cellStyle name="SAPBEXHLevel1X 5 6 2" xfId="38197"/>
    <cellStyle name="SAPBEXHLevel1X 5 6 3" xfId="38198"/>
    <cellStyle name="SAPBEXHLevel1X 5 7" xfId="38199"/>
    <cellStyle name="SAPBEXHLevel1X 5 7 2" xfId="38200"/>
    <cellStyle name="SAPBEXHLevel1X 5 8" xfId="38201"/>
    <cellStyle name="SAPBEXHLevel1X 5 9" xfId="38202"/>
    <cellStyle name="SAPBEXHLevel1X 6" xfId="38203"/>
    <cellStyle name="SAPBEXHLevel1X 6 10" xfId="38204"/>
    <cellStyle name="SAPBEXHLevel1X 6 11" xfId="38205"/>
    <cellStyle name="SAPBEXHLevel1X 6 12" xfId="38206"/>
    <cellStyle name="SAPBEXHLevel1X 6 13" xfId="38207"/>
    <cellStyle name="SAPBEXHLevel1X 6 14" xfId="38208"/>
    <cellStyle name="SAPBEXHLevel1X 6 15" xfId="38209"/>
    <cellStyle name="SAPBEXHLevel1X 6 2" xfId="38210"/>
    <cellStyle name="SAPBEXHLevel1X 6 2 10" xfId="38211"/>
    <cellStyle name="SAPBEXHLevel1X 6 2 11" xfId="38212"/>
    <cellStyle name="SAPBEXHLevel1X 6 2 12" xfId="38213"/>
    <cellStyle name="SAPBEXHLevel1X 6 2 13" xfId="38214"/>
    <cellStyle name="SAPBEXHLevel1X 6 2 14" xfId="38215"/>
    <cellStyle name="SAPBEXHLevel1X 6 2 15" xfId="38216"/>
    <cellStyle name="SAPBEXHLevel1X 6 2 16" xfId="38217"/>
    <cellStyle name="SAPBEXHLevel1X 6 2 17" xfId="38218"/>
    <cellStyle name="SAPBEXHLevel1X 6 2 18" xfId="38219"/>
    <cellStyle name="SAPBEXHLevel1X 6 2 2" xfId="38220"/>
    <cellStyle name="SAPBEXHLevel1X 6 2 2 2" xfId="38221"/>
    <cellStyle name="SAPBEXHLevel1X 6 2 2 2 2" xfId="38222"/>
    <cellStyle name="SAPBEXHLevel1X 6 2 2 3" xfId="38223"/>
    <cellStyle name="SAPBEXHLevel1X 6 2 2 4" xfId="38224"/>
    <cellStyle name="SAPBEXHLevel1X 6 2 3" xfId="38225"/>
    <cellStyle name="SAPBEXHLevel1X 6 2 3 2" xfId="38226"/>
    <cellStyle name="SAPBEXHLevel1X 6 2 3 3" xfId="38227"/>
    <cellStyle name="SAPBEXHLevel1X 6 2 4" xfId="38228"/>
    <cellStyle name="SAPBEXHLevel1X 6 2 4 2" xfId="38229"/>
    <cellStyle name="SAPBEXHLevel1X 6 2 5" xfId="38230"/>
    <cellStyle name="SAPBEXHLevel1X 6 2 6" xfId="38231"/>
    <cellStyle name="SAPBEXHLevel1X 6 2 7" xfId="38232"/>
    <cellStyle name="SAPBEXHLevel1X 6 2 8" xfId="38233"/>
    <cellStyle name="SAPBEXHLevel1X 6 2 9" xfId="38234"/>
    <cellStyle name="SAPBEXHLevel1X 6 3" xfId="38235"/>
    <cellStyle name="SAPBEXHLevel1X 6 3 10" xfId="38236"/>
    <cellStyle name="SAPBEXHLevel1X 6 3 11" xfId="38237"/>
    <cellStyle name="SAPBEXHLevel1X 6 3 12" xfId="38238"/>
    <cellStyle name="SAPBEXHLevel1X 6 3 13" xfId="38239"/>
    <cellStyle name="SAPBEXHLevel1X 6 3 14" xfId="38240"/>
    <cellStyle name="SAPBEXHLevel1X 6 3 15" xfId="38241"/>
    <cellStyle name="SAPBEXHLevel1X 6 3 16" xfId="38242"/>
    <cellStyle name="SAPBEXHLevel1X 6 3 17" xfId="38243"/>
    <cellStyle name="SAPBEXHLevel1X 6 3 18" xfId="38244"/>
    <cellStyle name="SAPBEXHLevel1X 6 3 2" xfId="38245"/>
    <cellStyle name="SAPBEXHLevel1X 6 3 2 2" xfId="38246"/>
    <cellStyle name="SAPBEXHLevel1X 6 3 2 2 2" xfId="38247"/>
    <cellStyle name="SAPBEXHLevel1X 6 3 2 3" xfId="38248"/>
    <cellStyle name="SAPBEXHLevel1X 6 3 2 4" xfId="38249"/>
    <cellStyle name="SAPBEXHLevel1X 6 3 3" xfId="38250"/>
    <cellStyle name="SAPBEXHLevel1X 6 3 3 2" xfId="38251"/>
    <cellStyle name="SAPBEXHLevel1X 6 3 3 3" xfId="38252"/>
    <cellStyle name="SAPBEXHLevel1X 6 3 4" xfId="38253"/>
    <cellStyle name="SAPBEXHLevel1X 6 3 4 2" xfId="38254"/>
    <cellStyle name="SAPBEXHLevel1X 6 3 5" xfId="38255"/>
    <cellStyle name="SAPBEXHLevel1X 6 3 6" xfId="38256"/>
    <cellStyle name="SAPBEXHLevel1X 6 3 7" xfId="38257"/>
    <cellStyle name="SAPBEXHLevel1X 6 3 8" xfId="38258"/>
    <cellStyle name="SAPBEXHLevel1X 6 3 9" xfId="38259"/>
    <cellStyle name="SAPBEXHLevel1X 6 4" xfId="38260"/>
    <cellStyle name="SAPBEXHLevel1X 6 4 2" xfId="38261"/>
    <cellStyle name="SAPBEXHLevel1X 6 4 2 2" xfId="38262"/>
    <cellStyle name="SAPBEXHLevel1X 6 4 3" xfId="38263"/>
    <cellStyle name="SAPBEXHLevel1X 6 4 4" xfId="38264"/>
    <cellStyle name="SAPBEXHLevel1X 6 5" xfId="38265"/>
    <cellStyle name="SAPBEXHLevel1X 6 5 2" xfId="38266"/>
    <cellStyle name="SAPBEXHLevel1X 6 6" xfId="38267"/>
    <cellStyle name="SAPBEXHLevel1X 6 7" xfId="38268"/>
    <cellStyle name="SAPBEXHLevel1X 6 8" xfId="38269"/>
    <cellStyle name="SAPBEXHLevel1X 6 9" xfId="38270"/>
    <cellStyle name="SAPBEXHLevel1X 7" xfId="38271"/>
    <cellStyle name="SAPBEXHLevel1X 7 10" xfId="38272"/>
    <cellStyle name="SAPBEXHLevel1X 7 11" xfId="38273"/>
    <cellStyle name="SAPBEXHLevel1X 7 12" xfId="38274"/>
    <cellStyle name="SAPBEXHLevel1X 7 13" xfId="38275"/>
    <cellStyle name="SAPBEXHLevel1X 7 14" xfId="38276"/>
    <cellStyle name="SAPBEXHLevel1X 7 15" xfId="38277"/>
    <cellStyle name="SAPBEXHLevel1X 7 16" xfId="38278"/>
    <cellStyle name="SAPBEXHLevel1X 7 17" xfId="38279"/>
    <cellStyle name="SAPBEXHLevel1X 7 18" xfId="38280"/>
    <cellStyle name="SAPBEXHLevel1X 7 19" xfId="38281"/>
    <cellStyle name="SAPBEXHLevel1X 7 2" xfId="38282"/>
    <cellStyle name="SAPBEXHLevel1X 7 3" xfId="38283"/>
    <cellStyle name="SAPBEXHLevel1X 7 4" xfId="38284"/>
    <cellStyle name="SAPBEXHLevel1X 7 5" xfId="38285"/>
    <cellStyle name="SAPBEXHLevel1X 7 6" xfId="38286"/>
    <cellStyle name="SAPBEXHLevel1X 7 7" xfId="38287"/>
    <cellStyle name="SAPBEXHLevel1X 7 8" xfId="38288"/>
    <cellStyle name="SAPBEXHLevel1X 7 9" xfId="38289"/>
    <cellStyle name="SAPBEXHLevel1X 8" xfId="38290"/>
    <cellStyle name="SAPBEXHLevel1X 8 2" xfId="38291"/>
    <cellStyle name="SAPBEXHLevel1X 9" xfId="38292"/>
    <cellStyle name="SAPBEXHLevel1X 9 2" xfId="38293"/>
    <cellStyle name="SAPBEXHLevel1X_7-р_Из_Системы" xfId="38294"/>
    <cellStyle name="SAPBEXHLevel2" xfId="38295"/>
    <cellStyle name="SAPBEXHLevel2 10" xfId="38296"/>
    <cellStyle name="SAPBEXHLevel2 11" xfId="38297"/>
    <cellStyle name="SAPBEXHLevel2 12" xfId="38298"/>
    <cellStyle name="SAPBEXHLevel2 13" xfId="38299"/>
    <cellStyle name="SAPBEXHLevel2 14" xfId="38300"/>
    <cellStyle name="SAPBEXHLevel2 15" xfId="38301"/>
    <cellStyle name="SAPBEXHLevel2 16" xfId="38302"/>
    <cellStyle name="SAPBEXHLevel2 17" xfId="38303"/>
    <cellStyle name="SAPBEXHLevel2 18" xfId="38304"/>
    <cellStyle name="SAPBEXHLevel2 19" xfId="38305"/>
    <cellStyle name="SAPBEXHLevel2 2" xfId="38306"/>
    <cellStyle name="SAPBEXHLevel2 2 10" xfId="38307"/>
    <cellStyle name="SAPBEXHLevel2 2 11" xfId="38308"/>
    <cellStyle name="SAPBEXHLevel2 2 12" xfId="38309"/>
    <cellStyle name="SAPBEXHLevel2 2 13" xfId="38310"/>
    <cellStyle name="SAPBEXHLevel2 2 14" xfId="38311"/>
    <cellStyle name="SAPBEXHLevel2 2 15" xfId="38312"/>
    <cellStyle name="SAPBEXHLevel2 2 16" xfId="38313"/>
    <cellStyle name="SAPBEXHLevel2 2 17" xfId="38314"/>
    <cellStyle name="SAPBEXHLevel2 2 18" xfId="38315"/>
    <cellStyle name="SAPBEXHLevel2 2 19" xfId="38316"/>
    <cellStyle name="SAPBEXHLevel2 2 2" xfId="38317"/>
    <cellStyle name="SAPBEXHLevel2 2 2 10" xfId="38318"/>
    <cellStyle name="SAPBEXHLevel2 2 2 11" xfId="38319"/>
    <cellStyle name="SAPBEXHLevel2 2 2 12" xfId="38320"/>
    <cellStyle name="SAPBEXHLevel2 2 2 13" xfId="38321"/>
    <cellStyle name="SAPBEXHLevel2 2 2 14" xfId="38322"/>
    <cellStyle name="SAPBEXHLevel2 2 2 15" xfId="38323"/>
    <cellStyle name="SAPBEXHLevel2 2 2 16" xfId="38324"/>
    <cellStyle name="SAPBEXHLevel2 2 2 17" xfId="38325"/>
    <cellStyle name="SAPBEXHLevel2 2 2 18" xfId="38326"/>
    <cellStyle name="SAPBEXHLevel2 2 2 2" xfId="38327"/>
    <cellStyle name="SAPBEXHLevel2 2 2 2 2" xfId="38328"/>
    <cellStyle name="SAPBEXHLevel2 2 2 2 2 2" xfId="38329"/>
    <cellStyle name="SAPBEXHLevel2 2 2 2 3" xfId="38330"/>
    <cellStyle name="SAPBEXHLevel2 2 2 2 4" xfId="38331"/>
    <cellStyle name="SAPBEXHLevel2 2 2 3" xfId="38332"/>
    <cellStyle name="SAPBEXHLevel2 2 2 3 2" xfId="38333"/>
    <cellStyle name="SAPBEXHLevel2 2 2 3 3" xfId="38334"/>
    <cellStyle name="SAPBEXHLevel2 2 2 4" xfId="38335"/>
    <cellStyle name="SAPBEXHLevel2 2 2 4 2" xfId="38336"/>
    <cellStyle name="SAPBEXHLevel2 2 2 5" xfId="38337"/>
    <cellStyle name="SAPBEXHLevel2 2 2 6" xfId="38338"/>
    <cellStyle name="SAPBEXHLevel2 2 2 7" xfId="38339"/>
    <cellStyle name="SAPBEXHLevel2 2 2 8" xfId="38340"/>
    <cellStyle name="SAPBEXHLevel2 2 2 9" xfId="38341"/>
    <cellStyle name="SAPBEXHLevel2 2 20" xfId="38342"/>
    <cellStyle name="SAPBEXHLevel2 2 21" xfId="38343"/>
    <cellStyle name="SAPBEXHLevel2 2 22" xfId="38344"/>
    <cellStyle name="SAPBEXHLevel2 2 23" xfId="38345"/>
    <cellStyle name="SAPBEXHLevel2 2 24" xfId="38346"/>
    <cellStyle name="SAPBEXHLevel2 2 25" xfId="38347"/>
    <cellStyle name="SAPBEXHLevel2 2 3" xfId="38348"/>
    <cellStyle name="SAPBEXHLevel2 2 3 10" xfId="38349"/>
    <cellStyle name="SAPBEXHLevel2 2 3 11" xfId="38350"/>
    <cellStyle name="SAPBEXHLevel2 2 3 12" xfId="38351"/>
    <cellStyle name="SAPBEXHLevel2 2 3 13" xfId="38352"/>
    <cellStyle name="SAPBEXHLevel2 2 3 14" xfId="38353"/>
    <cellStyle name="SAPBEXHLevel2 2 3 15" xfId="38354"/>
    <cellStyle name="SAPBEXHLevel2 2 3 16" xfId="38355"/>
    <cellStyle name="SAPBEXHLevel2 2 3 17" xfId="38356"/>
    <cellStyle name="SAPBEXHLevel2 2 3 18" xfId="38357"/>
    <cellStyle name="SAPBEXHLevel2 2 3 2" xfId="38358"/>
    <cellStyle name="SAPBEXHLevel2 2 3 2 2" xfId="38359"/>
    <cellStyle name="SAPBEXHLevel2 2 3 2 2 2" xfId="38360"/>
    <cellStyle name="SAPBEXHLevel2 2 3 2 3" xfId="38361"/>
    <cellStyle name="SAPBEXHLevel2 2 3 2 4" xfId="38362"/>
    <cellStyle name="SAPBEXHLevel2 2 3 3" xfId="38363"/>
    <cellStyle name="SAPBEXHLevel2 2 3 3 2" xfId="38364"/>
    <cellStyle name="SAPBEXHLevel2 2 3 3 3" xfId="38365"/>
    <cellStyle name="SAPBEXHLevel2 2 3 4" xfId="38366"/>
    <cellStyle name="SAPBEXHLevel2 2 3 4 2" xfId="38367"/>
    <cellStyle name="SAPBEXHLevel2 2 3 5" xfId="38368"/>
    <cellStyle name="SAPBEXHLevel2 2 3 6" xfId="38369"/>
    <cellStyle name="SAPBEXHLevel2 2 3 7" xfId="38370"/>
    <cellStyle name="SAPBEXHLevel2 2 3 8" xfId="38371"/>
    <cellStyle name="SAPBEXHLevel2 2 3 9" xfId="38372"/>
    <cellStyle name="SAPBEXHLevel2 2 4" xfId="38373"/>
    <cellStyle name="SAPBEXHLevel2 2 4 2" xfId="38374"/>
    <cellStyle name="SAPBEXHLevel2 2 4 2 2" xfId="38375"/>
    <cellStyle name="SAPBEXHLevel2 2 4 2 3" xfId="38376"/>
    <cellStyle name="SAPBEXHLevel2 2 4 3" xfId="38377"/>
    <cellStyle name="SAPBEXHLevel2 2 4 3 2" xfId="38378"/>
    <cellStyle name="SAPBEXHLevel2 2 4 4" xfId="38379"/>
    <cellStyle name="SAPBEXHLevel2 2 4 5" xfId="38380"/>
    <cellStyle name="SAPBEXHLevel2 2 5" xfId="38381"/>
    <cellStyle name="SAPBEXHLevel2 2 5 2" xfId="38382"/>
    <cellStyle name="SAPBEXHLevel2 2 5 2 2" xfId="38383"/>
    <cellStyle name="SAPBEXHLevel2 2 5 3" xfId="38384"/>
    <cellStyle name="SAPBEXHLevel2 2 5 4" xfId="38385"/>
    <cellStyle name="SAPBEXHLevel2 2 6" xfId="38386"/>
    <cellStyle name="SAPBEXHLevel2 2 6 2" xfId="38387"/>
    <cellStyle name="SAPBEXHLevel2 2 6 3" xfId="38388"/>
    <cellStyle name="SAPBEXHLevel2 2 7" xfId="38389"/>
    <cellStyle name="SAPBEXHLevel2 2 7 2" xfId="38390"/>
    <cellStyle name="SAPBEXHLevel2 2 8" xfId="38391"/>
    <cellStyle name="SAPBEXHLevel2 2 9" xfId="38392"/>
    <cellStyle name="SAPBEXHLevel2 20" xfId="38393"/>
    <cellStyle name="SAPBEXHLevel2 3" xfId="38394"/>
    <cellStyle name="SAPBEXHLevel2 3 10" xfId="38395"/>
    <cellStyle name="SAPBEXHLevel2 3 11" xfId="38396"/>
    <cellStyle name="SAPBEXHLevel2 3 12" xfId="38397"/>
    <cellStyle name="SAPBEXHLevel2 3 13" xfId="38398"/>
    <cellStyle name="SAPBEXHLevel2 3 14" xfId="38399"/>
    <cellStyle name="SAPBEXHLevel2 3 15" xfId="38400"/>
    <cellStyle name="SAPBEXHLevel2 3 16" xfId="38401"/>
    <cellStyle name="SAPBEXHLevel2 3 17" xfId="38402"/>
    <cellStyle name="SAPBEXHLevel2 3 18" xfId="38403"/>
    <cellStyle name="SAPBEXHLevel2 3 19" xfId="38404"/>
    <cellStyle name="SAPBEXHLevel2 3 2" xfId="38405"/>
    <cellStyle name="SAPBEXHLevel2 3 2 10" xfId="38406"/>
    <cellStyle name="SAPBEXHLevel2 3 2 11" xfId="38407"/>
    <cellStyle name="SAPBEXHLevel2 3 2 12" xfId="38408"/>
    <cellStyle name="SAPBEXHLevel2 3 2 13" xfId="38409"/>
    <cellStyle name="SAPBEXHLevel2 3 2 14" xfId="38410"/>
    <cellStyle name="SAPBEXHLevel2 3 2 15" xfId="38411"/>
    <cellStyle name="SAPBEXHLevel2 3 2 16" xfId="38412"/>
    <cellStyle name="SAPBEXHLevel2 3 2 17" xfId="38413"/>
    <cellStyle name="SAPBEXHLevel2 3 2 18" xfId="38414"/>
    <cellStyle name="SAPBEXHLevel2 3 2 2" xfId="38415"/>
    <cellStyle name="SAPBEXHLevel2 3 2 2 2" xfId="38416"/>
    <cellStyle name="SAPBEXHLevel2 3 2 2 2 2" xfId="38417"/>
    <cellStyle name="SAPBEXHLevel2 3 2 2 3" xfId="38418"/>
    <cellStyle name="SAPBEXHLevel2 3 2 2 4" xfId="38419"/>
    <cellStyle name="SAPBEXHLevel2 3 2 3" xfId="38420"/>
    <cellStyle name="SAPBEXHLevel2 3 2 3 2" xfId="38421"/>
    <cellStyle name="SAPBEXHLevel2 3 2 3 3" xfId="38422"/>
    <cellStyle name="SAPBEXHLevel2 3 2 4" xfId="38423"/>
    <cellStyle name="SAPBEXHLevel2 3 2 4 2" xfId="38424"/>
    <cellStyle name="SAPBEXHLevel2 3 2 5" xfId="38425"/>
    <cellStyle name="SAPBEXHLevel2 3 2 6" xfId="38426"/>
    <cellStyle name="SAPBEXHLevel2 3 2 7" xfId="38427"/>
    <cellStyle name="SAPBEXHLevel2 3 2 8" xfId="38428"/>
    <cellStyle name="SAPBEXHLevel2 3 2 9" xfId="38429"/>
    <cellStyle name="SAPBEXHLevel2 3 20" xfId="38430"/>
    <cellStyle name="SAPBEXHLevel2 3 3" xfId="38431"/>
    <cellStyle name="SAPBEXHLevel2 3 3 10" xfId="38432"/>
    <cellStyle name="SAPBEXHLevel2 3 3 11" xfId="38433"/>
    <cellStyle name="SAPBEXHLevel2 3 3 12" xfId="38434"/>
    <cellStyle name="SAPBEXHLevel2 3 3 13" xfId="38435"/>
    <cellStyle name="SAPBEXHLevel2 3 3 14" xfId="38436"/>
    <cellStyle name="SAPBEXHLevel2 3 3 15" xfId="38437"/>
    <cellStyle name="SAPBEXHLevel2 3 3 16" xfId="38438"/>
    <cellStyle name="SAPBEXHLevel2 3 3 17" xfId="38439"/>
    <cellStyle name="SAPBEXHLevel2 3 3 18" xfId="38440"/>
    <cellStyle name="SAPBEXHLevel2 3 3 2" xfId="38441"/>
    <cellStyle name="SAPBEXHLevel2 3 3 2 2" xfId="38442"/>
    <cellStyle name="SAPBEXHLevel2 3 3 2 2 2" xfId="38443"/>
    <cellStyle name="SAPBEXHLevel2 3 3 2 3" xfId="38444"/>
    <cellStyle name="SAPBEXHLevel2 3 3 2 4" xfId="38445"/>
    <cellStyle name="SAPBEXHLevel2 3 3 3" xfId="38446"/>
    <cellStyle name="SAPBEXHLevel2 3 3 3 2" xfId="38447"/>
    <cellStyle name="SAPBEXHLevel2 3 3 3 3" xfId="38448"/>
    <cellStyle name="SAPBEXHLevel2 3 3 4" xfId="38449"/>
    <cellStyle name="SAPBEXHLevel2 3 3 4 2" xfId="38450"/>
    <cellStyle name="SAPBEXHLevel2 3 3 5" xfId="38451"/>
    <cellStyle name="SAPBEXHLevel2 3 3 6" xfId="38452"/>
    <cellStyle name="SAPBEXHLevel2 3 3 7" xfId="38453"/>
    <cellStyle name="SAPBEXHLevel2 3 3 8" xfId="38454"/>
    <cellStyle name="SAPBEXHLevel2 3 3 9" xfId="38455"/>
    <cellStyle name="SAPBEXHLevel2 3 4" xfId="38456"/>
    <cellStyle name="SAPBEXHLevel2 3 4 2" xfId="38457"/>
    <cellStyle name="SAPBEXHLevel2 3 4 2 2" xfId="38458"/>
    <cellStyle name="SAPBEXHLevel2 3 4 2 3" xfId="38459"/>
    <cellStyle name="SAPBEXHLevel2 3 4 3" xfId="38460"/>
    <cellStyle name="SAPBEXHLevel2 3 4 3 2" xfId="38461"/>
    <cellStyle name="SAPBEXHLevel2 3 4 4" xfId="38462"/>
    <cellStyle name="SAPBEXHLevel2 3 4 5" xfId="38463"/>
    <cellStyle name="SAPBEXHLevel2 3 5" xfId="38464"/>
    <cellStyle name="SAPBEXHLevel2 3 5 2" xfId="38465"/>
    <cellStyle name="SAPBEXHLevel2 3 5 2 2" xfId="38466"/>
    <cellStyle name="SAPBEXHLevel2 3 5 3" xfId="38467"/>
    <cellStyle name="SAPBEXHLevel2 3 5 4" xfId="38468"/>
    <cellStyle name="SAPBEXHLevel2 3 6" xfId="38469"/>
    <cellStyle name="SAPBEXHLevel2 3 6 2" xfId="38470"/>
    <cellStyle name="SAPBEXHLevel2 3 6 3" xfId="38471"/>
    <cellStyle name="SAPBEXHLevel2 3 7" xfId="38472"/>
    <cellStyle name="SAPBEXHLevel2 3 7 2" xfId="38473"/>
    <cellStyle name="SAPBEXHLevel2 3 8" xfId="38474"/>
    <cellStyle name="SAPBEXHLevel2 3 9" xfId="38475"/>
    <cellStyle name="SAPBEXHLevel2 4" xfId="38476"/>
    <cellStyle name="SAPBEXHLevel2 4 10" xfId="38477"/>
    <cellStyle name="SAPBEXHLevel2 4 11" xfId="38478"/>
    <cellStyle name="SAPBEXHLevel2 4 12" xfId="38479"/>
    <cellStyle name="SAPBEXHLevel2 4 13" xfId="38480"/>
    <cellStyle name="SAPBEXHLevel2 4 14" xfId="38481"/>
    <cellStyle name="SAPBEXHLevel2 4 15" xfId="38482"/>
    <cellStyle name="SAPBEXHLevel2 4 16" xfId="38483"/>
    <cellStyle name="SAPBEXHLevel2 4 17" xfId="38484"/>
    <cellStyle name="SAPBEXHLevel2 4 18" xfId="38485"/>
    <cellStyle name="SAPBEXHLevel2 4 19" xfId="38486"/>
    <cellStyle name="SAPBEXHLevel2 4 2" xfId="38487"/>
    <cellStyle name="SAPBEXHLevel2 4 2 10" xfId="38488"/>
    <cellStyle name="SAPBEXHLevel2 4 2 11" xfId="38489"/>
    <cellStyle name="SAPBEXHLevel2 4 2 12" xfId="38490"/>
    <cellStyle name="SAPBEXHLevel2 4 2 13" xfId="38491"/>
    <cellStyle name="SAPBEXHLevel2 4 2 14" xfId="38492"/>
    <cellStyle name="SAPBEXHLevel2 4 2 15" xfId="38493"/>
    <cellStyle name="SAPBEXHLevel2 4 2 16" xfId="38494"/>
    <cellStyle name="SAPBEXHLevel2 4 2 17" xfId="38495"/>
    <cellStyle name="SAPBEXHLevel2 4 2 18" xfId="38496"/>
    <cellStyle name="SAPBEXHLevel2 4 2 2" xfId="38497"/>
    <cellStyle name="SAPBEXHLevel2 4 2 2 2" xfId="38498"/>
    <cellStyle name="SAPBEXHLevel2 4 2 2 2 2" xfId="38499"/>
    <cellStyle name="SAPBEXHLevel2 4 2 2 3" xfId="38500"/>
    <cellStyle name="SAPBEXHLevel2 4 2 2 4" xfId="38501"/>
    <cellStyle name="SAPBEXHLevel2 4 2 3" xfId="38502"/>
    <cellStyle name="SAPBEXHLevel2 4 2 3 2" xfId="38503"/>
    <cellStyle name="SAPBEXHLevel2 4 2 3 3" xfId="38504"/>
    <cellStyle name="SAPBEXHLevel2 4 2 4" xfId="38505"/>
    <cellStyle name="SAPBEXHLevel2 4 2 4 2" xfId="38506"/>
    <cellStyle name="SAPBEXHLevel2 4 2 5" xfId="38507"/>
    <cellStyle name="SAPBEXHLevel2 4 2 6" xfId="38508"/>
    <cellStyle name="SAPBEXHLevel2 4 2 7" xfId="38509"/>
    <cellStyle name="SAPBEXHLevel2 4 2 8" xfId="38510"/>
    <cellStyle name="SAPBEXHLevel2 4 2 9" xfId="38511"/>
    <cellStyle name="SAPBEXHLevel2 4 20" xfId="38512"/>
    <cellStyle name="SAPBEXHLevel2 4 21" xfId="38513"/>
    <cellStyle name="SAPBEXHLevel2 4 22" xfId="38514"/>
    <cellStyle name="SAPBEXHLevel2 4 3" xfId="38515"/>
    <cellStyle name="SAPBEXHLevel2 4 3 10" xfId="38516"/>
    <cellStyle name="SAPBEXHLevel2 4 3 11" xfId="38517"/>
    <cellStyle name="SAPBEXHLevel2 4 3 12" xfId="38518"/>
    <cellStyle name="SAPBEXHLevel2 4 3 13" xfId="38519"/>
    <cellStyle name="SAPBEXHLevel2 4 3 14" xfId="38520"/>
    <cellStyle name="SAPBEXHLevel2 4 3 15" xfId="38521"/>
    <cellStyle name="SAPBEXHLevel2 4 3 16" xfId="38522"/>
    <cellStyle name="SAPBEXHLevel2 4 3 17" xfId="38523"/>
    <cellStyle name="SAPBEXHLevel2 4 3 18" xfId="38524"/>
    <cellStyle name="SAPBEXHLevel2 4 3 2" xfId="38525"/>
    <cellStyle name="SAPBEXHLevel2 4 3 2 2" xfId="38526"/>
    <cellStyle name="SAPBEXHLevel2 4 3 2 2 2" xfId="38527"/>
    <cellStyle name="SAPBEXHLevel2 4 3 2 3" xfId="38528"/>
    <cellStyle name="SAPBEXHLevel2 4 3 2 4" xfId="38529"/>
    <cellStyle name="SAPBEXHLevel2 4 3 3" xfId="38530"/>
    <cellStyle name="SAPBEXHLevel2 4 3 3 2" xfId="38531"/>
    <cellStyle name="SAPBEXHLevel2 4 3 3 3" xfId="38532"/>
    <cellStyle name="SAPBEXHLevel2 4 3 4" xfId="38533"/>
    <cellStyle name="SAPBEXHLevel2 4 3 4 2" xfId="38534"/>
    <cellStyle name="SAPBEXHLevel2 4 3 5" xfId="38535"/>
    <cellStyle name="SAPBEXHLevel2 4 3 6" xfId="38536"/>
    <cellStyle name="SAPBEXHLevel2 4 3 7" xfId="38537"/>
    <cellStyle name="SAPBEXHLevel2 4 3 8" xfId="38538"/>
    <cellStyle name="SAPBEXHLevel2 4 3 9" xfId="38539"/>
    <cellStyle name="SAPBEXHLevel2 4 4" xfId="38540"/>
    <cellStyle name="SAPBEXHLevel2 4 4 2" xfId="38541"/>
    <cellStyle name="SAPBEXHLevel2 4 4 2 2" xfId="38542"/>
    <cellStyle name="SAPBEXHLevel2 4 4 2 3" xfId="38543"/>
    <cellStyle name="SAPBEXHLevel2 4 4 3" xfId="38544"/>
    <cellStyle name="SAPBEXHLevel2 4 4 3 2" xfId="38545"/>
    <cellStyle name="SAPBEXHLevel2 4 4 4" xfId="38546"/>
    <cellStyle name="SAPBEXHLevel2 4 4 5" xfId="38547"/>
    <cellStyle name="SAPBEXHLevel2 4 5" xfId="38548"/>
    <cellStyle name="SAPBEXHLevel2 4 5 2" xfId="38549"/>
    <cellStyle name="SAPBEXHLevel2 4 5 2 2" xfId="38550"/>
    <cellStyle name="SAPBEXHLevel2 4 5 3" xfId="38551"/>
    <cellStyle name="SAPBEXHLevel2 4 5 4" xfId="38552"/>
    <cellStyle name="SAPBEXHLevel2 4 6" xfId="38553"/>
    <cellStyle name="SAPBEXHLevel2 4 6 2" xfId="38554"/>
    <cellStyle name="SAPBEXHLevel2 4 6 3" xfId="38555"/>
    <cellStyle name="SAPBEXHLevel2 4 7" xfId="38556"/>
    <cellStyle name="SAPBEXHLevel2 4 7 2" xfId="38557"/>
    <cellStyle name="SAPBEXHLevel2 4 8" xfId="38558"/>
    <cellStyle name="SAPBEXHLevel2 4 9" xfId="38559"/>
    <cellStyle name="SAPBEXHLevel2 5" xfId="38560"/>
    <cellStyle name="SAPBEXHLevel2 5 10" xfId="38561"/>
    <cellStyle name="SAPBEXHLevel2 5 11" xfId="38562"/>
    <cellStyle name="SAPBEXHLevel2 5 12" xfId="38563"/>
    <cellStyle name="SAPBEXHLevel2 5 13" xfId="38564"/>
    <cellStyle name="SAPBEXHLevel2 5 14" xfId="38565"/>
    <cellStyle name="SAPBEXHLevel2 5 15" xfId="38566"/>
    <cellStyle name="SAPBEXHLevel2 5 16" xfId="38567"/>
    <cellStyle name="SAPBEXHLevel2 5 17" xfId="38568"/>
    <cellStyle name="SAPBEXHLevel2 5 18" xfId="38569"/>
    <cellStyle name="SAPBEXHLevel2 5 19" xfId="38570"/>
    <cellStyle name="SAPBEXHLevel2 5 2" xfId="38571"/>
    <cellStyle name="SAPBEXHLevel2 5 2 10" xfId="38572"/>
    <cellStyle name="SAPBEXHLevel2 5 2 11" xfId="38573"/>
    <cellStyle name="SAPBEXHLevel2 5 2 12" xfId="38574"/>
    <cellStyle name="SAPBEXHLevel2 5 2 13" xfId="38575"/>
    <cellStyle name="SAPBEXHLevel2 5 2 14" xfId="38576"/>
    <cellStyle name="SAPBEXHLevel2 5 2 15" xfId="38577"/>
    <cellStyle name="SAPBEXHLevel2 5 2 16" xfId="38578"/>
    <cellStyle name="SAPBEXHLevel2 5 2 17" xfId="38579"/>
    <cellStyle name="SAPBEXHLevel2 5 2 18" xfId="38580"/>
    <cellStyle name="SAPBEXHLevel2 5 2 2" xfId="38581"/>
    <cellStyle name="SAPBEXHLevel2 5 2 2 2" xfId="38582"/>
    <cellStyle name="SAPBEXHLevel2 5 2 2 2 2" xfId="38583"/>
    <cellStyle name="SAPBEXHLevel2 5 2 2 3" xfId="38584"/>
    <cellStyle name="SAPBEXHLevel2 5 2 2 4" xfId="38585"/>
    <cellStyle name="SAPBEXHLevel2 5 2 3" xfId="38586"/>
    <cellStyle name="SAPBEXHLevel2 5 2 3 2" xfId="38587"/>
    <cellStyle name="SAPBEXHLevel2 5 2 3 3" xfId="38588"/>
    <cellStyle name="SAPBEXHLevel2 5 2 4" xfId="38589"/>
    <cellStyle name="SAPBEXHLevel2 5 2 4 2" xfId="38590"/>
    <cellStyle name="SAPBEXHLevel2 5 2 5" xfId="38591"/>
    <cellStyle name="SAPBEXHLevel2 5 2 6" xfId="38592"/>
    <cellStyle name="SAPBEXHLevel2 5 2 7" xfId="38593"/>
    <cellStyle name="SAPBEXHLevel2 5 2 8" xfId="38594"/>
    <cellStyle name="SAPBEXHLevel2 5 2 9" xfId="38595"/>
    <cellStyle name="SAPBEXHLevel2 5 20" xfId="38596"/>
    <cellStyle name="SAPBEXHLevel2 5 21" xfId="38597"/>
    <cellStyle name="SAPBEXHLevel2 5 22" xfId="38598"/>
    <cellStyle name="SAPBEXHLevel2 5 3" xfId="38599"/>
    <cellStyle name="SAPBEXHLevel2 5 3 10" xfId="38600"/>
    <cellStyle name="SAPBEXHLevel2 5 3 11" xfId="38601"/>
    <cellStyle name="SAPBEXHLevel2 5 3 12" xfId="38602"/>
    <cellStyle name="SAPBEXHLevel2 5 3 13" xfId="38603"/>
    <cellStyle name="SAPBEXHLevel2 5 3 14" xfId="38604"/>
    <cellStyle name="SAPBEXHLevel2 5 3 15" xfId="38605"/>
    <cellStyle name="SAPBEXHLevel2 5 3 16" xfId="38606"/>
    <cellStyle name="SAPBEXHLevel2 5 3 17" xfId="38607"/>
    <cellStyle name="SAPBEXHLevel2 5 3 18" xfId="38608"/>
    <cellStyle name="SAPBEXHLevel2 5 3 2" xfId="38609"/>
    <cellStyle name="SAPBEXHLevel2 5 3 2 2" xfId="38610"/>
    <cellStyle name="SAPBEXHLevel2 5 3 2 2 2" xfId="38611"/>
    <cellStyle name="SAPBEXHLevel2 5 3 2 3" xfId="38612"/>
    <cellStyle name="SAPBEXHLevel2 5 3 2 4" xfId="38613"/>
    <cellStyle name="SAPBEXHLevel2 5 3 3" xfId="38614"/>
    <cellStyle name="SAPBEXHLevel2 5 3 3 2" xfId="38615"/>
    <cellStyle name="SAPBEXHLevel2 5 3 3 3" xfId="38616"/>
    <cellStyle name="SAPBEXHLevel2 5 3 4" xfId="38617"/>
    <cellStyle name="SAPBEXHLevel2 5 3 4 2" xfId="38618"/>
    <cellStyle name="SAPBEXHLevel2 5 3 5" xfId="38619"/>
    <cellStyle name="SAPBEXHLevel2 5 3 6" xfId="38620"/>
    <cellStyle name="SAPBEXHLevel2 5 3 7" xfId="38621"/>
    <cellStyle name="SAPBEXHLevel2 5 3 8" xfId="38622"/>
    <cellStyle name="SAPBEXHLevel2 5 3 9" xfId="38623"/>
    <cellStyle name="SAPBEXHLevel2 5 4" xfId="38624"/>
    <cellStyle name="SAPBEXHLevel2 5 4 2" xfId="38625"/>
    <cellStyle name="SAPBEXHLevel2 5 4 2 2" xfId="38626"/>
    <cellStyle name="SAPBEXHLevel2 5 4 2 3" xfId="38627"/>
    <cellStyle name="SAPBEXHLevel2 5 4 3" xfId="38628"/>
    <cellStyle name="SAPBEXHLevel2 5 4 3 2" xfId="38629"/>
    <cellStyle name="SAPBEXHLevel2 5 4 4" xfId="38630"/>
    <cellStyle name="SAPBEXHLevel2 5 4 5" xfId="38631"/>
    <cellStyle name="SAPBEXHLevel2 5 5" xfId="38632"/>
    <cellStyle name="SAPBEXHLevel2 5 5 2" xfId="38633"/>
    <cellStyle name="SAPBEXHLevel2 5 5 2 2" xfId="38634"/>
    <cellStyle name="SAPBEXHLevel2 5 5 3" xfId="38635"/>
    <cellStyle name="SAPBEXHLevel2 5 5 4" xfId="38636"/>
    <cellStyle name="SAPBEXHLevel2 5 6" xfId="38637"/>
    <cellStyle name="SAPBEXHLevel2 5 6 2" xfId="38638"/>
    <cellStyle name="SAPBEXHLevel2 5 6 3" xfId="38639"/>
    <cellStyle name="SAPBEXHLevel2 5 7" xfId="38640"/>
    <cellStyle name="SAPBEXHLevel2 5 7 2" xfId="38641"/>
    <cellStyle name="SAPBEXHLevel2 5 8" xfId="38642"/>
    <cellStyle name="SAPBEXHLevel2 5 9" xfId="38643"/>
    <cellStyle name="SAPBEXHLevel2 6" xfId="38644"/>
    <cellStyle name="SAPBEXHLevel2 6 10" xfId="38645"/>
    <cellStyle name="SAPBEXHLevel2 6 11" xfId="38646"/>
    <cellStyle name="SAPBEXHLevel2 6 12" xfId="38647"/>
    <cellStyle name="SAPBEXHLevel2 6 13" xfId="38648"/>
    <cellStyle name="SAPBEXHLevel2 6 14" xfId="38649"/>
    <cellStyle name="SAPBEXHLevel2 6 15" xfId="38650"/>
    <cellStyle name="SAPBEXHLevel2 6 2" xfId="38651"/>
    <cellStyle name="SAPBEXHLevel2 6 2 10" xfId="38652"/>
    <cellStyle name="SAPBEXHLevel2 6 2 11" xfId="38653"/>
    <cellStyle name="SAPBEXHLevel2 6 2 12" xfId="38654"/>
    <cellStyle name="SAPBEXHLevel2 6 2 13" xfId="38655"/>
    <cellStyle name="SAPBEXHLevel2 6 2 14" xfId="38656"/>
    <cellStyle name="SAPBEXHLevel2 6 2 15" xfId="38657"/>
    <cellStyle name="SAPBEXHLevel2 6 2 16" xfId="38658"/>
    <cellStyle name="SAPBEXHLevel2 6 2 17" xfId="38659"/>
    <cellStyle name="SAPBEXHLevel2 6 2 18" xfId="38660"/>
    <cellStyle name="SAPBEXHLevel2 6 2 2" xfId="38661"/>
    <cellStyle name="SAPBEXHLevel2 6 2 2 2" xfId="38662"/>
    <cellStyle name="SAPBEXHLevel2 6 2 2 2 2" xfId="38663"/>
    <cellStyle name="SAPBEXHLevel2 6 2 2 3" xfId="38664"/>
    <cellStyle name="SAPBEXHLevel2 6 2 2 4" xfId="38665"/>
    <cellStyle name="SAPBEXHLevel2 6 2 3" xfId="38666"/>
    <cellStyle name="SAPBEXHLevel2 6 2 3 2" xfId="38667"/>
    <cellStyle name="SAPBEXHLevel2 6 2 3 3" xfId="38668"/>
    <cellStyle name="SAPBEXHLevel2 6 2 4" xfId="38669"/>
    <cellStyle name="SAPBEXHLevel2 6 2 4 2" xfId="38670"/>
    <cellStyle name="SAPBEXHLevel2 6 2 5" xfId="38671"/>
    <cellStyle name="SAPBEXHLevel2 6 2 6" xfId="38672"/>
    <cellStyle name="SAPBEXHLevel2 6 2 7" xfId="38673"/>
    <cellStyle name="SAPBEXHLevel2 6 2 8" xfId="38674"/>
    <cellStyle name="SAPBEXHLevel2 6 2 9" xfId="38675"/>
    <cellStyle name="SAPBEXHLevel2 6 3" xfId="38676"/>
    <cellStyle name="SAPBEXHLevel2 6 3 10" xfId="38677"/>
    <cellStyle name="SAPBEXHLevel2 6 3 11" xfId="38678"/>
    <cellStyle name="SAPBEXHLevel2 6 3 12" xfId="38679"/>
    <cellStyle name="SAPBEXHLevel2 6 3 13" xfId="38680"/>
    <cellStyle name="SAPBEXHLevel2 6 3 14" xfId="38681"/>
    <cellStyle name="SAPBEXHLevel2 6 3 15" xfId="38682"/>
    <cellStyle name="SAPBEXHLevel2 6 3 16" xfId="38683"/>
    <cellStyle name="SAPBEXHLevel2 6 3 17" xfId="38684"/>
    <cellStyle name="SAPBEXHLevel2 6 3 18" xfId="38685"/>
    <cellStyle name="SAPBEXHLevel2 6 3 2" xfId="38686"/>
    <cellStyle name="SAPBEXHLevel2 6 3 2 2" xfId="38687"/>
    <cellStyle name="SAPBEXHLevel2 6 3 2 2 2" xfId="38688"/>
    <cellStyle name="SAPBEXHLevel2 6 3 2 3" xfId="38689"/>
    <cellStyle name="SAPBEXHLevel2 6 3 2 4" xfId="38690"/>
    <cellStyle name="SAPBEXHLevel2 6 3 3" xfId="38691"/>
    <cellStyle name="SAPBEXHLevel2 6 3 3 2" xfId="38692"/>
    <cellStyle name="SAPBEXHLevel2 6 3 3 3" xfId="38693"/>
    <cellStyle name="SAPBEXHLevel2 6 3 4" xfId="38694"/>
    <cellStyle name="SAPBEXHLevel2 6 3 4 2" xfId="38695"/>
    <cellStyle name="SAPBEXHLevel2 6 3 5" xfId="38696"/>
    <cellStyle name="SAPBEXHLevel2 6 3 6" xfId="38697"/>
    <cellStyle name="SAPBEXHLevel2 6 3 7" xfId="38698"/>
    <cellStyle name="SAPBEXHLevel2 6 3 8" xfId="38699"/>
    <cellStyle name="SAPBEXHLevel2 6 3 9" xfId="38700"/>
    <cellStyle name="SAPBEXHLevel2 6 4" xfId="38701"/>
    <cellStyle name="SAPBEXHLevel2 6 4 2" xfId="38702"/>
    <cellStyle name="SAPBEXHLevel2 6 4 2 2" xfId="38703"/>
    <cellStyle name="SAPBEXHLevel2 6 4 3" xfId="38704"/>
    <cellStyle name="SAPBEXHLevel2 6 4 4" xfId="38705"/>
    <cellStyle name="SAPBEXHLevel2 6 5" xfId="38706"/>
    <cellStyle name="SAPBEXHLevel2 6 5 2" xfId="38707"/>
    <cellStyle name="SAPBEXHLevel2 6 6" xfId="38708"/>
    <cellStyle name="SAPBEXHLevel2 6 7" xfId="38709"/>
    <cellStyle name="SAPBEXHLevel2 6 8" xfId="38710"/>
    <cellStyle name="SAPBEXHLevel2 6 9" xfId="38711"/>
    <cellStyle name="SAPBEXHLevel2 7" xfId="38712"/>
    <cellStyle name="SAPBEXHLevel2 7 10" xfId="38713"/>
    <cellStyle name="SAPBEXHLevel2 7 11" xfId="38714"/>
    <cellStyle name="SAPBEXHLevel2 7 12" xfId="38715"/>
    <cellStyle name="SAPBEXHLevel2 7 13" xfId="38716"/>
    <cellStyle name="SAPBEXHLevel2 7 14" xfId="38717"/>
    <cellStyle name="SAPBEXHLevel2 7 15" xfId="38718"/>
    <cellStyle name="SAPBEXHLevel2 7 16" xfId="38719"/>
    <cellStyle name="SAPBEXHLevel2 7 17" xfId="38720"/>
    <cellStyle name="SAPBEXHLevel2 7 18" xfId="38721"/>
    <cellStyle name="SAPBEXHLevel2 7 2" xfId="38722"/>
    <cellStyle name="SAPBEXHLevel2 7 3" xfId="38723"/>
    <cellStyle name="SAPBEXHLevel2 7 4" xfId="38724"/>
    <cellStyle name="SAPBEXHLevel2 7 5" xfId="38725"/>
    <cellStyle name="SAPBEXHLevel2 7 6" xfId="38726"/>
    <cellStyle name="SAPBEXHLevel2 7 7" xfId="38727"/>
    <cellStyle name="SAPBEXHLevel2 7 8" xfId="38728"/>
    <cellStyle name="SAPBEXHLevel2 7 9" xfId="38729"/>
    <cellStyle name="SAPBEXHLevel2 8" xfId="38730"/>
    <cellStyle name="SAPBEXHLevel2 9" xfId="38731"/>
    <cellStyle name="SAPBEXHLevel2_Приложение_1_к_7-у-о_2009_Кв_1_ФСТ" xfId="38732"/>
    <cellStyle name="SAPBEXHLevel2X" xfId="38733"/>
    <cellStyle name="SAPBEXHLevel2X 10" xfId="38734"/>
    <cellStyle name="SAPBEXHLevel2X 11" xfId="38735"/>
    <cellStyle name="SAPBEXHLevel2X 12" xfId="38736"/>
    <cellStyle name="SAPBEXHLevel2X 13" xfId="38737"/>
    <cellStyle name="SAPBEXHLevel2X 14" xfId="38738"/>
    <cellStyle name="SAPBEXHLevel2X 15" xfId="38739"/>
    <cellStyle name="SAPBEXHLevel2X 16" xfId="38740"/>
    <cellStyle name="SAPBEXHLevel2X 17" xfId="38741"/>
    <cellStyle name="SAPBEXHLevel2X 18" xfId="38742"/>
    <cellStyle name="SAPBEXHLevel2X 19" xfId="38743"/>
    <cellStyle name="SAPBEXHLevel2X 2" xfId="38744"/>
    <cellStyle name="SAPBEXHLevel2X 2 10" xfId="38745"/>
    <cellStyle name="SAPBEXHLevel2X 2 11" xfId="38746"/>
    <cellStyle name="SAPBEXHLevel2X 2 12" xfId="38747"/>
    <cellStyle name="SAPBEXHLevel2X 2 13" xfId="38748"/>
    <cellStyle name="SAPBEXHLevel2X 2 14" xfId="38749"/>
    <cellStyle name="SAPBEXHLevel2X 2 15" xfId="38750"/>
    <cellStyle name="SAPBEXHLevel2X 2 16" xfId="38751"/>
    <cellStyle name="SAPBEXHLevel2X 2 17" xfId="38752"/>
    <cellStyle name="SAPBEXHLevel2X 2 18" xfId="38753"/>
    <cellStyle name="SAPBEXHLevel2X 2 19" xfId="38754"/>
    <cellStyle name="SAPBEXHLevel2X 2 2" xfId="38755"/>
    <cellStyle name="SAPBEXHLevel2X 2 2 10" xfId="38756"/>
    <cellStyle name="SAPBEXHLevel2X 2 2 11" xfId="38757"/>
    <cellStyle name="SAPBEXHLevel2X 2 2 12" xfId="38758"/>
    <cellStyle name="SAPBEXHLevel2X 2 2 13" xfId="38759"/>
    <cellStyle name="SAPBEXHLevel2X 2 2 14" xfId="38760"/>
    <cellStyle name="SAPBEXHLevel2X 2 2 15" xfId="38761"/>
    <cellStyle name="SAPBEXHLevel2X 2 2 16" xfId="38762"/>
    <cellStyle name="SAPBEXHLevel2X 2 2 17" xfId="38763"/>
    <cellStyle name="SAPBEXHLevel2X 2 2 18" xfId="38764"/>
    <cellStyle name="SAPBEXHLevel2X 2 2 2" xfId="38765"/>
    <cellStyle name="SAPBEXHLevel2X 2 2 2 2" xfId="38766"/>
    <cellStyle name="SAPBEXHLevel2X 2 2 2 2 2" xfId="38767"/>
    <cellStyle name="SAPBEXHLevel2X 2 2 2 3" xfId="38768"/>
    <cellStyle name="SAPBEXHLevel2X 2 2 2 4" xfId="38769"/>
    <cellStyle name="SAPBEXHLevel2X 2 2 3" xfId="38770"/>
    <cellStyle name="SAPBEXHLevel2X 2 2 3 2" xfId="38771"/>
    <cellStyle name="SAPBEXHLevel2X 2 2 3 3" xfId="38772"/>
    <cellStyle name="SAPBEXHLevel2X 2 2 4" xfId="38773"/>
    <cellStyle name="SAPBEXHLevel2X 2 2 4 2" xfId="38774"/>
    <cellStyle name="SAPBEXHLevel2X 2 2 5" xfId="38775"/>
    <cellStyle name="SAPBEXHLevel2X 2 2 6" xfId="38776"/>
    <cellStyle name="SAPBEXHLevel2X 2 2 7" xfId="38777"/>
    <cellStyle name="SAPBEXHLevel2X 2 2 8" xfId="38778"/>
    <cellStyle name="SAPBEXHLevel2X 2 2 9" xfId="38779"/>
    <cellStyle name="SAPBEXHLevel2X 2 20" xfId="38780"/>
    <cellStyle name="SAPBEXHLevel2X 2 21" xfId="38781"/>
    <cellStyle name="SAPBEXHLevel2X 2 22" xfId="38782"/>
    <cellStyle name="SAPBEXHLevel2X 2 23" xfId="38783"/>
    <cellStyle name="SAPBEXHLevel2X 2 24" xfId="38784"/>
    <cellStyle name="SAPBEXHLevel2X 2 25" xfId="38785"/>
    <cellStyle name="SAPBEXHLevel2X 2 3" xfId="38786"/>
    <cellStyle name="SAPBEXHLevel2X 2 3 10" xfId="38787"/>
    <cellStyle name="SAPBEXHLevel2X 2 3 11" xfId="38788"/>
    <cellStyle name="SAPBEXHLevel2X 2 3 12" xfId="38789"/>
    <cellStyle name="SAPBEXHLevel2X 2 3 13" xfId="38790"/>
    <cellStyle name="SAPBEXHLevel2X 2 3 14" xfId="38791"/>
    <cellStyle name="SAPBEXHLevel2X 2 3 15" xfId="38792"/>
    <cellStyle name="SAPBEXHLevel2X 2 3 16" xfId="38793"/>
    <cellStyle name="SAPBEXHLevel2X 2 3 17" xfId="38794"/>
    <cellStyle name="SAPBEXHLevel2X 2 3 18" xfId="38795"/>
    <cellStyle name="SAPBEXHLevel2X 2 3 2" xfId="38796"/>
    <cellStyle name="SAPBEXHLevel2X 2 3 2 2" xfId="38797"/>
    <cellStyle name="SAPBEXHLevel2X 2 3 2 2 2" xfId="38798"/>
    <cellStyle name="SAPBEXHLevel2X 2 3 2 3" xfId="38799"/>
    <cellStyle name="SAPBEXHLevel2X 2 3 2 4" xfId="38800"/>
    <cellStyle name="SAPBEXHLevel2X 2 3 3" xfId="38801"/>
    <cellStyle name="SAPBEXHLevel2X 2 3 3 2" xfId="38802"/>
    <cellStyle name="SAPBEXHLevel2X 2 3 3 3" xfId="38803"/>
    <cellStyle name="SAPBEXHLevel2X 2 3 4" xfId="38804"/>
    <cellStyle name="SAPBEXHLevel2X 2 3 4 2" xfId="38805"/>
    <cellStyle name="SAPBEXHLevel2X 2 3 5" xfId="38806"/>
    <cellStyle name="SAPBEXHLevel2X 2 3 6" xfId="38807"/>
    <cellStyle name="SAPBEXHLevel2X 2 3 7" xfId="38808"/>
    <cellStyle name="SAPBEXHLevel2X 2 3 8" xfId="38809"/>
    <cellStyle name="SAPBEXHLevel2X 2 3 9" xfId="38810"/>
    <cellStyle name="SAPBEXHLevel2X 2 4" xfId="38811"/>
    <cellStyle name="SAPBEXHLevel2X 2 4 2" xfId="38812"/>
    <cellStyle name="SAPBEXHLevel2X 2 4 2 2" xfId="38813"/>
    <cellStyle name="SAPBEXHLevel2X 2 4 2 3" xfId="38814"/>
    <cellStyle name="SAPBEXHLevel2X 2 4 3" xfId="38815"/>
    <cellStyle name="SAPBEXHLevel2X 2 4 3 2" xfId="38816"/>
    <cellStyle name="SAPBEXHLevel2X 2 4 4" xfId="38817"/>
    <cellStyle name="SAPBEXHLevel2X 2 4 5" xfId="38818"/>
    <cellStyle name="SAPBEXHLevel2X 2 5" xfId="38819"/>
    <cellStyle name="SAPBEXHLevel2X 2 5 2" xfId="38820"/>
    <cellStyle name="SAPBEXHLevel2X 2 5 2 2" xfId="38821"/>
    <cellStyle name="SAPBEXHLevel2X 2 5 3" xfId="38822"/>
    <cellStyle name="SAPBEXHLevel2X 2 5 4" xfId="38823"/>
    <cellStyle name="SAPBEXHLevel2X 2 6" xfId="38824"/>
    <cellStyle name="SAPBEXHLevel2X 2 6 2" xfId="38825"/>
    <cellStyle name="SAPBEXHLevel2X 2 6 3" xfId="38826"/>
    <cellStyle name="SAPBEXHLevel2X 2 7" xfId="38827"/>
    <cellStyle name="SAPBEXHLevel2X 2 7 2" xfId="38828"/>
    <cellStyle name="SAPBEXHLevel2X 2 8" xfId="38829"/>
    <cellStyle name="SAPBEXHLevel2X 2 9" xfId="38830"/>
    <cellStyle name="SAPBEXHLevel2X 20" xfId="38831"/>
    <cellStyle name="SAPBEXHLevel2X 3" xfId="38832"/>
    <cellStyle name="SAPBEXHLevel2X 3 10" xfId="38833"/>
    <cellStyle name="SAPBEXHLevel2X 3 11" xfId="38834"/>
    <cellStyle name="SAPBEXHLevel2X 3 12" xfId="38835"/>
    <cellStyle name="SAPBEXHLevel2X 3 13" xfId="38836"/>
    <cellStyle name="SAPBEXHLevel2X 3 14" xfId="38837"/>
    <cellStyle name="SAPBEXHLevel2X 3 15" xfId="38838"/>
    <cellStyle name="SAPBEXHLevel2X 3 16" xfId="38839"/>
    <cellStyle name="SAPBEXHLevel2X 3 17" xfId="38840"/>
    <cellStyle name="SAPBEXHLevel2X 3 18" xfId="38841"/>
    <cellStyle name="SAPBEXHLevel2X 3 19" xfId="38842"/>
    <cellStyle name="SAPBEXHLevel2X 3 2" xfId="38843"/>
    <cellStyle name="SAPBEXHLevel2X 3 2 10" xfId="38844"/>
    <cellStyle name="SAPBEXHLevel2X 3 2 11" xfId="38845"/>
    <cellStyle name="SAPBEXHLevel2X 3 2 12" xfId="38846"/>
    <cellStyle name="SAPBEXHLevel2X 3 2 13" xfId="38847"/>
    <cellStyle name="SAPBEXHLevel2X 3 2 14" xfId="38848"/>
    <cellStyle name="SAPBEXHLevel2X 3 2 15" xfId="38849"/>
    <cellStyle name="SAPBEXHLevel2X 3 2 16" xfId="38850"/>
    <cellStyle name="SAPBEXHLevel2X 3 2 17" xfId="38851"/>
    <cellStyle name="SAPBEXHLevel2X 3 2 18" xfId="38852"/>
    <cellStyle name="SAPBEXHLevel2X 3 2 2" xfId="38853"/>
    <cellStyle name="SAPBEXHLevel2X 3 2 2 2" xfId="38854"/>
    <cellStyle name="SAPBEXHLevel2X 3 2 2 2 2" xfId="38855"/>
    <cellStyle name="SAPBEXHLevel2X 3 2 2 3" xfId="38856"/>
    <cellStyle name="SAPBEXHLevel2X 3 2 2 4" xfId="38857"/>
    <cellStyle name="SAPBEXHLevel2X 3 2 3" xfId="38858"/>
    <cellStyle name="SAPBEXHLevel2X 3 2 3 2" xfId="38859"/>
    <cellStyle name="SAPBEXHLevel2X 3 2 3 3" xfId="38860"/>
    <cellStyle name="SAPBEXHLevel2X 3 2 4" xfId="38861"/>
    <cellStyle name="SAPBEXHLevel2X 3 2 4 2" xfId="38862"/>
    <cellStyle name="SAPBEXHLevel2X 3 2 5" xfId="38863"/>
    <cellStyle name="SAPBEXHLevel2X 3 2 6" xfId="38864"/>
    <cellStyle name="SAPBEXHLevel2X 3 2 7" xfId="38865"/>
    <cellStyle name="SAPBEXHLevel2X 3 2 8" xfId="38866"/>
    <cellStyle name="SAPBEXHLevel2X 3 2 9" xfId="38867"/>
    <cellStyle name="SAPBEXHLevel2X 3 20" xfId="38868"/>
    <cellStyle name="SAPBEXHLevel2X 3 3" xfId="38869"/>
    <cellStyle name="SAPBEXHLevel2X 3 3 10" xfId="38870"/>
    <cellStyle name="SAPBEXHLevel2X 3 3 11" xfId="38871"/>
    <cellStyle name="SAPBEXHLevel2X 3 3 12" xfId="38872"/>
    <cellStyle name="SAPBEXHLevel2X 3 3 13" xfId="38873"/>
    <cellStyle name="SAPBEXHLevel2X 3 3 14" xfId="38874"/>
    <cellStyle name="SAPBEXHLevel2X 3 3 15" xfId="38875"/>
    <cellStyle name="SAPBEXHLevel2X 3 3 16" xfId="38876"/>
    <cellStyle name="SAPBEXHLevel2X 3 3 17" xfId="38877"/>
    <cellStyle name="SAPBEXHLevel2X 3 3 18" xfId="38878"/>
    <cellStyle name="SAPBEXHLevel2X 3 3 2" xfId="38879"/>
    <cellStyle name="SAPBEXHLevel2X 3 3 2 2" xfId="38880"/>
    <cellStyle name="SAPBEXHLevel2X 3 3 2 2 2" xfId="38881"/>
    <cellStyle name="SAPBEXHLevel2X 3 3 2 3" xfId="38882"/>
    <cellStyle name="SAPBEXHLevel2X 3 3 2 4" xfId="38883"/>
    <cellStyle name="SAPBEXHLevel2X 3 3 3" xfId="38884"/>
    <cellStyle name="SAPBEXHLevel2X 3 3 3 2" xfId="38885"/>
    <cellStyle name="SAPBEXHLevel2X 3 3 3 3" xfId="38886"/>
    <cellStyle name="SAPBEXHLevel2X 3 3 4" xfId="38887"/>
    <cellStyle name="SAPBEXHLevel2X 3 3 4 2" xfId="38888"/>
    <cellStyle name="SAPBEXHLevel2X 3 3 5" xfId="38889"/>
    <cellStyle name="SAPBEXHLevel2X 3 3 6" xfId="38890"/>
    <cellStyle name="SAPBEXHLevel2X 3 3 7" xfId="38891"/>
    <cellStyle name="SAPBEXHLevel2X 3 3 8" xfId="38892"/>
    <cellStyle name="SAPBEXHLevel2X 3 3 9" xfId="38893"/>
    <cellStyle name="SAPBEXHLevel2X 3 4" xfId="38894"/>
    <cellStyle name="SAPBEXHLevel2X 3 4 2" xfId="38895"/>
    <cellStyle name="SAPBEXHLevel2X 3 4 2 2" xfId="38896"/>
    <cellStyle name="SAPBEXHLevel2X 3 4 2 3" xfId="38897"/>
    <cellStyle name="SAPBEXHLevel2X 3 4 3" xfId="38898"/>
    <cellStyle name="SAPBEXHLevel2X 3 4 3 2" xfId="38899"/>
    <cellStyle name="SAPBEXHLevel2X 3 4 4" xfId="38900"/>
    <cellStyle name="SAPBEXHLevel2X 3 4 5" xfId="38901"/>
    <cellStyle name="SAPBEXHLevel2X 3 5" xfId="38902"/>
    <cellStyle name="SAPBEXHLevel2X 3 5 2" xfId="38903"/>
    <cellStyle name="SAPBEXHLevel2X 3 5 2 2" xfId="38904"/>
    <cellStyle name="SAPBEXHLevel2X 3 5 3" xfId="38905"/>
    <cellStyle name="SAPBEXHLevel2X 3 5 4" xfId="38906"/>
    <cellStyle name="SAPBEXHLevel2X 3 6" xfId="38907"/>
    <cellStyle name="SAPBEXHLevel2X 3 6 2" xfId="38908"/>
    <cellStyle name="SAPBEXHLevel2X 3 6 3" xfId="38909"/>
    <cellStyle name="SAPBEXHLevel2X 3 7" xfId="38910"/>
    <cellStyle name="SAPBEXHLevel2X 3 7 2" xfId="38911"/>
    <cellStyle name="SAPBEXHLevel2X 3 8" xfId="38912"/>
    <cellStyle name="SAPBEXHLevel2X 3 9" xfId="38913"/>
    <cellStyle name="SAPBEXHLevel2X 4" xfId="38914"/>
    <cellStyle name="SAPBEXHLevel2X 4 10" xfId="38915"/>
    <cellStyle name="SAPBEXHLevel2X 4 11" xfId="38916"/>
    <cellStyle name="SAPBEXHLevel2X 4 12" xfId="38917"/>
    <cellStyle name="SAPBEXHLevel2X 4 13" xfId="38918"/>
    <cellStyle name="SAPBEXHLevel2X 4 14" xfId="38919"/>
    <cellStyle name="SAPBEXHLevel2X 4 15" xfId="38920"/>
    <cellStyle name="SAPBEXHLevel2X 4 16" xfId="38921"/>
    <cellStyle name="SAPBEXHLevel2X 4 17" xfId="38922"/>
    <cellStyle name="SAPBEXHLevel2X 4 18" xfId="38923"/>
    <cellStyle name="SAPBEXHLevel2X 4 19" xfId="38924"/>
    <cellStyle name="SAPBEXHLevel2X 4 2" xfId="38925"/>
    <cellStyle name="SAPBEXHLevel2X 4 2 10" xfId="38926"/>
    <cellStyle name="SAPBEXHLevel2X 4 2 11" xfId="38927"/>
    <cellStyle name="SAPBEXHLevel2X 4 2 12" xfId="38928"/>
    <cellStyle name="SAPBEXHLevel2X 4 2 13" xfId="38929"/>
    <cellStyle name="SAPBEXHLevel2X 4 2 14" xfId="38930"/>
    <cellStyle name="SAPBEXHLevel2X 4 2 15" xfId="38931"/>
    <cellStyle name="SAPBEXHLevel2X 4 2 16" xfId="38932"/>
    <cellStyle name="SAPBEXHLevel2X 4 2 17" xfId="38933"/>
    <cellStyle name="SAPBEXHLevel2X 4 2 18" xfId="38934"/>
    <cellStyle name="SAPBEXHLevel2X 4 2 2" xfId="38935"/>
    <cellStyle name="SAPBEXHLevel2X 4 2 2 2" xfId="38936"/>
    <cellStyle name="SAPBEXHLevel2X 4 2 2 2 2" xfId="38937"/>
    <cellStyle name="SAPBEXHLevel2X 4 2 2 3" xfId="38938"/>
    <cellStyle name="SAPBEXHLevel2X 4 2 2 4" xfId="38939"/>
    <cellStyle name="SAPBEXHLevel2X 4 2 3" xfId="38940"/>
    <cellStyle name="SAPBEXHLevel2X 4 2 3 2" xfId="38941"/>
    <cellStyle name="SAPBEXHLevel2X 4 2 3 3" xfId="38942"/>
    <cellStyle name="SAPBEXHLevel2X 4 2 4" xfId="38943"/>
    <cellStyle name="SAPBEXHLevel2X 4 2 4 2" xfId="38944"/>
    <cellStyle name="SAPBEXHLevel2X 4 2 5" xfId="38945"/>
    <cellStyle name="SAPBEXHLevel2X 4 2 6" xfId="38946"/>
    <cellStyle name="SAPBEXHLevel2X 4 2 7" xfId="38947"/>
    <cellStyle name="SAPBEXHLevel2X 4 2 8" xfId="38948"/>
    <cellStyle name="SAPBEXHLevel2X 4 2 9" xfId="38949"/>
    <cellStyle name="SAPBEXHLevel2X 4 20" xfId="38950"/>
    <cellStyle name="SAPBEXHLevel2X 4 21" xfId="38951"/>
    <cellStyle name="SAPBEXHLevel2X 4 22" xfId="38952"/>
    <cellStyle name="SAPBEXHLevel2X 4 3" xfId="38953"/>
    <cellStyle name="SAPBEXHLevel2X 4 3 10" xfId="38954"/>
    <cellStyle name="SAPBEXHLevel2X 4 3 11" xfId="38955"/>
    <cellStyle name="SAPBEXHLevel2X 4 3 12" xfId="38956"/>
    <cellStyle name="SAPBEXHLevel2X 4 3 13" xfId="38957"/>
    <cellStyle name="SAPBEXHLevel2X 4 3 14" xfId="38958"/>
    <cellStyle name="SAPBEXHLevel2X 4 3 15" xfId="38959"/>
    <cellStyle name="SAPBEXHLevel2X 4 3 16" xfId="38960"/>
    <cellStyle name="SAPBEXHLevel2X 4 3 17" xfId="38961"/>
    <cellStyle name="SAPBEXHLevel2X 4 3 18" xfId="38962"/>
    <cellStyle name="SAPBEXHLevel2X 4 3 2" xfId="38963"/>
    <cellStyle name="SAPBEXHLevel2X 4 3 2 2" xfId="38964"/>
    <cellStyle name="SAPBEXHLevel2X 4 3 2 2 2" xfId="38965"/>
    <cellStyle name="SAPBEXHLevel2X 4 3 2 3" xfId="38966"/>
    <cellStyle name="SAPBEXHLevel2X 4 3 2 4" xfId="38967"/>
    <cellStyle name="SAPBEXHLevel2X 4 3 3" xfId="38968"/>
    <cellStyle name="SAPBEXHLevel2X 4 3 3 2" xfId="38969"/>
    <cellStyle name="SAPBEXHLevel2X 4 3 3 3" xfId="38970"/>
    <cellStyle name="SAPBEXHLevel2X 4 3 4" xfId="38971"/>
    <cellStyle name="SAPBEXHLevel2X 4 3 4 2" xfId="38972"/>
    <cellStyle name="SAPBEXHLevel2X 4 3 5" xfId="38973"/>
    <cellStyle name="SAPBEXHLevel2X 4 3 6" xfId="38974"/>
    <cellStyle name="SAPBEXHLevel2X 4 3 7" xfId="38975"/>
    <cellStyle name="SAPBEXHLevel2X 4 3 8" xfId="38976"/>
    <cellStyle name="SAPBEXHLevel2X 4 3 9" xfId="38977"/>
    <cellStyle name="SAPBEXHLevel2X 4 4" xfId="38978"/>
    <cellStyle name="SAPBEXHLevel2X 4 4 2" xfId="38979"/>
    <cellStyle name="SAPBEXHLevel2X 4 4 2 2" xfId="38980"/>
    <cellStyle name="SAPBEXHLevel2X 4 4 2 3" xfId="38981"/>
    <cellStyle name="SAPBEXHLevel2X 4 4 3" xfId="38982"/>
    <cellStyle name="SAPBEXHLevel2X 4 4 3 2" xfId="38983"/>
    <cellStyle name="SAPBEXHLevel2X 4 4 4" xfId="38984"/>
    <cellStyle name="SAPBEXHLevel2X 4 4 5" xfId="38985"/>
    <cellStyle name="SAPBEXHLevel2X 4 5" xfId="38986"/>
    <cellStyle name="SAPBEXHLevel2X 4 5 2" xfId="38987"/>
    <cellStyle name="SAPBEXHLevel2X 4 5 2 2" xfId="38988"/>
    <cellStyle name="SAPBEXHLevel2X 4 5 3" xfId="38989"/>
    <cellStyle name="SAPBEXHLevel2X 4 5 4" xfId="38990"/>
    <cellStyle name="SAPBEXHLevel2X 4 6" xfId="38991"/>
    <cellStyle name="SAPBEXHLevel2X 4 6 2" xfId="38992"/>
    <cellStyle name="SAPBEXHLevel2X 4 6 3" xfId="38993"/>
    <cellStyle name="SAPBEXHLevel2X 4 7" xfId="38994"/>
    <cellStyle name="SAPBEXHLevel2X 4 7 2" xfId="38995"/>
    <cellStyle name="SAPBEXHLevel2X 4 8" xfId="38996"/>
    <cellStyle name="SAPBEXHLevel2X 4 9" xfId="38997"/>
    <cellStyle name="SAPBEXHLevel2X 5" xfId="38998"/>
    <cellStyle name="SAPBEXHLevel2X 5 10" xfId="38999"/>
    <cellStyle name="SAPBEXHLevel2X 5 11" xfId="39000"/>
    <cellStyle name="SAPBEXHLevel2X 5 12" xfId="39001"/>
    <cellStyle name="SAPBEXHLevel2X 5 13" xfId="39002"/>
    <cellStyle name="SAPBEXHLevel2X 5 14" xfId="39003"/>
    <cellStyle name="SAPBEXHLevel2X 5 15" xfId="39004"/>
    <cellStyle name="SAPBEXHLevel2X 5 16" xfId="39005"/>
    <cellStyle name="SAPBEXHLevel2X 5 17" xfId="39006"/>
    <cellStyle name="SAPBEXHLevel2X 5 18" xfId="39007"/>
    <cellStyle name="SAPBEXHLevel2X 5 19" xfId="39008"/>
    <cellStyle name="SAPBEXHLevel2X 5 2" xfId="39009"/>
    <cellStyle name="SAPBEXHLevel2X 5 2 10" xfId="39010"/>
    <cellStyle name="SAPBEXHLevel2X 5 2 11" xfId="39011"/>
    <cellStyle name="SAPBEXHLevel2X 5 2 12" xfId="39012"/>
    <cellStyle name="SAPBEXHLevel2X 5 2 13" xfId="39013"/>
    <cellStyle name="SAPBEXHLevel2X 5 2 14" xfId="39014"/>
    <cellStyle name="SAPBEXHLevel2X 5 2 15" xfId="39015"/>
    <cellStyle name="SAPBEXHLevel2X 5 2 16" xfId="39016"/>
    <cellStyle name="SAPBEXHLevel2X 5 2 17" xfId="39017"/>
    <cellStyle name="SAPBEXHLevel2X 5 2 18" xfId="39018"/>
    <cellStyle name="SAPBEXHLevel2X 5 2 2" xfId="39019"/>
    <cellStyle name="SAPBEXHLevel2X 5 2 2 2" xfId="39020"/>
    <cellStyle name="SAPBEXHLevel2X 5 2 2 2 2" xfId="39021"/>
    <cellStyle name="SAPBEXHLevel2X 5 2 2 3" xfId="39022"/>
    <cellStyle name="SAPBEXHLevel2X 5 2 2 4" xfId="39023"/>
    <cellStyle name="SAPBEXHLevel2X 5 2 3" xfId="39024"/>
    <cellStyle name="SAPBEXHLevel2X 5 2 3 2" xfId="39025"/>
    <cellStyle name="SAPBEXHLevel2X 5 2 3 3" xfId="39026"/>
    <cellStyle name="SAPBEXHLevel2X 5 2 4" xfId="39027"/>
    <cellStyle name="SAPBEXHLevel2X 5 2 4 2" xfId="39028"/>
    <cellStyle name="SAPBEXHLevel2X 5 2 5" xfId="39029"/>
    <cellStyle name="SAPBEXHLevel2X 5 2 6" xfId="39030"/>
    <cellStyle name="SAPBEXHLevel2X 5 2 7" xfId="39031"/>
    <cellStyle name="SAPBEXHLevel2X 5 2 8" xfId="39032"/>
    <cellStyle name="SAPBEXHLevel2X 5 2 9" xfId="39033"/>
    <cellStyle name="SAPBEXHLevel2X 5 20" xfId="39034"/>
    <cellStyle name="SAPBEXHLevel2X 5 21" xfId="39035"/>
    <cellStyle name="SAPBEXHLevel2X 5 22" xfId="39036"/>
    <cellStyle name="SAPBEXHLevel2X 5 3" xfId="39037"/>
    <cellStyle name="SAPBEXHLevel2X 5 3 10" xfId="39038"/>
    <cellStyle name="SAPBEXHLevel2X 5 3 11" xfId="39039"/>
    <cellStyle name="SAPBEXHLevel2X 5 3 12" xfId="39040"/>
    <cellStyle name="SAPBEXHLevel2X 5 3 13" xfId="39041"/>
    <cellStyle name="SAPBEXHLevel2X 5 3 14" xfId="39042"/>
    <cellStyle name="SAPBEXHLevel2X 5 3 15" xfId="39043"/>
    <cellStyle name="SAPBEXHLevel2X 5 3 16" xfId="39044"/>
    <cellStyle name="SAPBEXHLevel2X 5 3 17" xfId="39045"/>
    <cellStyle name="SAPBEXHLevel2X 5 3 18" xfId="39046"/>
    <cellStyle name="SAPBEXHLevel2X 5 3 2" xfId="39047"/>
    <cellStyle name="SAPBEXHLevel2X 5 3 2 2" xfId="39048"/>
    <cellStyle name="SAPBEXHLevel2X 5 3 2 2 2" xfId="39049"/>
    <cellStyle name="SAPBEXHLevel2X 5 3 2 3" xfId="39050"/>
    <cellStyle name="SAPBEXHLevel2X 5 3 2 4" xfId="39051"/>
    <cellStyle name="SAPBEXHLevel2X 5 3 3" xfId="39052"/>
    <cellStyle name="SAPBEXHLevel2X 5 3 3 2" xfId="39053"/>
    <cellStyle name="SAPBEXHLevel2X 5 3 3 3" xfId="39054"/>
    <cellStyle name="SAPBEXHLevel2X 5 3 4" xfId="39055"/>
    <cellStyle name="SAPBEXHLevel2X 5 3 4 2" xfId="39056"/>
    <cellStyle name="SAPBEXHLevel2X 5 3 5" xfId="39057"/>
    <cellStyle name="SAPBEXHLevel2X 5 3 6" xfId="39058"/>
    <cellStyle name="SAPBEXHLevel2X 5 3 7" xfId="39059"/>
    <cellStyle name="SAPBEXHLevel2X 5 3 8" xfId="39060"/>
    <cellStyle name="SAPBEXHLevel2X 5 3 9" xfId="39061"/>
    <cellStyle name="SAPBEXHLevel2X 5 4" xfId="39062"/>
    <cellStyle name="SAPBEXHLevel2X 5 4 2" xfId="39063"/>
    <cellStyle name="SAPBEXHLevel2X 5 4 2 2" xfId="39064"/>
    <cellStyle name="SAPBEXHLevel2X 5 4 2 3" xfId="39065"/>
    <cellStyle name="SAPBEXHLevel2X 5 4 3" xfId="39066"/>
    <cellStyle name="SAPBEXHLevel2X 5 4 3 2" xfId="39067"/>
    <cellStyle name="SAPBEXHLevel2X 5 4 4" xfId="39068"/>
    <cellStyle name="SAPBEXHLevel2X 5 4 5" xfId="39069"/>
    <cellStyle name="SAPBEXHLevel2X 5 5" xfId="39070"/>
    <cellStyle name="SAPBEXHLevel2X 5 5 2" xfId="39071"/>
    <cellStyle name="SAPBEXHLevel2X 5 5 2 2" xfId="39072"/>
    <cellStyle name="SAPBEXHLevel2X 5 5 3" xfId="39073"/>
    <cellStyle name="SAPBEXHLevel2X 5 5 4" xfId="39074"/>
    <cellStyle name="SAPBEXHLevel2X 5 6" xfId="39075"/>
    <cellStyle name="SAPBEXHLevel2X 5 6 2" xfId="39076"/>
    <cellStyle name="SAPBEXHLevel2X 5 6 3" xfId="39077"/>
    <cellStyle name="SAPBEXHLevel2X 5 7" xfId="39078"/>
    <cellStyle name="SAPBEXHLevel2X 5 7 2" xfId="39079"/>
    <cellStyle name="SAPBEXHLevel2X 5 8" xfId="39080"/>
    <cellStyle name="SAPBEXHLevel2X 5 9" xfId="39081"/>
    <cellStyle name="SAPBEXHLevel2X 6" xfId="39082"/>
    <cellStyle name="SAPBEXHLevel2X 6 10" xfId="39083"/>
    <cellStyle name="SAPBEXHLevel2X 6 11" xfId="39084"/>
    <cellStyle name="SAPBEXHLevel2X 6 12" xfId="39085"/>
    <cellStyle name="SAPBEXHLevel2X 6 13" xfId="39086"/>
    <cellStyle name="SAPBEXHLevel2X 6 14" xfId="39087"/>
    <cellStyle name="SAPBEXHLevel2X 6 15" xfId="39088"/>
    <cellStyle name="SAPBEXHLevel2X 6 2" xfId="39089"/>
    <cellStyle name="SAPBEXHLevel2X 6 2 10" xfId="39090"/>
    <cellStyle name="SAPBEXHLevel2X 6 2 11" xfId="39091"/>
    <cellStyle name="SAPBEXHLevel2X 6 2 12" xfId="39092"/>
    <cellStyle name="SAPBEXHLevel2X 6 2 13" xfId="39093"/>
    <cellStyle name="SAPBEXHLevel2X 6 2 14" xfId="39094"/>
    <cellStyle name="SAPBEXHLevel2X 6 2 15" xfId="39095"/>
    <cellStyle name="SAPBEXHLevel2X 6 2 16" xfId="39096"/>
    <cellStyle name="SAPBEXHLevel2X 6 2 17" xfId="39097"/>
    <cellStyle name="SAPBEXHLevel2X 6 2 18" xfId="39098"/>
    <cellStyle name="SAPBEXHLevel2X 6 2 2" xfId="39099"/>
    <cellStyle name="SAPBEXHLevel2X 6 2 2 2" xfId="39100"/>
    <cellStyle name="SAPBEXHLevel2X 6 2 2 2 2" xfId="39101"/>
    <cellStyle name="SAPBEXHLevel2X 6 2 2 3" xfId="39102"/>
    <cellStyle name="SAPBEXHLevel2X 6 2 2 4" xfId="39103"/>
    <cellStyle name="SAPBEXHLevel2X 6 2 3" xfId="39104"/>
    <cellStyle name="SAPBEXHLevel2X 6 2 3 2" xfId="39105"/>
    <cellStyle name="SAPBEXHLevel2X 6 2 3 3" xfId="39106"/>
    <cellStyle name="SAPBEXHLevel2X 6 2 4" xfId="39107"/>
    <cellStyle name="SAPBEXHLevel2X 6 2 4 2" xfId="39108"/>
    <cellStyle name="SAPBEXHLevel2X 6 2 5" xfId="39109"/>
    <cellStyle name="SAPBEXHLevel2X 6 2 6" xfId="39110"/>
    <cellStyle name="SAPBEXHLevel2X 6 2 7" xfId="39111"/>
    <cellStyle name="SAPBEXHLevel2X 6 2 8" xfId="39112"/>
    <cellStyle name="SAPBEXHLevel2X 6 2 9" xfId="39113"/>
    <cellStyle name="SAPBEXHLevel2X 6 3" xfId="39114"/>
    <cellStyle name="SAPBEXHLevel2X 6 3 10" xfId="39115"/>
    <cellStyle name="SAPBEXHLevel2X 6 3 11" xfId="39116"/>
    <cellStyle name="SAPBEXHLevel2X 6 3 12" xfId="39117"/>
    <cellStyle name="SAPBEXHLevel2X 6 3 13" xfId="39118"/>
    <cellStyle name="SAPBEXHLevel2X 6 3 14" xfId="39119"/>
    <cellStyle name="SAPBEXHLevel2X 6 3 15" xfId="39120"/>
    <cellStyle name="SAPBEXHLevel2X 6 3 16" xfId="39121"/>
    <cellStyle name="SAPBEXHLevel2X 6 3 17" xfId="39122"/>
    <cellStyle name="SAPBEXHLevel2X 6 3 18" xfId="39123"/>
    <cellStyle name="SAPBEXHLevel2X 6 3 2" xfId="39124"/>
    <cellStyle name="SAPBEXHLevel2X 6 3 2 2" xfId="39125"/>
    <cellStyle name="SAPBEXHLevel2X 6 3 2 2 2" xfId="39126"/>
    <cellStyle name="SAPBEXHLevel2X 6 3 2 3" xfId="39127"/>
    <cellStyle name="SAPBEXHLevel2X 6 3 2 4" xfId="39128"/>
    <cellStyle name="SAPBEXHLevel2X 6 3 3" xfId="39129"/>
    <cellStyle name="SAPBEXHLevel2X 6 3 3 2" xfId="39130"/>
    <cellStyle name="SAPBEXHLevel2X 6 3 3 3" xfId="39131"/>
    <cellStyle name="SAPBEXHLevel2X 6 3 4" xfId="39132"/>
    <cellStyle name="SAPBEXHLevel2X 6 3 4 2" xfId="39133"/>
    <cellStyle name="SAPBEXHLevel2X 6 3 5" xfId="39134"/>
    <cellStyle name="SAPBEXHLevel2X 6 3 6" xfId="39135"/>
    <cellStyle name="SAPBEXHLevel2X 6 3 7" xfId="39136"/>
    <cellStyle name="SAPBEXHLevel2X 6 3 8" xfId="39137"/>
    <cellStyle name="SAPBEXHLevel2X 6 3 9" xfId="39138"/>
    <cellStyle name="SAPBEXHLevel2X 6 4" xfId="39139"/>
    <cellStyle name="SAPBEXHLevel2X 6 4 2" xfId="39140"/>
    <cellStyle name="SAPBEXHLevel2X 6 4 2 2" xfId="39141"/>
    <cellStyle name="SAPBEXHLevel2X 6 4 3" xfId="39142"/>
    <cellStyle name="SAPBEXHLevel2X 6 4 4" xfId="39143"/>
    <cellStyle name="SAPBEXHLevel2X 6 5" xfId="39144"/>
    <cellStyle name="SAPBEXHLevel2X 6 5 2" xfId="39145"/>
    <cellStyle name="SAPBEXHLevel2X 6 6" xfId="39146"/>
    <cellStyle name="SAPBEXHLevel2X 6 7" xfId="39147"/>
    <cellStyle name="SAPBEXHLevel2X 6 8" xfId="39148"/>
    <cellStyle name="SAPBEXHLevel2X 6 9" xfId="39149"/>
    <cellStyle name="SAPBEXHLevel2X 7" xfId="39150"/>
    <cellStyle name="SAPBEXHLevel2X 7 10" xfId="39151"/>
    <cellStyle name="SAPBEXHLevel2X 7 11" xfId="39152"/>
    <cellStyle name="SAPBEXHLevel2X 7 12" xfId="39153"/>
    <cellStyle name="SAPBEXHLevel2X 7 13" xfId="39154"/>
    <cellStyle name="SAPBEXHLevel2X 7 14" xfId="39155"/>
    <cellStyle name="SAPBEXHLevel2X 7 15" xfId="39156"/>
    <cellStyle name="SAPBEXHLevel2X 7 16" xfId="39157"/>
    <cellStyle name="SAPBEXHLevel2X 7 17" xfId="39158"/>
    <cellStyle name="SAPBEXHLevel2X 7 18" xfId="39159"/>
    <cellStyle name="SAPBEXHLevel2X 7 19" xfId="39160"/>
    <cellStyle name="SAPBEXHLevel2X 7 2" xfId="39161"/>
    <cellStyle name="SAPBEXHLevel2X 7 3" xfId="39162"/>
    <cellStyle name="SAPBEXHLevel2X 7 4" xfId="39163"/>
    <cellStyle name="SAPBEXHLevel2X 7 5" xfId="39164"/>
    <cellStyle name="SAPBEXHLevel2X 7 6" xfId="39165"/>
    <cellStyle name="SAPBEXHLevel2X 7 7" xfId="39166"/>
    <cellStyle name="SAPBEXHLevel2X 7 8" xfId="39167"/>
    <cellStyle name="SAPBEXHLevel2X 7 9" xfId="39168"/>
    <cellStyle name="SAPBEXHLevel2X 8" xfId="39169"/>
    <cellStyle name="SAPBEXHLevel2X 8 2" xfId="39170"/>
    <cellStyle name="SAPBEXHLevel2X 9" xfId="39171"/>
    <cellStyle name="SAPBEXHLevel2X 9 2" xfId="39172"/>
    <cellStyle name="SAPBEXHLevel2X_7-р_Из_Системы" xfId="39173"/>
    <cellStyle name="SAPBEXHLevel3" xfId="39174"/>
    <cellStyle name="SAPBEXHLevel3 10" xfId="39175"/>
    <cellStyle name="SAPBEXHLevel3 11" xfId="39176"/>
    <cellStyle name="SAPBEXHLevel3 12" xfId="39177"/>
    <cellStyle name="SAPBEXHLevel3 13" xfId="39178"/>
    <cellStyle name="SAPBEXHLevel3 14" xfId="39179"/>
    <cellStyle name="SAPBEXHLevel3 15" xfId="39180"/>
    <cellStyle name="SAPBEXHLevel3 16" xfId="39181"/>
    <cellStyle name="SAPBEXHLevel3 17" xfId="39182"/>
    <cellStyle name="SAPBEXHLevel3 18" xfId="39183"/>
    <cellStyle name="SAPBEXHLevel3 19" xfId="39184"/>
    <cellStyle name="SAPBEXHLevel3 2" xfId="39185"/>
    <cellStyle name="SAPBEXHLevel3 2 10" xfId="39186"/>
    <cellStyle name="SAPBEXHLevel3 2 11" xfId="39187"/>
    <cellStyle name="SAPBEXHLevel3 2 12" xfId="39188"/>
    <cellStyle name="SAPBEXHLevel3 2 13" xfId="39189"/>
    <cellStyle name="SAPBEXHLevel3 2 14" xfId="39190"/>
    <cellStyle name="SAPBEXHLevel3 2 15" xfId="39191"/>
    <cellStyle name="SAPBEXHLevel3 2 16" xfId="39192"/>
    <cellStyle name="SAPBEXHLevel3 2 17" xfId="39193"/>
    <cellStyle name="SAPBEXHLevel3 2 18" xfId="39194"/>
    <cellStyle name="SAPBEXHLevel3 2 19" xfId="39195"/>
    <cellStyle name="SAPBEXHLevel3 2 2" xfId="39196"/>
    <cellStyle name="SAPBEXHLevel3 2 2 10" xfId="39197"/>
    <cellStyle name="SAPBEXHLevel3 2 2 11" xfId="39198"/>
    <cellStyle name="SAPBEXHLevel3 2 2 12" xfId="39199"/>
    <cellStyle name="SAPBEXHLevel3 2 2 13" xfId="39200"/>
    <cellStyle name="SAPBEXHLevel3 2 2 14" xfId="39201"/>
    <cellStyle name="SAPBEXHLevel3 2 2 15" xfId="39202"/>
    <cellStyle name="SAPBEXHLevel3 2 2 16" xfId="39203"/>
    <cellStyle name="SAPBEXHLevel3 2 2 17" xfId="39204"/>
    <cellStyle name="SAPBEXHLevel3 2 2 18" xfId="39205"/>
    <cellStyle name="SAPBEXHLevel3 2 2 2" xfId="39206"/>
    <cellStyle name="SAPBEXHLevel3 2 2 2 2" xfId="39207"/>
    <cellStyle name="SAPBEXHLevel3 2 2 2 2 2" xfId="39208"/>
    <cellStyle name="SAPBEXHLevel3 2 2 2 3" xfId="39209"/>
    <cellStyle name="SAPBEXHLevel3 2 2 2 4" xfId="39210"/>
    <cellStyle name="SAPBEXHLevel3 2 2 3" xfId="39211"/>
    <cellStyle name="SAPBEXHLevel3 2 2 3 2" xfId="39212"/>
    <cellStyle name="SAPBEXHLevel3 2 2 3 3" xfId="39213"/>
    <cellStyle name="SAPBEXHLevel3 2 2 4" xfId="39214"/>
    <cellStyle name="SAPBEXHLevel3 2 2 4 2" xfId="39215"/>
    <cellStyle name="SAPBEXHLevel3 2 2 5" xfId="39216"/>
    <cellStyle name="SAPBEXHLevel3 2 2 6" xfId="39217"/>
    <cellStyle name="SAPBEXHLevel3 2 2 7" xfId="39218"/>
    <cellStyle name="SAPBEXHLevel3 2 2 8" xfId="39219"/>
    <cellStyle name="SAPBEXHLevel3 2 2 9" xfId="39220"/>
    <cellStyle name="SAPBEXHLevel3 2 20" xfId="39221"/>
    <cellStyle name="SAPBEXHLevel3 2 21" xfId="39222"/>
    <cellStyle name="SAPBEXHLevel3 2 22" xfId="39223"/>
    <cellStyle name="SAPBEXHLevel3 2 23" xfId="39224"/>
    <cellStyle name="SAPBEXHLevel3 2 24" xfId="39225"/>
    <cellStyle name="SAPBEXHLevel3 2 25" xfId="39226"/>
    <cellStyle name="SAPBEXHLevel3 2 3" xfId="39227"/>
    <cellStyle name="SAPBEXHLevel3 2 3 10" xfId="39228"/>
    <cellStyle name="SAPBEXHLevel3 2 3 11" xfId="39229"/>
    <cellStyle name="SAPBEXHLevel3 2 3 12" xfId="39230"/>
    <cellStyle name="SAPBEXHLevel3 2 3 13" xfId="39231"/>
    <cellStyle name="SAPBEXHLevel3 2 3 14" xfId="39232"/>
    <cellStyle name="SAPBEXHLevel3 2 3 15" xfId="39233"/>
    <cellStyle name="SAPBEXHLevel3 2 3 16" xfId="39234"/>
    <cellStyle name="SAPBEXHLevel3 2 3 17" xfId="39235"/>
    <cellStyle name="SAPBEXHLevel3 2 3 18" xfId="39236"/>
    <cellStyle name="SAPBEXHLevel3 2 3 2" xfId="39237"/>
    <cellStyle name="SAPBEXHLevel3 2 3 2 2" xfId="39238"/>
    <cellStyle name="SAPBEXHLevel3 2 3 2 2 2" xfId="39239"/>
    <cellStyle name="SAPBEXHLevel3 2 3 2 3" xfId="39240"/>
    <cellStyle name="SAPBEXHLevel3 2 3 2 4" xfId="39241"/>
    <cellStyle name="SAPBEXHLevel3 2 3 3" xfId="39242"/>
    <cellStyle name="SAPBEXHLevel3 2 3 3 2" xfId="39243"/>
    <cellStyle name="SAPBEXHLevel3 2 3 3 3" xfId="39244"/>
    <cellStyle name="SAPBEXHLevel3 2 3 4" xfId="39245"/>
    <cellStyle name="SAPBEXHLevel3 2 3 4 2" xfId="39246"/>
    <cellStyle name="SAPBEXHLevel3 2 3 5" xfId="39247"/>
    <cellStyle name="SAPBEXHLevel3 2 3 6" xfId="39248"/>
    <cellStyle name="SAPBEXHLevel3 2 3 7" xfId="39249"/>
    <cellStyle name="SAPBEXHLevel3 2 3 8" xfId="39250"/>
    <cellStyle name="SAPBEXHLevel3 2 3 9" xfId="39251"/>
    <cellStyle name="SAPBEXHLevel3 2 4" xfId="39252"/>
    <cellStyle name="SAPBEXHLevel3 2 4 2" xfId="39253"/>
    <cellStyle name="SAPBEXHLevel3 2 4 2 2" xfId="39254"/>
    <cellStyle name="SAPBEXHLevel3 2 4 2 3" xfId="39255"/>
    <cellStyle name="SAPBEXHLevel3 2 4 3" xfId="39256"/>
    <cellStyle name="SAPBEXHLevel3 2 4 3 2" xfId="39257"/>
    <cellStyle name="SAPBEXHLevel3 2 4 4" xfId="39258"/>
    <cellStyle name="SAPBEXHLevel3 2 4 5" xfId="39259"/>
    <cellStyle name="SAPBEXHLevel3 2 5" xfId="39260"/>
    <cellStyle name="SAPBEXHLevel3 2 5 2" xfId="39261"/>
    <cellStyle name="SAPBEXHLevel3 2 5 2 2" xfId="39262"/>
    <cellStyle name="SAPBEXHLevel3 2 5 3" xfId="39263"/>
    <cellStyle name="SAPBEXHLevel3 2 5 4" xfId="39264"/>
    <cellStyle name="SAPBEXHLevel3 2 6" xfId="39265"/>
    <cellStyle name="SAPBEXHLevel3 2 6 2" xfId="39266"/>
    <cellStyle name="SAPBEXHLevel3 2 6 3" xfId="39267"/>
    <cellStyle name="SAPBEXHLevel3 2 7" xfId="39268"/>
    <cellStyle name="SAPBEXHLevel3 2 7 2" xfId="39269"/>
    <cellStyle name="SAPBEXHLevel3 2 8" xfId="39270"/>
    <cellStyle name="SAPBEXHLevel3 2 9" xfId="39271"/>
    <cellStyle name="SAPBEXHLevel3 20" xfId="39272"/>
    <cellStyle name="SAPBEXHLevel3 3" xfId="39273"/>
    <cellStyle name="SAPBEXHLevel3 3 10" xfId="39274"/>
    <cellStyle name="SAPBEXHLevel3 3 11" xfId="39275"/>
    <cellStyle name="SAPBEXHLevel3 3 12" xfId="39276"/>
    <cellStyle name="SAPBEXHLevel3 3 13" xfId="39277"/>
    <cellStyle name="SAPBEXHLevel3 3 14" xfId="39278"/>
    <cellStyle name="SAPBEXHLevel3 3 15" xfId="39279"/>
    <cellStyle name="SAPBEXHLevel3 3 16" xfId="39280"/>
    <cellStyle name="SAPBEXHLevel3 3 17" xfId="39281"/>
    <cellStyle name="SAPBEXHLevel3 3 18" xfId="39282"/>
    <cellStyle name="SAPBEXHLevel3 3 19" xfId="39283"/>
    <cellStyle name="SAPBEXHLevel3 3 2" xfId="39284"/>
    <cellStyle name="SAPBEXHLevel3 3 2 10" xfId="39285"/>
    <cellStyle name="SAPBEXHLevel3 3 2 11" xfId="39286"/>
    <cellStyle name="SAPBEXHLevel3 3 2 12" xfId="39287"/>
    <cellStyle name="SAPBEXHLevel3 3 2 13" xfId="39288"/>
    <cellStyle name="SAPBEXHLevel3 3 2 14" xfId="39289"/>
    <cellStyle name="SAPBEXHLevel3 3 2 15" xfId="39290"/>
    <cellStyle name="SAPBEXHLevel3 3 2 16" xfId="39291"/>
    <cellStyle name="SAPBEXHLevel3 3 2 17" xfId="39292"/>
    <cellStyle name="SAPBEXHLevel3 3 2 18" xfId="39293"/>
    <cellStyle name="SAPBEXHLevel3 3 2 2" xfId="39294"/>
    <cellStyle name="SAPBEXHLevel3 3 2 2 2" xfId="39295"/>
    <cellStyle name="SAPBEXHLevel3 3 2 2 2 2" xfId="39296"/>
    <cellStyle name="SAPBEXHLevel3 3 2 2 3" xfId="39297"/>
    <cellStyle name="SAPBEXHLevel3 3 2 2 4" xfId="39298"/>
    <cellStyle name="SAPBEXHLevel3 3 2 3" xfId="39299"/>
    <cellStyle name="SAPBEXHLevel3 3 2 3 2" xfId="39300"/>
    <cellStyle name="SAPBEXHLevel3 3 2 3 3" xfId="39301"/>
    <cellStyle name="SAPBEXHLevel3 3 2 4" xfId="39302"/>
    <cellStyle name="SAPBEXHLevel3 3 2 4 2" xfId="39303"/>
    <cellStyle name="SAPBEXHLevel3 3 2 5" xfId="39304"/>
    <cellStyle name="SAPBEXHLevel3 3 2 6" xfId="39305"/>
    <cellStyle name="SAPBEXHLevel3 3 2 7" xfId="39306"/>
    <cellStyle name="SAPBEXHLevel3 3 2 8" xfId="39307"/>
    <cellStyle name="SAPBEXHLevel3 3 2 9" xfId="39308"/>
    <cellStyle name="SAPBEXHLevel3 3 20" xfId="39309"/>
    <cellStyle name="SAPBEXHLevel3 3 3" xfId="39310"/>
    <cellStyle name="SAPBEXHLevel3 3 3 10" xfId="39311"/>
    <cellStyle name="SAPBEXHLevel3 3 3 11" xfId="39312"/>
    <cellStyle name="SAPBEXHLevel3 3 3 12" xfId="39313"/>
    <cellStyle name="SAPBEXHLevel3 3 3 13" xfId="39314"/>
    <cellStyle name="SAPBEXHLevel3 3 3 14" xfId="39315"/>
    <cellStyle name="SAPBEXHLevel3 3 3 15" xfId="39316"/>
    <cellStyle name="SAPBEXHLevel3 3 3 16" xfId="39317"/>
    <cellStyle name="SAPBEXHLevel3 3 3 17" xfId="39318"/>
    <cellStyle name="SAPBEXHLevel3 3 3 18" xfId="39319"/>
    <cellStyle name="SAPBEXHLevel3 3 3 2" xfId="39320"/>
    <cellStyle name="SAPBEXHLevel3 3 3 2 2" xfId="39321"/>
    <cellStyle name="SAPBEXHLevel3 3 3 2 2 2" xfId="39322"/>
    <cellStyle name="SAPBEXHLevel3 3 3 2 3" xfId="39323"/>
    <cellStyle name="SAPBEXHLevel3 3 3 2 4" xfId="39324"/>
    <cellStyle name="SAPBEXHLevel3 3 3 3" xfId="39325"/>
    <cellStyle name="SAPBEXHLevel3 3 3 3 2" xfId="39326"/>
    <cellStyle name="SAPBEXHLevel3 3 3 3 3" xfId="39327"/>
    <cellStyle name="SAPBEXHLevel3 3 3 4" xfId="39328"/>
    <cellStyle name="SAPBEXHLevel3 3 3 4 2" xfId="39329"/>
    <cellStyle name="SAPBEXHLevel3 3 3 5" xfId="39330"/>
    <cellStyle name="SAPBEXHLevel3 3 3 6" xfId="39331"/>
    <cellStyle name="SAPBEXHLevel3 3 3 7" xfId="39332"/>
    <cellStyle name="SAPBEXHLevel3 3 3 8" xfId="39333"/>
    <cellStyle name="SAPBEXHLevel3 3 3 9" xfId="39334"/>
    <cellStyle name="SAPBEXHLevel3 3 4" xfId="39335"/>
    <cellStyle name="SAPBEXHLevel3 3 4 2" xfId="39336"/>
    <cellStyle name="SAPBEXHLevel3 3 4 2 2" xfId="39337"/>
    <cellStyle name="SAPBEXHLevel3 3 4 2 3" xfId="39338"/>
    <cellStyle name="SAPBEXHLevel3 3 4 3" xfId="39339"/>
    <cellStyle name="SAPBEXHLevel3 3 4 3 2" xfId="39340"/>
    <cellStyle name="SAPBEXHLevel3 3 4 4" xfId="39341"/>
    <cellStyle name="SAPBEXHLevel3 3 4 5" xfId="39342"/>
    <cellStyle name="SAPBEXHLevel3 3 5" xfId="39343"/>
    <cellStyle name="SAPBEXHLevel3 3 5 2" xfId="39344"/>
    <cellStyle name="SAPBEXHLevel3 3 5 2 2" xfId="39345"/>
    <cellStyle name="SAPBEXHLevel3 3 5 3" xfId="39346"/>
    <cellStyle name="SAPBEXHLevel3 3 5 4" xfId="39347"/>
    <cellStyle name="SAPBEXHLevel3 3 6" xfId="39348"/>
    <cellStyle name="SAPBEXHLevel3 3 6 2" xfId="39349"/>
    <cellStyle name="SAPBEXHLevel3 3 6 3" xfId="39350"/>
    <cellStyle name="SAPBEXHLevel3 3 7" xfId="39351"/>
    <cellStyle name="SAPBEXHLevel3 3 7 2" xfId="39352"/>
    <cellStyle name="SAPBEXHLevel3 3 8" xfId="39353"/>
    <cellStyle name="SAPBEXHLevel3 3 9" xfId="39354"/>
    <cellStyle name="SAPBEXHLevel3 4" xfId="39355"/>
    <cellStyle name="SAPBEXHLevel3 4 10" xfId="39356"/>
    <cellStyle name="SAPBEXHLevel3 4 11" xfId="39357"/>
    <cellStyle name="SAPBEXHLevel3 4 12" xfId="39358"/>
    <cellStyle name="SAPBEXHLevel3 4 13" xfId="39359"/>
    <cellStyle name="SAPBEXHLevel3 4 14" xfId="39360"/>
    <cellStyle name="SAPBEXHLevel3 4 15" xfId="39361"/>
    <cellStyle name="SAPBEXHLevel3 4 16" xfId="39362"/>
    <cellStyle name="SAPBEXHLevel3 4 17" xfId="39363"/>
    <cellStyle name="SAPBEXHLevel3 4 18" xfId="39364"/>
    <cellStyle name="SAPBEXHLevel3 4 19" xfId="39365"/>
    <cellStyle name="SAPBEXHLevel3 4 2" xfId="39366"/>
    <cellStyle name="SAPBEXHLevel3 4 2 10" xfId="39367"/>
    <cellStyle name="SAPBEXHLevel3 4 2 11" xfId="39368"/>
    <cellStyle name="SAPBEXHLevel3 4 2 12" xfId="39369"/>
    <cellStyle name="SAPBEXHLevel3 4 2 13" xfId="39370"/>
    <cellStyle name="SAPBEXHLevel3 4 2 14" xfId="39371"/>
    <cellStyle name="SAPBEXHLevel3 4 2 15" xfId="39372"/>
    <cellStyle name="SAPBEXHLevel3 4 2 16" xfId="39373"/>
    <cellStyle name="SAPBEXHLevel3 4 2 17" xfId="39374"/>
    <cellStyle name="SAPBEXHLevel3 4 2 18" xfId="39375"/>
    <cellStyle name="SAPBEXHLevel3 4 2 2" xfId="39376"/>
    <cellStyle name="SAPBEXHLevel3 4 2 2 2" xfId="39377"/>
    <cellStyle name="SAPBEXHLevel3 4 2 2 2 2" xfId="39378"/>
    <cellStyle name="SAPBEXHLevel3 4 2 2 3" xfId="39379"/>
    <cellStyle name="SAPBEXHLevel3 4 2 2 4" xfId="39380"/>
    <cellStyle name="SAPBEXHLevel3 4 2 3" xfId="39381"/>
    <cellStyle name="SAPBEXHLevel3 4 2 3 2" xfId="39382"/>
    <cellStyle name="SAPBEXHLevel3 4 2 3 3" xfId="39383"/>
    <cellStyle name="SAPBEXHLevel3 4 2 4" xfId="39384"/>
    <cellStyle name="SAPBEXHLevel3 4 2 4 2" xfId="39385"/>
    <cellStyle name="SAPBEXHLevel3 4 2 5" xfId="39386"/>
    <cellStyle name="SAPBEXHLevel3 4 2 6" xfId="39387"/>
    <cellStyle name="SAPBEXHLevel3 4 2 7" xfId="39388"/>
    <cellStyle name="SAPBEXHLevel3 4 2 8" xfId="39389"/>
    <cellStyle name="SAPBEXHLevel3 4 2 9" xfId="39390"/>
    <cellStyle name="SAPBEXHLevel3 4 20" xfId="39391"/>
    <cellStyle name="SAPBEXHLevel3 4 21" xfId="39392"/>
    <cellStyle name="SAPBEXHLevel3 4 22" xfId="39393"/>
    <cellStyle name="SAPBEXHLevel3 4 3" xfId="39394"/>
    <cellStyle name="SAPBEXHLevel3 4 3 10" xfId="39395"/>
    <cellStyle name="SAPBEXHLevel3 4 3 11" xfId="39396"/>
    <cellStyle name="SAPBEXHLevel3 4 3 12" xfId="39397"/>
    <cellStyle name="SAPBEXHLevel3 4 3 13" xfId="39398"/>
    <cellStyle name="SAPBEXHLevel3 4 3 14" xfId="39399"/>
    <cellStyle name="SAPBEXHLevel3 4 3 15" xfId="39400"/>
    <cellStyle name="SAPBEXHLevel3 4 3 16" xfId="39401"/>
    <cellStyle name="SAPBEXHLevel3 4 3 17" xfId="39402"/>
    <cellStyle name="SAPBEXHLevel3 4 3 18" xfId="39403"/>
    <cellStyle name="SAPBEXHLevel3 4 3 2" xfId="39404"/>
    <cellStyle name="SAPBEXHLevel3 4 3 2 2" xfId="39405"/>
    <cellStyle name="SAPBEXHLevel3 4 3 2 2 2" xfId="39406"/>
    <cellStyle name="SAPBEXHLevel3 4 3 2 3" xfId="39407"/>
    <cellStyle name="SAPBEXHLevel3 4 3 2 4" xfId="39408"/>
    <cellStyle name="SAPBEXHLevel3 4 3 3" xfId="39409"/>
    <cellStyle name="SAPBEXHLevel3 4 3 3 2" xfId="39410"/>
    <cellStyle name="SAPBEXHLevel3 4 3 3 3" xfId="39411"/>
    <cellStyle name="SAPBEXHLevel3 4 3 4" xfId="39412"/>
    <cellStyle name="SAPBEXHLevel3 4 3 4 2" xfId="39413"/>
    <cellStyle name="SAPBEXHLevel3 4 3 5" xfId="39414"/>
    <cellStyle name="SAPBEXHLevel3 4 3 6" xfId="39415"/>
    <cellStyle name="SAPBEXHLevel3 4 3 7" xfId="39416"/>
    <cellStyle name="SAPBEXHLevel3 4 3 8" xfId="39417"/>
    <cellStyle name="SAPBEXHLevel3 4 3 9" xfId="39418"/>
    <cellStyle name="SAPBEXHLevel3 4 4" xfId="39419"/>
    <cellStyle name="SAPBEXHLevel3 4 4 2" xfId="39420"/>
    <cellStyle name="SAPBEXHLevel3 4 4 2 2" xfId="39421"/>
    <cellStyle name="SAPBEXHLevel3 4 4 2 3" xfId="39422"/>
    <cellStyle name="SAPBEXHLevel3 4 4 3" xfId="39423"/>
    <cellStyle name="SAPBEXHLevel3 4 4 3 2" xfId="39424"/>
    <cellStyle name="SAPBEXHLevel3 4 4 4" xfId="39425"/>
    <cellStyle name="SAPBEXHLevel3 4 4 5" xfId="39426"/>
    <cellStyle name="SAPBEXHLevel3 4 5" xfId="39427"/>
    <cellStyle name="SAPBEXHLevel3 4 5 2" xfId="39428"/>
    <cellStyle name="SAPBEXHLevel3 4 5 2 2" xfId="39429"/>
    <cellStyle name="SAPBEXHLevel3 4 5 3" xfId="39430"/>
    <cellStyle name="SAPBEXHLevel3 4 5 4" xfId="39431"/>
    <cellStyle name="SAPBEXHLevel3 4 6" xfId="39432"/>
    <cellStyle name="SAPBEXHLevel3 4 6 2" xfId="39433"/>
    <cellStyle name="SAPBEXHLevel3 4 6 3" xfId="39434"/>
    <cellStyle name="SAPBEXHLevel3 4 7" xfId="39435"/>
    <cellStyle name="SAPBEXHLevel3 4 7 2" xfId="39436"/>
    <cellStyle name="SAPBEXHLevel3 4 8" xfId="39437"/>
    <cellStyle name="SAPBEXHLevel3 4 9" xfId="39438"/>
    <cellStyle name="SAPBEXHLevel3 5" xfId="39439"/>
    <cellStyle name="SAPBEXHLevel3 5 10" xfId="39440"/>
    <cellStyle name="SAPBEXHLevel3 5 11" xfId="39441"/>
    <cellStyle name="SAPBEXHLevel3 5 12" xfId="39442"/>
    <cellStyle name="SAPBEXHLevel3 5 13" xfId="39443"/>
    <cellStyle name="SAPBEXHLevel3 5 14" xfId="39444"/>
    <cellStyle name="SAPBEXHLevel3 5 15" xfId="39445"/>
    <cellStyle name="SAPBEXHLevel3 5 16" xfId="39446"/>
    <cellStyle name="SAPBEXHLevel3 5 17" xfId="39447"/>
    <cellStyle name="SAPBEXHLevel3 5 18" xfId="39448"/>
    <cellStyle name="SAPBEXHLevel3 5 19" xfId="39449"/>
    <cellStyle name="SAPBEXHLevel3 5 2" xfId="39450"/>
    <cellStyle name="SAPBEXHLevel3 5 2 10" xfId="39451"/>
    <cellStyle name="SAPBEXHLevel3 5 2 11" xfId="39452"/>
    <cellStyle name="SAPBEXHLevel3 5 2 12" xfId="39453"/>
    <cellStyle name="SAPBEXHLevel3 5 2 13" xfId="39454"/>
    <cellStyle name="SAPBEXHLevel3 5 2 14" xfId="39455"/>
    <cellStyle name="SAPBEXHLevel3 5 2 15" xfId="39456"/>
    <cellStyle name="SAPBEXHLevel3 5 2 16" xfId="39457"/>
    <cellStyle name="SAPBEXHLevel3 5 2 17" xfId="39458"/>
    <cellStyle name="SAPBEXHLevel3 5 2 18" xfId="39459"/>
    <cellStyle name="SAPBEXHLevel3 5 2 2" xfId="39460"/>
    <cellStyle name="SAPBEXHLevel3 5 2 2 2" xfId="39461"/>
    <cellStyle name="SAPBEXHLevel3 5 2 2 2 2" xfId="39462"/>
    <cellStyle name="SAPBEXHLevel3 5 2 2 3" xfId="39463"/>
    <cellStyle name="SAPBEXHLevel3 5 2 2 4" xfId="39464"/>
    <cellStyle name="SAPBEXHLevel3 5 2 3" xfId="39465"/>
    <cellStyle name="SAPBEXHLevel3 5 2 3 2" xfId="39466"/>
    <cellStyle name="SAPBEXHLevel3 5 2 3 3" xfId="39467"/>
    <cellStyle name="SAPBEXHLevel3 5 2 4" xfId="39468"/>
    <cellStyle name="SAPBEXHLevel3 5 2 4 2" xfId="39469"/>
    <cellStyle name="SAPBEXHLevel3 5 2 5" xfId="39470"/>
    <cellStyle name="SAPBEXHLevel3 5 2 6" xfId="39471"/>
    <cellStyle name="SAPBEXHLevel3 5 2 7" xfId="39472"/>
    <cellStyle name="SAPBEXHLevel3 5 2 8" xfId="39473"/>
    <cellStyle name="SAPBEXHLevel3 5 2 9" xfId="39474"/>
    <cellStyle name="SAPBEXHLevel3 5 20" xfId="39475"/>
    <cellStyle name="SAPBEXHLevel3 5 21" xfId="39476"/>
    <cellStyle name="SAPBEXHLevel3 5 22" xfId="39477"/>
    <cellStyle name="SAPBEXHLevel3 5 3" xfId="39478"/>
    <cellStyle name="SAPBEXHLevel3 5 3 10" xfId="39479"/>
    <cellStyle name="SAPBEXHLevel3 5 3 11" xfId="39480"/>
    <cellStyle name="SAPBEXHLevel3 5 3 12" xfId="39481"/>
    <cellStyle name="SAPBEXHLevel3 5 3 13" xfId="39482"/>
    <cellStyle name="SAPBEXHLevel3 5 3 14" xfId="39483"/>
    <cellStyle name="SAPBEXHLevel3 5 3 15" xfId="39484"/>
    <cellStyle name="SAPBEXHLevel3 5 3 16" xfId="39485"/>
    <cellStyle name="SAPBEXHLevel3 5 3 17" xfId="39486"/>
    <cellStyle name="SAPBEXHLevel3 5 3 18" xfId="39487"/>
    <cellStyle name="SAPBEXHLevel3 5 3 2" xfId="39488"/>
    <cellStyle name="SAPBEXHLevel3 5 3 2 2" xfId="39489"/>
    <cellStyle name="SAPBEXHLevel3 5 3 2 2 2" xfId="39490"/>
    <cellStyle name="SAPBEXHLevel3 5 3 2 3" xfId="39491"/>
    <cellStyle name="SAPBEXHLevel3 5 3 2 4" xfId="39492"/>
    <cellStyle name="SAPBEXHLevel3 5 3 3" xfId="39493"/>
    <cellStyle name="SAPBEXHLevel3 5 3 3 2" xfId="39494"/>
    <cellStyle name="SAPBEXHLevel3 5 3 3 3" xfId="39495"/>
    <cellStyle name="SAPBEXHLevel3 5 3 4" xfId="39496"/>
    <cellStyle name="SAPBEXHLevel3 5 3 4 2" xfId="39497"/>
    <cellStyle name="SAPBEXHLevel3 5 3 5" xfId="39498"/>
    <cellStyle name="SAPBEXHLevel3 5 3 6" xfId="39499"/>
    <cellStyle name="SAPBEXHLevel3 5 3 7" xfId="39500"/>
    <cellStyle name="SAPBEXHLevel3 5 3 8" xfId="39501"/>
    <cellStyle name="SAPBEXHLevel3 5 3 9" xfId="39502"/>
    <cellStyle name="SAPBEXHLevel3 5 4" xfId="39503"/>
    <cellStyle name="SAPBEXHLevel3 5 4 2" xfId="39504"/>
    <cellStyle name="SAPBEXHLevel3 5 4 2 2" xfId="39505"/>
    <cellStyle name="SAPBEXHLevel3 5 4 2 3" xfId="39506"/>
    <cellStyle name="SAPBEXHLevel3 5 4 3" xfId="39507"/>
    <cellStyle name="SAPBEXHLevel3 5 4 3 2" xfId="39508"/>
    <cellStyle name="SAPBEXHLevel3 5 4 4" xfId="39509"/>
    <cellStyle name="SAPBEXHLevel3 5 4 5" xfId="39510"/>
    <cellStyle name="SAPBEXHLevel3 5 5" xfId="39511"/>
    <cellStyle name="SAPBEXHLevel3 5 5 2" xfId="39512"/>
    <cellStyle name="SAPBEXHLevel3 5 5 2 2" xfId="39513"/>
    <cellStyle name="SAPBEXHLevel3 5 5 3" xfId="39514"/>
    <cellStyle name="SAPBEXHLevel3 5 5 4" xfId="39515"/>
    <cellStyle name="SAPBEXHLevel3 5 6" xfId="39516"/>
    <cellStyle name="SAPBEXHLevel3 5 6 2" xfId="39517"/>
    <cellStyle name="SAPBEXHLevel3 5 6 3" xfId="39518"/>
    <cellStyle name="SAPBEXHLevel3 5 7" xfId="39519"/>
    <cellStyle name="SAPBEXHLevel3 5 7 2" xfId="39520"/>
    <cellStyle name="SAPBEXHLevel3 5 8" xfId="39521"/>
    <cellStyle name="SAPBEXHLevel3 5 9" xfId="39522"/>
    <cellStyle name="SAPBEXHLevel3 6" xfId="39523"/>
    <cellStyle name="SAPBEXHLevel3 6 10" xfId="39524"/>
    <cellStyle name="SAPBEXHLevel3 6 11" xfId="39525"/>
    <cellStyle name="SAPBEXHLevel3 6 12" xfId="39526"/>
    <cellStyle name="SAPBEXHLevel3 6 13" xfId="39527"/>
    <cellStyle name="SAPBEXHLevel3 6 14" xfId="39528"/>
    <cellStyle name="SAPBEXHLevel3 6 15" xfId="39529"/>
    <cellStyle name="SAPBEXHLevel3 6 2" xfId="39530"/>
    <cellStyle name="SAPBEXHLevel3 6 2 10" xfId="39531"/>
    <cellStyle name="SAPBEXHLevel3 6 2 11" xfId="39532"/>
    <cellStyle name="SAPBEXHLevel3 6 2 12" xfId="39533"/>
    <cellStyle name="SAPBEXHLevel3 6 2 13" xfId="39534"/>
    <cellStyle name="SAPBEXHLevel3 6 2 14" xfId="39535"/>
    <cellStyle name="SAPBEXHLevel3 6 2 15" xfId="39536"/>
    <cellStyle name="SAPBEXHLevel3 6 2 16" xfId="39537"/>
    <cellStyle name="SAPBEXHLevel3 6 2 17" xfId="39538"/>
    <cellStyle name="SAPBEXHLevel3 6 2 18" xfId="39539"/>
    <cellStyle name="SAPBEXHLevel3 6 2 2" xfId="39540"/>
    <cellStyle name="SAPBEXHLevel3 6 2 2 2" xfId="39541"/>
    <cellStyle name="SAPBEXHLevel3 6 2 2 2 2" xfId="39542"/>
    <cellStyle name="SAPBEXHLevel3 6 2 2 3" xfId="39543"/>
    <cellStyle name="SAPBEXHLevel3 6 2 2 4" xfId="39544"/>
    <cellStyle name="SAPBEXHLevel3 6 2 3" xfId="39545"/>
    <cellStyle name="SAPBEXHLevel3 6 2 3 2" xfId="39546"/>
    <cellStyle name="SAPBEXHLevel3 6 2 3 3" xfId="39547"/>
    <cellStyle name="SAPBEXHLevel3 6 2 4" xfId="39548"/>
    <cellStyle name="SAPBEXHLevel3 6 2 4 2" xfId="39549"/>
    <cellStyle name="SAPBEXHLevel3 6 2 5" xfId="39550"/>
    <cellStyle name="SAPBEXHLevel3 6 2 6" xfId="39551"/>
    <cellStyle name="SAPBEXHLevel3 6 2 7" xfId="39552"/>
    <cellStyle name="SAPBEXHLevel3 6 2 8" xfId="39553"/>
    <cellStyle name="SAPBEXHLevel3 6 2 9" xfId="39554"/>
    <cellStyle name="SAPBEXHLevel3 6 3" xfId="39555"/>
    <cellStyle name="SAPBEXHLevel3 6 3 10" xfId="39556"/>
    <cellStyle name="SAPBEXHLevel3 6 3 11" xfId="39557"/>
    <cellStyle name="SAPBEXHLevel3 6 3 12" xfId="39558"/>
    <cellStyle name="SAPBEXHLevel3 6 3 13" xfId="39559"/>
    <cellStyle name="SAPBEXHLevel3 6 3 14" xfId="39560"/>
    <cellStyle name="SAPBEXHLevel3 6 3 15" xfId="39561"/>
    <cellStyle name="SAPBEXHLevel3 6 3 16" xfId="39562"/>
    <cellStyle name="SAPBEXHLevel3 6 3 17" xfId="39563"/>
    <cellStyle name="SAPBEXHLevel3 6 3 18" xfId="39564"/>
    <cellStyle name="SAPBEXHLevel3 6 3 2" xfId="39565"/>
    <cellStyle name="SAPBEXHLevel3 6 3 2 2" xfId="39566"/>
    <cellStyle name="SAPBEXHLevel3 6 3 2 2 2" xfId="39567"/>
    <cellStyle name="SAPBEXHLevel3 6 3 2 3" xfId="39568"/>
    <cellStyle name="SAPBEXHLevel3 6 3 2 4" xfId="39569"/>
    <cellStyle name="SAPBEXHLevel3 6 3 3" xfId="39570"/>
    <cellStyle name="SAPBEXHLevel3 6 3 3 2" xfId="39571"/>
    <cellStyle name="SAPBEXHLevel3 6 3 3 3" xfId="39572"/>
    <cellStyle name="SAPBEXHLevel3 6 3 4" xfId="39573"/>
    <cellStyle name="SAPBEXHLevel3 6 3 4 2" xfId="39574"/>
    <cellStyle name="SAPBEXHLevel3 6 3 5" xfId="39575"/>
    <cellStyle name="SAPBEXHLevel3 6 3 6" xfId="39576"/>
    <cellStyle name="SAPBEXHLevel3 6 3 7" xfId="39577"/>
    <cellStyle name="SAPBEXHLevel3 6 3 8" xfId="39578"/>
    <cellStyle name="SAPBEXHLevel3 6 3 9" xfId="39579"/>
    <cellStyle name="SAPBEXHLevel3 6 4" xfId="39580"/>
    <cellStyle name="SAPBEXHLevel3 6 4 2" xfId="39581"/>
    <cellStyle name="SAPBEXHLevel3 6 4 2 2" xfId="39582"/>
    <cellStyle name="SAPBEXHLevel3 6 4 3" xfId="39583"/>
    <cellStyle name="SAPBEXHLevel3 6 4 4" xfId="39584"/>
    <cellStyle name="SAPBEXHLevel3 6 5" xfId="39585"/>
    <cellStyle name="SAPBEXHLevel3 6 5 2" xfId="39586"/>
    <cellStyle name="SAPBEXHLevel3 6 6" xfId="39587"/>
    <cellStyle name="SAPBEXHLevel3 6 7" xfId="39588"/>
    <cellStyle name="SAPBEXHLevel3 6 8" xfId="39589"/>
    <cellStyle name="SAPBEXHLevel3 6 9" xfId="39590"/>
    <cellStyle name="SAPBEXHLevel3 7" xfId="39591"/>
    <cellStyle name="SAPBEXHLevel3 7 10" xfId="39592"/>
    <cellStyle name="SAPBEXHLevel3 7 11" xfId="39593"/>
    <cellStyle name="SAPBEXHLevel3 7 12" xfId="39594"/>
    <cellStyle name="SAPBEXHLevel3 7 13" xfId="39595"/>
    <cellStyle name="SAPBEXHLevel3 7 14" xfId="39596"/>
    <cellStyle name="SAPBEXHLevel3 7 15" xfId="39597"/>
    <cellStyle name="SAPBEXHLevel3 7 16" xfId="39598"/>
    <cellStyle name="SAPBEXHLevel3 7 17" xfId="39599"/>
    <cellStyle name="SAPBEXHLevel3 7 18" xfId="39600"/>
    <cellStyle name="SAPBEXHLevel3 7 2" xfId="39601"/>
    <cellStyle name="SAPBEXHLevel3 7 3" xfId="39602"/>
    <cellStyle name="SAPBEXHLevel3 7 4" xfId="39603"/>
    <cellStyle name="SAPBEXHLevel3 7 5" xfId="39604"/>
    <cellStyle name="SAPBEXHLevel3 7 6" xfId="39605"/>
    <cellStyle name="SAPBEXHLevel3 7 7" xfId="39606"/>
    <cellStyle name="SAPBEXHLevel3 7 8" xfId="39607"/>
    <cellStyle name="SAPBEXHLevel3 7 9" xfId="39608"/>
    <cellStyle name="SAPBEXHLevel3 8" xfId="39609"/>
    <cellStyle name="SAPBEXHLevel3 9" xfId="39610"/>
    <cellStyle name="SAPBEXHLevel3_Приложение_1_к_7-у-о_2009_Кв_1_ФСТ" xfId="39611"/>
    <cellStyle name="SAPBEXHLevel3X" xfId="39612"/>
    <cellStyle name="SAPBEXHLevel3X 10" xfId="39613"/>
    <cellStyle name="SAPBEXHLevel3X 11" xfId="39614"/>
    <cellStyle name="SAPBEXHLevel3X 12" xfId="39615"/>
    <cellStyle name="SAPBEXHLevel3X 13" xfId="39616"/>
    <cellStyle name="SAPBEXHLevel3X 14" xfId="39617"/>
    <cellStyle name="SAPBEXHLevel3X 15" xfId="39618"/>
    <cellStyle name="SAPBEXHLevel3X 16" xfId="39619"/>
    <cellStyle name="SAPBEXHLevel3X 17" xfId="39620"/>
    <cellStyle name="SAPBEXHLevel3X 18" xfId="39621"/>
    <cellStyle name="SAPBEXHLevel3X 19" xfId="39622"/>
    <cellStyle name="SAPBEXHLevel3X 2" xfId="39623"/>
    <cellStyle name="SAPBEXHLevel3X 2 10" xfId="39624"/>
    <cellStyle name="SAPBEXHLevel3X 2 11" xfId="39625"/>
    <cellStyle name="SAPBEXHLevel3X 2 12" xfId="39626"/>
    <cellStyle name="SAPBEXHLevel3X 2 13" xfId="39627"/>
    <cellStyle name="SAPBEXHLevel3X 2 14" xfId="39628"/>
    <cellStyle name="SAPBEXHLevel3X 2 15" xfId="39629"/>
    <cellStyle name="SAPBEXHLevel3X 2 16" xfId="39630"/>
    <cellStyle name="SAPBEXHLevel3X 2 17" xfId="39631"/>
    <cellStyle name="SAPBEXHLevel3X 2 18" xfId="39632"/>
    <cellStyle name="SAPBEXHLevel3X 2 19" xfId="39633"/>
    <cellStyle name="SAPBEXHLevel3X 2 2" xfId="39634"/>
    <cellStyle name="SAPBEXHLevel3X 2 2 10" xfId="39635"/>
    <cellStyle name="SAPBEXHLevel3X 2 2 11" xfId="39636"/>
    <cellStyle name="SAPBEXHLevel3X 2 2 12" xfId="39637"/>
    <cellStyle name="SAPBEXHLevel3X 2 2 13" xfId="39638"/>
    <cellStyle name="SAPBEXHLevel3X 2 2 14" xfId="39639"/>
    <cellStyle name="SAPBEXHLevel3X 2 2 15" xfId="39640"/>
    <cellStyle name="SAPBEXHLevel3X 2 2 16" xfId="39641"/>
    <cellStyle name="SAPBEXHLevel3X 2 2 17" xfId="39642"/>
    <cellStyle name="SAPBEXHLevel3X 2 2 18" xfId="39643"/>
    <cellStyle name="SAPBEXHLevel3X 2 2 2" xfId="39644"/>
    <cellStyle name="SAPBEXHLevel3X 2 2 2 2" xfId="39645"/>
    <cellStyle name="SAPBEXHLevel3X 2 2 2 2 2" xfId="39646"/>
    <cellStyle name="SAPBEXHLevel3X 2 2 2 3" xfId="39647"/>
    <cellStyle name="SAPBEXHLevel3X 2 2 2 4" xfId="39648"/>
    <cellStyle name="SAPBEXHLevel3X 2 2 3" xfId="39649"/>
    <cellStyle name="SAPBEXHLevel3X 2 2 3 2" xfId="39650"/>
    <cellStyle name="SAPBEXHLevel3X 2 2 3 3" xfId="39651"/>
    <cellStyle name="SAPBEXHLevel3X 2 2 4" xfId="39652"/>
    <cellStyle name="SAPBEXHLevel3X 2 2 4 2" xfId="39653"/>
    <cellStyle name="SAPBEXHLevel3X 2 2 5" xfId="39654"/>
    <cellStyle name="SAPBEXHLevel3X 2 2 6" xfId="39655"/>
    <cellStyle name="SAPBEXHLevel3X 2 2 7" xfId="39656"/>
    <cellStyle name="SAPBEXHLevel3X 2 2 8" xfId="39657"/>
    <cellStyle name="SAPBEXHLevel3X 2 2 9" xfId="39658"/>
    <cellStyle name="SAPBEXHLevel3X 2 20" xfId="39659"/>
    <cellStyle name="SAPBEXHLevel3X 2 21" xfId="39660"/>
    <cellStyle name="SAPBEXHLevel3X 2 22" xfId="39661"/>
    <cellStyle name="SAPBEXHLevel3X 2 23" xfId="39662"/>
    <cellStyle name="SAPBEXHLevel3X 2 24" xfId="39663"/>
    <cellStyle name="SAPBEXHLevel3X 2 25" xfId="39664"/>
    <cellStyle name="SAPBEXHLevel3X 2 3" xfId="39665"/>
    <cellStyle name="SAPBEXHLevel3X 2 3 10" xfId="39666"/>
    <cellStyle name="SAPBEXHLevel3X 2 3 11" xfId="39667"/>
    <cellStyle name="SAPBEXHLevel3X 2 3 12" xfId="39668"/>
    <cellStyle name="SAPBEXHLevel3X 2 3 13" xfId="39669"/>
    <cellStyle name="SAPBEXHLevel3X 2 3 14" xfId="39670"/>
    <cellStyle name="SAPBEXHLevel3X 2 3 15" xfId="39671"/>
    <cellStyle name="SAPBEXHLevel3X 2 3 16" xfId="39672"/>
    <cellStyle name="SAPBEXHLevel3X 2 3 17" xfId="39673"/>
    <cellStyle name="SAPBEXHLevel3X 2 3 18" xfId="39674"/>
    <cellStyle name="SAPBEXHLevel3X 2 3 2" xfId="39675"/>
    <cellStyle name="SAPBEXHLevel3X 2 3 2 2" xfId="39676"/>
    <cellStyle name="SAPBEXHLevel3X 2 3 2 2 2" xfId="39677"/>
    <cellStyle name="SAPBEXHLevel3X 2 3 2 3" xfId="39678"/>
    <cellStyle name="SAPBEXHLevel3X 2 3 2 4" xfId="39679"/>
    <cellStyle name="SAPBEXHLevel3X 2 3 3" xfId="39680"/>
    <cellStyle name="SAPBEXHLevel3X 2 3 3 2" xfId="39681"/>
    <cellStyle name="SAPBEXHLevel3X 2 3 3 3" xfId="39682"/>
    <cellStyle name="SAPBEXHLevel3X 2 3 4" xfId="39683"/>
    <cellStyle name="SAPBEXHLevel3X 2 3 4 2" xfId="39684"/>
    <cellStyle name="SAPBEXHLevel3X 2 3 5" xfId="39685"/>
    <cellStyle name="SAPBEXHLevel3X 2 3 6" xfId="39686"/>
    <cellStyle name="SAPBEXHLevel3X 2 3 7" xfId="39687"/>
    <cellStyle name="SAPBEXHLevel3X 2 3 8" xfId="39688"/>
    <cellStyle name="SAPBEXHLevel3X 2 3 9" xfId="39689"/>
    <cellStyle name="SAPBEXHLevel3X 2 4" xfId="39690"/>
    <cellStyle name="SAPBEXHLevel3X 2 4 2" xfId="39691"/>
    <cellStyle name="SAPBEXHLevel3X 2 4 2 2" xfId="39692"/>
    <cellStyle name="SAPBEXHLevel3X 2 4 2 3" xfId="39693"/>
    <cellStyle name="SAPBEXHLevel3X 2 4 3" xfId="39694"/>
    <cellStyle name="SAPBEXHLevel3X 2 4 3 2" xfId="39695"/>
    <cellStyle name="SAPBEXHLevel3X 2 4 4" xfId="39696"/>
    <cellStyle name="SAPBEXHLevel3X 2 4 5" xfId="39697"/>
    <cellStyle name="SAPBEXHLevel3X 2 5" xfId="39698"/>
    <cellStyle name="SAPBEXHLevel3X 2 5 2" xfId="39699"/>
    <cellStyle name="SAPBEXHLevel3X 2 5 2 2" xfId="39700"/>
    <cellStyle name="SAPBEXHLevel3X 2 5 3" xfId="39701"/>
    <cellStyle name="SAPBEXHLevel3X 2 5 4" xfId="39702"/>
    <cellStyle name="SAPBEXHLevel3X 2 6" xfId="39703"/>
    <cellStyle name="SAPBEXHLevel3X 2 6 2" xfId="39704"/>
    <cellStyle name="SAPBEXHLevel3X 2 6 3" xfId="39705"/>
    <cellStyle name="SAPBEXHLevel3X 2 7" xfId="39706"/>
    <cellStyle name="SAPBEXHLevel3X 2 7 2" xfId="39707"/>
    <cellStyle name="SAPBEXHLevel3X 2 8" xfId="39708"/>
    <cellStyle name="SAPBEXHLevel3X 2 9" xfId="39709"/>
    <cellStyle name="SAPBEXHLevel3X 20" xfId="39710"/>
    <cellStyle name="SAPBEXHLevel3X 3" xfId="39711"/>
    <cellStyle name="SAPBEXHLevel3X 3 10" xfId="39712"/>
    <cellStyle name="SAPBEXHLevel3X 3 11" xfId="39713"/>
    <cellStyle name="SAPBEXHLevel3X 3 12" xfId="39714"/>
    <cellStyle name="SAPBEXHLevel3X 3 13" xfId="39715"/>
    <cellStyle name="SAPBEXHLevel3X 3 14" xfId="39716"/>
    <cellStyle name="SAPBEXHLevel3X 3 15" xfId="39717"/>
    <cellStyle name="SAPBEXHLevel3X 3 16" xfId="39718"/>
    <cellStyle name="SAPBEXHLevel3X 3 17" xfId="39719"/>
    <cellStyle name="SAPBEXHLevel3X 3 18" xfId="39720"/>
    <cellStyle name="SAPBEXHLevel3X 3 19" xfId="39721"/>
    <cellStyle name="SAPBEXHLevel3X 3 2" xfId="39722"/>
    <cellStyle name="SAPBEXHLevel3X 3 2 10" xfId="39723"/>
    <cellStyle name="SAPBEXHLevel3X 3 2 11" xfId="39724"/>
    <cellStyle name="SAPBEXHLevel3X 3 2 12" xfId="39725"/>
    <cellStyle name="SAPBEXHLevel3X 3 2 13" xfId="39726"/>
    <cellStyle name="SAPBEXHLevel3X 3 2 14" xfId="39727"/>
    <cellStyle name="SAPBEXHLevel3X 3 2 15" xfId="39728"/>
    <cellStyle name="SAPBEXHLevel3X 3 2 16" xfId="39729"/>
    <cellStyle name="SAPBEXHLevel3X 3 2 17" xfId="39730"/>
    <cellStyle name="SAPBEXHLevel3X 3 2 18" xfId="39731"/>
    <cellStyle name="SAPBEXHLevel3X 3 2 2" xfId="39732"/>
    <cellStyle name="SAPBEXHLevel3X 3 2 2 2" xfId="39733"/>
    <cellStyle name="SAPBEXHLevel3X 3 2 2 2 2" xfId="39734"/>
    <cellStyle name="SAPBEXHLevel3X 3 2 2 3" xfId="39735"/>
    <cellStyle name="SAPBEXHLevel3X 3 2 2 4" xfId="39736"/>
    <cellStyle name="SAPBEXHLevel3X 3 2 3" xfId="39737"/>
    <cellStyle name="SAPBEXHLevel3X 3 2 3 2" xfId="39738"/>
    <cellStyle name="SAPBEXHLevel3X 3 2 3 3" xfId="39739"/>
    <cellStyle name="SAPBEXHLevel3X 3 2 4" xfId="39740"/>
    <cellStyle name="SAPBEXHLevel3X 3 2 4 2" xfId="39741"/>
    <cellStyle name="SAPBEXHLevel3X 3 2 5" xfId="39742"/>
    <cellStyle name="SAPBEXHLevel3X 3 2 6" xfId="39743"/>
    <cellStyle name="SAPBEXHLevel3X 3 2 7" xfId="39744"/>
    <cellStyle name="SAPBEXHLevel3X 3 2 8" xfId="39745"/>
    <cellStyle name="SAPBEXHLevel3X 3 2 9" xfId="39746"/>
    <cellStyle name="SAPBEXHLevel3X 3 20" xfId="39747"/>
    <cellStyle name="SAPBEXHLevel3X 3 3" xfId="39748"/>
    <cellStyle name="SAPBEXHLevel3X 3 3 10" xfId="39749"/>
    <cellStyle name="SAPBEXHLevel3X 3 3 11" xfId="39750"/>
    <cellStyle name="SAPBEXHLevel3X 3 3 12" xfId="39751"/>
    <cellStyle name="SAPBEXHLevel3X 3 3 13" xfId="39752"/>
    <cellStyle name="SAPBEXHLevel3X 3 3 14" xfId="39753"/>
    <cellStyle name="SAPBEXHLevel3X 3 3 15" xfId="39754"/>
    <cellStyle name="SAPBEXHLevel3X 3 3 16" xfId="39755"/>
    <cellStyle name="SAPBEXHLevel3X 3 3 17" xfId="39756"/>
    <cellStyle name="SAPBEXHLevel3X 3 3 18" xfId="39757"/>
    <cellStyle name="SAPBEXHLevel3X 3 3 2" xfId="39758"/>
    <cellStyle name="SAPBEXHLevel3X 3 3 2 2" xfId="39759"/>
    <cellStyle name="SAPBEXHLevel3X 3 3 2 2 2" xfId="39760"/>
    <cellStyle name="SAPBEXHLevel3X 3 3 2 3" xfId="39761"/>
    <cellStyle name="SAPBEXHLevel3X 3 3 2 4" xfId="39762"/>
    <cellStyle name="SAPBEXHLevel3X 3 3 3" xfId="39763"/>
    <cellStyle name="SAPBEXHLevel3X 3 3 3 2" xfId="39764"/>
    <cellStyle name="SAPBEXHLevel3X 3 3 3 3" xfId="39765"/>
    <cellStyle name="SAPBEXHLevel3X 3 3 4" xfId="39766"/>
    <cellStyle name="SAPBEXHLevel3X 3 3 4 2" xfId="39767"/>
    <cellStyle name="SAPBEXHLevel3X 3 3 5" xfId="39768"/>
    <cellStyle name="SAPBEXHLevel3X 3 3 6" xfId="39769"/>
    <cellStyle name="SAPBEXHLevel3X 3 3 7" xfId="39770"/>
    <cellStyle name="SAPBEXHLevel3X 3 3 8" xfId="39771"/>
    <cellStyle name="SAPBEXHLevel3X 3 3 9" xfId="39772"/>
    <cellStyle name="SAPBEXHLevel3X 3 4" xfId="39773"/>
    <cellStyle name="SAPBEXHLevel3X 3 4 2" xfId="39774"/>
    <cellStyle name="SAPBEXHLevel3X 3 4 2 2" xfId="39775"/>
    <cellStyle name="SAPBEXHLevel3X 3 4 2 3" xfId="39776"/>
    <cellStyle name="SAPBEXHLevel3X 3 4 3" xfId="39777"/>
    <cellStyle name="SAPBEXHLevel3X 3 4 3 2" xfId="39778"/>
    <cellStyle name="SAPBEXHLevel3X 3 4 4" xfId="39779"/>
    <cellStyle name="SAPBEXHLevel3X 3 4 5" xfId="39780"/>
    <cellStyle name="SAPBEXHLevel3X 3 5" xfId="39781"/>
    <cellStyle name="SAPBEXHLevel3X 3 5 2" xfId="39782"/>
    <cellStyle name="SAPBEXHLevel3X 3 5 2 2" xfId="39783"/>
    <cellStyle name="SAPBEXHLevel3X 3 5 3" xfId="39784"/>
    <cellStyle name="SAPBEXHLevel3X 3 5 4" xfId="39785"/>
    <cellStyle name="SAPBEXHLevel3X 3 6" xfId="39786"/>
    <cellStyle name="SAPBEXHLevel3X 3 6 2" xfId="39787"/>
    <cellStyle name="SAPBEXHLevel3X 3 6 3" xfId="39788"/>
    <cellStyle name="SAPBEXHLevel3X 3 7" xfId="39789"/>
    <cellStyle name="SAPBEXHLevel3X 3 7 2" xfId="39790"/>
    <cellStyle name="SAPBEXHLevel3X 3 8" xfId="39791"/>
    <cellStyle name="SAPBEXHLevel3X 3 9" xfId="39792"/>
    <cellStyle name="SAPBEXHLevel3X 4" xfId="39793"/>
    <cellStyle name="SAPBEXHLevel3X 4 10" xfId="39794"/>
    <cellStyle name="SAPBEXHLevel3X 4 11" xfId="39795"/>
    <cellStyle name="SAPBEXHLevel3X 4 12" xfId="39796"/>
    <cellStyle name="SAPBEXHLevel3X 4 13" xfId="39797"/>
    <cellStyle name="SAPBEXHLevel3X 4 14" xfId="39798"/>
    <cellStyle name="SAPBEXHLevel3X 4 15" xfId="39799"/>
    <cellStyle name="SAPBEXHLevel3X 4 16" xfId="39800"/>
    <cellStyle name="SAPBEXHLevel3X 4 17" xfId="39801"/>
    <cellStyle name="SAPBEXHLevel3X 4 18" xfId="39802"/>
    <cellStyle name="SAPBEXHLevel3X 4 19" xfId="39803"/>
    <cellStyle name="SAPBEXHLevel3X 4 2" xfId="39804"/>
    <cellStyle name="SAPBEXHLevel3X 4 2 10" xfId="39805"/>
    <cellStyle name="SAPBEXHLevel3X 4 2 11" xfId="39806"/>
    <cellStyle name="SAPBEXHLevel3X 4 2 12" xfId="39807"/>
    <cellStyle name="SAPBEXHLevel3X 4 2 13" xfId="39808"/>
    <cellStyle name="SAPBEXHLevel3X 4 2 14" xfId="39809"/>
    <cellStyle name="SAPBEXHLevel3X 4 2 15" xfId="39810"/>
    <cellStyle name="SAPBEXHLevel3X 4 2 16" xfId="39811"/>
    <cellStyle name="SAPBEXHLevel3X 4 2 17" xfId="39812"/>
    <cellStyle name="SAPBEXHLevel3X 4 2 18" xfId="39813"/>
    <cellStyle name="SAPBEXHLevel3X 4 2 2" xfId="39814"/>
    <cellStyle name="SAPBEXHLevel3X 4 2 2 2" xfId="39815"/>
    <cellStyle name="SAPBEXHLevel3X 4 2 2 2 2" xfId="39816"/>
    <cellStyle name="SAPBEXHLevel3X 4 2 2 3" xfId="39817"/>
    <cellStyle name="SAPBEXHLevel3X 4 2 2 4" xfId="39818"/>
    <cellStyle name="SAPBEXHLevel3X 4 2 3" xfId="39819"/>
    <cellStyle name="SAPBEXHLevel3X 4 2 3 2" xfId="39820"/>
    <cellStyle name="SAPBEXHLevel3X 4 2 3 3" xfId="39821"/>
    <cellStyle name="SAPBEXHLevel3X 4 2 4" xfId="39822"/>
    <cellStyle name="SAPBEXHLevel3X 4 2 4 2" xfId="39823"/>
    <cellStyle name="SAPBEXHLevel3X 4 2 5" xfId="39824"/>
    <cellStyle name="SAPBEXHLevel3X 4 2 6" xfId="39825"/>
    <cellStyle name="SAPBEXHLevel3X 4 2 7" xfId="39826"/>
    <cellStyle name="SAPBEXHLevel3X 4 2 8" xfId="39827"/>
    <cellStyle name="SAPBEXHLevel3X 4 2 9" xfId="39828"/>
    <cellStyle name="SAPBEXHLevel3X 4 20" xfId="39829"/>
    <cellStyle name="SAPBEXHLevel3X 4 21" xfId="39830"/>
    <cellStyle name="SAPBEXHLevel3X 4 22" xfId="39831"/>
    <cellStyle name="SAPBEXHLevel3X 4 3" xfId="39832"/>
    <cellStyle name="SAPBEXHLevel3X 4 3 10" xfId="39833"/>
    <cellStyle name="SAPBEXHLevel3X 4 3 11" xfId="39834"/>
    <cellStyle name="SAPBEXHLevel3X 4 3 12" xfId="39835"/>
    <cellStyle name="SAPBEXHLevel3X 4 3 13" xfId="39836"/>
    <cellStyle name="SAPBEXHLevel3X 4 3 14" xfId="39837"/>
    <cellStyle name="SAPBEXHLevel3X 4 3 15" xfId="39838"/>
    <cellStyle name="SAPBEXHLevel3X 4 3 16" xfId="39839"/>
    <cellStyle name="SAPBEXHLevel3X 4 3 17" xfId="39840"/>
    <cellStyle name="SAPBEXHLevel3X 4 3 18" xfId="39841"/>
    <cellStyle name="SAPBEXHLevel3X 4 3 2" xfId="39842"/>
    <cellStyle name="SAPBEXHLevel3X 4 3 2 2" xfId="39843"/>
    <cellStyle name="SAPBEXHLevel3X 4 3 2 2 2" xfId="39844"/>
    <cellStyle name="SAPBEXHLevel3X 4 3 2 3" xfId="39845"/>
    <cellStyle name="SAPBEXHLevel3X 4 3 2 4" xfId="39846"/>
    <cellStyle name="SAPBEXHLevel3X 4 3 3" xfId="39847"/>
    <cellStyle name="SAPBEXHLevel3X 4 3 3 2" xfId="39848"/>
    <cellStyle name="SAPBEXHLevel3X 4 3 3 3" xfId="39849"/>
    <cellStyle name="SAPBEXHLevel3X 4 3 4" xfId="39850"/>
    <cellStyle name="SAPBEXHLevel3X 4 3 4 2" xfId="39851"/>
    <cellStyle name="SAPBEXHLevel3X 4 3 5" xfId="39852"/>
    <cellStyle name="SAPBEXHLevel3X 4 3 6" xfId="39853"/>
    <cellStyle name="SAPBEXHLevel3X 4 3 7" xfId="39854"/>
    <cellStyle name="SAPBEXHLevel3X 4 3 8" xfId="39855"/>
    <cellStyle name="SAPBEXHLevel3X 4 3 9" xfId="39856"/>
    <cellStyle name="SAPBEXHLevel3X 4 4" xfId="39857"/>
    <cellStyle name="SAPBEXHLevel3X 4 4 2" xfId="39858"/>
    <cellStyle name="SAPBEXHLevel3X 4 4 2 2" xfId="39859"/>
    <cellStyle name="SAPBEXHLevel3X 4 4 2 3" xfId="39860"/>
    <cellStyle name="SAPBEXHLevel3X 4 4 3" xfId="39861"/>
    <cellStyle name="SAPBEXHLevel3X 4 4 3 2" xfId="39862"/>
    <cellStyle name="SAPBEXHLevel3X 4 4 4" xfId="39863"/>
    <cellStyle name="SAPBEXHLevel3X 4 4 5" xfId="39864"/>
    <cellStyle name="SAPBEXHLevel3X 4 5" xfId="39865"/>
    <cellStyle name="SAPBEXHLevel3X 4 5 2" xfId="39866"/>
    <cellStyle name="SAPBEXHLevel3X 4 5 2 2" xfId="39867"/>
    <cellStyle name="SAPBEXHLevel3X 4 5 3" xfId="39868"/>
    <cellStyle name="SAPBEXHLevel3X 4 5 4" xfId="39869"/>
    <cellStyle name="SAPBEXHLevel3X 4 6" xfId="39870"/>
    <cellStyle name="SAPBEXHLevel3X 4 6 2" xfId="39871"/>
    <cellStyle name="SAPBEXHLevel3X 4 6 3" xfId="39872"/>
    <cellStyle name="SAPBEXHLevel3X 4 7" xfId="39873"/>
    <cellStyle name="SAPBEXHLevel3X 4 7 2" xfId="39874"/>
    <cellStyle name="SAPBEXHLevel3X 4 8" xfId="39875"/>
    <cellStyle name="SAPBEXHLevel3X 4 9" xfId="39876"/>
    <cellStyle name="SAPBEXHLevel3X 5" xfId="39877"/>
    <cellStyle name="SAPBEXHLevel3X 5 10" xfId="39878"/>
    <cellStyle name="SAPBEXHLevel3X 5 11" xfId="39879"/>
    <cellStyle name="SAPBEXHLevel3X 5 12" xfId="39880"/>
    <cellStyle name="SAPBEXHLevel3X 5 13" xfId="39881"/>
    <cellStyle name="SAPBEXHLevel3X 5 14" xfId="39882"/>
    <cellStyle name="SAPBEXHLevel3X 5 15" xfId="39883"/>
    <cellStyle name="SAPBEXHLevel3X 5 16" xfId="39884"/>
    <cellStyle name="SAPBEXHLevel3X 5 17" xfId="39885"/>
    <cellStyle name="SAPBEXHLevel3X 5 18" xfId="39886"/>
    <cellStyle name="SAPBEXHLevel3X 5 19" xfId="39887"/>
    <cellStyle name="SAPBEXHLevel3X 5 2" xfId="39888"/>
    <cellStyle name="SAPBEXHLevel3X 5 2 10" xfId="39889"/>
    <cellStyle name="SAPBEXHLevel3X 5 2 11" xfId="39890"/>
    <cellStyle name="SAPBEXHLevel3X 5 2 12" xfId="39891"/>
    <cellStyle name="SAPBEXHLevel3X 5 2 13" xfId="39892"/>
    <cellStyle name="SAPBEXHLevel3X 5 2 14" xfId="39893"/>
    <cellStyle name="SAPBEXHLevel3X 5 2 15" xfId="39894"/>
    <cellStyle name="SAPBEXHLevel3X 5 2 16" xfId="39895"/>
    <cellStyle name="SAPBEXHLevel3X 5 2 17" xfId="39896"/>
    <cellStyle name="SAPBEXHLevel3X 5 2 18" xfId="39897"/>
    <cellStyle name="SAPBEXHLevel3X 5 2 2" xfId="39898"/>
    <cellStyle name="SAPBEXHLevel3X 5 2 2 2" xfId="39899"/>
    <cellStyle name="SAPBEXHLevel3X 5 2 2 2 2" xfId="39900"/>
    <cellStyle name="SAPBEXHLevel3X 5 2 2 3" xfId="39901"/>
    <cellStyle name="SAPBEXHLevel3X 5 2 2 4" xfId="39902"/>
    <cellStyle name="SAPBEXHLevel3X 5 2 3" xfId="39903"/>
    <cellStyle name="SAPBEXHLevel3X 5 2 3 2" xfId="39904"/>
    <cellStyle name="SAPBEXHLevel3X 5 2 3 3" xfId="39905"/>
    <cellStyle name="SAPBEXHLevel3X 5 2 4" xfId="39906"/>
    <cellStyle name="SAPBEXHLevel3X 5 2 4 2" xfId="39907"/>
    <cellStyle name="SAPBEXHLevel3X 5 2 5" xfId="39908"/>
    <cellStyle name="SAPBEXHLevel3X 5 2 6" xfId="39909"/>
    <cellStyle name="SAPBEXHLevel3X 5 2 7" xfId="39910"/>
    <cellStyle name="SAPBEXHLevel3X 5 2 8" xfId="39911"/>
    <cellStyle name="SAPBEXHLevel3X 5 2 9" xfId="39912"/>
    <cellStyle name="SAPBEXHLevel3X 5 20" xfId="39913"/>
    <cellStyle name="SAPBEXHLevel3X 5 21" xfId="39914"/>
    <cellStyle name="SAPBEXHLevel3X 5 22" xfId="39915"/>
    <cellStyle name="SAPBEXHLevel3X 5 3" xfId="39916"/>
    <cellStyle name="SAPBEXHLevel3X 5 3 10" xfId="39917"/>
    <cellStyle name="SAPBEXHLevel3X 5 3 11" xfId="39918"/>
    <cellStyle name="SAPBEXHLevel3X 5 3 12" xfId="39919"/>
    <cellStyle name="SAPBEXHLevel3X 5 3 13" xfId="39920"/>
    <cellStyle name="SAPBEXHLevel3X 5 3 14" xfId="39921"/>
    <cellStyle name="SAPBEXHLevel3X 5 3 15" xfId="39922"/>
    <cellStyle name="SAPBEXHLevel3X 5 3 16" xfId="39923"/>
    <cellStyle name="SAPBEXHLevel3X 5 3 17" xfId="39924"/>
    <cellStyle name="SAPBEXHLevel3X 5 3 18" xfId="39925"/>
    <cellStyle name="SAPBEXHLevel3X 5 3 2" xfId="39926"/>
    <cellStyle name="SAPBEXHLevel3X 5 3 2 2" xfId="39927"/>
    <cellStyle name="SAPBEXHLevel3X 5 3 2 2 2" xfId="39928"/>
    <cellStyle name="SAPBEXHLevel3X 5 3 2 3" xfId="39929"/>
    <cellStyle name="SAPBEXHLevel3X 5 3 2 4" xfId="39930"/>
    <cellStyle name="SAPBEXHLevel3X 5 3 3" xfId="39931"/>
    <cellStyle name="SAPBEXHLevel3X 5 3 3 2" xfId="39932"/>
    <cellStyle name="SAPBEXHLevel3X 5 3 3 3" xfId="39933"/>
    <cellStyle name="SAPBEXHLevel3X 5 3 4" xfId="39934"/>
    <cellStyle name="SAPBEXHLevel3X 5 3 4 2" xfId="39935"/>
    <cellStyle name="SAPBEXHLevel3X 5 3 5" xfId="39936"/>
    <cellStyle name="SAPBEXHLevel3X 5 3 6" xfId="39937"/>
    <cellStyle name="SAPBEXHLevel3X 5 3 7" xfId="39938"/>
    <cellStyle name="SAPBEXHLevel3X 5 3 8" xfId="39939"/>
    <cellStyle name="SAPBEXHLevel3X 5 3 9" xfId="39940"/>
    <cellStyle name="SAPBEXHLevel3X 5 4" xfId="39941"/>
    <cellStyle name="SAPBEXHLevel3X 5 4 2" xfId="39942"/>
    <cellStyle name="SAPBEXHLevel3X 5 4 2 2" xfId="39943"/>
    <cellStyle name="SAPBEXHLevel3X 5 4 2 3" xfId="39944"/>
    <cellStyle name="SAPBEXHLevel3X 5 4 3" xfId="39945"/>
    <cellStyle name="SAPBEXHLevel3X 5 4 3 2" xfId="39946"/>
    <cellStyle name="SAPBEXHLevel3X 5 4 4" xfId="39947"/>
    <cellStyle name="SAPBEXHLevel3X 5 4 5" xfId="39948"/>
    <cellStyle name="SAPBEXHLevel3X 5 5" xfId="39949"/>
    <cellStyle name="SAPBEXHLevel3X 5 5 2" xfId="39950"/>
    <cellStyle name="SAPBEXHLevel3X 5 5 2 2" xfId="39951"/>
    <cellStyle name="SAPBEXHLevel3X 5 5 3" xfId="39952"/>
    <cellStyle name="SAPBEXHLevel3X 5 5 4" xfId="39953"/>
    <cellStyle name="SAPBEXHLevel3X 5 6" xfId="39954"/>
    <cellStyle name="SAPBEXHLevel3X 5 6 2" xfId="39955"/>
    <cellStyle name="SAPBEXHLevel3X 5 6 3" xfId="39956"/>
    <cellStyle name="SAPBEXHLevel3X 5 7" xfId="39957"/>
    <cellStyle name="SAPBEXHLevel3X 5 7 2" xfId="39958"/>
    <cellStyle name="SAPBEXHLevel3X 5 8" xfId="39959"/>
    <cellStyle name="SAPBEXHLevel3X 5 9" xfId="39960"/>
    <cellStyle name="SAPBEXHLevel3X 6" xfId="39961"/>
    <cellStyle name="SAPBEXHLevel3X 6 10" xfId="39962"/>
    <cellStyle name="SAPBEXHLevel3X 6 11" xfId="39963"/>
    <cellStyle name="SAPBEXHLevel3X 6 12" xfId="39964"/>
    <cellStyle name="SAPBEXHLevel3X 6 13" xfId="39965"/>
    <cellStyle name="SAPBEXHLevel3X 6 14" xfId="39966"/>
    <cellStyle name="SAPBEXHLevel3X 6 15" xfId="39967"/>
    <cellStyle name="SAPBEXHLevel3X 6 2" xfId="39968"/>
    <cellStyle name="SAPBEXHLevel3X 6 2 10" xfId="39969"/>
    <cellStyle name="SAPBEXHLevel3X 6 2 11" xfId="39970"/>
    <cellStyle name="SAPBEXHLevel3X 6 2 12" xfId="39971"/>
    <cellStyle name="SAPBEXHLevel3X 6 2 13" xfId="39972"/>
    <cellStyle name="SAPBEXHLevel3X 6 2 14" xfId="39973"/>
    <cellStyle name="SAPBEXHLevel3X 6 2 15" xfId="39974"/>
    <cellStyle name="SAPBEXHLevel3X 6 2 16" xfId="39975"/>
    <cellStyle name="SAPBEXHLevel3X 6 2 17" xfId="39976"/>
    <cellStyle name="SAPBEXHLevel3X 6 2 18" xfId="39977"/>
    <cellStyle name="SAPBEXHLevel3X 6 2 2" xfId="39978"/>
    <cellStyle name="SAPBEXHLevel3X 6 2 2 2" xfId="39979"/>
    <cellStyle name="SAPBEXHLevel3X 6 2 2 2 2" xfId="39980"/>
    <cellStyle name="SAPBEXHLevel3X 6 2 2 3" xfId="39981"/>
    <cellStyle name="SAPBEXHLevel3X 6 2 2 4" xfId="39982"/>
    <cellStyle name="SAPBEXHLevel3X 6 2 3" xfId="39983"/>
    <cellStyle name="SAPBEXHLevel3X 6 2 3 2" xfId="39984"/>
    <cellStyle name="SAPBEXHLevel3X 6 2 3 3" xfId="39985"/>
    <cellStyle name="SAPBEXHLevel3X 6 2 4" xfId="39986"/>
    <cellStyle name="SAPBEXHLevel3X 6 2 4 2" xfId="39987"/>
    <cellStyle name="SAPBEXHLevel3X 6 2 5" xfId="39988"/>
    <cellStyle name="SAPBEXHLevel3X 6 2 6" xfId="39989"/>
    <cellStyle name="SAPBEXHLevel3X 6 2 7" xfId="39990"/>
    <cellStyle name="SAPBEXHLevel3X 6 2 8" xfId="39991"/>
    <cellStyle name="SAPBEXHLevel3X 6 2 9" xfId="39992"/>
    <cellStyle name="SAPBEXHLevel3X 6 3" xfId="39993"/>
    <cellStyle name="SAPBEXHLevel3X 6 3 10" xfId="39994"/>
    <cellStyle name="SAPBEXHLevel3X 6 3 11" xfId="39995"/>
    <cellStyle name="SAPBEXHLevel3X 6 3 12" xfId="39996"/>
    <cellStyle name="SAPBEXHLevel3X 6 3 13" xfId="39997"/>
    <cellStyle name="SAPBEXHLevel3X 6 3 14" xfId="39998"/>
    <cellStyle name="SAPBEXHLevel3X 6 3 15" xfId="39999"/>
    <cellStyle name="SAPBEXHLevel3X 6 3 16" xfId="40000"/>
    <cellStyle name="SAPBEXHLevel3X 6 3 17" xfId="40001"/>
    <cellStyle name="SAPBEXHLevel3X 6 3 18" xfId="40002"/>
    <cellStyle name="SAPBEXHLevel3X 6 3 2" xfId="40003"/>
    <cellStyle name="SAPBEXHLevel3X 6 3 2 2" xfId="40004"/>
    <cellStyle name="SAPBEXHLevel3X 6 3 2 2 2" xfId="40005"/>
    <cellStyle name="SAPBEXHLevel3X 6 3 2 3" xfId="40006"/>
    <cellStyle name="SAPBEXHLevel3X 6 3 2 4" xfId="40007"/>
    <cellStyle name="SAPBEXHLevel3X 6 3 3" xfId="40008"/>
    <cellStyle name="SAPBEXHLevel3X 6 3 3 2" xfId="40009"/>
    <cellStyle name="SAPBEXHLevel3X 6 3 3 3" xfId="40010"/>
    <cellStyle name="SAPBEXHLevel3X 6 3 4" xfId="40011"/>
    <cellStyle name="SAPBEXHLevel3X 6 3 4 2" xfId="40012"/>
    <cellStyle name="SAPBEXHLevel3X 6 3 5" xfId="40013"/>
    <cellStyle name="SAPBEXHLevel3X 6 3 6" xfId="40014"/>
    <cellStyle name="SAPBEXHLevel3X 6 3 7" xfId="40015"/>
    <cellStyle name="SAPBEXHLevel3X 6 3 8" xfId="40016"/>
    <cellStyle name="SAPBEXHLevel3X 6 3 9" xfId="40017"/>
    <cellStyle name="SAPBEXHLevel3X 6 4" xfId="40018"/>
    <cellStyle name="SAPBEXHLevel3X 6 4 2" xfId="40019"/>
    <cellStyle name="SAPBEXHLevel3X 6 4 2 2" xfId="40020"/>
    <cellStyle name="SAPBEXHLevel3X 6 4 3" xfId="40021"/>
    <cellStyle name="SAPBEXHLevel3X 6 4 4" xfId="40022"/>
    <cellStyle name="SAPBEXHLevel3X 6 5" xfId="40023"/>
    <cellStyle name="SAPBEXHLevel3X 6 5 2" xfId="40024"/>
    <cellStyle name="SAPBEXHLevel3X 6 6" xfId="40025"/>
    <cellStyle name="SAPBEXHLevel3X 6 7" xfId="40026"/>
    <cellStyle name="SAPBEXHLevel3X 6 8" xfId="40027"/>
    <cellStyle name="SAPBEXHLevel3X 6 9" xfId="40028"/>
    <cellStyle name="SAPBEXHLevel3X 7" xfId="40029"/>
    <cellStyle name="SAPBEXHLevel3X 7 10" xfId="40030"/>
    <cellStyle name="SAPBEXHLevel3X 7 11" xfId="40031"/>
    <cellStyle name="SAPBEXHLevel3X 7 12" xfId="40032"/>
    <cellStyle name="SAPBEXHLevel3X 7 13" xfId="40033"/>
    <cellStyle name="SAPBEXHLevel3X 7 14" xfId="40034"/>
    <cellStyle name="SAPBEXHLevel3X 7 15" xfId="40035"/>
    <cellStyle name="SAPBEXHLevel3X 7 16" xfId="40036"/>
    <cellStyle name="SAPBEXHLevel3X 7 17" xfId="40037"/>
    <cellStyle name="SAPBEXHLevel3X 7 18" xfId="40038"/>
    <cellStyle name="SAPBEXHLevel3X 7 19" xfId="40039"/>
    <cellStyle name="SAPBEXHLevel3X 7 2" xfId="40040"/>
    <cellStyle name="SAPBEXHLevel3X 7 3" xfId="40041"/>
    <cellStyle name="SAPBEXHLevel3X 7 4" xfId="40042"/>
    <cellStyle name="SAPBEXHLevel3X 7 5" xfId="40043"/>
    <cellStyle name="SAPBEXHLevel3X 7 6" xfId="40044"/>
    <cellStyle name="SAPBEXHLevel3X 7 7" xfId="40045"/>
    <cellStyle name="SAPBEXHLevel3X 7 8" xfId="40046"/>
    <cellStyle name="SAPBEXHLevel3X 7 9" xfId="40047"/>
    <cellStyle name="SAPBEXHLevel3X 8" xfId="40048"/>
    <cellStyle name="SAPBEXHLevel3X 8 2" xfId="40049"/>
    <cellStyle name="SAPBEXHLevel3X 9" xfId="40050"/>
    <cellStyle name="SAPBEXHLevel3X 9 2" xfId="40051"/>
    <cellStyle name="SAPBEXHLevel3X_7-р_Из_Системы" xfId="40052"/>
    <cellStyle name="SAPBEXinputData" xfId="40053"/>
    <cellStyle name="SAPBEXinputData 10" xfId="40054"/>
    <cellStyle name="SAPBEXinputData 2" xfId="40055"/>
    <cellStyle name="SAPBEXinputData 3" xfId="40056"/>
    <cellStyle name="SAPBEXinputData 4" xfId="40057"/>
    <cellStyle name="SAPBEXinputData 5" xfId="40058"/>
    <cellStyle name="SAPBEXinputData 6" xfId="40059"/>
    <cellStyle name="SAPBEXinputData 7" xfId="40060"/>
    <cellStyle name="SAPBEXinputData 8" xfId="40061"/>
    <cellStyle name="SAPBEXinputData 9" xfId="40062"/>
    <cellStyle name="SAPBEXinputData_7-р_Из_Системы" xfId="40063"/>
    <cellStyle name="SAPBEXItemHeader" xfId="40064"/>
    <cellStyle name="SAPBEXresData" xfId="40065"/>
    <cellStyle name="SAPBEXresData 10" xfId="40066"/>
    <cellStyle name="SAPBEXresData 11" xfId="40067"/>
    <cellStyle name="SAPBEXresData 12" xfId="40068"/>
    <cellStyle name="SAPBEXresData 13" xfId="40069"/>
    <cellStyle name="SAPBEXresData 14" xfId="40070"/>
    <cellStyle name="SAPBEXresData 15" xfId="40071"/>
    <cellStyle name="SAPBEXresData 16" xfId="40072"/>
    <cellStyle name="SAPBEXresData 17" xfId="40073"/>
    <cellStyle name="SAPBEXresData 18" xfId="40074"/>
    <cellStyle name="SAPBEXresData 19" xfId="40075"/>
    <cellStyle name="SAPBEXresData 2" xfId="40076"/>
    <cellStyle name="SAPBEXresData 2 10" xfId="40077"/>
    <cellStyle name="SAPBEXresData 2 11" xfId="40078"/>
    <cellStyle name="SAPBEXresData 2 12" xfId="40079"/>
    <cellStyle name="SAPBEXresData 2 13" xfId="40080"/>
    <cellStyle name="SAPBEXresData 2 14" xfId="40081"/>
    <cellStyle name="SAPBEXresData 2 15" xfId="40082"/>
    <cellStyle name="SAPBEXresData 2 16" xfId="40083"/>
    <cellStyle name="SAPBEXresData 2 17" xfId="40084"/>
    <cellStyle name="SAPBEXresData 2 18" xfId="40085"/>
    <cellStyle name="SAPBEXresData 2 19" xfId="40086"/>
    <cellStyle name="SAPBEXresData 2 2" xfId="40087"/>
    <cellStyle name="SAPBEXresData 2 2 10" xfId="40088"/>
    <cellStyle name="SAPBEXresData 2 2 11" xfId="40089"/>
    <cellStyle name="SAPBEXresData 2 2 12" xfId="40090"/>
    <cellStyle name="SAPBEXresData 2 2 13" xfId="40091"/>
    <cellStyle name="SAPBEXresData 2 2 14" xfId="40092"/>
    <cellStyle name="SAPBEXresData 2 2 15" xfId="40093"/>
    <cellStyle name="SAPBEXresData 2 2 16" xfId="40094"/>
    <cellStyle name="SAPBEXresData 2 2 17" xfId="40095"/>
    <cellStyle name="SAPBEXresData 2 2 18" xfId="40096"/>
    <cellStyle name="SAPBEXresData 2 2 19" xfId="40097"/>
    <cellStyle name="SAPBEXresData 2 2 2" xfId="40098"/>
    <cellStyle name="SAPBEXresData 2 2 2 2" xfId="40099"/>
    <cellStyle name="SAPBEXresData 2 2 2 2 2" xfId="40100"/>
    <cellStyle name="SAPBEXresData 2 2 2 3" xfId="40101"/>
    <cellStyle name="SAPBEXresData 2 2 2 4" xfId="40102"/>
    <cellStyle name="SAPBEXresData 2 2 20" xfId="40103"/>
    <cellStyle name="SAPBEXresData 2 2 21" xfId="40104"/>
    <cellStyle name="SAPBEXresData 2 2 3" xfId="40105"/>
    <cellStyle name="SAPBEXresData 2 2 3 2" xfId="40106"/>
    <cellStyle name="SAPBEXresData 2 2 3 3" xfId="40107"/>
    <cellStyle name="SAPBEXresData 2 2 4" xfId="40108"/>
    <cellStyle name="SAPBEXresData 2 2 4 2" xfId="40109"/>
    <cellStyle name="SAPBEXresData 2 2 5" xfId="40110"/>
    <cellStyle name="SAPBEXresData 2 2 6" xfId="40111"/>
    <cellStyle name="SAPBEXresData 2 2 7" xfId="40112"/>
    <cellStyle name="SAPBEXresData 2 2 8" xfId="40113"/>
    <cellStyle name="SAPBEXresData 2 2 9" xfId="40114"/>
    <cellStyle name="SAPBEXresData 2 20" xfId="40115"/>
    <cellStyle name="SAPBEXresData 2 21" xfId="40116"/>
    <cellStyle name="SAPBEXresData 2 22" xfId="40117"/>
    <cellStyle name="SAPBEXresData 2 23" xfId="40118"/>
    <cellStyle name="SAPBEXresData 2 24" xfId="40119"/>
    <cellStyle name="SAPBEXresData 2 3" xfId="40120"/>
    <cellStyle name="SAPBEXresData 2 3 10" xfId="40121"/>
    <cellStyle name="SAPBEXresData 2 3 11" xfId="40122"/>
    <cellStyle name="SAPBEXresData 2 3 12" xfId="40123"/>
    <cellStyle name="SAPBEXresData 2 3 13" xfId="40124"/>
    <cellStyle name="SAPBEXresData 2 3 14" xfId="40125"/>
    <cellStyle name="SAPBEXresData 2 3 15" xfId="40126"/>
    <cellStyle name="SAPBEXresData 2 3 16" xfId="40127"/>
    <cellStyle name="SAPBEXresData 2 3 17" xfId="40128"/>
    <cellStyle name="SAPBEXresData 2 3 18" xfId="40129"/>
    <cellStyle name="SAPBEXresData 2 3 2" xfId="40130"/>
    <cellStyle name="SAPBEXresData 2 3 2 2" xfId="40131"/>
    <cellStyle name="SAPBEXresData 2 3 2 2 2" xfId="40132"/>
    <cellStyle name="SAPBEXresData 2 3 2 3" xfId="40133"/>
    <cellStyle name="SAPBEXresData 2 3 2 4" xfId="40134"/>
    <cellStyle name="SAPBEXresData 2 3 3" xfId="40135"/>
    <cellStyle name="SAPBEXresData 2 3 3 2" xfId="40136"/>
    <cellStyle name="SAPBEXresData 2 3 3 3" xfId="40137"/>
    <cellStyle name="SAPBEXresData 2 3 4" xfId="40138"/>
    <cellStyle name="SAPBEXresData 2 3 4 2" xfId="40139"/>
    <cellStyle name="SAPBEXresData 2 3 5" xfId="40140"/>
    <cellStyle name="SAPBEXresData 2 3 6" xfId="40141"/>
    <cellStyle name="SAPBEXresData 2 3 7" xfId="40142"/>
    <cellStyle name="SAPBEXresData 2 3 8" xfId="40143"/>
    <cellStyle name="SAPBEXresData 2 3 9" xfId="40144"/>
    <cellStyle name="SAPBEXresData 2 4" xfId="40145"/>
    <cellStyle name="SAPBEXresData 2 4 2" xfId="40146"/>
    <cellStyle name="SAPBEXresData 2 4 2 2" xfId="40147"/>
    <cellStyle name="SAPBEXresData 2 4 2 3" xfId="40148"/>
    <cellStyle name="SAPBEXresData 2 4 3" xfId="40149"/>
    <cellStyle name="SAPBEXresData 2 4 3 2" xfId="40150"/>
    <cellStyle name="SAPBEXresData 2 4 4" xfId="40151"/>
    <cellStyle name="SAPBEXresData 2 4 5" xfId="40152"/>
    <cellStyle name="SAPBEXresData 2 5" xfId="40153"/>
    <cellStyle name="SAPBEXresData 2 5 2" xfId="40154"/>
    <cellStyle name="SAPBEXresData 2 5 2 2" xfId="40155"/>
    <cellStyle name="SAPBEXresData 2 5 3" xfId="40156"/>
    <cellStyle name="SAPBEXresData 2 5 4" xfId="40157"/>
    <cellStyle name="SAPBEXresData 2 6" xfId="40158"/>
    <cellStyle name="SAPBEXresData 2 6 2" xfId="40159"/>
    <cellStyle name="SAPBEXresData 2 6 3" xfId="40160"/>
    <cellStyle name="SAPBEXresData 2 7" xfId="40161"/>
    <cellStyle name="SAPBEXresData 2 7 2" xfId="40162"/>
    <cellStyle name="SAPBEXresData 2 8" xfId="40163"/>
    <cellStyle name="SAPBEXresData 2 9" xfId="40164"/>
    <cellStyle name="SAPBEXresData 3" xfId="40165"/>
    <cellStyle name="SAPBEXresData 3 10" xfId="40166"/>
    <cellStyle name="SAPBEXresData 3 11" xfId="40167"/>
    <cellStyle name="SAPBEXresData 3 12" xfId="40168"/>
    <cellStyle name="SAPBEXresData 3 13" xfId="40169"/>
    <cellStyle name="SAPBEXresData 3 14" xfId="40170"/>
    <cellStyle name="SAPBEXresData 3 15" xfId="40171"/>
    <cellStyle name="SAPBEXresData 3 16" xfId="40172"/>
    <cellStyle name="SAPBEXresData 3 17" xfId="40173"/>
    <cellStyle name="SAPBEXresData 3 18" xfId="40174"/>
    <cellStyle name="SAPBEXresData 3 19" xfId="40175"/>
    <cellStyle name="SAPBEXresData 3 2" xfId="40176"/>
    <cellStyle name="SAPBEXresData 3 2 10" xfId="40177"/>
    <cellStyle name="SAPBEXresData 3 2 11" xfId="40178"/>
    <cellStyle name="SAPBEXresData 3 2 12" xfId="40179"/>
    <cellStyle name="SAPBEXresData 3 2 13" xfId="40180"/>
    <cellStyle name="SAPBEXresData 3 2 14" xfId="40181"/>
    <cellStyle name="SAPBEXresData 3 2 15" xfId="40182"/>
    <cellStyle name="SAPBEXresData 3 2 16" xfId="40183"/>
    <cellStyle name="SAPBEXresData 3 2 17" xfId="40184"/>
    <cellStyle name="SAPBEXresData 3 2 18" xfId="40185"/>
    <cellStyle name="SAPBEXresData 3 2 2" xfId="40186"/>
    <cellStyle name="SAPBEXresData 3 2 2 2" xfId="40187"/>
    <cellStyle name="SAPBEXresData 3 2 2 2 2" xfId="40188"/>
    <cellStyle name="SAPBEXresData 3 2 2 3" xfId="40189"/>
    <cellStyle name="SAPBEXresData 3 2 2 4" xfId="40190"/>
    <cellStyle name="SAPBEXresData 3 2 3" xfId="40191"/>
    <cellStyle name="SAPBEXresData 3 2 3 2" xfId="40192"/>
    <cellStyle name="SAPBEXresData 3 2 3 3" xfId="40193"/>
    <cellStyle name="SAPBEXresData 3 2 4" xfId="40194"/>
    <cellStyle name="SAPBEXresData 3 2 4 2" xfId="40195"/>
    <cellStyle name="SAPBEXresData 3 2 5" xfId="40196"/>
    <cellStyle name="SAPBEXresData 3 2 6" xfId="40197"/>
    <cellStyle name="SAPBEXresData 3 2 7" xfId="40198"/>
    <cellStyle name="SAPBEXresData 3 2 8" xfId="40199"/>
    <cellStyle name="SAPBEXresData 3 2 9" xfId="40200"/>
    <cellStyle name="SAPBEXresData 3 20" xfId="40201"/>
    <cellStyle name="SAPBEXresData 3 21" xfId="40202"/>
    <cellStyle name="SAPBEXresData 3 22" xfId="40203"/>
    <cellStyle name="SAPBEXresData 3 3" xfId="40204"/>
    <cellStyle name="SAPBEXresData 3 3 10" xfId="40205"/>
    <cellStyle name="SAPBEXresData 3 3 11" xfId="40206"/>
    <cellStyle name="SAPBEXresData 3 3 12" xfId="40207"/>
    <cellStyle name="SAPBEXresData 3 3 13" xfId="40208"/>
    <cellStyle name="SAPBEXresData 3 3 14" xfId="40209"/>
    <cellStyle name="SAPBEXresData 3 3 15" xfId="40210"/>
    <cellStyle name="SAPBEXresData 3 3 16" xfId="40211"/>
    <cellStyle name="SAPBEXresData 3 3 17" xfId="40212"/>
    <cellStyle name="SAPBEXresData 3 3 18" xfId="40213"/>
    <cellStyle name="SAPBEXresData 3 3 2" xfId="40214"/>
    <cellStyle name="SAPBEXresData 3 3 2 2" xfId="40215"/>
    <cellStyle name="SAPBEXresData 3 3 2 2 2" xfId="40216"/>
    <cellStyle name="SAPBEXresData 3 3 2 3" xfId="40217"/>
    <cellStyle name="SAPBEXresData 3 3 2 4" xfId="40218"/>
    <cellStyle name="SAPBEXresData 3 3 3" xfId="40219"/>
    <cellStyle name="SAPBEXresData 3 3 3 2" xfId="40220"/>
    <cellStyle name="SAPBEXresData 3 3 3 3" xfId="40221"/>
    <cellStyle name="SAPBEXresData 3 3 4" xfId="40222"/>
    <cellStyle name="SAPBEXresData 3 3 4 2" xfId="40223"/>
    <cellStyle name="SAPBEXresData 3 3 5" xfId="40224"/>
    <cellStyle name="SAPBEXresData 3 3 6" xfId="40225"/>
    <cellStyle name="SAPBEXresData 3 3 7" xfId="40226"/>
    <cellStyle name="SAPBEXresData 3 3 8" xfId="40227"/>
    <cellStyle name="SAPBEXresData 3 3 9" xfId="40228"/>
    <cellStyle name="SAPBEXresData 3 4" xfId="40229"/>
    <cellStyle name="SAPBEXresData 3 4 2" xfId="40230"/>
    <cellStyle name="SAPBEXresData 3 4 2 2" xfId="40231"/>
    <cellStyle name="SAPBEXresData 3 4 2 3" xfId="40232"/>
    <cellStyle name="SAPBEXresData 3 4 3" xfId="40233"/>
    <cellStyle name="SAPBEXresData 3 4 3 2" xfId="40234"/>
    <cellStyle name="SAPBEXresData 3 4 4" xfId="40235"/>
    <cellStyle name="SAPBEXresData 3 4 5" xfId="40236"/>
    <cellStyle name="SAPBEXresData 3 5" xfId="40237"/>
    <cellStyle name="SAPBEXresData 3 5 2" xfId="40238"/>
    <cellStyle name="SAPBEXresData 3 5 2 2" xfId="40239"/>
    <cellStyle name="SAPBEXresData 3 5 3" xfId="40240"/>
    <cellStyle name="SAPBEXresData 3 5 4" xfId="40241"/>
    <cellStyle name="SAPBEXresData 3 6" xfId="40242"/>
    <cellStyle name="SAPBEXresData 3 6 2" xfId="40243"/>
    <cellStyle name="SAPBEXresData 3 6 3" xfId="40244"/>
    <cellStyle name="SAPBEXresData 3 7" xfId="40245"/>
    <cellStyle name="SAPBEXresData 3 7 2" xfId="40246"/>
    <cellStyle name="SAPBEXresData 3 8" xfId="40247"/>
    <cellStyle name="SAPBEXresData 3 9" xfId="40248"/>
    <cellStyle name="SAPBEXresData 4" xfId="40249"/>
    <cellStyle name="SAPBEXresData 4 10" xfId="40250"/>
    <cellStyle name="SAPBEXresData 4 11" xfId="40251"/>
    <cellStyle name="SAPBEXresData 4 12" xfId="40252"/>
    <cellStyle name="SAPBEXresData 4 13" xfId="40253"/>
    <cellStyle name="SAPBEXresData 4 14" xfId="40254"/>
    <cellStyle name="SAPBEXresData 4 15" xfId="40255"/>
    <cellStyle name="SAPBEXresData 4 16" xfId="40256"/>
    <cellStyle name="SAPBEXresData 4 17" xfId="40257"/>
    <cellStyle name="SAPBEXresData 4 18" xfId="40258"/>
    <cellStyle name="SAPBEXresData 4 19" xfId="40259"/>
    <cellStyle name="SAPBEXresData 4 2" xfId="40260"/>
    <cellStyle name="SAPBEXresData 4 2 10" xfId="40261"/>
    <cellStyle name="SAPBEXresData 4 2 11" xfId="40262"/>
    <cellStyle name="SAPBEXresData 4 2 12" xfId="40263"/>
    <cellStyle name="SAPBEXresData 4 2 13" xfId="40264"/>
    <cellStyle name="SAPBEXresData 4 2 14" xfId="40265"/>
    <cellStyle name="SAPBEXresData 4 2 15" xfId="40266"/>
    <cellStyle name="SAPBEXresData 4 2 16" xfId="40267"/>
    <cellStyle name="SAPBEXresData 4 2 17" xfId="40268"/>
    <cellStyle name="SAPBEXresData 4 2 18" xfId="40269"/>
    <cellStyle name="SAPBEXresData 4 2 2" xfId="40270"/>
    <cellStyle name="SAPBEXresData 4 2 2 2" xfId="40271"/>
    <cellStyle name="SAPBEXresData 4 2 2 2 2" xfId="40272"/>
    <cellStyle name="SAPBEXresData 4 2 2 3" xfId="40273"/>
    <cellStyle name="SAPBEXresData 4 2 2 4" xfId="40274"/>
    <cellStyle name="SAPBEXresData 4 2 3" xfId="40275"/>
    <cellStyle name="SAPBEXresData 4 2 3 2" xfId="40276"/>
    <cellStyle name="SAPBEXresData 4 2 3 3" xfId="40277"/>
    <cellStyle name="SAPBEXresData 4 2 4" xfId="40278"/>
    <cellStyle name="SAPBEXresData 4 2 4 2" xfId="40279"/>
    <cellStyle name="SAPBEXresData 4 2 5" xfId="40280"/>
    <cellStyle name="SAPBEXresData 4 2 6" xfId="40281"/>
    <cellStyle name="SAPBEXresData 4 2 7" xfId="40282"/>
    <cellStyle name="SAPBEXresData 4 2 8" xfId="40283"/>
    <cellStyle name="SAPBEXresData 4 2 9" xfId="40284"/>
    <cellStyle name="SAPBEXresData 4 20" xfId="40285"/>
    <cellStyle name="SAPBEXresData 4 21" xfId="40286"/>
    <cellStyle name="SAPBEXresData 4 22" xfId="40287"/>
    <cellStyle name="SAPBEXresData 4 3" xfId="40288"/>
    <cellStyle name="SAPBEXresData 4 3 10" xfId="40289"/>
    <cellStyle name="SAPBEXresData 4 3 11" xfId="40290"/>
    <cellStyle name="SAPBEXresData 4 3 12" xfId="40291"/>
    <cellStyle name="SAPBEXresData 4 3 13" xfId="40292"/>
    <cellStyle name="SAPBEXresData 4 3 14" xfId="40293"/>
    <cellStyle name="SAPBEXresData 4 3 15" xfId="40294"/>
    <cellStyle name="SAPBEXresData 4 3 16" xfId="40295"/>
    <cellStyle name="SAPBEXresData 4 3 17" xfId="40296"/>
    <cellStyle name="SAPBEXresData 4 3 18" xfId="40297"/>
    <cellStyle name="SAPBEXresData 4 3 2" xfId="40298"/>
    <cellStyle name="SAPBEXresData 4 3 2 2" xfId="40299"/>
    <cellStyle name="SAPBEXresData 4 3 2 2 2" xfId="40300"/>
    <cellStyle name="SAPBEXresData 4 3 2 3" xfId="40301"/>
    <cellStyle name="SAPBEXresData 4 3 2 4" xfId="40302"/>
    <cellStyle name="SAPBEXresData 4 3 3" xfId="40303"/>
    <cellStyle name="SAPBEXresData 4 3 3 2" xfId="40304"/>
    <cellStyle name="SAPBEXresData 4 3 3 3" xfId="40305"/>
    <cellStyle name="SAPBEXresData 4 3 4" xfId="40306"/>
    <cellStyle name="SAPBEXresData 4 3 4 2" xfId="40307"/>
    <cellStyle name="SAPBEXresData 4 3 5" xfId="40308"/>
    <cellStyle name="SAPBEXresData 4 3 6" xfId="40309"/>
    <cellStyle name="SAPBEXresData 4 3 7" xfId="40310"/>
    <cellStyle name="SAPBEXresData 4 3 8" xfId="40311"/>
    <cellStyle name="SAPBEXresData 4 3 9" xfId="40312"/>
    <cellStyle name="SAPBEXresData 4 4" xfId="40313"/>
    <cellStyle name="SAPBEXresData 4 4 2" xfId="40314"/>
    <cellStyle name="SAPBEXresData 4 4 2 2" xfId="40315"/>
    <cellStyle name="SAPBEXresData 4 4 2 3" xfId="40316"/>
    <cellStyle name="SAPBEXresData 4 4 3" xfId="40317"/>
    <cellStyle name="SAPBEXresData 4 4 3 2" xfId="40318"/>
    <cellStyle name="SAPBEXresData 4 4 4" xfId="40319"/>
    <cellStyle name="SAPBEXresData 4 4 5" xfId="40320"/>
    <cellStyle name="SAPBEXresData 4 5" xfId="40321"/>
    <cellStyle name="SAPBEXresData 4 5 2" xfId="40322"/>
    <cellStyle name="SAPBEXresData 4 5 2 2" xfId="40323"/>
    <cellStyle name="SAPBEXresData 4 5 3" xfId="40324"/>
    <cellStyle name="SAPBEXresData 4 5 4" xfId="40325"/>
    <cellStyle name="SAPBEXresData 4 6" xfId="40326"/>
    <cellStyle name="SAPBEXresData 4 6 2" xfId="40327"/>
    <cellStyle name="SAPBEXresData 4 6 3" xfId="40328"/>
    <cellStyle name="SAPBEXresData 4 7" xfId="40329"/>
    <cellStyle name="SAPBEXresData 4 7 2" xfId="40330"/>
    <cellStyle name="SAPBEXresData 4 8" xfId="40331"/>
    <cellStyle name="SAPBEXresData 4 9" xfId="40332"/>
    <cellStyle name="SAPBEXresData 5" xfId="40333"/>
    <cellStyle name="SAPBEXresData 5 10" xfId="40334"/>
    <cellStyle name="SAPBEXresData 5 11" xfId="40335"/>
    <cellStyle name="SAPBEXresData 5 12" xfId="40336"/>
    <cellStyle name="SAPBEXresData 5 13" xfId="40337"/>
    <cellStyle name="SAPBEXresData 5 14" xfId="40338"/>
    <cellStyle name="SAPBEXresData 5 15" xfId="40339"/>
    <cellStyle name="SAPBEXresData 5 16" xfId="40340"/>
    <cellStyle name="SAPBEXresData 5 17" xfId="40341"/>
    <cellStyle name="SAPBEXresData 5 18" xfId="40342"/>
    <cellStyle name="SAPBEXresData 5 19" xfId="40343"/>
    <cellStyle name="SAPBEXresData 5 2" xfId="40344"/>
    <cellStyle name="SAPBEXresData 5 2 10" xfId="40345"/>
    <cellStyle name="SAPBEXresData 5 2 11" xfId="40346"/>
    <cellStyle name="SAPBEXresData 5 2 12" xfId="40347"/>
    <cellStyle name="SAPBEXresData 5 2 13" xfId="40348"/>
    <cellStyle name="SAPBEXresData 5 2 14" xfId="40349"/>
    <cellStyle name="SAPBEXresData 5 2 15" xfId="40350"/>
    <cellStyle name="SAPBEXresData 5 2 16" xfId="40351"/>
    <cellStyle name="SAPBEXresData 5 2 17" xfId="40352"/>
    <cellStyle name="SAPBEXresData 5 2 18" xfId="40353"/>
    <cellStyle name="SAPBEXresData 5 2 2" xfId="40354"/>
    <cellStyle name="SAPBEXresData 5 2 2 2" xfId="40355"/>
    <cellStyle name="SAPBEXresData 5 2 2 2 2" xfId="40356"/>
    <cellStyle name="SAPBEXresData 5 2 2 3" xfId="40357"/>
    <cellStyle name="SAPBEXresData 5 2 2 4" xfId="40358"/>
    <cellStyle name="SAPBEXresData 5 2 3" xfId="40359"/>
    <cellStyle name="SAPBEXresData 5 2 3 2" xfId="40360"/>
    <cellStyle name="SAPBEXresData 5 2 3 3" xfId="40361"/>
    <cellStyle name="SAPBEXresData 5 2 4" xfId="40362"/>
    <cellStyle name="SAPBEXresData 5 2 4 2" xfId="40363"/>
    <cellStyle name="SAPBEXresData 5 2 5" xfId="40364"/>
    <cellStyle name="SAPBEXresData 5 2 6" xfId="40365"/>
    <cellStyle name="SAPBEXresData 5 2 7" xfId="40366"/>
    <cellStyle name="SAPBEXresData 5 2 8" xfId="40367"/>
    <cellStyle name="SAPBEXresData 5 2 9" xfId="40368"/>
    <cellStyle name="SAPBEXresData 5 20" xfId="40369"/>
    <cellStyle name="SAPBEXresData 5 21" xfId="40370"/>
    <cellStyle name="SAPBEXresData 5 22" xfId="40371"/>
    <cellStyle name="SAPBEXresData 5 3" xfId="40372"/>
    <cellStyle name="SAPBEXresData 5 3 10" xfId="40373"/>
    <cellStyle name="SAPBEXresData 5 3 11" xfId="40374"/>
    <cellStyle name="SAPBEXresData 5 3 12" xfId="40375"/>
    <cellStyle name="SAPBEXresData 5 3 13" xfId="40376"/>
    <cellStyle name="SAPBEXresData 5 3 14" xfId="40377"/>
    <cellStyle name="SAPBEXresData 5 3 15" xfId="40378"/>
    <cellStyle name="SAPBEXresData 5 3 16" xfId="40379"/>
    <cellStyle name="SAPBEXresData 5 3 17" xfId="40380"/>
    <cellStyle name="SAPBEXresData 5 3 18" xfId="40381"/>
    <cellStyle name="SAPBEXresData 5 3 2" xfId="40382"/>
    <cellStyle name="SAPBEXresData 5 3 2 2" xfId="40383"/>
    <cellStyle name="SAPBEXresData 5 3 2 2 2" xfId="40384"/>
    <cellStyle name="SAPBEXresData 5 3 2 3" xfId="40385"/>
    <cellStyle name="SAPBEXresData 5 3 2 4" xfId="40386"/>
    <cellStyle name="SAPBEXresData 5 3 3" xfId="40387"/>
    <cellStyle name="SAPBEXresData 5 3 3 2" xfId="40388"/>
    <cellStyle name="SAPBEXresData 5 3 3 3" xfId="40389"/>
    <cellStyle name="SAPBEXresData 5 3 4" xfId="40390"/>
    <cellStyle name="SAPBEXresData 5 3 4 2" xfId="40391"/>
    <cellStyle name="SAPBEXresData 5 3 5" xfId="40392"/>
    <cellStyle name="SAPBEXresData 5 3 6" xfId="40393"/>
    <cellStyle name="SAPBEXresData 5 3 7" xfId="40394"/>
    <cellStyle name="SAPBEXresData 5 3 8" xfId="40395"/>
    <cellStyle name="SAPBEXresData 5 3 9" xfId="40396"/>
    <cellStyle name="SAPBEXresData 5 4" xfId="40397"/>
    <cellStyle name="SAPBEXresData 5 4 2" xfId="40398"/>
    <cellStyle name="SAPBEXresData 5 4 2 2" xfId="40399"/>
    <cellStyle name="SAPBEXresData 5 4 2 3" xfId="40400"/>
    <cellStyle name="SAPBEXresData 5 4 3" xfId="40401"/>
    <cellStyle name="SAPBEXresData 5 4 3 2" xfId="40402"/>
    <cellStyle name="SAPBEXresData 5 4 4" xfId="40403"/>
    <cellStyle name="SAPBEXresData 5 4 5" xfId="40404"/>
    <cellStyle name="SAPBEXresData 5 5" xfId="40405"/>
    <cellStyle name="SAPBEXresData 5 5 2" xfId="40406"/>
    <cellStyle name="SAPBEXresData 5 5 2 2" xfId="40407"/>
    <cellStyle name="SAPBEXresData 5 5 3" xfId="40408"/>
    <cellStyle name="SAPBEXresData 5 5 4" xfId="40409"/>
    <cellStyle name="SAPBEXresData 5 6" xfId="40410"/>
    <cellStyle name="SAPBEXresData 5 6 2" xfId="40411"/>
    <cellStyle name="SAPBEXresData 5 6 3" xfId="40412"/>
    <cellStyle name="SAPBEXresData 5 7" xfId="40413"/>
    <cellStyle name="SAPBEXresData 5 7 2" xfId="40414"/>
    <cellStyle name="SAPBEXresData 5 8" xfId="40415"/>
    <cellStyle name="SAPBEXresData 5 9" xfId="40416"/>
    <cellStyle name="SAPBEXresData 6" xfId="40417"/>
    <cellStyle name="SAPBEXresData 6 10" xfId="40418"/>
    <cellStyle name="SAPBEXresData 6 11" xfId="40419"/>
    <cellStyle name="SAPBEXresData 6 12" xfId="40420"/>
    <cellStyle name="SAPBEXresData 6 13" xfId="40421"/>
    <cellStyle name="SAPBEXresData 6 14" xfId="40422"/>
    <cellStyle name="SAPBEXresData 6 15" xfId="40423"/>
    <cellStyle name="SAPBEXresData 6 2" xfId="40424"/>
    <cellStyle name="SAPBEXresData 6 2 10" xfId="40425"/>
    <cellStyle name="SAPBEXresData 6 2 11" xfId="40426"/>
    <cellStyle name="SAPBEXresData 6 2 12" xfId="40427"/>
    <cellStyle name="SAPBEXresData 6 2 13" xfId="40428"/>
    <cellStyle name="SAPBEXresData 6 2 14" xfId="40429"/>
    <cellStyle name="SAPBEXresData 6 2 15" xfId="40430"/>
    <cellStyle name="SAPBEXresData 6 2 16" xfId="40431"/>
    <cellStyle name="SAPBEXresData 6 2 17" xfId="40432"/>
    <cellStyle name="SAPBEXresData 6 2 18" xfId="40433"/>
    <cellStyle name="SAPBEXresData 6 2 2" xfId="40434"/>
    <cellStyle name="SAPBEXresData 6 2 2 2" xfId="40435"/>
    <cellStyle name="SAPBEXresData 6 2 2 2 2" xfId="40436"/>
    <cellStyle name="SAPBEXresData 6 2 2 3" xfId="40437"/>
    <cellStyle name="SAPBEXresData 6 2 2 4" xfId="40438"/>
    <cellStyle name="SAPBEXresData 6 2 3" xfId="40439"/>
    <cellStyle name="SAPBEXresData 6 2 3 2" xfId="40440"/>
    <cellStyle name="SAPBEXresData 6 2 3 3" xfId="40441"/>
    <cellStyle name="SAPBEXresData 6 2 4" xfId="40442"/>
    <cellStyle name="SAPBEXresData 6 2 4 2" xfId="40443"/>
    <cellStyle name="SAPBEXresData 6 2 5" xfId="40444"/>
    <cellStyle name="SAPBEXresData 6 2 6" xfId="40445"/>
    <cellStyle name="SAPBEXresData 6 2 7" xfId="40446"/>
    <cellStyle name="SAPBEXresData 6 2 8" xfId="40447"/>
    <cellStyle name="SAPBEXresData 6 2 9" xfId="40448"/>
    <cellStyle name="SAPBEXresData 6 3" xfId="40449"/>
    <cellStyle name="SAPBEXresData 6 3 10" xfId="40450"/>
    <cellStyle name="SAPBEXresData 6 3 11" xfId="40451"/>
    <cellStyle name="SAPBEXresData 6 3 12" xfId="40452"/>
    <cellStyle name="SAPBEXresData 6 3 13" xfId="40453"/>
    <cellStyle name="SAPBEXresData 6 3 14" xfId="40454"/>
    <cellStyle name="SAPBEXresData 6 3 15" xfId="40455"/>
    <cellStyle name="SAPBEXresData 6 3 16" xfId="40456"/>
    <cellStyle name="SAPBEXresData 6 3 17" xfId="40457"/>
    <cellStyle name="SAPBEXresData 6 3 18" xfId="40458"/>
    <cellStyle name="SAPBEXresData 6 3 2" xfId="40459"/>
    <cellStyle name="SAPBEXresData 6 3 2 2" xfId="40460"/>
    <cellStyle name="SAPBEXresData 6 3 2 2 2" xfId="40461"/>
    <cellStyle name="SAPBEXresData 6 3 2 3" xfId="40462"/>
    <cellStyle name="SAPBEXresData 6 3 2 4" xfId="40463"/>
    <cellStyle name="SAPBEXresData 6 3 3" xfId="40464"/>
    <cellStyle name="SAPBEXresData 6 3 3 2" xfId="40465"/>
    <cellStyle name="SAPBEXresData 6 3 3 3" xfId="40466"/>
    <cellStyle name="SAPBEXresData 6 3 4" xfId="40467"/>
    <cellStyle name="SAPBEXresData 6 3 4 2" xfId="40468"/>
    <cellStyle name="SAPBEXresData 6 3 5" xfId="40469"/>
    <cellStyle name="SAPBEXresData 6 3 6" xfId="40470"/>
    <cellStyle name="SAPBEXresData 6 3 7" xfId="40471"/>
    <cellStyle name="SAPBEXresData 6 3 8" xfId="40472"/>
    <cellStyle name="SAPBEXresData 6 3 9" xfId="40473"/>
    <cellStyle name="SAPBEXresData 6 4" xfId="40474"/>
    <cellStyle name="SAPBEXresData 6 4 2" xfId="40475"/>
    <cellStyle name="SAPBEXresData 6 4 2 2" xfId="40476"/>
    <cellStyle name="SAPBEXresData 6 4 3" xfId="40477"/>
    <cellStyle name="SAPBEXresData 6 4 4" xfId="40478"/>
    <cellStyle name="SAPBEXresData 6 5" xfId="40479"/>
    <cellStyle name="SAPBEXresData 6 5 2" xfId="40480"/>
    <cellStyle name="SAPBEXresData 6 6" xfId="40481"/>
    <cellStyle name="SAPBEXresData 6 7" xfId="40482"/>
    <cellStyle name="SAPBEXresData 6 8" xfId="40483"/>
    <cellStyle name="SAPBEXresData 6 9" xfId="40484"/>
    <cellStyle name="SAPBEXresData 7" xfId="40485"/>
    <cellStyle name="SAPBEXresData 7 10" xfId="40486"/>
    <cellStyle name="SAPBEXresData 7 11" xfId="40487"/>
    <cellStyle name="SAPBEXresData 7 12" xfId="40488"/>
    <cellStyle name="SAPBEXresData 7 13" xfId="40489"/>
    <cellStyle name="SAPBEXresData 7 14" xfId="40490"/>
    <cellStyle name="SAPBEXresData 7 15" xfId="40491"/>
    <cellStyle name="SAPBEXresData 7 16" xfId="40492"/>
    <cellStyle name="SAPBEXresData 7 17" xfId="40493"/>
    <cellStyle name="SAPBEXresData 7 18" xfId="40494"/>
    <cellStyle name="SAPBEXresData 7 2" xfId="40495"/>
    <cellStyle name="SAPBEXresData 7 3" xfId="40496"/>
    <cellStyle name="SAPBEXresData 7 4" xfId="40497"/>
    <cellStyle name="SAPBEXresData 7 5" xfId="40498"/>
    <cellStyle name="SAPBEXresData 7 6" xfId="40499"/>
    <cellStyle name="SAPBEXresData 7 7" xfId="40500"/>
    <cellStyle name="SAPBEXresData 7 8" xfId="40501"/>
    <cellStyle name="SAPBEXresData 7 9" xfId="40502"/>
    <cellStyle name="SAPBEXresData 8" xfId="40503"/>
    <cellStyle name="SAPBEXresData 9" xfId="40504"/>
    <cellStyle name="SAPBEXresDataEmph" xfId="40505"/>
    <cellStyle name="SAPBEXresDataEmph 10" xfId="40506"/>
    <cellStyle name="SAPBEXresDataEmph 11" xfId="40507"/>
    <cellStyle name="SAPBEXresDataEmph 12" xfId="40508"/>
    <cellStyle name="SAPBEXresDataEmph 13" xfId="40509"/>
    <cellStyle name="SAPBEXresDataEmph 14" xfId="40510"/>
    <cellStyle name="SAPBEXresDataEmph 15" xfId="40511"/>
    <cellStyle name="SAPBEXresDataEmph 16" xfId="40512"/>
    <cellStyle name="SAPBEXresDataEmph 17" xfId="40513"/>
    <cellStyle name="SAPBEXresDataEmph 18" xfId="40514"/>
    <cellStyle name="SAPBEXresDataEmph 19" xfId="40515"/>
    <cellStyle name="SAPBEXresDataEmph 2" xfId="40516"/>
    <cellStyle name="SAPBEXresDataEmph 2 10" xfId="40517"/>
    <cellStyle name="SAPBEXresDataEmph 2 11" xfId="40518"/>
    <cellStyle name="SAPBEXresDataEmph 2 12" xfId="40519"/>
    <cellStyle name="SAPBEXresDataEmph 2 13" xfId="40520"/>
    <cellStyle name="SAPBEXresDataEmph 2 14" xfId="40521"/>
    <cellStyle name="SAPBEXresDataEmph 2 15" xfId="40522"/>
    <cellStyle name="SAPBEXresDataEmph 2 16" xfId="40523"/>
    <cellStyle name="SAPBEXresDataEmph 2 17" xfId="40524"/>
    <cellStyle name="SAPBEXresDataEmph 2 18" xfId="40525"/>
    <cellStyle name="SAPBEXresDataEmph 2 19" xfId="40526"/>
    <cellStyle name="SAPBEXresDataEmph 2 2" xfId="40527"/>
    <cellStyle name="SAPBEXresDataEmph 2 2 10" xfId="40528"/>
    <cellStyle name="SAPBEXresDataEmph 2 2 11" xfId="40529"/>
    <cellStyle name="SAPBEXresDataEmph 2 2 12" xfId="40530"/>
    <cellStyle name="SAPBEXresDataEmph 2 2 13" xfId="40531"/>
    <cellStyle name="SAPBEXresDataEmph 2 2 14" xfId="40532"/>
    <cellStyle name="SAPBEXresDataEmph 2 2 15" xfId="40533"/>
    <cellStyle name="SAPBEXresDataEmph 2 2 16" xfId="40534"/>
    <cellStyle name="SAPBEXresDataEmph 2 2 17" xfId="40535"/>
    <cellStyle name="SAPBEXresDataEmph 2 2 18" xfId="40536"/>
    <cellStyle name="SAPBEXresDataEmph 2 2 19" xfId="40537"/>
    <cellStyle name="SAPBEXresDataEmph 2 2 2" xfId="40538"/>
    <cellStyle name="SAPBEXresDataEmph 2 2 2 2" xfId="40539"/>
    <cellStyle name="SAPBEXresDataEmph 2 2 2 2 2" xfId="40540"/>
    <cellStyle name="SAPBEXresDataEmph 2 2 2 3" xfId="40541"/>
    <cellStyle name="SAPBEXresDataEmph 2 2 2 4" xfId="40542"/>
    <cellStyle name="SAPBEXresDataEmph 2 2 3" xfId="40543"/>
    <cellStyle name="SAPBEXresDataEmph 2 2 3 2" xfId="40544"/>
    <cellStyle name="SAPBEXresDataEmph 2 2 3 3" xfId="40545"/>
    <cellStyle name="SAPBEXresDataEmph 2 2 4" xfId="40546"/>
    <cellStyle name="SAPBEXresDataEmph 2 2 4 2" xfId="40547"/>
    <cellStyle name="SAPBEXresDataEmph 2 2 5" xfId="40548"/>
    <cellStyle name="SAPBEXresDataEmph 2 2 6" xfId="40549"/>
    <cellStyle name="SAPBEXresDataEmph 2 2 7" xfId="40550"/>
    <cellStyle name="SAPBEXresDataEmph 2 2 8" xfId="40551"/>
    <cellStyle name="SAPBEXresDataEmph 2 2 9" xfId="40552"/>
    <cellStyle name="SAPBEXresDataEmph 2 20" xfId="40553"/>
    <cellStyle name="SAPBEXresDataEmph 2 21" xfId="40554"/>
    <cellStyle name="SAPBEXresDataEmph 2 22" xfId="40555"/>
    <cellStyle name="SAPBEXresDataEmph 2 23" xfId="40556"/>
    <cellStyle name="SAPBEXresDataEmph 2 24" xfId="40557"/>
    <cellStyle name="SAPBEXresDataEmph 2 3" xfId="40558"/>
    <cellStyle name="SAPBEXresDataEmph 2 3 10" xfId="40559"/>
    <cellStyle name="SAPBEXresDataEmph 2 3 11" xfId="40560"/>
    <cellStyle name="SAPBEXresDataEmph 2 3 12" xfId="40561"/>
    <cellStyle name="SAPBEXresDataEmph 2 3 13" xfId="40562"/>
    <cellStyle name="SAPBEXresDataEmph 2 3 14" xfId="40563"/>
    <cellStyle name="SAPBEXresDataEmph 2 3 15" xfId="40564"/>
    <cellStyle name="SAPBEXresDataEmph 2 3 16" xfId="40565"/>
    <cellStyle name="SAPBEXresDataEmph 2 3 17" xfId="40566"/>
    <cellStyle name="SAPBEXresDataEmph 2 3 18" xfId="40567"/>
    <cellStyle name="SAPBEXresDataEmph 2 3 2" xfId="40568"/>
    <cellStyle name="SAPBEXresDataEmph 2 3 2 2" xfId="40569"/>
    <cellStyle name="SAPBEXresDataEmph 2 3 2 2 2" xfId="40570"/>
    <cellStyle name="SAPBEXresDataEmph 2 3 2 3" xfId="40571"/>
    <cellStyle name="SAPBEXresDataEmph 2 3 2 4" xfId="40572"/>
    <cellStyle name="SAPBEXresDataEmph 2 3 3" xfId="40573"/>
    <cellStyle name="SAPBEXresDataEmph 2 3 3 2" xfId="40574"/>
    <cellStyle name="SAPBEXresDataEmph 2 3 3 3" xfId="40575"/>
    <cellStyle name="SAPBEXresDataEmph 2 3 4" xfId="40576"/>
    <cellStyle name="SAPBEXresDataEmph 2 3 4 2" xfId="40577"/>
    <cellStyle name="SAPBEXresDataEmph 2 3 5" xfId="40578"/>
    <cellStyle name="SAPBEXresDataEmph 2 3 6" xfId="40579"/>
    <cellStyle name="SAPBEXresDataEmph 2 3 7" xfId="40580"/>
    <cellStyle name="SAPBEXresDataEmph 2 3 8" xfId="40581"/>
    <cellStyle name="SAPBEXresDataEmph 2 3 9" xfId="40582"/>
    <cellStyle name="SAPBEXresDataEmph 2 4" xfId="40583"/>
    <cellStyle name="SAPBEXresDataEmph 2 4 2" xfId="40584"/>
    <cellStyle name="SAPBEXresDataEmph 2 4 2 2" xfId="40585"/>
    <cellStyle name="SAPBEXresDataEmph 2 4 2 3" xfId="40586"/>
    <cellStyle name="SAPBEXresDataEmph 2 4 3" xfId="40587"/>
    <cellStyle name="SAPBEXresDataEmph 2 4 3 2" xfId="40588"/>
    <cellStyle name="SAPBEXresDataEmph 2 4 4" xfId="40589"/>
    <cellStyle name="SAPBEXresDataEmph 2 4 5" xfId="40590"/>
    <cellStyle name="SAPBEXresDataEmph 2 5" xfId="40591"/>
    <cellStyle name="SAPBEXresDataEmph 2 5 2" xfId="40592"/>
    <cellStyle name="SAPBEXresDataEmph 2 5 2 2" xfId="40593"/>
    <cellStyle name="SAPBEXresDataEmph 2 5 3" xfId="40594"/>
    <cellStyle name="SAPBEXresDataEmph 2 5 4" xfId="40595"/>
    <cellStyle name="SAPBEXresDataEmph 2 6" xfId="40596"/>
    <cellStyle name="SAPBEXresDataEmph 2 6 2" xfId="40597"/>
    <cellStyle name="SAPBEXresDataEmph 2 6 3" xfId="40598"/>
    <cellStyle name="SAPBEXresDataEmph 2 7" xfId="40599"/>
    <cellStyle name="SAPBEXresDataEmph 2 7 2" xfId="40600"/>
    <cellStyle name="SAPBEXresDataEmph 2 8" xfId="40601"/>
    <cellStyle name="SAPBEXresDataEmph 2 9" xfId="40602"/>
    <cellStyle name="SAPBEXresDataEmph 3" xfId="40603"/>
    <cellStyle name="SAPBEXresDataEmph 3 10" xfId="40604"/>
    <cellStyle name="SAPBEXresDataEmph 3 11" xfId="40605"/>
    <cellStyle name="SAPBEXresDataEmph 3 12" xfId="40606"/>
    <cellStyle name="SAPBEXresDataEmph 3 13" xfId="40607"/>
    <cellStyle name="SAPBEXresDataEmph 3 14" xfId="40608"/>
    <cellStyle name="SAPBEXresDataEmph 3 15" xfId="40609"/>
    <cellStyle name="SAPBEXresDataEmph 3 16" xfId="40610"/>
    <cellStyle name="SAPBEXresDataEmph 3 17" xfId="40611"/>
    <cellStyle name="SAPBEXresDataEmph 3 18" xfId="40612"/>
    <cellStyle name="SAPBEXresDataEmph 3 19" xfId="40613"/>
    <cellStyle name="SAPBEXresDataEmph 3 2" xfId="40614"/>
    <cellStyle name="SAPBEXresDataEmph 3 2 10" xfId="40615"/>
    <cellStyle name="SAPBEXresDataEmph 3 2 11" xfId="40616"/>
    <cellStyle name="SAPBEXresDataEmph 3 2 12" xfId="40617"/>
    <cellStyle name="SAPBEXresDataEmph 3 2 13" xfId="40618"/>
    <cellStyle name="SAPBEXresDataEmph 3 2 14" xfId="40619"/>
    <cellStyle name="SAPBEXresDataEmph 3 2 15" xfId="40620"/>
    <cellStyle name="SAPBEXresDataEmph 3 2 16" xfId="40621"/>
    <cellStyle name="SAPBEXresDataEmph 3 2 17" xfId="40622"/>
    <cellStyle name="SAPBEXresDataEmph 3 2 18" xfId="40623"/>
    <cellStyle name="SAPBEXresDataEmph 3 2 19" xfId="40624"/>
    <cellStyle name="SAPBEXresDataEmph 3 2 2" xfId="40625"/>
    <cellStyle name="SAPBEXresDataEmph 3 2 2 2" xfId="40626"/>
    <cellStyle name="SAPBEXresDataEmph 3 2 2 2 2" xfId="40627"/>
    <cellStyle name="SAPBEXresDataEmph 3 2 2 3" xfId="40628"/>
    <cellStyle name="SAPBEXresDataEmph 3 2 2 4" xfId="40629"/>
    <cellStyle name="SAPBEXresDataEmph 3 2 3" xfId="40630"/>
    <cellStyle name="SAPBEXresDataEmph 3 2 3 2" xfId="40631"/>
    <cellStyle name="SAPBEXresDataEmph 3 2 3 3" xfId="40632"/>
    <cellStyle name="SAPBEXresDataEmph 3 2 4" xfId="40633"/>
    <cellStyle name="SAPBEXresDataEmph 3 2 4 2" xfId="40634"/>
    <cellStyle name="SAPBEXresDataEmph 3 2 5" xfId="40635"/>
    <cellStyle name="SAPBEXresDataEmph 3 2 6" xfId="40636"/>
    <cellStyle name="SAPBEXresDataEmph 3 2 7" xfId="40637"/>
    <cellStyle name="SAPBEXresDataEmph 3 2 8" xfId="40638"/>
    <cellStyle name="SAPBEXresDataEmph 3 2 9" xfId="40639"/>
    <cellStyle name="SAPBEXresDataEmph 3 20" xfId="40640"/>
    <cellStyle name="SAPBEXresDataEmph 3 3" xfId="40641"/>
    <cellStyle name="SAPBEXresDataEmph 3 3 10" xfId="40642"/>
    <cellStyle name="SAPBEXresDataEmph 3 3 11" xfId="40643"/>
    <cellStyle name="SAPBEXresDataEmph 3 3 12" xfId="40644"/>
    <cellStyle name="SAPBEXresDataEmph 3 3 13" xfId="40645"/>
    <cellStyle name="SAPBEXresDataEmph 3 3 14" xfId="40646"/>
    <cellStyle name="SAPBEXresDataEmph 3 3 15" xfId="40647"/>
    <cellStyle name="SAPBEXresDataEmph 3 3 16" xfId="40648"/>
    <cellStyle name="SAPBEXresDataEmph 3 3 17" xfId="40649"/>
    <cellStyle name="SAPBEXresDataEmph 3 3 18" xfId="40650"/>
    <cellStyle name="SAPBEXresDataEmph 3 3 2" xfId="40651"/>
    <cellStyle name="SAPBEXresDataEmph 3 3 2 2" xfId="40652"/>
    <cellStyle name="SAPBEXresDataEmph 3 3 2 2 2" xfId="40653"/>
    <cellStyle name="SAPBEXresDataEmph 3 3 2 3" xfId="40654"/>
    <cellStyle name="SAPBEXresDataEmph 3 3 2 4" xfId="40655"/>
    <cellStyle name="SAPBEXresDataEmph 3 3 3" xfId="40656"/>
    <cellStyle name="SAPBEXresDataEmph 3 3 3 2" xfId="40657"/>
    <cellStyle name="SAPBEXresDataEmph 3 3 3 3" xfId="40658"/>
    <cellStyle name="SAPBEXresDataEmph 3 3 4" xfId="40659"/>
    <cellStyle name="SAPBEXresDataEmph 3 3 4 2" xfId="40660"/>
    <cellStyle name="SAPBEXresDataEmph 3 3 5" xfId="40661"/>
    <cellStyle name="SAPBEXresDataEmph 3 3 6" xfId="40662"/>
    <cellStyle name="SAPBEXresDataEmph 3 3 7" xfId="40663"/>
    <cellStyle name="SAPBEXresDataEmph 3 3 8" xfId="40664"/>
    <cellStyle name="SAPBEXresDataEmph 3 3 9" xfId="40665"/>
    <cellStyle name="SAPBEXresDataEmph 3 4" xfId="40666"/>
    <cellStyle name="SAPBEXresDataEmph 3 4 2" xfId="40667"/>
    <cellStyle name="SAPBEXresDataEmph 3 4 2 2" xfId="40668"/>
    <cellStyle name="SAPBEXresDataEmph 3 4 2 3" xfId="40669"/>
    <cellStyle name="SAPBEXresDataEmph 3 4 3" xfId="40670"/>
    <cellStyle name="SAPBEXresDataEmph 3 4 3 2" xfId="40671"/>
    <cellStyle name="SAPBEXresDataEmph 3 4 4" xfId="40672"/>
    <cellStyle name="SAPBEXresDataEmph 3 4 5" xfId="40673"/>
    <cellStyle name="SAPBEXresDataEmph 3 5" xfId="40674"/>
    <cellStyle name="SAPBEXresDataEmph 3 5 2" xfId="40675"/>
    <cellStyle name="SAPBEXresDataEmph 3 5 2 2" xfId="40676"/>
    <cellStyle name="SAPBEXresDataEmph 3 5 3" xfId="40677"/>
    <cellStyle name="SAPBEXresDataEmph 3 5 4" xfId="40678"/>
    <cellStyle name="SAPBEXresDataEmph 3 6" xfId="40679"/>
    <cellStyle name="SAPBEXresDataEmph 3 6 2" xfId="40680"/>
    <cellStyle name="SAPBEXresDataEmph 3 6 3" xfId="40681"/>
    <cellStyle name="SAPBEXresDataEmph 3 7" xfId="40682"/>
    <cellStyle name="SAPBEXresDataEmph 3 7 2" xfId="40683"/>
    <cellStyle name="SAPBEXresDataEmph 3 8" xfId="40684"/>
    <cellStyle name="SAPBEXresDataEmph 3 9" xfId="40685"/>
    <cellStyle name="SAPBEXresDataEmph 4" xfId="40686"/>
    <cellStyle name="SAPBEXresDataEmph 4 10" xfId="40687"/>
    <cellStyle name="SAPBEXresDataEmph 4 11" xfId="40688"/>
    <cellStyle name="SAPBEXresDataEmph 4 12" xfId="40689"/>
    <cellStyle name="SAPBEXresDataEmph 4 13" xfId="40690"/>
    <cellStyle name="SAPBEXresDataEmph 4 14" xfId="40691"/>
    <cellStyle name="SAPBEXresDataEmph 4 15" xfId="40692"/>
    <cellStyle name="SAPBEXresDataEmph 4 16" xfId="40693"/>
    <cellStyle name="SAPBEXresDataEmph 4 17" xfId="40694"/>
    <cellStyle name="SAPBEXresDataEmph 4 18" xfId="40695"/>
    <cellStyle name="SAPBEXresDataEmph 4 19" xfId="40696"/>
    <cellStyle name="SAPBEXresDataEmph 4 2" xfId="40697"/>
    <cellStyle name="SAPBEXresDataEmph 4 2 10" xfId="40698"/>
    <cellStyle name="SAPBEXresDataEmph 4 2 11" xfId="40699"/>
    <cellStyle name="SAPBEXresDataEmph 4 2 12" xfId="40700"/>
    <cellStyle name="SAPBEXresDataEmph 4 2 13" xfId="40701"/>
    <cellStyle name="SAPBEXresDataEmph 4 2 14" xfId="40702"/>
    <cellStyle name="SAPBEXresDataEmph 4 2 15" xfId="40703"/>
    <cellStyle name="SAPBEXresDataEmph 4 2 16" xfId="40704"/>
    <cellStyle name="SAPBEXresDataEmph 4 2 17" xfId="40705"/>
    <cellStyle name="SAPBEXresDataEmph 4 2 18" xfId="40706"/>
    <cellStyle name="SAPBEXresDataEmph 4 2 19" xfId="40707"/>
    <cellStyle name="SAPBEXresDataEmph 4 2 2" xfId="40708"/>
    <cellStyle name="SAPBEXresDataEmph 4 2 2 2" xfId="40709"/>
    <cellStyle name="SAPBEXresDataEmph 4 2 2 2 2" xfId="40710"/>
    <cellStyle name="SAPBEXresDataEmph 4 2 2 3" xfId="40711"/>
    <cellStyle name="SAPBEXresDataEmph 4 2 2 4" xfId="40712"/>
    <cellStyle name="SAPBEXresDataEmph 4 2 3" xfId="40713"/>
    <cellStyle name="SAPBEXresDataEmph 4 2 3 2" xfId="40714"/>
    <cellStyle name="SAPBEXresDataEmph 4 2 3 3" xfId="40715"/>
    <cellStyle name="SAPBEXresDataEmph 4 2 4" xfId="40716"/>
    <cellStyle name="SAPBEXresDataEmph 4 2 4 2" xfId="40717"/>
    <cellStyle name="SAPBEXresDataEmph 4 2 5" xfId="40718"/>
    <cellStyle name="SAPBEXresDataEmph 4 2 6" xfId="40719"/>
    <cellStyle name="SAPBEXresDataEmph 4 2 7" xfId="40720"/>
    <cellStyle name="SAPBEXresDataEmph 4 2 8" xfId="40721"/>
    <cellStyle name="SAPBEXresDataEmph 4 2 9" xfId="40722"/>
    <cellStyle name="SAPBEXresDataEmph 4 20" xfId="40723"/>
    <cellStyle name="SAPBEXresDataEmph 4 21" xfId="40724"/>
    <cellStyle name="SAPBEXresDataEmph 4 22" xfId="40725"/>
    <cellStyle name="SAPBEXresDataEmph 4 3" xfId="40726"/>
    <cellStyle name="SAPBEXresDataEmph 4 3 10" xfId="40727"/>
    <cellStyle name="SAPBEXresDataEmph 4 3 11" xfId="40728"/>
    <cellStyle name="SAPBEXresDataEmph 4 3 12" xfId="40729"/>
    <cellStyle name="SAPBEXresDataEmph 4 3 13" xfId="40730"/>
    <cellStyle name="SAPBEXresDataEmph 4 3 14" xfId="40731"/>
    <cellStyle name="SAPBEXresDataEmph 4 3 15" xfId="40732"/>
    <cellStyle name="SAPBEXresDataEmph 4 3 16" xfId="40733"/>
    <cellStyle name="SAPBEXresDataEmph 4 3 17" xfId="40734"/>
    <cellStyle name="SAPBEXresDataEmph 4 3 18" xfId="40735"/>
    <cellStyle name="SAPBEXresDataEmph 4 3 2" xfId="40736"/>
    <cellStyle name="SAPBEXresDataEmph 4 3 2 2" xfId="40737"/>
    <cellStyle name="SAPBEXresDataEmph 4 3 2 2 2" xfId="40738"/>
    <cellStyle name="SAPBEXresDataEmph 4 3 2 3" xfId="40739"/>
    <cellStyle name="SAPBEXresDataEmph 4 3 2 4" xfId="40740"/>
    <cellStyle name="SAPBEXresDataEmph 4 3 3" xfId="40741"/>
    <cellStyle name="SAPBEXresDataEmph 4 3 3 2" xfId="40742"/>
    <cellStyle name="SAPBEXresDataEmph 4 3 3 3" xfId="40743"/>
    <cellStyle name="SAPBEXresDataEmph 4 3 4" xfId="40744"/>
    <cellStyle name="SAPBEXresDataEmph 4 3 4 2" xfId="40745"/>
    <cellStyle name="SAPBEXresDataEmph 4 3 5" xfId="40746"/>
    <cellStyle name="SAPBEXresDataEmph 4 3 6" xfId="40747"/>
    <cellStyle name="SAPBEXresDataEmph 4 3 7" xfId="40748"/>
    <cellStyle name="SAPBEXresDataEmph 4 3 8" xfId="40749"/>
    <cellStyle name="SAPBEXresDataEmph 4 3 9" xfId="40750"/>
    <cellStyle name="SAPBEXresDataEmph 4 4" xfId="40751"/>
    <cellStyle name="SAPBEXresDataEmph 4 4 2" xfId="40752"/>
    <cellStyle name="SAPBEXresDataEmph 4 4 2 2" xfId="40753"/>
    <cellStyle name="SAPBEXresDataEmph 4 4 2 3" xfId="40754"/>
    <cellStyle name="SAPBEXresDataEmph 4 4 3" xfId="40755"/>
    <cellStyle name="SAPBEXresDataEmph 4 4 3 2" xfId="40756"/>
    <cellStyle name="SAPBEXresDataEmph 4 4 4" xfId="40757"/>
    <cellStyle name="SAPBEXresDataEmph 4 4 5" xfId="40758"/>
    <cellStyle name="SAPBEXresDataEmph 4 5" xfId="40759"/>
    <cellStyle name="SAPBEXresDataEmph 4 5 2" xfId="40760"/>
    <cellStyle name="SAPBEXresDataEmph 4 5 2 2" xfId="40761"/>
    <cellStyle name="SAPBEXresDataEmph 4 5 3" xfId="40762"/>
    <cellStyle name="SAPBEXresDataEmph 4 5 4" xfId="40763"/>
    <cellStyle name="SAPBEXresDataEmph 4 6" xfId="40764"/>
    <cellStyle name="SAPBEXresDataEmph 4 6 2" xfId="40765"/>
    <cellStyle name="SAPBEXresDataEmph 4 6 3" xfId="40766"/>
    <cellStyle name="SAPBEXresDataEmph 4 7" xfId="40767"/>
    <cellStyle name="SAPBEXresDataEmph 4 7 2" xfId="40768"/>
    <cellStyle name="SAPBEXresDataEmph 4 8" xfId="40769"/>
    <cellStyle name="SAPBEXresDataEmph 4 9" xfId="40770"/>
    <cellStyle name="SAPBEXresDataEmph 5" xfId="40771"/>
    <cellStyle name="SAPBEXresDataEmph 5 10" xfId="40772"/>
    <cellStyle name="SAPBEXresDataEmph 5 11" xfId="40773"/>
    <cellStyle name="SAPBEXresDataEmph 5 12" xfId="40774"/>
    <cellStyle name="SAPBEXresDataEmph 5 13" xfId="40775"/>
    <cellStyle name="SAPBEXresDataEmph 5 14" xfId="40776"/>
    <cellStyle name="SAPBEXresDataEmph 5 15" xfId="40777"/>
    <cellStyle name="SAPBEXresDataEmph 5 16" xfId="40778"/>
    <cellStyle name="SAPBEXresDataEmph 5 17" xfId="40779"/>
    <cellStyle name="SAPBEXresDataEmph 5 18" xfId="40780"/>
    <cellStyle name="SAPBEXresDataEmph 5 19" xfId="40781"/>
    <cellStyle name="SAPBEXresDataEmph 5 2" xfId="40782"/>
    <cellStyle name="SAPBEXresDataEmph 5 2 10" xfId="40783"/>
    <cellStyle name="SAPBEXresDataEmph 5 2 11" xfId="40784"/>
    <cellStyle name="SAPBEXresDataEmph 5 2 12" xfId="40785"/>
    <cellStyle name="SAPBEXresDataEmph 5 2 13" xfId="40786"/>
    <cellStyle name="SAPBEXresDataEmph 5 2 14" xfId="40787"/>
    <cellStyle name="SAPBEXresDataEmph 5 2 15" xfId="40788"/>
    <cellStyle name="SAPBEXresDataEmph 5 2 16" xfId="40789"/>
    <cellStyle name="SAPBEXresDataEmph 5 2 17" xfId="40790"/>
    <cellStyle name="SAPBEXresDataEmph 5 2 18" xfId="40791"/>
    <cellStyle name="SAPBEXresDataEmph 5 2 19" xfId="40792"/>
    <cellStyle name="SAPBEXresDataEmph 5 2 2" xfId="40793"/>
    <cellStyle name="SAPBEXresDataEmph 5 2 2 2" xfId="40794"/>
    <cellStyle name="SAPBEXresDataEmph 5 2 2 2 2" xfId="40795"/>
    <cellStyle name="SAPBEXresDataEmph 5 2 2 3" xfId="40796"/>
    <cellStyle name="SAPBEXresDataEmph 5 2 2 4" xfId="40797"/>
    <cellStyle name="SAPBEXresDataEmph 5 2 3" xfId="40798"/>
    <cellStyle name="SAPBEXresDataEmph 5 2 3 2" xfId="40799"/>
    <cellStyle name="SAPBEXresDataEmph 5 2 3 3" xfId="40800"/>
    <cellStyle name="SAPBEXresDataEmph 5 2 4" xfId="40801"/>
    <cellStyle name="SAPBEXresDataEmph 5 2 4 2" xfId="40802"/>
    <cellStyle name="SAPBEXresDataEmph 5 2 5" xfId="40803"/>
    <cellStyle name="SAPBEXresDataEmph 5 2 6" xfId="40804"/>
    <cellStyle name="SAPBEXresDataEmph 5 2 7" xfId="40805"/>
    <cellStyle name="SAPBEXresDataEmph 5 2 8" xfId="40806"/>
    <cellStyle name="SAPBEXresDataEmph 5 2 9" xfId="40807"/>
    <cellStyle name="SAPBEXresDataEmph 5 20" xfId="40808"/>
    <cellStyle name="SAPBEXresDataEmph 5 21" xfId="40809"/>
    <cellStyle name="SAPBEXresDataEmph 5 22" xfId="40810"/>
    <cellStyle name="SAPBEXresDataEmph 5 3" xfId="40811"/>
    <cellStyle name="SAPBEXresDataEmph 5 3 10" xfId="40812"/>
    <cellStyle name="SAPBEXresDataEmph 5 3 11" xfId="40813"/>
    <cellStyle name="SAPBEXresDataEmph 5 3 12" xfId="40814"/>
    <cellStyle name="SAPBEXresDataEmph 5 3 13" xfId="40815"/>
    <cellStyle name="SAPBEXresDataEmph 5 3 14" xfId="40816"/>
    <cellStyle name="SAPBEXresDataEmph 5 3 15" xfId="40817"/>
    <cellStyle name="SAPBEXresDataEmph 5 3 16" xfId="40818"/>
    <cellStyle name="SAPBEXresDataEmph 5 3 17" xfId="40819"/>
    <cellStyle name="SAPBEXresDataEmph 5 3 18" xfId="40820"/>
    <cellStyle name="SAPBEXresDataEmph 5 3 2" xfId="40821"/>
    <cellStyle name="SAPBEXresDataEmph 5 3 2 2" xfId="40822"/>
    <cellStyle name="SAPBEXresDataEmph 5 3 2 2 2" xfId="40823"/>
    <cellStyle name="SAPBEXresDataEmph 5 3 2 3" xfId="40824"/>
    <cellStyle name="SAPBEXresDataEmph 5 3 2 4" xfId="40825"/>
    <cellStyle name="SAPBEXresDataEmph 5 3 3" xfId="40826"/>
    <cellStyle name="SAPBEXresDataEmph 5 3 3 2" xfId="40827"/>
    <cellStyle name="SAPBEXresDataEmph 5 3 3 3" xfId="40828"/>
    <cellStyle name="SAPBEXresDataEmph 5 3 4" xfId="40829"/>
    <cellStyle name="SAPBEXresDataEmph 5 3 4 2" xfId="40830"/>
    <cellStyle name="SAPBEXresDataEmph 5 3 5" xfId="40831"/>
    <cellStyle name="SAPBEXresDataEmph 5 3 6" xfId="40832"/>
    <cellStyle name="SAPBEXresDataEmph 5 3 7" xfId="40833"/>
    <cellStyle name="SAPBEXresDataEmph 5 3 8" xfId="40834"/>
    <cellStyle name="SAPBEXresDataEmph 5 3 9" xfId="40835"/>
    <cellStyle name="SAPBEXresDataEmph 5 4" xfId="40836"/>
    <cellStyle name="SAPBEXresDataEmph 5 4 2" xfId="40837"/>
    <cellStyle name="SAPBEXresDataEmph 5 4 2 2" xfId="40838"/>
    <cellStyle name="SAPBEXresDataEmph 5 4 2 3" xfId="40839"/>
    <cellStyle name="SAPBEXresDataEmph 5 4 3" xfId="40840"/>
    <cellStyle name="SAPBEXresDataEmph 5 4 3 2" xfId="40841"/>
    <cellStyle name="SAPBEXresDataEmph 5 4 4" xfId="40842"/>
    <cellStyle name="SAPBEXresDataEmph 5 4 5" xfId="40843"/>
    <cellStyle name="SAPBEXresDataEmph 5 5" xfId="40844"/>
    <cellStyle name="SAPBEXresDataEmph 5 5 2" xfId="40845"/>
    <cellStyle name="SAPBEXresDataEmph 5 5 2 2" xfId="40846"/>
    <cellStyle name="SAPBEXresDataEmph 5 5 3" xfId="40847"/>
    <cellStyle name="SAPBEXresDataEmph 5 5 4" xfId="40848"/>
    <cellStyle name="SAPBEXresDataEmph 5 6" xfId="40849"/>
    <cellStyle name="SAPBEXresDataEmph 5 6 2" xfId="40850"/>
    <cellStyle name="SAPBEXresDataEmph 5 6 3" xfId="40851"/>
    <cellStyle name="SAPBEXresDataEmph 5 7" xfId="40852"/>
    <cellStyle name="SAPBEXresDataEmph 5 7 2" xfId="40853"/>
    <cellStyle name="SAPBEXresDataEmph 5 8" xfId="40854"/>
    <cellStyle name="SAPBEXresDataEmph 5 9" xfId="40855"/>
    <cellStyle name="SAPBEXresDataEmph 6" xfId="40856"/>
    <cellStyle name="SAPBEXresDataEmph 6 10" xfId="40857"/>
    <cellStyle name="SAPBEXresDataEmph 6 11" xfId="40858"/>
    <cellStyle name="SAPBEXresDataEmph 6 12" xfId="40859"/>
    <cellStyle name="SAPBEXresDataEmph 6 13" xfId="40860"/>
    <cellStyle name="SAPBEXresDataEmph 6 14" xfId="40861"/>
    <cellStyle name="SAPBEXresDataEmph 6 15" xfId="40862"/>
    <cellStyle name="SAPBEXresDataEmph 6 2" xfId="40863"/>
    <cellStyle name="SAPBEXresDataEmph 6 2 10" xfId="40864"/>
    <cellStyle name="SAPBEXresDataEmph 6 2 11" xfId="40865"/>
    <cellStyle name="SAPBEXresDataEmph 6 2 12" xfId="40866"/>
    <cellStyle name="SAPBEXresDataEmph 6 2 13" xfId="40867"/>
    <cellStyle name="SAPBEXresDataEmph 6 2 14" xfId="40868"/>
    <cellStyle name="SAPBEXresDataEmph 6 2 15" xfId="40869"/>
    <cellStyle name="SAPBEXresDataEmph 6 2 16" xfId="40870"/>
    <cellStyle name="SAPBEXresDataEmph 6 2 17" xfId="40871"/>
    <cellStyle name="SAPBEXresDataEmph 6 2 18" xfId="40872"/>
    <cellStyle name="SAPBEXresDataEmph 6 2 19" xfId="40873"/>
    <cellStyle name="SAPBEXresDataEmph 6 2 2" xfId="40874"/>
    <cellStyle name="SAPBEXresDataEmph 6 2 2 2" xfId="40875"/>
    <cellStyle name="SAPBEXresDataEmph 6 2 2 2 2" xfId="40876"/>
    <cellStyle name="SAPBEXresDataEmph 6 2 2 3" xfId="40877"/>
    <cellStyle name="SAPBEXresDataEmph 6 2 2 4" xfId="40878"/>
    <cellStyle name="SAPBEXresDataEmph 6 2 3" xfId="40879"/>
    <cellStyle name="SAPBEXresDataEmph 6 2 3 2" xfId="40880"/>
    <cellStyle name="SAPBEXresDataEmph 6 2 3 3" xfId="40881"/>
    <cellStyle name="SAPBEXresDataEmph 6 2 4" xfId="40882"/>
    <cellStyle name="SAPBEXresDataEmph 6 2 4 2" xfId="40883"/>
    <cellStyle name="SAPBEXresDataEmph 6 2 5" xfId="40884"/>
    <cellStyle name="SAPBEXresDataEmph 6 2 6" xfId="40885"/>
    <cellStyle name="SAPBEXresDataEmph 6 2 7" xfId="40886"/>
    <cellStyle name="SAPBEXresDataEmph 6 2 8" xfId="40887"/>
    <cellStyle name="SAPBEXresDataEmph 6 2 9" xfId="40888"/>
    <cellStyle name="SAPBEXresDataEmph 6 3" xfId="40889"/>
    <cellStyle name="SAPBEXresDataEmph 6 3 10" xfId="40890"/>
    <cellStyle name="SAPBEXresDataEmph 6 3 11" xfId="40891"/>
    <cellStyle name="SAPBEXresDataEmph 6 3 12" xfId="40892"/>
    <cellStyle name="SAPBEXresDataEmph 6 3 13" xfId="40893"/>
    <cellStyle name="SAPBEXresDataEmph 6 3 14" xfId="40894"/>
    <cellStyle name="SAPBEXresDataEmph 6 3 15" xfId="40895"/>
    <cellStyle name="SAPBEXresDataEmph 6 3 16" xfId="40896"/>
    <cellStyle name="SAPBEXresDataEmph 6 3 17" xfId="40897"/>
    <cellStyle name="SAPBEXresDataEmph 6 3 18" xfId="40898"/>
    <cellStyle name="SAPBEXresDataEmph 6 3 2" xfId="40899"/>
    <cellStyle name="SAPBEXresDataEmph 6 3 2 2" xfId="40900"/>
    <cellStyle name="SAPBEXresDataEmph 6 3 2 2 2" xfId="40901"/>
    <cellStyle name="SAPBEXresDataEmph 6 3 2 3" xfId="40902"/>
    <cellStyle name="SAPBEXresDataEmph 6 3 2 4" xfId="40903"/>
    <cellStyle name="SAPBEXresDataEmph 6 3 3" xfId="40904"/>
    <cellStyle name="SAPBEXresDataEmph 6 3 3 2" xfId="40905"/>
    <cellStyle name="SAPBEXresDataEmph 6 3 3 3" xfId="40906"/>
    <cellStyle name="SAPBEXresDataEmph 6 3 4" xfId="40907"/>
    <cellStyle name="SAPBEXresDataEmph 6 3 4 2" xfId="40908"/>
    <cellStyle name="SAPBEXresDataEmph 6 3 5" xfId="40909"/>
    <cellStyle name="SAPBEXresDataEmph 6 3 6" xfId="40910"/>
    <cellStyle name="SAPBEXresDataEmph 6 3 7" xfId="40911"/>
    <cellStyle name="SAPBEXresDataEmph 6 3 8" xfId="40912"/>
    <cellStyle name="SAPBEXresDataEmph 6 3 9" xfId="40913"/>
    <cellStyle name="SAPBEXresDataEmph 6 4" xfId="40914"/>
    <cellStyle name="SAPBEXresDataEmph 6 4 2" xfId="40915"/>
    <cellStyle name="SAPBEXresDataEmph 6 4 2 2" xfId="40916"/>
    <cellStyle name="SAPBEXresDataEmph 6 4 3" xfId="40917"/>
    <cellStyle name="SAPBEXresDataEmph 6 4 4" xfId="40918"/>
    <cellStyle name="SAPBEXresDataEmph 6 5" xfId="40919"/>
    <cellStyle name="SAPBEXresDataEmph 6 5 2" xfId="40920"/>
    <cellStyle name="SAPBEXresDataEmph 6 6" xfId="40921"/>
    <cellStyle name="SAPBEXresDataEmph 6 7" xfId="40922"/>
    <cellStyle name="SAPBEXresDataEmph 6 8" xfId="40923"/>
    <cellStyle name="SAPBEXresDataEmph 6 9" xfId="40924"/>
    <cellStyle name="SAPBEXresDataEmph 7" xfId="40925"/>
    <cellStyle name="SAPBEXresDataEmph 7 10" xfId="40926"/>
    <cellStyle name="SAPBEXresDataEmph 7 11" xfId="40927"/>
    <cellStyle name="SAPBEXresDataEmph 7 12" xfId="40928"/>
    <cellStyle name="SAPBEXresDataEmph 7 13" xfId="40929"/>
    <cellStyle name="SAPBEXresDataEmph 7 14" xfId="40930"/>
    <cellStyle name="SAPBEXresDataEmph 7 15" xfId="40931"/>
    <cellStyle name="SAPBEXresDataEmph 7 16" xfId="40932"/>
    <cellStyle name="SAPBEXresDataEmph 7 17" xfId="40933"/>
    <cellStyle name="SAPBEXresDataEmph 7 18" xfId="40934"/>
    <cellStyle name="SAPBEXresDataEmph 7 2" xfId="40935"/>
    <cellStyle name="SAPBEXresDataEmph 7 3" xfId="40936"/>
    <cellStyle name="SAPBEXresDataEmph 7 4" xfId="40937"/>
    <cellStyle name="SAPBEXresDataEmph 7 5" xfId="40938"/>
    <cellStyle name="SAPBEXresDataEmph 7 6" xfId="40939"/>
    <cellStyle name="SAPBEXresDataEmph 7 7" xfId="40940"/>
    <cellStyle name="SAPBEXresDataEmph 7 8" xfId="40941"/>
    <cellStyle name="SAPBEXresDataEmph 7 9" xfId="40942"/>
    <cellStyle name="SAPBEXresDataEmph 8" xfId="40943"/>
    <cellStyle name="SAPBEXresDataEmph 9" xfId="40944"/>
    <cellStyle name="SAPBEXresItem" xfId="40945"/>
    <cellStyle name="SAPBEXresItem 10" xfId="40946"/>
    <cellStyle name="SAPBEXresItem 11" xfId="40947"/>
    <cellStyle name="SAPBEXresItem 12" xfId="40948"/>
    <cellStyle name="SAPBEXresItem 13" xfId="40949"/>
    <cellStyle name="SAPBEXresItem 14" xfId="40950"/>
    <cellStyle name="SAPBEXresItem 15" xfId="40951"/>
    <cellStyle name="SAPBEXresItem 16" xfId="40952"/>
    <cellStyle name="SAPBEXresItem 17" xfId="40953"/>
    <cellStyle name="SAPBEXresItem 18" xfId="40954"/>
    <cellStyle name="SAPBEXresItem 19" xfId="40955"/>
    <cellStyle name="SAPBEXresItem 2" xfId="40956"/>
    <cellStyle name="SAPBEXresItem 2 10" xfId="40957"/>
    <cellStyle name="SAPBEXresItem 2 11" xfId="40958"/>
    <cellStyle name="SAPBEXresItem 2 12" xfId="40959"/>
    <cellStyle name="SAPBEXresItem 2 13" xfId="40960"/>
    <cellStyle name="SAPBEXresItem 2 14" xfId="40961"/>
    <cellStyle name="SAPBEXresItem 2 15" xfId="40962"/>
    <cellStyle name="SAPBEXresItem 2 16" xfId="40963"/>
    <cellStyle name="SAPBEXresItem 2 17" xfId="40964"/>
    <cellStyle name="SAPBEXresItem 2 18" xfId="40965"/>
    <cellStyle name="SAPBEXresItem 2 19" xfId="40966"/>
    <cellStyle name="SAPBEXresItem 2 2" xfId="40967"/>
    <cellStyle name="SAPBEXresItem 2 2 10" xfId="40968"/>
    <cellStyle name="SAPBEXresItem 2 2 11" xfId="40969"/>
    <cellStyle name="SAPBEXresItem 2 2 12" xfId="40970"/>
    <cellStyle name="SAPBEXresItem 2 2 13" xfId="40971"/>
    <cellStyle name="SAPBEXresItem 2 2 14" xfId="40972"/>
    <cellStyle name="SAPBEXresItem 2 2 15" xfId="40973"/>
    <cellStyle name="SAPBEXresItem 2 2 16" xfId="40974"/>
    <cellStyle name="SAPBEXresItem 2 2 17" xfId="40975"/>
    <cellStyle name="SAPBEXresItem 2 2 18" xfId="40976"/>
    <cellStyle name="SAPBEXresItem 2 2 19" xfId="40977"/>
    <cellStyle name="SAPBEXresItem 2 2 2" xfId="40978"/>
    <cellStyle name="SAPBEXresItem 2 2 2 2" xfId="40979"/>
    <cellStyle name="SAPBEXresItem 2 2 2 2 2" xfId="40980"/>
    <cellStyle name="SAPBEXresItem 2 2 2 3" xfId="40981"/>
    <cellStyle name="SAPBEXresItem 2 2 2 4" xfId="40982"/>
    <cellStyle name="SAPBEXresItem 2 2 20" xfId="40983"/>
    <cellStyle name="SAPBEXresItem 2 2 21" xfId="40984"/>
    <cellStyle name="SAPBEXresItem 2 2 3" xfId="40985"/>
    <cellStyle name="SAPBEXresItem 2 2 3 2" xfId="40986"/>
    <cellStyle name="SAPBEXresItem 2 2 3 3" xfId="40987"/>
    <cellStyle name="SAPBEXresItem 2 2 4" xfId="40988"/>
    <cellStyle name="SAPBEXresItem 2 2 4 2" xfId="40989"/>
    <cellStyle name="SAPBEXresItem 2 2 5" xfId="40990"/>
    <cellStyle name="SAPBEXresItem 2 2 6" xfId="40991"/>
    <cellStyle name="SAPBEXresItem 2 2 7" xfId="40992"/>
    <cellStyle name="SAPBEXresItem 2 2 8" xfId="40993"/>
    <cellStyle name="SAPBEXresItem 2 2 9" xfId="40994"/>
    <cellStyle name="SAPBEXresItem 2 20" xfId="40995"/>
    <cellStyle name="SAPBEXresItem 2 21" xfId="40996"/>
    <cellStyle name="SAPBEXresItem 2 22" xfId="40997"/>
    <cellStyle name="SAPBEXresItem 2 23" xfId="40998"/>
    <cellStyle name="SAPBEXresItem 2 24" xfId="40999"/>
    <cellStyle name="SAPBEXresItem 2 3" xfId="41000"/>
    <cellStyle name="SAPBEXresItem 2 3 10" xfId="41001"/>
    <cellStyle name="SAPBEXresItem 2 3 11" xfId="41002"/>
    <cellStyle name="SAPBEXresItem 2 3 12" xfId="41003"/>
    <cellStyle name="SAPBEXresItem 2 3 13" xfId="41004"/>
    <cellStyle name="SAPBEXresItem 2 3 14" xfId="41005"/>
    <cellStyle name="SAPBEXresItem 2 3 15" xfId="41006"/>
    <cellStyle name="SAPBEXresItem 2 3 16" xfId="41007"/>
    <cellStyle name="SAPBEXresItem 2 3 17" xfId="41008"/>
    <cellStyle name="SAPBEXresItem 2 3 18" xfId="41009"/>
    <cellStyle name="SAPBEXresItem 2 3 2" xfId="41010"/>
    <cellStyle name="SAPBEXresItem 2 3 2 2" xfId="41011"/>
    <cellStyle name="SAPBEXresItem 2 3 2 2 2" xfId="41012"/>
    <cellStyle name="SAPBEXresItem 2 3 2 3" xfId="41013"/>
    <cellStyle name="SAPBEXresItem 2 3 2 4" xfId="41014"/>
    <cellStyle name="SAPBEXresItem 2 3 3" xfId="41015"/>
    <cellStyle name="SAPBEXresItem 2 3 3 2" xfId="41016"/>
    <cellStyle name="SAPBEXresItem 2 3 3 3" xfId="41017"/>
    <cellStyle name="SAPBEXresItem 2 3 4" xfId="41018"/>
    <cellStyle name="SAPBEXresItem 2 3 4 2" xfId="41019"/>
    <cellStyle name="SAPBEXresItem 2 3 5" xfId="41020"/>
    <cellStyle name="SAPBEXresItem 2 3 6" xfId="41021"/>
    <cellStyle name="SAPBEXresItem 2 3 7" xfId="41022"/>
    <cellStyle name="SAPBEXresItem 2 3 8" xfId="41023"/>
    <cellStyle name="SAPBEXresItem 2 3 9" xfId="41024"/>
    <cellStyle name="SAPBEXresItem 2 4" xfId="41025"/>
    <cellStyle name="SAPBEXresItem 2 4 2" xfId="41026"/>
    <cellStyle name="SAPBEXresItem 2 4 2 2" xfId="41027"/>
    <cellStyle name="SAPBEXresItem 2 4 2 3" xfId="41028"/>
    <cellStyle name="SAPBEXresItem 2 4 3" xfId="41029"/>
    <cellStyle name="SAPBEXresItem 2 4 3 2" xfId="41030"/>
    <cellStyle name="SAPBEXresItem 2 4 4" xfId="41031"/>
    <cellStyle name="SAPBEXresItem 2 4 5" xfId="41032"/>
    <cellStyle name="SAPBEXresItem 2 5" xfId="41033"/>
    <cellStyle name="SAPBEXresItem 2 5 2" xfId="41034"/>
    <cellStyle name="SAPBEXresItem 2 5 2 2" xfId="41035"/>
    <cellStyle name="SAPBEXresItem 2 5 3" xfId="41036"/>
    <cellStyle name="SAPBEXresItem 2 5 4" xfId="41037"/>
    <cellStyle name="SAPBEXresItem 2 6" xfId="41038"/>
    <cellStyle name="SAPBEXresItem 2 6 2" xfId="41039"/>
    <cellStyle name="SAPBEXresItem 2 6 3" xfId="41040"/>
    <cellStyle name="SAPBEXresItem 2 7" xfId="41041"/>
    <cellStyle name="SAPBEXresItem 2 7 2" xfId="41042"/>
    <cellStyle name="SAPBEXresItem 2 8" xfId="41043"/>
    <cellStyle name="SAPBEXresItem 2 9" xfId="41044"/>
    <cellStyle name="SAPBEXresItem 3" xfId="41045"/>
    <cellStyle name="SAPBEXresItem 3 10" xfId="41046"/>
    <cellStyle name="SAPBEXresItem 3 11" xfId="41047"/>
    <cellStyle name="SAPBEXresItem 3 12" xfId="41048"/>
    <cellStyle name="SAPBEXresItem 3 13" xfId="41049"/>
    <cellStyle name="SAPBEXresItem 3 14" xfId="41050"/>
    <cellStyle name="SAPBEXresItem 3 15" xfId="41051"/>
    <cellStyle name="SAPBEXresItem 3 16" xfId="41052"/>
    <cellStyle name="SAPBEXresItem 3 17" xfId="41053"/>
    <cellStyle name="SAPBEXresItem 3 18" xfId="41054"/>
    <cellStyle name="SAPBEXresItem 3 19" xfId="41055"/>
    <cellStyle name="SAPBEXresItem 3 2" xfId="41056"/>
    <cellStyle name="SAPBEXresItem 3 2 10" xfId="41057"/>
    <cellStyle name="SAPBEXresItem 3 2 11" xfId="41058"/>
    <cellStyle name="SAPBEXresItem 3 2 12" xfId="41059"/>
    <cellStyle name="SAPBEXresItem 3 2 13" xfId="41060"/>
    <cellStyle name="SAPBEXresItem 3 2 14" xfId="41061"/>
    <cellStyle name="SAPBEXresItem 3 2 15" xfId="41062"/>
    <cellStyle name="SAPBEXresItem 3 2 16" xfId="41063"/>
    <cellStyle name="SAPBEXresItem 3 2 17" xfId="41064"/>
    <cellStyle name="SAPBEXresItem 3 2 18" xfId="41065"/>
    <cellStyle name="SAPBEXresItem 3 2 2" xfId="41066"/>
    <cellStyle name="SAPBEXresItem 3 2 2 2" xfId="41067"/>
    <cellStyle name="SAPBEXresItem 3 2 2 2 2" xfId="41068"/>
    <cellStyle name="SAPBEXresItem 3 2 2 3" xfId="41069"/>
    <cellStyle name="SAPBEXresItem 3 2 2 4" xfId="41070"/>
    <cellStyle name="SAPBEXresItem 3 2 3" xfId="41071"/>
    <cellStyle name="SAPBEXresItem 3 2 3 2" xfId="41072"/>
    <cellStyle name="SAPBEXresItem 3 2 3 3" xfId="41073"/>
    <cellStyle name="SAPBEXresItem 3 2 4" xfId="41074"/>
    <cellStyle name="SAPBEXresItem 3 2 4 2" xfId="41075"/>
    <cellStyle name="SAPBEXresItem 3 2 5" xfId="41076"/>
    <cellStyle name="SAPBEXresItem 3 2 6" xfId="41077"/>
    <cellStyle name="SAPBEXresItem 3 2 7" xfId="41078"/>
    <cellStyle name="SAPBEXresItem 3 2 8" xfId="41079"/>
    <cellStyle name="SAPBEXresItem 3 2 9" xfId="41080"/>
    <cellStyle name="SAPBEXresItem 3 20" xfId="41081"/>
    <cellStyle name="SAPBEXresItem 3 21" xfId="41082"/>
    <cellStyle name="SAPBEXresItem 3 22" xfId="41083"/>
    <cellStyle name="SAPBEXresItem 3 3" xfId="41084"/>
    <cellStyle name="SAPBEXresItem 3 3 10" xfId="41085"/>
    <cellStyle name="SAPBEXresItem 3 3 11" xfId="41086"/>
    <cellStyle name="SAPBEXresItem 3 3 12" xfId="41087"/>
    <cellStyle name="SAPBEXresItem 3 3 13" xfId="41088"/>
    <cellStyle name="SAPBEXresItem 3 3 14" xfId="41089"/>
    <cellStyle name="SAPBEXresItem 3 3 15" xfId="41090"/>
    <cellStyle name="SAPBEXresItem 3 3 16" xfId="41091"/>
    <cellStyle name="SAPBEXresItem 3 3 17" xfId="41092"/>
    <cellStyle name="SAPBEXresItem 3 3 18" xfId="41093"/>
    <cellStyle name="SAPBEXresItem 3 3 2" xfId="41094"/>
    <cellStyle name="SAPBEXresItem 3 3 2 2" xfId="41095"/>
    <cellStyle name="SAPBEXresItem 3 3 2 2 2" xfId="41096"/>
    <cellStyle name="SAPBEXresItem 3 3 2 3" xfId="41097"/>
    <cellStyle name="SAPBEXresItem 3 3 2 4" xfId="41098"/>
    <cellStyle name="SAPBEXresItem 3 3 3" xfId="41099"/>
    <cellStyle name="SAPBEXresItem 3 3 3 2" xfId="41100"/>
    <cellStyle name="SAPBEXresItem 3 3 3 3" xfId="41101"/>
    <cellStyle name="SAPBEXresItem 3 3 4" xfId="41102"/>
    <cellStyle name="SAPBEXresItem 3 3 4 2" xfId="41103"/>
    <cellStyle name="SAPBEXresItem 3 3 5" xfId="41104"/>
    <cellStyle name="SAPBEXresItem 3 3 6" xfId="41105"/>
    <cellStyle name="SAPBEXresItem 3 3 7" xfId="41106"/>
    <cellStyle name="SAPBEXresItem 3 3 8" xfId="41107"/>
    <cellStyle name="SAPBEXresItem 3 3 9" xfId="41108"/>
    <cellStyle name="SAPBEXresItem 3 4" xfId="41109"/>
    <cellStyle name="SAPBEXresItem 3 4 2" xfId="41110"/>
    <cellStyle name="SAPBEXresItem 3 4 2 2" xfId="41111"/>
    <cellStyle name="SAPBEXresItem 3 4 2 3" xfId="41112"/>
    <cellStyle name="SAPBEXresItem 3 4 3" xfId="41113"/>
    <cellStyle name="SAPBEXresItem 3 4 3 2" xfId="41114"/>
    <cellStyle name="SAPBEXresItem 3 4 4" xfId="41115"/>
    <cellStyle name="SAPBEXresItem 3 4 5" xfId="41116"/>
    <cellStyle name="SAPBEXresItem 3 5" xfId="41117"/>
    <cellStyle name="SAPBEXresItem 3 5 2" xfId="41118"/>
    <cellStyle name="SAPBEXresItem 3 5 2 2" xfId="41119"/>
    <cellStyle name="SAPBEXresItem 3 5 3" xfId="41120"/>
    <cellStyle name="SAPBEXresItem 3 5 4" xfId="41121"/>
    <cellStyle name="SAPBEXresItem 3 6" xfId="41122"/>
    <cellStyle name="SAPBEXresItem 3 6 2" xfId="41123"/>
    <cellStyle name="SAPBEXresItem 3 6 3" xfId="41124"/>
    <cellStyle name="SAPBEXresItem 3 7" xfId="41125"/>
    <cellStyle name="SAPBEXresItem 3 7 2" xfId="41126"/>
    <cellStyle name="SAPBEXresItem 3 8" xfId="41127"/>
    <cellStyle name="SAPBEXresItem 3 9" xfId="41128"/>
    <cellStyle name="SAPBEXresItem 4" xfId="41129"/>
    <cellStyle name="SAPBEXresItem 4 10" xfId="41130"/>
    <cellStyle name="SAPBEXresItem 4 11" xfId="41131"/>
    <cellStyle name="SAPBEXresItem 4 12" xfId="41132"/>
    <cellStyle name="SAPBEXresItem 4 13" xfId="41133"/>
    <cellStyle name="SAPBEXresItem 4 14" xfId="41134"/>
    <cellStyle name="SAPBEXresItem 4 15" xfId="41135"/>
    <cellStyle name="SAPBEXresItem 4 16" xfId="41136"/>
    <cellStyle name="SAPBEXresItem 4 17" xfId="41137"/>
    <cellStyle name="SAPBEXresItem 4 18" xfId="41138"/>
    <cellStyle name="SAPBEXresItem 4 19" xfId="41139"/>
    <cellStyle name="SAPBEXresItem 4 2" xfId="41140"/>
    <cellStyle name="SAPBEXresItem 4 2 10" xfId="41141"/>
    <cellStyle name="SAPBEXresItem 4 2 11" xfId="41142"/>
    <cellStyle name="SAPBEXresItem 4 2 12" xfId="41143"/>
    <cellStyle name="SAPBEXresItem 4 2 13" xfId="41144"/>
    <cellStyle name="SAPBEXresItem 4 2 14" xfId="41145"/>
    <cellStyle name="SAPBEXresItem 4 2 15" xfId="41146"/>
    <cellStyle name="SAPBEXresItem 4 2 16" xfId="41147"/>
    <cellStyle name="SAPBEXresItem 4 2 17" xfId="41148"/>
    <cellStyle name="SAPBEXresItem 4 2 18" xfId="41149"/>
    <cellStyle name="SAPBEXresItem 4 2 2" xfId="41150"/>
    <cellStyle name="SAPBEXresItem 4 2 2 2" xfId="41151"/>
    <cellStyle name="SAPBEXresItem 4 2 2 2 2" xfId="41152"/>
    <cellStyle name="SAPBEXresItem 4 2 2 3" xfId="41153"/>
    <cellStyle name="SAPBEXresItem 4 2 2 4" xfId="41154"/>
    <cellStyle name="SAPBEXresItem 4 2 3" xfId="41155"/>
    <cellStyle name="SAPBEXresItem 4 2 3 2" xfId="41156"/>
    <cellStyle name="SAPBEXresItem 4 2 3 3" xfId="41157"/>
    <cellStyle name="SAPBEXresItem 4 2 4" xfId="41158"/>
    <cellStyle name="SAPBEXresItem 4 2 4 2" xfId="41159"/>
    <cellStyle name="SAPBEXresItem 4 2 5" xfId="41160"/>
    <cellStyle name="SAPBEXresItem 4 2 6" xfId="41161"/>
    <cellStyle name="SAPBEXresItem 4 2 7" xfId="41162"/>
    <cellStyle name="SAPBEXresItem 4 2 8" xfId="41163"/>
    <cellStyle name="SAPBEXresItem 4 2 9" xfId="41164"/>
    <cellStyle name="SAPBEXresItem 4 20" xfId="41165"/>
    <cellStyle name="SAPBEXresItem 4 21" xfId="41166"/>
    <cellStyle name="SAPBEXresItem 4 22" xfId="41167"/>
    <cellStyle name="SAPBEXresItem 4 3" xfId="41168"/>
    <cellStyle name="SAPBEXresItem 4 3 10" xfId="41169"/>
    <cellStyle name="SAPBEXresItem 4 3 11" xfId="41170"/>
    <cellStyle name="SAPBEXresItem 4 3 12" xfId="41171"/>
    <cellStyle name="SAPBEXresItem 4 3 13" xfId="41172"/>
    <cellStyle name="SAPBEXresItem 4 3 14" xfId="41173"/>
    <cellStyle name="SAPBEXresItem 4 3 15" xfId="41174"/>
    <cellStyle name="SAPBEXresItem 4 3 16" xfId="41175"/>
    <cellStyle name="SAPBEXresItem 4 3 17" xfId="41176"/>
    <cellStyle name="SAPBEXresItem 4 3 18" xfId="41177"/>
    <cellStyle name="SAPBEXresItem 4 3 2" xfId="41178"/>
    <cellStyle name="SAPBEXresItem 4 3 2 2" xfId="41179"/>
    <cellStyle name="SAPBEXresItem 4 3 2 2 2" xfId="41180"/>
    <cellStyle name="SAPBEXresItem 4 3 2 3" xfId="41181"/>
    <cellStyle name="SAPBEXresItem 4 3 2 4" xfId="41182"/>
    <cellStyle name="SAPBEXresItem 4 3 3" xfId="41183"/>
    <cellStyle name="SAPBEXresItem 4 3 3 2" xfId="41184"/>
    <cellStyle name="SAPBEXresItem 4 3 3 3" xfId="41185"/>
    <cellStyle name="SAPBEXresItem 4 3 4" xfId="41186"/>
    <cellStyle name="SAPBEXresItem 4 3 4 2" xfId="41187"/>
    <cellStyle name="SAPBEXresItem 4 3 5" xfId="41188"/>
    <cellStyle name="SAPBEXresItem 4 3 6" xfId="41189"/>
    <cellStyle name="SAPBEXresItem 4 3 7" xfId="41190"/>
    <cellStyle name="SAPBEXresItem 4 3 8" xfId="41191"/>
    <cellStyle name="SAPBEXresItem 4 3 9" xfId="41192"/>
    <cellStyle name="SAPBEXresItem 4 4" xfId="41193"/>
    <cellStyle name="SAPBEXresItem 4 4 2" xfId="41194"/>
    <cellStyle name="SAPBEXresItem 4 4 2 2" xfId="41195"/>
    <cellStyle name="SAPBEXresItem 4 4 2 3" xfId="41196"/>
    <cellStyle name="SAPBEXresItem 4 4 3" xfId="41197"/>
    <cellStyle name="SAPBEXresItem 4 4 3 2" xfId="41198"/>
    <cellStyle name="SAPBEXresItem 4 4 4" xfId="41199"/>
    <cellStyle name="SAPBEXresItem 4 4 5" xfId="41200"/>
    <cellStyle name="SAPBEXresItem 4 5" xfId="41201"/>
    <cellStyle name="SAPBEXresItem 4 5 2" xfId="41202"/>
    <cellStyle name="SAPBEXresItem 4 5 2 2" xfId="41203"/>
    <cellStyle name="SAPBEXresItem 4 5 3" xfId="41204"/>
    <cellStyle name="SAPBEXresItem 4 5 4" xfId="41205"/>
    <cellStyle name="SAPBEXresItem 4 6" xfId="41206"/>
    <cellStyle name="SAPBEXresItem 4 6 2" xfId="41207"/>
    <cellStyle name="SAPBEXresItem 4 6 3" xfId="41208"/>
    <cellStyle name="SAPBEXresItem 4 7" xfId="41209"/>
    <cellStyle name="SAPBEXresItem 4 7 2" xfId="41210"/>
    <cellStyle name="SAPBEXresItem 4 8" xfId="41211"/>
    <cellStyle name="SAPBEXresItem 4 9" xfId="41212"/>
    <cellStyle name="SAPBEXresItem 5" xfId="41213"/>
    <cellStyle name="SAPBEXresItem 5 10" xfId="41214"/>
    <cellStyle name="SAPBEXresItem 5 11" xfId="41215"/>
    <cellStyle name="SAPBEXresItem 5 12" xfId="41216"/>
    <cellStyle name="SAPBEXresItem 5 13" xfId="41217"/>
    <cellStyle name="SAPBEXresItem 5 14" xfId="41218"/>
    <cellStyle name="SAPBEXresItem 5 15" xfId="41219"/>
    <cellStyle name="SAPBEXresItem 5 16" xfId="41220"/>
    <cellStyle name="SAPBEXresItem 5 17" xfId="41221"/>
    <cellStyle name="SAPBEXresItem 5 18" xfId="41222"/>
    <cellStyle name="SAPBEXresItem 5 19" xfId="41223"/>
    <cellStyle name="SAPBEXresItem 5 2" xfId="41224"/>
    <cellStyle name="SAPBEXresItem 5 2 10" xfId="41225"/>
    <cellStyle name="SAPBEXresItem 5 2 11" xfId="41226"/>
    <cellStyle name="SAPBEXresItem 5 2 12" xfId="41227"/>
    <cellStyle name="SAPBEXresItem 5 2 13" xfId="41228"/>
    <cellStyle name="SAPBEXresItem 5 2 14" xfId="41229"/>
    <cellStyle name="SAPBEXresItem 5 2 15" xfId="41230"/>
    <cellStyle name="SAPBEXresItem 5 2 16" xfId="41231"/>
    <cellStyle name="SAPBEXresItem 5 2 17" xfId="41232"/>
    <cellStyle name="SAPBEXresItem 5 2 18" xfId="41233"/>
    <cellStyle name="SAPBEXresItem 5 2 2" xfId="41234"/>
    <cellStyle name="SAPBEXresItem 5 2 2 2" xfId="41235"/>
    <cellStyle name="SAPBEXresItem 5 2 2 2 2" xfId="41236"/>
    <cellStyle name="SAPBEXresItem 5 2 2 3" xfId="41237"/>
    <cellStyle name="SAPBEXresItem 5 2 2 4" xfId="41238"/>
    <cellStyle name="SAPBEXresItem 5 2 3" xfId="41239"/>
    <cellStyle name="SAPBEXresItem 5 2 3 2" xfId="41240"/>
    <cellStyle name="SAPBEXresItem 5 2 3 3" xfId="41241"/>
    <cellStyle name="SAPBEXresItem 5 2 4" xfId="41242"/>
    <cellStyle name="SAPBEXresItem 5 2 4 2" xfId="41243"/>
    <cellStyle name="SAPBEXresItem 5 2 5" xfId="41244"/>
    <cellStyle name="SAPBEXresItem 5 2 6" xfId="41245"/>
    <cellStyle name="SAPBEXresItem 5 2 7" xfId="41246"/>
    <cellStyle name="SAPBEXresItem 5 2 8" xfId="41247"/>
    <cellStyle name="SAPBEXresItem 5 2 9" xfId="41248"/>
    <cellStyle name="SAPBEXresItem 5 20" xfId="41249"/>
    <cellStyle name="SAPBEXresItem 5 21" xfId="41250"/>
    <cellStyle name="SAPBEXresItem 5 22" xfId="41251"/>
    <cellStyle name="SAPBEXresItem 5 3" xfId="41252"/>
    <cellStyle name="SAPBEXresItem 5 3 10" xfId="41253"/>
    <cellStyle name="SAPBEXresItem 5 3 11" xfId="41254"/>
    <cellStyle name="SAPBEXresItem 5 3 12" xfId="41255"/>
    <cellStyle name="SAPBEXresItem 5 3 13" xfId="41256"/>
    <cellStyle name="SAPBEXresItem 5 3 14" xfId="41257"/>
    <cellStyle name="SAPBEXresItem 5 3 15" xfId="41258"/>
    <cellStyle name="SAPBEXresItem 5 3 16" xfId="41259"/>
    <cellStyle name="SAPBEXresItem 5 3 17" xfId="41260"/>
    <cellStyle name="SAPBEXresItem 5 3 18" xfId="41261"/>
    <cellStyle name="SAPBEXresItem 5 3 2" xfId="41262"/>
    <cellStyle name="SAPBEXresItem 5 3 2 2" xfId="41263"/>
    <cellStyle name="SAPBEXresItem 5 3 2 2 2" xfId="41264"/>
    <cellStyle name="SAPBEXresItem 5 3 2 3" xfId="41265"/>
    <cellStyle name="SAPBEXresItem 5 3 2 4" xfId="41266"/>
    <cellStyle name="SAPBEXresItem 5 3 3" xfId="41267"/>
    <cellStyle name="SAPBEXresItem 5 3 3 2" xfId="41268"/>
    <cellStyle name="SAPBEXresItem 5 3 3 3" xfId="41269"/>
    <cellStyle name="SAPBEXresItem 5 3 4" xfId="41270"/>
    <cellStyle name="SAPBEXresItem 5 3 4 2" xfId="41271"/>
    <cellStyle name="SAPBEXresItem 5 3 5" xfId="41272"/>
    <cellStyle name="SAPBEXresItem 5 3 6" xfId="41273"/>
    <cellStyle name="SAPBEXresItem 5 3 7" xfId="41274"/>
    <cellStyle name="SAPBEXresItem 5 3 8" xfId="41275"/>
    <cellStyle name="SAPBEXresItem 5 3 9" xfId="41276"/>
    <cellStyle name="SAPBEXresItem 5 4" xfId="41277"/>
    <cellStyle name="SAPBEXresItem 5 4 2" xfId="41278"/>
    <cellStyle name="SAPBEXresItem 5 4 2 2" xfId="41279"/>
    <cellStyle name="SAPBEXresItem 5 4 2 3" xfId="41280"/>
    <cellStyle name="SAPBEXresItem 5 4 3" xfId="41281"/>
    <cellStyle name="SAPBEXresItem 5 4 3 2" xfId="41282"/>
    <cellStyle name="SAPBEXresItem 5 4 4" xfId="41283"/>
    <cellStyle name="SAPBEXresItem 5 4 5" xfId="41284"/>
    <cellStyle name="SAPBEXresItem 5 5" xfId="41285"/>
    <cellStyle name="SAPBEXresItem 5 5 2" xfId="41286"/>
    <cellStyle name="SAPBEXresItem 5 5 2 2" xfId="41287"/>
    <cellStyle name="SAPBEXresItem 5 5 3" xfId="41288"/>
    <cellStyle name="SAPBEXresItem 5 5 4" xfId="41289"/>
    <cellStyle name="SAPBEXresItem 5 6" xfId="41290"/>
    <cellStyle name="SAPBEXresItem 5 6 2" xfId="41291"/>
    <cellStyle name="SAPBEXresItem 5 6 3" xfId="41292"/>
    <cellStyle name="SAPBEXresItem 5 7" xfId="41293"/>
    <cellStyle name="SAPBEXresItem 5 7 2" xfId="41294"/>
    <cellStyle name="SAPBEXresItem 5 8" xfId="41295"/>
    <cellStyle name="SAPBEXresItem 5 9" xfId="41296"/>
    <cellStyle name="SAPBEXresItem 6" xfId="41297"/>
    <cellStyle name="SAPBEXresItem 6 10" xfId="41298"/>
    <cellStyle name="SAPBEXresItem 6 11" xfId="41299"/>
    <cellStyle name="SAPBEXresItem 6 12" xfId="41300"/>
    <cellStyle name="SAPBEXresItem 6 13" xfId="41301"/>
    <cellStyle name="SAPBEXresItem 6 14" xfId="41302"/>
    <cellStyle name="SAPBEXresItem 6 15" xfId="41303"/>
    <cellStyle name="SAPBEXresItem 6 2" xfId="41304"/>
    <cellStyle name="SAPBEXresItem 6 2 10" xfId="41305"/>
    <cellStyle name="SAPBEXresItem 6 2 11" xfId="41306"/>
    <cellStyle name="SAPBEXresItem 6 2 12" xfId="41307"/>
    <cellStyle name="SAPBEXresItem 6 2 13" xfId="41308"/>
    <cellStyle name="SAPBEXresItem 6 2 14" xfId="41309"/>
    <cellStyle name="SAPBEXresItem 6 2 15" xfId="41310"/>
    <cellStyle name="SAPBEXresItem 6 2 16" xfId="41311"/>
    <cellStyle name="SAPBEXresItem 6 2 17" xfId="41312"/>
    <cellStyle name="SAPBEXresItem 6 2 18" xfId="41313"/>
    <cellStyle name="SAPBEXresItem 6 2 2" xfId="41314"/>
    <cellStyle name="SAPBEXresItem 6 2 2 2" xfId="41315"/>
    <cellStyle name="SAPBEXresItem 6 2 2 2 2" xfId="41316"/>
    <cellStyle name="SAPBEXresItem 6 2 2 3" xfId="41317"/>
    <cellStyle name="SAPBEXresItem 6 2 2 4" xfId="41318"/>
    <cellStyle name="SAPBEXresItem 6 2 3" xfId="41319"/>
    <cellStyle name="SAPBEXresItem 6 2 3 2" xfId="41320"/>
    <cellStyle name="SAPBEXresItem 6 2 3 3" xfId="41321"/>
    <cellStyle name="SAPBEXresItem 6 2 4" xfId="41322"/>
    <cellStyle name="SAPBEXresItem 6 2 4 2" xfId="41323"/>
    <cellStyle name="SAPBEXresItem 6 2 5" xfId="41324"/>
    <cellStyle name="SAPBEXresItem 6 2 6" xfId="41325"/>
    <cellStyle name="SAPBEXresItem 6 2 7" xfId="41326"/>
    <cellStyle name="SAPBEXresItem 6 2 8" xfId="41327"/>
    <cellStyle name="SAPBEXresItem 6 2 9" xfId="41328"/>
    <cellStyle name="SAPBEXresItem 6 3" xfId="41329"/>
    <cellStyle name="SAPBEXresItem 6 3 10" xfId="41330"/>
    <cellStyle name="SAPBEXresItem 6 3 11" xfId="41331"/>
    <cellStyle name="SAPBEXresItem 6 3 12" xfId="41332"/>
    <cellStyle name="SAPBEXresItem 6 3 13" xfId="41333"/>
    <cellStyle name="SAPBEXresItem 6 3 14" xfId="41334"/>
    <cellStyle name="SAPBEXresItem 6 3 15" xfId="41335"/>
    <cellStyle name="SAPBEXresItem 6 3 16" xfId="41336"/>
    <cellStyle name="SAPBEXresItem 6 3 17" xfId="41337"/>
    <cellStyle name="SAPBEXresItem 6 3 18" xfId="41338"/>
    <cellStyle name="SAPBEXresItem 6 3 2" xfId="41339"/>
    <cellStyle name="SAPBEXresItem 6 3 2 2" xfId="41340"/>
    <cellStyle name="SAPBEXresItem 6 3 2 2 2" xfId="41341"/>
    <cellStyle name="SAPBEXresItem 6 3 2 3" xfId="41342"/>
    <cellStyle name="SAPBEXresItem 6 3 2 4" xfId="41343"/>
    <cellStyle name="SAPBEXresItem 6 3 3" xfId="41344"/>
    <cellStyle name="SAPBEXresItem 6 3 3 2" xfId="41345"/>
    <cellStyle name="SAPBEXresItem 6 3 3 3" xfId="41346"/>
    <cellStyle name="SAPBEXresItem 6 3 4" xfId="41347"/>
    <cellStyle name="SAPBEXresItem 6 3 4 2" xfId="41348"/>
    <cellStyle name="SAPBEXresItem 6 3 5" xfId="41349"/>
    <cellStyle name="SAPBEXresItem 6 3 6" xfId="41350"/>
    <cellStyle name="SAPBEXresItem 6 3 7" xfId="41351"/>
    <cellStyle name="SAPBEXresItem 6 3 8" xfId="41352"/>
    <cellStyle name="SAPBEXresItem 6 3 9" xfId="41353"/>
    <cellStyle name="SAPBEXresItem 6 4" xfId="41354"/>
    <cellStyle name="SAPBEXresItem 6 4 2" xfId="41355"/>
    <cellStyle name="SAPBEXresItem 6 4 2 2" xfId="41356"/>
    <cellStyle name="SAPBEXresItem 6 4 3" xfId="41357"/>
    <cellStyle name="SAPBEXresItem 6 4 4" xfId="41358"/>
    <cellStyle name="SAPBEXresItem 6 5" xfId="41359"/>
    <cellStyle name="SAPBEXresItem 6 5 2" xfId="41360"/>
    <cellStyle name="SAPBEXresItem 6 6" xfId="41361"/>
    <cellStyle name="SAPBEXresItem 6 7" xfId="41362"/>
    <cellStyle name="SAPBEXresItem 6 8" xfId="41363"/>
    <cellStyle name="SAPBEXresItem 6 9" xfId="41364"/>
    <cellStyle name="SAPBEXresItem 7" xfId="41365"/>
    <cellStyle name="SAPBEXresItem 7 10" xfId="41366"/>
    <cellStyle name="SAPBEXresItem 7 11" xfId="41367"/>
    <cellStyle name="SAPBEXresItem 7 12" xfId="41368"/>
    <cellStyle name="SAPBEXresItem 7 13" xfId="41369"/>
    <cellStyle name="SAPBEXresItem 7 14" xfId="41370"/>
    <cellStyle name="SAPBEXresItem 7 15" xfId="41371"/>
    <cellStyle name="SAPBEXresItem 7 16" xfId="41372"/>
    <cellStyle name="SAPBEXresItem 7 17" xfId="41373"/>
    <cellStyle name="SAPBEXresItem 7 18" xfId="41374"/>
    <cellStyle name="SAPBEXresItem 7 2" xfId="41375"/>
    <cellStyle name="SAPBEXresItem 7 3" xfId="41376"/>
    <cellStyle name="SAPBEXresItem 7 4" xfId="41377"/>
    <cellStyle name="SAPBEXresItem 7 5" xfId="41378"/>
    <cellStyle name="SAPBEXresItem 7 6" xfId="41379"/>
    <cellStyle name="SAPBEXresItem 7 7" xfId="41380"/>
    <cellStyle name="SAPBEXresItem 7 8" xfId="41381"/>
    <cellStyle name="SAPBEXresItem 7 9" xfId="41382"/>
    <cellStyle name="SAPBEXresItem 8" xfId="41383"/>
    <cellStyle name="SAPBEXresItem 9" xfId="41384"/>
    <cellStyle name="SAPBEXresItemX" xfId="41385"/>
    <cellStyle name="SAPBEXresItemX 10" xfId="41386"/>
    <cellStyle name="SAPBEXresItemX 11" xfId="41387"/>
    <cellStyle name="SAPBEXresItemX 12" xfId="41388"/>
    <cellStyle name="SAPBEXresItemX 13" xfId="41389"/>
    <cellStyle name="SAPBEXresItemX 14" xfId="41390"/>
    <cellStyle name="SAPBEXresItemX 15" xfId="41391"/>
    <cellStyle name="SAPBEXresItemX 16" xfId="41392"/>
    <cellStyle name="SAPBEXresItemX 17" xfId="41393"/>
    <cellStyle name="SAPBEXresItemX 18" xfId="41394"/>
    <cellStyle name="SAPBEXresItemX 19" xfId="41395"/>
    <cellStyle name="SAPBEXresItemX 2" xfId="41396"/>
    <cellStyle name="SAPBEXresItemX 2 10" xfId="41397"/>
    <cellStyle name="SAPBEXresItemX 2 11" xfId="41398"/>
    <cellStyle name="SAPBEXresItemX 2 12" xfId="41399"/>
    <cellStyle name="SAPBEXresItemX 2 13" xfId="41400"/>
    <cellStyle name="SAPBEXresItemX 2 14" xfId="41401"/>
    <cellStyle name="SAPBEXresItemX 2 15" xfId="41402"/>
    <cellStyle name="SAPBEXresItemX 2 16" xfId="41403"/>
    <cellStyle name="SAPBEXresItemX 2 17" xfId="41404"/>
    <cellStyle name="SAPBEXresItemX 2 18" xfId="41405"/>
    <cellStyle name="SAPBEXresItemX 2 19" xfId="41406"/>
    <cellStyle name="SAPBEXresItemX 2 2" xfId="41407"/>
    <cellStyle name="SAPBEXresItemX 2 2 10" xfId="41408"/>
    <cellStyle name="SAPBEXresItemX 2 2 11" xfId="41409"/>
    <cellStyle name="SAPBEXresItemX 2 2 12" xfId="41410"/>
    <cellStyle name="SAPBEXresItemX 2 2 13" xfId="41411"/>
    <cellStyle name="SAPBEXresItemX 2 2 14" xfId="41412"/>
    <cellStyle name="SAPBEXresItemX 2 2 15" xfId="41413"/>
    <cellStyle name="SAPBEXresItemX 2 2 16" xfId="41414"/>
    <cellStyle name="SAPBEXresItemX 2 2 17" xfId="41415"/>
    <cellStyle name="SAPBEXresItemX 2 2 18" xfId="41416"/>
    <cellStyle name="SAPBEXresItemX 2 2 19" xfId="41417"/>
    <cellStyle name="SAPBEXresItemX 2 2 2" xfId="41418"/>
    <cellStyle name="SAPBEXresItemX 2 2 2 2" xfId="41419"/>
    <cellStyle name="SAPBEXresItemX 2 2 2 2 2" xfId="41420"/>
    <cellStyle name="SAPBEXresItemX 2 2 2 3" xfId="41421"/>
    <cellStyle name="SAPBEXresItemX 2 2 2 4" xfId="41422"/>
    <cellStyle name="SAPBEXresItemX 2 2 20" xfId="41423"/>
    <cellStyle name="SAPBEXresItemX 2 2 21" xfId="41424"/>
    <cellStyle name="SAPBEXresItemX 2 2 3" xfId="41425"/>
    <cellStyle name="SAPBEXresItemX 2 2 3 2" xfId="41426"/>
    <cellStyle name="SAPBEXresItemX 2 2 3 3" xfId="41427"/>
    <cellStyle name="SAPBEXresItemX 2 2 4" xfId="41428"/>
    <cellStyle name="SAPBEXresItemX 2 2 4 2" xfId="41429"/>
    <cellStyle name="SAPBEXresItemX 2 2 5" xfId="41430"/>
    <cellStyle name="SAPBEXresItemX 2 2 6" xfId="41431"/>
    <cellStyle name="SAPBEXresItemX 2 2 7" xfId="41432"/>
    <cellStyle name="SAPBEXresItemX 2 2 8" xfId="41433"/>
    <cellStyle name="SAPBEXresItemX 2 2 9" xfId="41434"/>
    <cellStyle name="SAPBEXresItemX 2 20" xfId="41435"/>
    <cellStyle name="SAPBEXresItemX 2 21" xfId="41436"/>
    <cellStyle name="SAPBEXresItemX 2 22" xfId="41437"/>
    <cellStyle name="SAPBEXresItemX 2 23" xfId="41438"/>
    <cellStyle name="SAPBEXresItemX 2 24" xfId="41439"/>
    <cellStyle name="SAPBEXresItemX 2 3" xfId="41440"/>
    <cellStyle name="SAPBEXresItemX 2 3 10" xfId="41441"/>
    <cellStyle name="SAPBEXresItemX 2 3 11" xfId="41442"/>
    <cellStyle name="SAPBEXresItemX 2 3 12" xfId="41443"/>
    <cellStyle name="SAPBEXresItemX 2 3 13" xfId="41444"/>
    <cellStyle name="SAPBEXresItemX 2 3 14" xfId="41445"/>
    <cellStyle name="SAPBEXresItemX 2 3 15" xfId="41446"/>
    <cellStyle name="SAPBEXresItemX 2 3 16" xfId="41447"/>
    <cellStyle name="SAPBEXresItemX 2 3 17" xfId="41448"/>
    <cellStyle name="SAPBEXresItemX 2 3 18" xfId="41449"/>
    <cellStyle name="SAPBEXresItemX 2 3 2" xfId="41450"/>
    <cellStyle name="SAPBEXresItemX 2 3 2 2" xfId="41451"/>
    <cellStyle name="SAPBEXresItemX 2 3 2 2 2" xfId="41452"/>
    <cellStyle name="SAPBEXresItemX 2 3 2 3" xfId="41453"/>
    <cellStyle name="SAPBEXresItemX 2 3 2 4" xfId="41454"/>
    <cellStyle name="SAPBEXresItemX 2 3 3" xfId="41455"/>
    <cellStyle name="SAPBEXresItemX 2 3 3 2" xfId="41456"/>
    <cellStyle name="SAPBEXresItemX 2 3 3 3" xfId="41457"/>
    <cellStyle name="SAPBEXresItemX 2 3 4" xfId="41458"/>
    <cellStyle name="SAPBEXresItemX 2 3 4 2" xfId="41459"/>
    <cellStyle name="SAPBEXresItemX 2 3 5" xfId="41460"/>
    <cellStyle name="SAPBEXresItemX 2 3 6" xfId="41461"/>
    <cellStyle name="SAPBEXresItemX 2 3 7" xfId="41462"/>
    <cellStyle name="SAPBEXresItemX 2 3 8" xfId="41463"/>
    <cellStyle name="SAPBEXresItemX 2 3 9" xfId="41464"/>
    <cellStyle name="SAPBEXresItemX 2 4" xfId="41465"/>
    <cellStyle name="SAPBEXresItemX 2 4 2" xfId="41466"/>
    <cellStyle name="SAPBEXresItemX 2 4 2 2" xfId="41467"/>
    <cellStyle name="SAPBEXresItemX 2 4 2 3" xfId="41468"/>
    <cellStyle name="SAPBEXresItemX 2 4 3" xfId="41469"/>
    <cellStyle name="SAPBEXresItemX 2 4 3 2" xfId="41470"/>
    <cellStyle name="SAPBEXresItemX 2 4 4" xfId="41471"/>
    <cellStyle name="SAPBEXresItemX 2 4 5" xfId="41472"/>
    <cellStyle name="SAPBEXresItemX 2 5" xfId="41473"/>
    <cellStyle name="SAPBEXresItemX 2 5 2" xfId="41474"/>
    <cellStyle name="SAPBEXresItemX 2 5 2 2" xfId="41475"/>
    <cellStyle name="SAPBEXresItemX 2 5 3" xfId="41476"/>
    <cellStyle name="SAPBEXresItemX 2 5 4" xfId="41477"/>
    <cellStyle name="SAPBEXresItemX 2 6" xfId="41478"/>
    <cellStyle name="SAPBEXresItemX 2 6 2" xfId="41479"/>
    <cellStyle name="SAPBEXresItemX 2 6 3" xfId="41480"/>
    <cellStyle name="SAPBEXresItemX 2 7" xfId="41481"/>
    <cellStyle name="SAPBEXresItemX 2 7 2" xfId="41482"/>
    <cellStyle name="SAPBEXresItemX 2 8" xfId="41483"/>
    <cellStyle name="SAPBEXresItemX 2 9" xfId="41484"/>
    <cellStyle name="SAPBEXresItemX 3" xfId="41485"/>
    <cellStyle name="SAPBEXresItemX 3 10" xfId="41486"/>
    <cellStyle name="SAPBEXresItemX 3 11" xfId="41487"/>
    <cellStyle name="SAPBEXresItemX 3 12" xfId="41488"/>
    <cellStyle name="SAPBEXresItemX 3 13" xfId="41489"/>
    <cellStyle name="SAPBEXresItemX 3 14" xfId="41490"/>
    <cellStyle name="SAPBEXresItemX 3 15" xfId="41491"/>
    <cellStyle name="SAPBEXresItemX 3 16" xfId="41492"/>
    <cellStyle name="SAPBEXresItemX 3 17" xfId="41493"/>
    <cellStyle name="SAPBEXresItemX 3 18" xfId="41494"/>
    <cellStyle name="SAPBEXresItemX 3 19" xfId="41495"/>
    <cellStyle name="SAPBEXresItemX 3 2" xfId="41496"/>
    <cellStyle name="SAPBEXresItemX 3 2 10" xfId="41497"/>
    <cellStyle name="SAPBEXresItemX 3 2 11" xfId="41498"/>
    <cellStyle name="SAPBEXresItemX 3 2 12" xfId="41499"/>
    <cellStyle name="SAPBEXresItemX 3 2 13" xfId="41500"/>
    <cellStyle name="SAPBEXresItemX 3 2 14" xfId="41501"/>
    <cellStyle name="SAPBEXresItemX 3 2 15" xfId="41502"/>
    <cellStyle name="SAPBEXresItemX 3 2 16" xfId="41503"/>
    <cellStyle name="SAPBEXresItemX 3 2 17" xfId="41504"/>
    <cellStyle name="SAPBEXresItemX 3 2 18" xfId="41505"/>
    <cellStyle name="SAPBEXresItemX 3 2 2" xfId="41506"/>
    <cellStyle name="SAPBEXresItemX 3 2 2 2" xfId="41507"/>
    <cellStyle name="SAPBEXresItemX 3 2 2 2 2" xfId="41508"/>
    <cellStyle name="SAPBEXresItemX 3 2 2 3" xfId="41509"/>
    <cellStyle name="SAPBEXresItemX 3 2 2 4" xfId="41510"/>
    <cellStyle name="SAPBEXresItemX 3 2 3" xfId="41511"/>
    <cellStyle name="SAPBEXresItemX 3 2 3 2" xfId="41512"/>
    <cellStyle name="SAPBEXresItemX 3 2 3 3" xfId="41513"/>
    <cellStyle name="SAPBEXresItemX 3 2 4" xfId="41514"/>
    <cellStyle name="SAPBEXresItemX 3 2 4 2" xfId="41515"/>
    <cellStyle name="SAPBEXresItemX 3 2 5" xfId="41516"/>
    <cellStyle name="SAPBEXresItemX 3 2 6" xfId="41517"/>
    <cellStyle name="SAPBEXresItemX 3 2 7" xfId="41518"/>
    <cellStyle name="SAPBEXresItemX 3 2 8" xfId="41519"/>
    <cellStyle name="SAPBEXresItemX 3 2 9" xfId="41520"/>
    <cellStyle name="SAPBEXresItemX 3 20" xfId="41521"/>
    <cellStyle name="SAPBEXresItemX 3 21" xfId="41522"/>
    <cellStyle name="SAPBEXresItemX 3 22" xfId="41523"/>
    <cellStyle name="SAPBEXresItemX 3 3" xfId="41524"/>
    <cellStyle name="SAPBEXresItemX 3 3 10" xfId="41525"/>
    <cellStyle name="SAPBEXresItemX 3 3 11" xfId="41526"/>
    <cellStyle name="SAPBEXresItemX 3 3 12" xfId="41527"/>
    <cellStyle name="SAPBEXresItemX 3 3 13" xfId="41528"/>
    <cellStyle name="SAPBEXresItemX 3 3 14" xfId="41529"/>
    <cellStyle name="SAPBEXresItemX 3 3 15" xfId="41530"/>
    <cellStyle name="SAPBEXresItemX 3 3 16" xfId="41531"/>
    <cellStyle name="SAPBEXresItemX 3 3 17" xfId="41532"/>
    <cellStyle name="SAPBEXresItemX 3 3 18" xfId="41533"/>
    <cellStyle name="SAPBEXresItemX 3 3 2" xfId="41534"/>
    <cellStyle name="SAPBEXresItemX 3 3 2 2" xfId="41535"/>
    <cellStyle name="SAPBEXresItemX 3 3 2 2 2" xfId="41536"/>
    <cellStyle name="SAPBEXresItemX 3 3 2 3" xfId="41537"/>
    <cellStyle name="SAPBEXresItemX 3 3 2 4" xfId="41538"/>
    <cellStyle name="SAPBEXresItemX 3 3 3" xfId="41539"/>
    <cellStyle name="SAPBEXresItemX 3 3 3 2" xfId="41540"/>
    <cellStyle name="SAPBEXresItemX 3 3 3 3" xfId="41541"/>
    <cellStyle name="SAPBEXresItemX 3 3 4" xfId="41542"/>
    <cellStyle name="SAPBEXresItemX 3 3 4 2" xfId="41543"/>
    <cellStyle name="SAPBEXresItemX 3 3 5" xfId="41544"/>
    <cellStyle name="SAPBEXresItemX 3 3 6" xfId="41545"/>
    <cellStyle name="SAPBEXresItemX 3 3 7" xfId="41546"/>
    <cellStyle name="SAPBEXresItemX 3 3 8" xfId="41547"/>
    <cellStyle name="SAPBEXresItemX 3 3 9" xfId="41548"/>
    <cellStyle name="SAPBEXresItemX 3 4" xfId="41549"/>
    <cellStyle name="SAPBEXresItemX 3 4 2" xfId="41550"/>
    <cellStyle name="SAPBEXresItemX 3 4 2 2" xfId="41551"/>
    <cellStyle name="SAPBEXresItemX 3 4 2 3" xfId="41552"/>
    <cellStyle name="SAPBEXresItemX 3 4 3" xfId="41553"/>
    <cellStyle name="SAPBEXresItemX 3 4 3 2" xfId="41554"/>
    <cellStyle name="SAPBEXresItemX 3 4 4" xfId="41555"/>
    <cellStyle name="SAPBEXresItemX 3 4 5" xfId="41556"/>
    <cellStyle name="SAPBEXresItemX 3 5" xfId="41557"/>
    <cellStyle name="SAPBEXresItemX 3 5 2" xfId="41558"/>
    <cellStyle name="SAPBEXresItemX 3 5 2 2" xfId="41559"/>
    <cellStyle name="SAPBEXresItemX 3 5 3" xfId="41560"/>
    <cellStyle name="SAPBEXresItemX 3 5 4" xfId="41561"/>
    <cellStyle name="SAPBEXresItemX 3 6" xfId="41562"/>
    <cellStyle name="SAPBEXresItemX 3 6 2" xfId="41563"/>
    <cellStyle name="SAPBEXresItemX 3 6 3" xfId="41564"/>
    <cellStyle name="SAPBEXresItemX 3 7" xfId="41565"/>
    <cellStyle name="SAPBEXresItemX 3 7 2" xfId="41566"/>
    <cellStyle name="SAPBEXresItemX 3 8" xfId="41567"/>
    <cellStyle name="SAPBEXresItemX 3 9" xfId="41568"/>
    <cellStyle name="SAPBEXresItemX 4" xfId="41569"/>
    <cellStyle name="SAPBEXresItemX 4 10" xfId="41570"/>
    <cellStyle name="SAPBEXresItemX 4 11" xfId="41571"/>
    <cellStyle name="SAPBEXresItemX 4 12" xfId="41572"/>
    <cellStyle name="SAPBEXresItemX 4 13" xfId="41573"/>
    <cellStyle name="SAPBEXresItemX 4 14" xfId="41574"/>
    <cellStyle name="SAPBEXresItemX 4 15" xfId="41575"/>
    <cellStyle name="SAPBEXresItemX 4 16" xfId="41576"/>
    <cellStyle name="SAPBEXresItemX 4 17" xfId="41577"/>
    <cellStyle name="SAPBEXresItemX 4 18" xfId="41578"/>
    <cellStyle name="SAPBEXresItemX 4 19" xfId="41579"/>
    <cellStyle name="SAPBEXresItemX 4 2" xfId="41580"/>
    <cellStyle name="SAPBEXresItemX 4 2 10" xfId="41581"/>
    <cellStyle name="SAPBEXresItemX 4 2 11" xfId="41582"/>
    <cellStyle name="SAPBEXresItemX 4 2 12" xfId="41583"/>
    <cellStyle name="SAPBEXresItemX 4 2 13" xfId="41584"/>
    <cellStyle name="SAPBEXresItemX 4 2 14" xfId="41585"/>
    <cellStyle name="SAPBEXresItemX 4 2 15" xfId="41586"/>
    <cellStyle name="SAPBEXresItemX 4 2 16" xfId="41587"/>
    <cellStyle name="SAPBEXresItemX 4 2 17" xfId="41588"/>
    <cellStyle name="SAPBEXresItemX 4 2 18" xfId="41589"/>
    <cellStyle name="SAPBEXresItemX 4 2 2" xfId="41590"/>
    <cellStyle name="SAPBEXresItemX 4 2 2 2" xfId="41591"/>
    <cellStyle name="SAPBEXresItemX 4 2 2 2 2" xfId="41592"/>
    <cellStyle name="SAPBEXresItemX 4 2 2 3" xfId="41593"/>
    <cellStyle name="SAPBEXresItemX 4 2 2 4" xfId="41594"/>
    <cellStyle name="SAPBEXresItemX 4 2 3" xfId="41595"/>
    <cellStyle name="SAPBEXresItemX 4 2 3 2" xfId="41596"/>
    <cellStyle name="SAPBEXresItemX 4 2 3 3" xfId="41597"/>
    <cellStyle name="SAPBEXresItemX 4 2 4" xfId="41598"/>
    <cellStyle name="SAPBEXresItemX 4 2 4 2" xfId="41599"/>
    <cellStyle name="SAPBEXresItemX 4 2 5" xfId="41600"/>
    <cellStyle name="SAPBEXresItemX 4 2 6" xfId="41601"/>
    <cellStyle name="SAPBEXresItemX 4 2 7" xfId="41602"/>
    <cellStyle name="SAPBEXresItemX 4 2 8" xfId="41603"/>
    <cellStyle name="SAPBEXresItemX 4 2 9" xfId="41604"/>
    <cellStyle name="SAPBEXresItemX 4 20" xfId="41605"/>
    <cellStyle name="SAPBEXresItemX 4 21" xfId="41606"/>
    <cellStyle name="SAPBEXresItemX 4 22" xfId="41607"/>
    <cellStyle name="SAPBEXresItemX 4 3" xfId="41608"/>
    <cellStyle name="SAPBEXresItemX 4 3 10" xfId="41609"/>
    <cellStyle name="SAPBEXresItemX 4 3 11" xfId="41610"/>
    <cellStyle name="SAPBEXresItemX 4 3 12" xfId="41611"/>
    <cellStyle name="SAPBEXresItemX 4 3 13" xfId="41612"/>
    <cellStyle name="SAPBEXresItemX 4 3 14" xfId="41613"/>
    <cellStyle name="SAPBEXresItemX 4 3 15" xfId="41614"/>
    <cellStyle name="SAPBEXresItemX 4 3 16" xfId="41615"/>
    <cellStyle name="SAPBEXresItemX 4 3 17" xfId="41616"/>
    <cellStyle name="SAPBEXresItemX 4 3 18" xfId="41617"/>
    <cellStyle name="SAPBEXresItemX 4 3 2" xfId="41618"/>
    <cellStyle name="SAPBEXresItemX 4 3 2 2" xfId="41619"/>
    <cellStyle name="SAPBEXresItemX 4 3 2 2 2" xfId="41620"/>
    <cellStyle name="SAPBEXresItemX 4 3 2 3" xfId="41621"/>
    <cellStyle name="SAPBEXresItemX 4 3 2 4" xfId="41622"/>
    <cellStyle name="SAPBEXresItemX 4 3 3" xfId="41623"/>
    <cellStyle name="SAPBEXresItemX 4 3 3 2" xfId="41624"/>
    <cellStyle name="SAPBEXresItemX 4 3 3 3" xfId="41625"/>
    <cellStyle name="SAPBEXresItemX 4 3 4" xfId="41626"/>
    <cellStyle name="SAPBEXresItemX 4 3 4 2" xfId="41627"/>
    <cellStyle name="SAPBEXresItemX 4 3 5" xfId="41628"/>
    <cellStyle name="SAPBEXresItemX 4 3 6" xfId="41629"/>
    <cellStyle name="SAPBEXresItemX 4 3 7" xfId="41630"/>
    <cellStyle name="SAPBEXresItemX 4 3 8" xfId="41631"/>
    <cellStyle name="SAPBEXresItemX 4 3 9" xfId="41632"/>
    <cellStyle name="SAPBEXresItemX 4 4" xfId="41633"/>
    <cellStyle name="SAPBEXresItemX 4 4 2" xfId="41634"/>
    <cellStyle name="SAPBEXresItemX 4 4 2 2" xfId="41635"/>
    <cellStyle name="SAPBEXresItemX 4 4 2 3" xfId="41636"/>
    <cellStyle name="SAPBEXresItemX 4 4 3" xfId="41637"/>
    <cellStyle name="SAPBEXresItemX 4 4 3 2" xfId="41638"/>
    <cellStyle name="SAPBEXresItemX 4 4 4" xfId="41639"/>
    <cellStyle name="SAPBEXresItemX 4 4 5" xfId="41640"/>
    <cellStyle name="SAPBEXresItemX 4 5" xfId="41641"/>
    <cellStyle name="SAPBEXresItemX 4 5 2" xfId="41642"/>
    <cellStyle name="SAPBEXresItemX 4 5 2 2" xfId="41643"/>
    <cellStyle name="SAPBEXresItemX 4 5 3" xfId="41644"/>
    <cellStyle name="SAPBEXresItemX 4 5 4" xfId="41645"/>
    <cellStyle name="SAPBEXresItemX 4 6" xfId="41646"/>
    <cellStyle name="SAPBEXresItemX 4 6 2" xfId="41647"/>
    <cellStyle name="SAPBEXresItemX 4 6 3" xfId="41648"/>
    <cellStyle name="SAPBEXresItemX 4 7" xfId="41649"/>
    <cellStyle name="SAPBEXresItemX 4 7 2" xfId="41650"/>
    <cellStyle name="SAPBEXresItemX 4 8" xfId="41651"/>
    <cellStyle name="SAPBEXresItemX 4 9" xfId="41652"/>
    <cellStyle name="SAPBEXresItemX 5" xfId="41653"/>
    <cellStyle name="SAPBEXresItemX 5 10" xfId="41654"/>
    <cellStyle name="SAPBEXresItemX 5 11" xfId="41655"/>
    <cellStyle name="SAPBEXresItemX 5 12" xfId="41656"/>
    <cellStyle name="SAPBEXresItemX 5 13" xfId="41657"/>
    <cellStyle name="SAPBEXresItemX 5 14" xfId="41658"/>
    <cellStyle name="SAPBEXresItemX 5 15" xfId="41659"/>
    <cellStyle name="SAPBEXresItemX 5 16" xfId="41660"/>
    <cellStyle name="SAPBEXresItemX 5 17" xfId="41661"/>
    <cellStyle name="SAPBEXresItemX 5 18" xfId="41662"/>
    <cellStyle name="SAPBEXresItemX 5 19" xfId="41663"/>
    <cellStyle name="SAPBEXresItemX 5 2" xfId="41664"/>
    <cellStyle name="SAPBEXresItemX 5 2 10" xfId="41665"/>
    <cellStyle name="SAPBEXresItemX 5 2 11" xfId="41666"/>
    <cellStyle name="SAPBEXresItemX 5 2 12" xfId="41667"/>
    <cellStyle name="SAPBEXresItemX 5 2 13" xfId="41668"/>
    <cellStyle name="SAPBEXresItemX 5 2 14" xfId="41669"/>
    <cellStyle name="SAPBEXresItemX 5 2 15" xfId="41670"/>
    <cellStyle name="SAPBEXresItemX 5 2 16" xfId="41671"/>
    <cellStyle name="SAPBEXresItemX 5 2 17" xfId="41672"/>
    <cellStyle name="SAPBEXresItemX 5 2 18" xfId="41673"/>
    <cellStyle name="SAPBEXresItemX 5 2 2" xfId="41674"/>
    <cellStyle name="SAPBEXresItemX 5 2 2 2" xfId="41675"/>
    <cellStyle name="SAPBEXresItemX 5 2 2 2 2" xfId="41676"/>
    <cellStyle name="SAPBEXresItemX 5 2 2 3" xfId="41677"/>
    <cellStyle name="SAPBEXresItemX 5 2 2 4" xfId="41678"/>
    <cellStyle name="SAPBEXresItemX 5 2 3" xfId="41679"/>
    <cellStyle name="SAPBEXresItemX 5 2 3 2" xfId="41680"/>
    <cellStyle name="SAPBEXresItemX 5 2 3 3" xfId="41681"/>
    <cellStyle name="SAPBEXresItemX 5 2 4" xfId="41682"/>
    <cellStyle name="SAPBEXresItemX 5 2 4 2" xfId="41683"/>
    <cellStyle name="SAPBEXresItemX 5 2 5" xfId="41684"/>
    <cellStyle name="SAPBEXresItemX 5 2 6" xfId="41685"/>
    <cellStyle name="SAPBEXresItemX 5 2 7" xfId="41686"/>
    <cellStyle name="SAPBEXresItemX 5 2 8" xfId="41687"/>
    <cellStyle name="SAPBEXresItemX 5 2 9" xfId="41688"/>
    <cellStyle name="SAPBEXresItemX 5 20" xfId="41689"/>
    <cellStyle name="SAPBEXresItemX 5 21" xfId="41690"/>
    <cellStyle name="SAPBEXresItemX 5 22" xfId="41691"/>
    <cellStyle name="SAPBEXresItemX 5 3" xfId="41692"/>
    <cellStyle name="SAPBEXresItemX 5 3 10" xfId="41693"/>
    <cellStyle name="SAPBEXresItemX 5 3 11" xfId="41694"/>
    <cellStyle name="SAPBEXresItemX 5 3 12" xfId="41695"/>
    <cellStyle name="SAPBEXresItemX 5 3 13" xfId="41696"/>
    <cellStyle name="SAPBEXresItemX 5 3 14" xfId="41697"/>
    <cellStyle name="SAPBEXresItemX 5 3 15" xfId="41698"/>
    <cellStyle name="SAPBEXresItemX 5 3 16" xfId="41699"/>
    <cellStyle name="SAPBEXresItemX 5 3 17" xfId="41700"/>
    <cellStyle name="SAPBEXresItemX 5 3 18" xfId="41701"/>
    <cellStyle name="SAPBEXresItemX 5 3 2" xfId="41702"/>
    <cellStyle name="SAPBEXresItemX 5 3 2 2" xfId="41703"/>
    <cellStyle name="SAPBEXresItemX 5 3 2 2 2" xfId="41704"/>
    <cellStyle name="SAPBEXresItemX 5 3 2 3" xfId="41705"/>
    <cellStyle name="SAPBEXresItemX 5 3 2 4" xfId="41706"/>
    <cellStyle name="SAPBEXresItemX 5 3 3" xfId="41707"/>
    <cellStyle name="SAPBEXresItemX 5 3 3 2" xfId="41708"/>
    <cellStyle name="SAPBEXresItemX 5 3 3 3" xfId="41709"/>
    <cellStyle name="SAPBEXresItemX 5 3 4" xfId="41710"/>
    <cellStyle name="SAPBEXresItemX 5 3 4 2" xfId="41711"/>
    <cellStyle name="SAPBEXresItemX 5 3 5" xfId="41712"/>
    <cellStyle name="SAPBEXresItemX 5 3 6" xfId="41713"/>
    <cellStyle name="SAPBEXresItemX 5 3 7" xfId="41714"/>
    <cellStyle name="SAPBEXresItemX 5 3 8" xfId="41715"/>
    <cellStyle name="SAPBEXresItemX 5 3 9" xfId="41716"/>
    <cellStyle name="SAPBEXresItemX 5 4" xfId="41717"/>
    <cellStyle name="SAPBEXresItemX 5 4 2" xfId="41718"/>
    <cellStyle name="SAPBEXresItemX 5 4 2 2" xfId="41719"/>
    <cellStyle name="SAPBEXresItemX 5 4 2 3" xfId="41720"/>
    <cellStyle name="SAPBEXresItemX 5 4 3" xfId="41721"/>
    <cellStyle name="SAPBEXresItemX 5 4 3 2" xfId="41722"/>
    <cellStyle name="SAPBEXresItemX 5 4 4" xfId="41723"/>
    <cellStyle name="SAPBEXresItemX 5 4 5" xfId="41724"/>
    <cellStyle name="SAPBEXresItemX 5 5" xfId="41725"/>
    <cellStyle name="SAPBEXresItemX 5 5 2" xfId="41726"/>
    <cellStyle name="SAPBEXresItemX 5 5 2 2" xfId="41727"/>
    <cellStyle name="SAPBEXresItemX 5 5 3" xfId="41728"/>
    <cellStyle name="SAPBEXresItemX 5 5 4" xfId="41729"/>
    <cellStyle name="SAPBEXresItemX 5 6" xfId="41730"/>
    <cellStyle name="SAPBEXresItemX 5 6 2" xfId="41731"/>
    <cellStyle name="SAPBEXresItemX 5 6 3" xfId="41732"/>
    <cellStyle name="SAPBEXresItemX 5 7" xfId="41733"/>
    <cellStyle name="SAPBEXresItemX 5 7 2" xfId="41734"/>
    <cellStyle name="SAPBEXresItemX 5 8" xfId="41735"/>
    <cellStyle name="SAPBEXresItemX 5 9" xfId="41736"/>
    <cellStyle name="SAPBEXresItemX 6" xfId="41737"/>
    <cellStyle name="SAPBEXresItemX 6 10" xfId="41738"/>
    <cellStyle name="SAPBEXresItemX 6 11" xfId="41739"/>
    <cellStyle name="SAPBEXresItemX 6 12" xfId="41740"/>
    <cellStyle name="SAPBEXresItemX 6 13" xfId="41741"/>
    <cellStyle name="SAPBEXresItemX 6 14" xfId="41742"/>
    <cellStyle name="SAPBEXresItemX 6 15" xfId="41743"/>
    <cellStyle name="SAPBEXresItemX 6 2" xfId="41744"/>
    <cellStyle name="SAPBEXresItemX 6 2 10" xfId="41745"/>
    <cellStyle name="SAPBEXresItemX 6 2 11" xfId="41746"/>
    <cellStyle name="SAPBEXresItemX 6 2 12" xfId="41747"/>
    <cellStyle name="SAPBEXresItemX 6 2 13" xfId="41748"/>
    <cellStyle name="SAPBEXresItemX 6 2 14" xfId="41749"/>
    <cellStyle name="SAPBEXresItemX 6 2 15" xfId="41750"/>
    <cellStyle name="SAPBEXresItemX 6 2 16" xfId="41751"/>
    <cellStyle name="SAPBEXresItemX 6 2 17" xfId="41752"/>
    <cellStyle name="SAPBEXresItemX 6 2 18" xfId="41753"/>
    <cellStyle name="SAPBEXresItemX 6 2 2" xfId="41754"/>
    <cellStyle name="SAPBEXresItemX 6 2 2 2" xfId="41755"/>
    <cellStyle name="SAPBEXresItemX 6 2 2 2 2" xfId="41756"/>
    <cellStyle name="SAPBEXresItemX 6 2 2 3" xfId="41757"/>
    <cellStyle name="SAPBEXresItemX 6 2 2 4" xfId="41758"/>
    <cellStyle name="SAPBEXresItemX 6 2 3" xfId="41759"/>
    <cellStyle name="SAPBEXresItemX 6 2 3 2" xfId="41760"/>
    <cellStyle name="SAPBEXresItemX 6 2 3 3" xfId="41761"/>
    <cellStyle name="SAPBEXresItemX 6 2 4" xfId="41762"/>
    <cellStyle name="SAPBEXresItemX 6 2 4 2" xfId="41763"/>
    <cellStyle name="SAPBEXresItemX 6 2 5" xfId="41764"/>
    <cellStyle name="SAPBEXresItemX 6 2 6" xfId="41765"/>
    <cellStyle name="SAPBEXresItemX 6 2 7" xfId="41766"/>
    <cellStyle name="SAPBEXresItemX 6 2 8" xfId="41767"/>
    <cellStyle name="SAPBEXresItemX 6 2 9" xfId="41768"/>
    <cellStyle name="SAPBEXresItemX 6 3" xfId="41769"/>
    <cellStyle name="SAPBEXresItemX 6 3 10" xfId="41770"/>
    <cellStyle name="SAPBEXresItemX 6 3 11" xfId="41771"/>
    <cellStyle name="SAPBEXresItemX 6 3 12" xfId="41772"/>
    <cellStyle name="SAPBEXresItemX 6 3 13" xfId="41773"/>
    <cellStyle name="SAPBEXresItemX 6 3 14" xfId="41774"/>
    <cellStyle name="SAPBEXresItemX 6 3 15" xfId="41775"/>
    <cellStyle name="SAPBEXresItemX 6 3 16" xfId="41776"/>
    <cellStyle name="SAPBEXresItemX 6 3 17" xfId="41777"/>
    <cellStyle name="SAPBEXresItemX 6 3 18" xfId="41778"/>
    <cellStyle name="SAPBEXresItemX 6 3 2" xfId="41779"/>
    <cellStyle name="SAPBEXresItemX 6 3 2 2" xfId="41780"/>
    <cellStyle name="SAPBEXresItemX 6 3 2 2 2" xfId="41781"/>
    <cellStyle name="SAPBEXresItemX 6 3 2 3" xfId="41782"/>
    <cellStyle name="SAPBEXresItemX 6 3 2 4" xfId="41783"/>
    <cellStyle name="SAPBEXresItemX 6 3 3" xfId="41784"/>
    <cellStyle name="SAPBEXresItemX 6 3 3 2" xfId="41785"/>
    <cellStyle name="SAPBEXresItemX 6 3 3 3" xfId="41786"/>
    <cellStyle name="SAPBEXresItemX 6 3 4" xfId="41787"/>
    <cellStyle name="SAPBEXresItemX 6 3 4 2" xfId="41788"/>
    <cellStyle name="SAPBEXresItemX 6 3 5" xfId="41789"/>
    <cellStyle name="SAPBEXresItemX 6 3 6" xfId="41790"/>
    <cellStyle name="SAPBEXresItemX 6 3 7" xfId="41791"/>
    <cellStyle name="SAPBEXresItemX 6 3 8" xfId="41792"/>
    <cellStyle name="SAPBEXresItemX 6 3 9" xfId="41793"/>
    <cellStyle name="SAPBEXresItemX 6 4" xfId="41794"/>
    <cellStyle name="SAPBEXresItemX 6 4 2" xfId="41795"/>
    <cellStyle name="SAPBEXresItemX 6 4 2 2" xfId="41796"/>
    <cellStyle name="SAPBEXresItemX 6 4 3" xfId="41797"/>
    <cellStyle name="SAPBEXresItemX 6 4 4" xfId="41798"/>
    <cellStyle name="SAPBEXresItemX 6 5" xfId="41799"/>
    <cellStyle name="SAPBEXresItemX 6 5 2" xfId="41800"/>
    <cellStyle name="SAPBEXresItemX 6 6" xfId="41801"/>
    <cellStyle name="SAPBEXresItemX 6 7" xfId="41802"/>
    <cellStyle name="SAPBEXresItemX 6 8" xfId="41803"/>
    <cellStyle name="SAPBEXresItemX 6 9" xfId="41804"/>
    <cellStyle name="SAPBEXresItemX 7" xfId="41805"/>
    <cellStyle name="SAPBEXresItemX 7 10" xfId="41806"/>
    <cellStyle name="SAPBEXresItemX 7 11" xfId="41807"/>
    <cellStyle name="SAPBEXresItemX 7 12" xfId="41808"/>
    <cellStyle name="SAPBEXresItemX 7 13" xfId="41809"/>
    <cellStyle name="SAPBEXresItemX 7 14" xfId="41810"/>
    <cellStyle name="SAPBEXresItemX 7 15" xfId="41811"/>
    <cellStyle name="SAPBEXresItemX 7 16" xfId="41812"/>
    <cellStyle name="SAPBEXresItemX 7 17" xfId="41813"/>
    <cellStyle name="SAPBEXresItemX 7 18" xfId="41814"/>
    <cellStyle name="SAPBEXresItemX 7 2" xfId="41815"/>
    <cellStyle name="SAPBEXresItemX 7 3" xfId="41816"/>
    <cellStyle name="SAPBEXresItemX 7 4" xfId="41817"/>
    <cellStyle name="SAPBEXresItemX 7 5" xfId="41818"/>
    <cellStyle name="SAPBEXresItemX 7 6" xfId="41819"/>
    <cellStyle name="SAPBEXresItemX 7 7" xfId="41820"/>
    <cellStyle name="SAPBEXresItemX 7 8" xfId="41821"/>
    <cellStyle name="SAPBEXresItemX 7 9" xfId="41822"/>
    <cellStyle name="SAPBEXresItemX 8" xfId="41823"/>
    <cellStyle name="SAPBEXresItemX 9" xfId="41824"/>
    <cellStyle name="SAPBEXstdData" xfId="41825"/>
    <cellStyle name="SAPBEXstdData 10" xfId="41826"/>
    <cellStyle name="SAPBEXstdData 11" xfId="41827"/>
    <cellStyle name="SAPBEXstdData 12" xfId="41828"/>
    <cellStyle name="SAPBEXstdData 13" xfId="41829"/>
    <cellStyle name="SAPBEXstdData 14" xfId="41830"/>
    <cellStyle name="SAPBEXstdData 15" xfId="41831"/>
    <cellStyle name="SAPBEXstdData 16" xfId="41832"/>
    <cellStyle name="SAPBEXstdData 17" xfId="41833"/>
    <cellStyle name="SAPBEXstdData 18" xfId="41834"/>
    <cellStyle name="SAPBEXstdData 19" xfId="41835"/>
    <cellStyle name="SAPBEXstdData 2" xfId="41836"/>
    <cellStyle name="SAPBEXstdData 2 10" xfId="41837"/>
    <cellStyle name="SAPBEXstdData 2 11" xfId="41838"/>
    <cellStyle name="SAPBEXstdData 2 12" xfId="41839"/>
    <cellStyle name="SAPBEXstdData 2 13" xfId="41840"/>
    <cellStyle name="SAPBEXstdData 2 14" xfId="41841"/>
    <cellStyle name="SAPBEXstdData 2 15" xfId="41842"/>
    <cellStyle name="SAPBEXstdData 2 16" xfId="41843"/>
    <cellStyle name="SAPBEXstdData 2 17" xfId="41844"/>
    <cellStyle name="SAPBEXstdData 2 18" xfId="41845"/>
    <cellStyle name="SAPBEXstdData 2 19" xfId="41846"/>
    <cellStyle name="SAPBEXstdData 2 2" xfId="41847"/>
    <cellStyle name="SAPBEXstdData 2 2 10" xfId="41848"/>
    <cellStyle name="SAPBEXstdData 2 2 11" xfId="41849"/>
    <cellStyle name="SAPBEXstdData 2 2 12" xfId="41850"/>
    <cellStyle name="SAPBEXstdData 2 2 13" xfId="41851"/>
    <cellStyle name="SAPBEXstdData 2 2 14" xfId="41852"/>
    <cellStyle name="SAPBEXstdData 2 2 15" xfId="41853"/>
    <cellStyle name="SAPBEXstdData 2 2 16" xfId="41854"/>
    <cellStyle name="SAPBEXstdData 2 2 17" xfId="41855"/>
    <cellStyle name="SAPBEXstdData 2 2 18" xfId="41856"/>
    <cellStyle name="SAPBEXstdData 2 2 19" xfId="41857"/>
    <cellStyle name="SAPBEXstdData 2 2 2" xfId="41858"/>
    <cellStyle name="SAPBEXstdData 2 2 2 2" xfId="41859"/>
    <cellStyle name="SAPBEXstdData 2 2 2 2 2" xfId="41860"/>
    <cellStyle name="SAPBEXstdData 2 2 2 3" xfId="41861"/>
    <cellStyle name="SAPBEXstdData 2 2 2 4" xfId="41862"/>
    <cellStyle name="SAPBEXstdData 2 2 20" xfId="41863"/>
    <cellStyle name="SAPBEXstdData 2 2 21" xfId="41864"/>
    <cellStyle name="SAPBEXstdData 2 2 3" xfId="41865"/>
    <cellStyle name="SAPBEXstdData 2 2 3 2" xfId="41866"/>
    <cellStyle name="SAPBEXstdData 2 2 3 3" xfId="41867"/>
    <cellStyle name="SAPBEXstdData 2 2 4" xfId="41868"/>
    <cellStyle name="SAPBEXstdData 2 2 4 2" xfId="41869"/>
    <cellStyle name="SAPBEXstdData 2 2 5" xfId="41870"/>
    <cellStyle name="SAPBEXstdData 2 2 6" xfId="41871"/>
    <cellStyle name="SAPBEXstdData 2 2 7" xfId="41872"/>
    <cellStyle name="SAPBEXstdData 2 2 8" xfId="41873"/>
    <cellStyle name="SAPBEXstdData 2 2 9" xfId="41874"/>
    <cellStyle name="SAPBEXstdData 2 20" xfId="41875"/>
    <cellStyle name="SAPBEXstdData 2 21" xfId="41876"/>
    <cellStyle name="SAPBEXstdData 2 22" xfId="41877"/>
    <cellStyle name="SAPBEXstdData 2 23" xfId="41878"/>
    <cellStyle name="SAPBEXstdData 2 24" xfId="41879"/>
    <cellStyle name="SAPBEXstdData 2 3" xfId="41880"/>
    <cellStyle name="SAPBEXstdData 2 3 10" xfId="41881"/>
    <cellStyle name="SAPBEXstdData 2 3 11" xfId="41882"/>
    <cellStyle name="SAPBEXstdData 2 3 12" xfId="41883"/>
    <cellStyle name="SAPBEXstdData 2 3 13" xfId="41884"/>
    <cellStyle name="SAPBEXstdData 2 3 14" xfId="41885"/>
    <cellStyle name="SAPBEXstdData 2 3 15" xfId="41886"/>
    <cellStyle name="SAPBEXstdData 2 3 16" xfId="41887"/>
    <cellStyle name="SAPBEXstdData 2 3 17" xfId="41888"/>
    <cellStyle name="SAPBEXstdData 2 3 18" xfId="41889"/>
    <cellStyle name="SAPBEXstdData 2 3 2" xfId="41890"/>
    <cellStyle name="SAPBEXstdData 2 3 2 2" xfId="41891"/>
    <cellStyle name="SAPBEXstdData 2 3 2 2 2" xfId="41892"/>
    <cellStyle name="SAPBEXstdData 2 3 2 3" xfId="41893"/>
    <cellStyle name="SAPBEXstdData 2 3 2 4" xfId="41894"/>
    <cellStyle name="SAPBEXstdData 2 3 3" xfId="41895"/>
    <cellStyle name="SAPBEXstdData 2 3 3 2" xfId="41896"/>
    <cellStyle name="SAPBEXstdData 2 3 3 3" xfId="41897"/>
    <cellStyle name="SAPBEXstdData 2 3 4" xfId="41898"/>
    <cellStyle name="SAPBEXstdData 2 3 4 2" xfId="41899"/>
    <cellStyle name="SAPBEXstdData 2 3 5" xfId="41900"/>
    <cellStyle name="SAPBEXstdData 2 3 6" xfId="41901"/>
    <cellStyle name="SAPBEXstdData 2 3 7" xfId="41902"/>
    <cellStyle name="SAPBEXstdData 2 3 8" xfId="41903"/>
    <cellStyle name="SAPBEXstdData 2 3 9" xfId="41904"/>
    <cellStyle name="SAPBEXstdData 2 4" xfId="41905"/>
    <cellStyle name="SAPBEXstdData 2 4 2" xfId="41906"/>
    <cellStyle name="SAPBEXstdData 2 4 2 2" xfId="41907"/>
    <cellStyle name="SAPBEXstdData 2 4 2 3" xfId="41908"/>
    <cellStyle name="SAPBEXstdData 2 4 3" xfId="41909"/>
    <cellStyle name="SAPBEXstdData 2 4 3 2" xfId="41910"/>
    <cellStyle name="SAPBEXstdData 2 4 4" xfId="41911"/>
    <cellStyle name="SAPBEXstdData 2 4 5" xfId="41912"/>
    <cellStyle name="SAPBEXstdData 2 5" xfId="41913"/>
    <cellStyle name="SAPBEXstdData 2 5 2" xfId="41914"/>
    <cellStyle name="SAPBEXstdData 2 5 2 2" xfId="41915"/>
    <cellStyle name="SAPBEXstdData 2 5 3" xfId="41916"/>
    <cellStyle name="SAPBEXstdData 2 5 4" xfId="41917"/>
    <cellStyle name="SAPBEXstdData 2 6" xfId="41918"/>
    <cellStyle name="SAPBEXstdData 2 6 2" xfId="41919"/>
    <cellStyle name="SAPBEXstdData 2 6 3" xfId="41920"/>
    <cellStyle name="SAPBEXstdData 2 7" xfId="41921"/>
    <cellStyle name="SAPBEXstdData 2 7 2" xfId="41922"/>
    <cellStyle name="SAPBEXstdData 2 8" xfId="41923"/>
    <cellStyle name="SAPBEXstdData 2 9" xfId="41924"/>
    <cellStyle name="SAPBEXstdData 3" xfId="41925"/>
    <cellStyle name="SAPBEXstdData 3 10" xfId="41926"/>
    <cellStyle name="SAPBEXstdData 3 11" xfId="41927"/>
    <cellStyle name="SAPBEXstdData 3 12" xfId="41928"/>
    <cellStyle name="SAPBEXstdData 3 13" xfId="41929"/>
    <cellStyle name="SAPBEXstdData 3 14" xfId="41930"/>
    <cellStyle name="SAPBEXstdData 3 15" xfId="41931"/>
    <cellStyle name="SAPBEXstdData 3 16" xfId="41932"/>
    <cellStyle name="SAPBEXstdData 3 17" xfId="41933"/>
    <cellStyle name="SAPBEXstdData 3 18" xfId="41934"/>
    <cellStyle name="SAPBEXstdData 3 19" xfId="41935"/>
    <cellStyle name="SAPBEXstdData 3 2" xfId="41936"/>
    <cellStyle name="SAPBEXstdData 3 2 10" xfId="41937"/>
    <cellStyle name="SAPBEXstdData 3 2 11" xfId="41938"/>
    <cellStyle name="SAPBEXstdData 3 2 12" xfId="41939"/>
    <cellStyle name="SAPBEXstdData 3 2 13" xfId="41940"/>
    <cellStyle name="SAPBEXstdData 3 2 14" xfId="41941"/>
    <cellStyle name="SAPBEXstdData 3 2 15" xfId="41942"/>
    <cellStyle name="SAPBEXstdData 3 2 16" xfId="41943"/>
    <cellStyle name="SAPBEXstdData 3 2 17" xfId="41944"/>
    <cellStyle name="SAPBEXstdData 3 2 18" xfId="41945"/>
    <cellStyle name="SAPBEXstdData 3 2 2" xfId="41946"/>
    <cellStyle name="SAPBEXstdData 3 2 2 2" xfId="41947"/>
    <cellStyle name="SAPBEXstdData 3 2 2 2 2" xfId="41948"/>
    <cellStyle name="SAPBEXstdData 3 2 2 3" xfId="41949"/>
    <cellStyle name="SAPBEXstdData 3 2 2 4" xfId="41950"/>
    <cellStyle name="SAPBEXstdData 3 2 3" xfId="41951"/>
    <cellStyle name="SAPBEXstdData 3 2 3 2" xfId="41952"/>
    <cellStyle name="SAPBEXstdData 3 2 3 3" xfId="41953"/>
    <cellStyle name="SAPBEXstdData 3 2 4" xfId="41954"/>
    <cellStyle name="SAPBEXstdData 3 2 4 2" xfId="41955"/>
    <cellStyle name="SAPBEXstdData 3 2 5" xfId="41956"/>
    <cellStyle name="SAPBEXstdData 3 2 6" xfId="41957"/>
    <cellStyle name="SAPBEXstdData 3 2 7" xfId="41958"/>
    <cellStyle name="SAPBEXstdData 3 2 8" xfId="41959"/>
    <cellStyle name="SAPBEXstdData 3 2 9" xfId="41960"/>
    <cellStyle name="SAPBEXstdData 3 20" xfId="41961"/>
    <cellStyle name="SAPBEXstdData 3 21" xfId="41962"/>
    <cellStyle name="SAPBEXstdData 3 22" xfId="41963"/>
    <cellStyle name="SAPBEXstdData 3 3" xfId="41964"/>
    <cellStyle name="SAPBEXstdData 3 3 10" xfId="41965"/>
    <cellStyle name="SAPBEXstdData 3 3 11" xfId="41966"/>
    <cellStyle name="SAPBEXstdData 3 3 12" xfId="41967"/>
    <cellStyle name="SAPBEXstdData 3 3 13" xfId="41968"/>
    <cellStyle name="SAPBEXstdData 3 3 14" xfId="41969"/>
    <cellStyle name="SAPBEXstdData 3 3 15" xfId="41970"/>
    <cellStyle name="SAPBEXstdData 3 3 16" xfId="41971"/>
    <cellStyle name="SAPBEXstdData 3 3 17" xfId="41972"/>
    <cellStyle name="SAPBEXstdData 3 3 18" xfId="41973"/>
    <cellStyle name="SAPBEXstdData 3 3 2" xfId="41974"/>
    <cellStyle name="SAPBEXstdData 3 3 2 2" xfId="41975"/>
    <cellStyle name="SAPBEXstdData 3 3 2 2 2" xfId="41976"/>
    <cellStyle name="SAPBEXstdData 3 3 2 3" xfId="41977"/>
    <cellStyle name="SAPBEXstdData 3 3 2 4" xfId="41978"/>
    <cellStyle name="SAPBEXstdData 3 3 3" xfId="41979"/>
    <cellStyle name="SAPBEXstdData 3 3 3 2" xfId="41980"/>
    <cellStyle name="SAPBEXstdData 3 3 3 3" xfId="41981"/>
    <cellStyle name="SAPBEXstdData 3 3 4" xfId="41982"/>
    <cellStyle name="SAPBEXstdData 3 3 4 2" xfId="41983"/>
    <cellStyle name="SAPBEXstdData 3 3 5" xfId="41984"/>
    <cellStyle name="SAPBEXstdData 3 3 6" xfId="41985"/>
    <cellStyle name="SAPBEXstdData 3 3 7" xfId="41986"/>
    <cellStyle name="SAPBEXstdData 3 3 8" xfId="41987"/>
    <cellStyle name="SAPBEXstdData 3 3 9" xfId="41988"/>
    <cellStyle name="SAPBEXstdData 3 4" xfId="41989"/>
    <cellStyle name="SAPBEXstdData 3 4 2" xfId="41990"/>
    <cellStyle name="SAPBEXstdData 3 4 2 2" xfId="41991"/>
    <cellStyle name="SAPBEXstdData 3 4 2 3" xfId="41992"/>
    <cellStyle name="SAPBEXstdData 3 4 3" xfId="41993"/>
    <cellStyle name="SAPBEXstdData 3 4 3 2" xfId="41994"/>
    <cellStyle name="SAPBEXstdData 3 4 4" xfId="41995"/>
    <cellStyle name="SAPBEXstdData 3 4 5" xfId="41996"/>
    <cellStyle name="SAPBEXstdData 3 5" xfId="41997"/>
    <cellStyle name="SAPBEXstdData 3 5 2" xfId="41998"/>
    <cellStyle name="SAPBEXstdData 3 5 2 2" xfId="41999"/>
    <cellStyle name="SAPBEXstdData 3 5 3" xfId="42000"/>
    <cellStyle name="SAPBEXstdData 3 5 4" xfId="42001"/>
    <cellStyle name="SAPBEXstdData 3 6" xfId="42002"/>
    <cellStyle name="SAPBEXstdData 3 6 2" xfId="42003"/>
    <cellStyle name="SAPBEXstdData 3 6 3" xfId="42004"/>
    <cellStyle name="SAPBEXstdData 3 7" xfId="42005"/>
    <cellStyle name="SAPBEXstdData 3 7 2" xfId="42006"/>
    <cellStyle name="SAPBEXstdData 3 8" xfId="42007"/>
    <cellStyle name="SAPBEXstdData 3 9" xfId="42008"/>
    <cellStyle name="SAPBEXstdData 4" xfId="42009"/>
    <cellStyle name="SAPBEXstdData 4 10" xfId="42010"/>
    <cellStyle name="SAPBEXstdData 4 11" xfId="42011"/>
    <cellStyle name="SAPBEXstdData 4 12" xfId="42012"/>
    <cellStyle name="SAPBEXstdData 4 13" xfId="42013"/>
    <cellStyle name="SAPBEXstdData 4 14" xfId="42014"/>
    <cellStyle name="SAPBEXstdData 4 15" xfId="42015"/>
    <cellStyle name="SAPBEXstdData 4 16" xfId="42016"/>
    <cellStyle name="SAPBEXstdData 4 17" xfId="42017"/>
    <cellStyle name="SAPBEXstdData 4 18" xfId="42018"/>
    <cellStyle name="SAPBEXstdData 4 19" xfId="42019"/>
    <cellStyle name="SAPBEXstdData 4 2" xfId="42020"/>
    <cellStyle name="SAPBEXstdData 4 2 10" xfId="42021"/>
    <cellStyle name="SAPBEXstdData 4 2 11" xfId="42022"/>
    <cellStyle name="SAPBEXstdData 4 2 12" xfId="42023"/>
    <cellStyle name="SAPBEXstdData 4 2 13" xfId="42024"/>
    <cellStyle name="SAPBEXstdData 4 2 14" xfId="42025"/>
    <cellStyle name="SAPBEXstdData 4 2 15" xfId="42026"/>
    <cellStyle name="SAPBEXstdData 4 2 16" xfId="42027"/>
    <cellStyle name="SAPBEXstdData 4 2 17" xfId="42028"/>
    <cellStyle name="SAPBEXstdData 4 2 18" xfId="42029"/>
    <cellStyle name="SAPBEXstdData 4 2 2" xfId="42030"/>
    <cellStyle name="SAPBEXstdData 4 2 2 2" xfId="42031"/>
    <cellStyle name="SAPBEXstdData 4 2 2 2 2" xfId="42032"/>
    <cellStyle name="SAPBEXstdData 4 2 2 3" xfId="42033"/>
    <cellStyle name="SAPBEXstdData 4 2 2 4" xfId="42034"/>
    <cellStyle name="SAPBEXstdData 4 2 3" xfId="42035"/>
    <cellStyle name="SAPBEXstdData 4 2 3 2" xfId="42036"/>
    <cellStyle name="SAPBEXstdData 4 2 3 3" xfId="42037"/>
    <cellStyle name="SAPBEXstdData 4 2 4" xfId="42038"/>
    <cellStyle name="SAPBEXstdData 4 2 4 2" xfId="42039"/>
    <cellStyle name="SAPBEXstdData 4 2 5" xfId="42040"/>
    <cellStyle name="SAPBEXstdData 4 2 6" xfId="42041"/>
    <cellStyle name="SAPBEXstdData 4 2 7" xfId="42042"/>
    <cellStyle name="SAPBEXstdData 4 2 8" xfId="42043"/>
    <cellStyle name="SAPBEXstdData 4 2 9" xfId="42044"/>
    <cellStyle name="SAPBEXstdData 4 20" xfId="42045"/>
    <cellStyle name="SAPBEXstdData 4 21" xfId="42046"/>
    <cellStyle name="SAPBEXstdData 4 22" xfId="42047"/>
    <cellStyle name="SAPBEXstdData 4 3" xfId="42048"/>
    <cellStyle name="SAPBEXstdData 4 3 10" xfId="42049"/>
    <cellStyle name="SAPBEXstdData 4 3 11" xfId="42050"/>
    <cellStyle name="SAPBEXstdData 4 3 12" xfId="42051"/>
    <cellStyle name="SAPBEXstdData 4 3 13" xfId="42052"/>
    <cellStyle name="SAPBEXstdData 4 3 14" xfId="42053"/>
    <cellStyle name="SAPBEXstdData 4 3 15" xfId="42054"/>
    <cellStyle name="SAPBEXstdData 4 3 16" xfId="42055"/>
    <cellStyle name="SAPBEXstdData 4 3 17" xfId="42056"/>
    <cellStyle name="SAPBEXstdData 4 3 18" xfId="42057"/>
    <cellStyle name="SAPBEXstdData 4 3 2" xfId="42058"/>
    <cellStyle name="SAPBEXstdData 4 3 2 2" xfId="42059"/>
    <cellStyle name="SAPBEXstdData 4 3 2 2 2" xfId="42060"/>
    <cellStyle name="SAPBEXstdData 4 3 2 3" xfId="42061"/>
    <cellStyle name="SAPBEXstdData 4 3 2 4" xfId="42062"/>
    <cellStyle name="SAPBEXstdData 4 3 3" xfId="42063"/>
    <cellStyle name="SAPBEXstdData 4 3 3 2" xfId="42064"/>
    <cellStyle name="SAPBEXstdData 4 3 3 3" xfId="42065"/>
    <cellStyle name="SAPBEXstdData 4 3 4" xfId="42066"/>
    <cellStyle name="SAPBEXstdData 4 3 4 2" xfId="42067"/>
    <cellStyle name="SAPBEXstdData 4 3 5" xfId="42068"/>
    <cellStyle name="SAPBEXstdData 4 3 6" xfId="42069"/>
    <cellStyle name="SAPBEXstdData 4 3 7" xfId="42070"/>
    <cellStyle name="SAPBEXstdData 4 3 8" xfId="42071"/>
    <cellStyle name="SAPBEXstdData 4 3 9" xfId="42072"/>
    <cellStyle name="SAPBEXstdData 4 4" xfId="42073"/>
    <cellStyle name="SAPBEXstdData 4 4 2" xfId="42074"/>
    <cellStyle name="SAPBEXstdData 4 4 2 2" xfId="42075"/>
    <cellStyle name="SAPBEXstdData 4 4 2 3" xfId="42076"/>
    <cellStyle name="SAPBEXstdData 4 4 3" xfId="42077"/>
    <cellStyle name="SAPBEXstdData 4 4 3 2" xfId="42078"/>
    <cellStyle name="SAPBEXstdData 4 4 4" xfId="42079"/>
    <cellStyle name="SAPBEXstdData 4 4 5" xfId="42080"/>
    <cellStyle name="SAPBEXstdData 4 5" xfId="42081"/>
    <cellStyle name="SAPBEXstdData 4 5 2" xfId="42082"/>
    <cellStyle name="SAPBEXstdData 4 5 2 2" xfId="42083"/>
    <cellStyle name="SAPBEXstdData 4 5 3" xfId="42084"/>
    <cellStyle name="SAPBEXstdData 4 5 4" xfId="42085"/>
    <cellStyle name="SAPBEXstdData 4 6" xfId="42086"/>
    <cellStyle name="SAPBEXstdData 4 6 2" xfId="42087"/>
    <cellStyle name="SAPBEXstdData 4 6 3" xfId="42088"/>
    <cellStyle name="SAPBEXstdData 4 7" xfId="42089"/>
    <cellStyle name="SAPBEXstdData 4 7 2" xfId="42090"/>
    <cellStyle name="SAPBEXstdData 4 8" xfId="42091"/>
    <cellStyle name="SAPBEXstdData 4 9" xfId="42092"/>
    <cellStyle name="SAPBEXstdData 5" xfId="42093"/>
    <cellStyle name="SAPBEXstdData 5 10" xfId="42094"/>
    <cellStyle name="SAPBEXstdData 5 11" xfId="42095"/>
    <cellStyle name="SAPBEXstdData 5 12" xfId="42096"/>
    <cellStyle name="SAPBEXstdData 5 13" xfId="42097"/>
    <cellStyle name="SAPBEXstdData 5 14" xfId="42098"/>
    <cellStyle name="SAPBEXstdData 5 15" xfId="42099"/>
    <cellStyle name="SAPBEXstdData 5 16" xfId="42100"/>
    <cellStyle name="SAPBEXstdData 5 17" xfId="42101"/>
    <cellStyle name="SAPBEXstdData 5 18" xfId="42102"/>
    <cellStyle name="SAPBEXstdData 5 19" xfId="42103"/>
    <cellStyle name="SAPBEXstdData 5 2" xfId="42104"/>
    <cellStyle name="SAPBEXstdData 5 2 10" xfId="42105"/>
    <cellStyle name="SAPBEXstdData 5 2 11" xfId="42106"/>
    <cellStyle name="SAPBEXstdData 5 2 12" xfId="42107"/>
    <cellStyle name="SAPBEXstdData 5 2 13" xfId="42108"/>
    <cellStyle name="SAPBEXstdData 5 2 14" xfId="42109"/>
    <cellStyle name="SAPBEXstdData 5 2 15" xfId="42110"/>
    <cellStyle name="SAPBEXstdData 5 2 16" xfId="42111"/>
    <cellStyle name="SAPBEXstdData 5 2 17" xfId="42112"/>
    <cellStyle name="SAPBEXstdData 5 2 18" xfId="42113"/>
    <cellStyle name="SAPBEXstdData 5 2 2" xfId="42114"/>
    <cellStyle name="SAPBEXstdData 5 2 2 2" xfId="42115"/>
    <cellStyle name="SAPBEXstdData 5 2 2 2 2" xfId="42116"/>
    <cellStyle name="SAPBEXstdData 5 2 2 3" xfId="42117"/>
    <cellStyle name="SAPBEXstdData 5 2 2 4" xfId="42118"/>
    <cellStyle name="SAPBEXstdData 5 2 3" xfId="42119"/>
    <cellStyle name="SAPBEXstdData 5 2 3 2" xfId="42120"/>
    <cellStyle name="SAPBEXstdData 5 2 3 3" xfId="42121"/>
    <cellStyle name="SAPBEXstdData 5 2 4" xfId="42122"/>
    <cellStyle name="SAPBEXstdData 5 2 4 2" xfId="42123"/>
    <cellStyle name="SAPBEXstdData 5 2 5" xfId="42124"/>
    <cellStyle name="SAPBEXstdData 5 2 6" xfId="42125"/>
    <cellStyle name="SAPBEXstdData 5 2 7" xfId="42126"/>
    <cellStyle name="SAPBEXstdData 5 2 8" xfId="42127"/>
    <cellStyle name="SAPBEXstdData 5 2 9" xfId="42128"/>
    <cellStyle name="SAPBEXstdData 5 20" xfId="42129"/>
    <cellStyle name="SAPBEXstdData 5 21" xfId="42130"/>
    <cellStyle name="SAPBEXstdData 5 22" xfId="42131"/>
    <cellStyle name="SAPBEXstdData 5 3" xfId="42132"/>
    <cellStyle name="SAPBEXstdData 5 3 10" xfId="42133"/>
    <cellStyle name="SAPBEXstdData 5 3 11" xfId="42134"/>
    <cellStyle name="SAPBEXstdData 5 3 12" xfId="42135"/>
    <cellStyle name="SAPBEXstdData 5 3 13" xfId="42136"/>
    <cellStyle name="SAPBEXstdData 5 3 14" xfId="42137"/>
    <cellStyle name="SAPBEXstdData 5 3 15" xfId="42138"/>
    <cellStyle name="SAPBEXstdData 5 3 16" xfId="42139"/>
    <cellStyle name="SAPBEXstdData 5 3 17" xfId="42140"/>
    <cellStyle name="SAPBEXstdData 5 3 18" xfId="42141"/>
    <cellStyle name="SAPBEXstdData 5 3 2" xfId="42142"/>
    <cellStyle name="SAPBEXstdData 5 3 2 2" xfId="42143"/>
    <cellStyle name="SAPBEXstdData 5 3 2 2 2" xfId="42144"/>
    <cellStyle name="SAPBEXstdData 5 3 2 3" xfId="42145"/>
    <cellStyle name="SAPBEXstdData 5 3 2 4" xfId="42146"/>
    <cellStyle name="SAPBEXstdData 5 3 3" xfId="42147"/>
    <cellStyle name="SAPBEXstdData 5 3 3 2" xfId="42148"/>
    <cellStyle name="SAPBEXstdData 5 3 3 3" xfId="42149"/>
    <cellStyle name="SAPBEXstdData 5 3 4" xfId="42150"/>
    <cellStyle name="SAPBEXstdData 5 3 4 2" xfId="42151"/>
    <cellStyle name="SAPBEXstdData 5 3 5" xfId="42152"/>
    <cellStyle name="SAPBEXstdData 5 3 6" xfId="42153"/>
    <cellStyle name="SAPBEXstdData 5 3 7" xfId="42154"/>
    <cellStyle name="SAPBEXstdData 5 3 8" xfId="42155"/>
    <cellStyle name="SAPBEXstdData 5 3 9" xfId="42156"/>
    <cellStyle name="SAPBEXstdData 5 4" xfId="42157"/>
    <cellStyle name="SAPBEXstdData 5 4 2" xfId="42158"/>
    <cellStyle name="SAPBEXstdData 5 4 2 2" xfId="42159"/>
    <cellStyle name="SAPBEXstdData 5 4 2 3" xfId="42160"/>
    <cellStyle name="SAPBEXstdData 5 4 3" xfId="42161"/>
    <cellStyle name="SAPBEXstdData 5 4 3 2" xfId="42162"/>
    <cellStyle name="SAPBEXstdData 5 4 4" xfId="42163"/>
    <cellStyle name="SAPBEXstdData 5 4 5" xfId="42164"/>
    <cellStyle name="SAPBEXstdData 5 5" xfId="42165"/>
    <cellStyle name="SAPBEXstdData 5 5 2" xfId="42166"/>
    <cellStyle name="SAPBEXstdData 5 5 2 2" xfId="42167"/>
    <cellStyle name="SAPBEXstdData 5 5 3" xfId="42168"/>
    <cellStyle name="SAPBEXstdData 5 5 4" xfId="42169"/>
    <cellStyle name="SAPBEXstdData 5 6" xfId="42170"/>
    <cellStyle name="SAPBEXstdData 5 6 2" xfId="42171"/>
    <cellStyle name="SAPBEXstdData 5 6 3" xfId="42172"/>
    <cellStyle name="SAPBEXstdData 5 7" xfId="42173"/>
    <cellStyle name="SAPBEXstdData 5 7 2" xfId="42174"/>
    <cellStyle name="SAPBEXstdData 5 8" xfId="42175"/>
    <cellStyle name="SAPBEXstdData 5 9" xfId="42176"/>
    <cellStyle name="SAPBEXstdData 6" xfId="42177"/>
    <cellStyle name="SAPBEXstdData 6 10" xfId="42178"/>
    <cellStyle name="SAPBEXstdData 6 11" xfId="42179"/>
    <cellStyle name="SAPBEXstdData 6 12" xfId="42180"/>
    <cellStyle name="SAPBEXstdData 6 13" xfId="42181"/>
    <cellStyle name="SAPBEXstdData 6 14" xfId="42182"/>
    <cellStyle name="SAPBEXstdData 6 15" xfId="42183"/>
    <cellStyle name="SAPBEXstdData 6 2" xfId="42184"/>
    <cellStyle name="SAPBEXstdData 6 2 10" xfId="42185"/>
    <cellStyle name="SAPBEXstdData 6 2 11" xfId="42186"/>
    <cellStyle name="SAPBEXstdData 6 2 12" xfId="42187"/>
    <cellStyle name="SAPBEXstdData 6 2 13" xfId="42188"/>
    <cellStyle name="SAPBEXstdData 6 2 14" xfId="42189"/>
    <cellStyle name="SAPBEXstdData 6 2 15" xfId="42190"/>
    <cellStyle name="SAPBEXstdData 6 2 16" xfId="42191"/>
    <cellStyle name="SAPBEXstdData 6 2 17" xfId="42192"/>
    <cellStyle name="SAPBEXstdData 6 2 18" xfId="42193"/>
    <cellStyle name="SAPBEXstdData 6 2 2" xfId="42194"/>
    <cellStyle name="SAPBEXstdData 6 2 2 2" xfId="42195"/>
    <cellStyle name="SAPBEXstdData 6 2 2 2 2" xfId="42196"/>
    <cellStyle name="SAPBEXstdData 6 2 2 3" xfId="42197"/>
    <cellStyle name="SAPBEXstdData 6 2 2 4" xfId="42198"/>
    <cellStyle name="SAPBEXstdData 6 2 3" xfId="42199"/>
    <cellStyle name="SAPBEXstdData 6 2 3 2" xfId="42200"/>
    <cellStyle name="SAPBEXstdData 6 2 3 3" xfId="42201"/>
    <cellStyle name="SAPBEXstdData 6 2 4" xfId="42202"/>
    <cellStyle name="SAPBEXstdData 6 2 4 2" xfId="42203"/>
    <cellStyle name="SAPBEXstdData 6 2 5" xfId="42204"/>
    <cellStyle name="SAPBEXstdData 6 2 6" xfId="42205"/>
    <cellStyle name="SAPBEXstdData 6 2 7" xfId="42206"/>
    <cellStyle name="SAPBEXstdData 6 2 8" xfId="42207"/>
    <cellStyle name="SAPBEXstdData 6 2 9" xfId="42208"/>
    <cellStyle name="SAPBEXstdData 6 3" xfId="42209"/>
    <cellStyle name="SAPBEXstdData 6 3 10" xfId="42210"/>
    <cellStyle name="SAPBEXstdData 6 3 11" xfId="42211"/>
    <cellStyle name="SAPBEXstdData 6 3 12" xfId="42212"/>
    <cellStyle name="SAPBEXstdData 6 3 13" xfId="42213"/>
    <cellStyle name="SAPBEXstdData 6 3 14" xfId="42214"/>
    <cellStyle name="SAPBEXstdData 6 3 15" xfId="42215"/>
    <cellStyle name="SAPBEXstdData 6 3 16" xfId="42216"/>
    <cellStyle name="SAPBEXstdData 6 3 17" xfId="42217"/>
    <cellStyle name="SAPBEXstdData 6 3 18" xfId="42218"/>
    <cellStyle name="SAPBEXstdData 6 3 2" xfId="42219"/>
    <cellStyle name="SAPBEXstdData 6 3 2 2" xfId="42220"/>
    <cellStyle name="SAPBEXstdData 6 3 2 2 2" xfId="42221"/>
    <cellStyle name="SAPBEXstdData 6 3 2 3" xfId="42222"/>
    <cellStyle name="SAPBEXstdData 6 3 2 4" xfId="42223"/>
    <cellStyle name="SAPBEXstdData 6 3 3" xfId="42224"/>
    <cellStyle name="SAPBEXstdData 6 3 3 2" xfId="42225"/>
    <cellStyle name="SAPBEXstdData 6 3 3 3" xfId="42226"/>
    <cellStyle name="SAPBEXstdData 6 3 4" xfId="42227"/>
    <cellStyle name="SAPBEXstdData 6 3 4 2" xfId="42228"/>
    <cellStyle name="SAPBEXstdData 6 3 5" xfId="42229"/>
    <cellStyle name="SAPBEXstdData 6 3 6" xfId="42230"/>
    <cellStyle name="SAPBEXstdData 6 3 7" xfId="42231"/>
    <cellStyle name="SAPBEXstdData 6 3 8" xfId="42232"/>
    <cellStyle name="SAPBEXstdData 6 3 9" xfId="42233"/>
    <cellStyle name="SAPBEXstdData 6 4" xfId="42234"/>
    <cellStyle name="SAPBEXstdData 6 4 2" xfId="42235"/>
    <cellStyle name="SAPBEXstdData 6 4 2 2" xfId="42236"/>
    <cellStyle name="SAPBEXstdData 6 4 3" xfId="42237"/>
    <cellStyle name="SAPBEXstdData 6 4 4" xfId="42238"/>
    <cellStyle name="SAPBEXstdData 6 5" xfId="42239"/>
    <cellStyle name="SAPBEXstdData 6 5 2" xfId="42240"/>
    <cellStyle name="SAPBEXstdData 6 6" xfId="42241"/>
    <cellStyle name="SAPBEXstdData 6 7" xfId="42242"/>
    <cellStyle name="SAPBEXstdData 6 8" xfId="42243"/>
    <cellStyle name="SAPBEXstdData 6 9" xfId="42244"/>
    <cellStyle name="SAPBEXstdData 7" xfId="42245"/>
    <cellStyle name="SAPBEXstdData 7 10" xfId="42246"/>
    <cellStyle name="SAPBEXstdData 7 11" xfId="42247"/>
    <cellStyle name="SAPBEXstdData 7 12" xfId="42248"/>
    <cellStyle name="SAPBEXstdData 7 13" xfId="42249"/>
    <cellStyle name="SAPBEXstdData 7 14" xfId="42250"/>
    <cellStyle name="SAPBEXstdData 7 15" xfId="42251"/>
    <cellStyle name="SAPBEXstdData 7 16" xfId="42252"/>
    <cellStyle name="SAPBEXstdData 7 17" xfId="42253"/>
    <cellStyle name="SAPBEXstdData 7 18" xfId="42254"/>
    <cellStyle name="SAPBEXstdData 7 2" xfId="42255"/>
    <cellStyle name="SAPBEXstdData 7 3" xfId="42256"/>
    <cellStyle name="SAPBEXstdData 7 4" xfId="42257"/>
    <cellStyle name="SAPBEXstdData 7 5" xfId="42258"/>
    <cellStyle name="SAPBEXstdData 7 6" xfId="42259"/>
    <cellStyle name="SAPBEXstdData 7 7" xfId="42260"/>
    <cellStyle name="SAPBEXstdData 7 8" xfId="42261"/>
    <cellStyle name="SAPBEXstdData 7 9" xfId="42262"/>
    <cellStyle name="SAPBEXstdData 8" xfId="42263"/>
    <cellStyle name="SAPBEXstdData 9" xfId="42264"/>
    <cellStyle name="SAPBEXstdData_Приложение_1_к_7-у-о_2009_Кв_1_ФСТ" xfId="42265"/>
    <cellStyle name="SAPBEXstdDataEmph" xfId="42266"/>
    <cellStyle name="SAPBEXstdDataEmph 10" xfId="42267"/>
    <cellStyle name="SAPBEXstdDataEmph 11" xfId="42268"/>
    <cellStyle name="SAPBEXstdDataEmph 12" xfId="42269"/>
    <cellStyle name="SAPBEXstdDataEmph 13" xfId="42270"/>
    <cellStyle name="SAPBEXstdDataEmph 14" xfId="42271"/>
    <cellStyle name="SAPBEXstdDataEmph 15" xfId="42272"/>
    <cellStyle name="SAPBEXstdDataEmph 16" xfId="42273"/>
    <cellStyle name="SAPBEXstdDataEmph 17" xfId="42274"/>
    <cellStyle name="SAPBEXstdDataEmph 18" xfId="42275"/>
    <cellStyle name="SAPBEXstdDataEmph 19" xfId="42276"/>
    <cellStyle name="SAPBEXstdDataEmph 2" xfId="42277"/>
    <cellStyle name="SAPBEXstdDataEmph 2 10" xfId="42278"/>
    <cellStyle name="SAPBEXstdDataEmph 2 11" xfId="42279"/>
    <cellStyle name="SAPBEXstdDataEmph 2 12" xfId="42280"/>
    <cellStyle name="SAPBEXstdDataEmph 2 13" xfId="42281"/>
    <cellStyle name="SAPBEXstdDataEmph 2 14" xfId="42282"/>
    <cellStyle name="SAPBEXstdDataEmph 2 15" xfId="42283"/>
    <cellStyle name="SAPBEXstdDataEmph 2 16" xfId="42284"/>
    <cellStyle name="SAPBEXstdDataEmph 2 17" xfId="42285"/>
    <cellStyle name="SAPBEXstdDataEmph 2 18" xfId="42286"/>
    <cellStyle name="SAPBEXstdDataEmph 2 19" xfId="42287"/>
    <cellStyle name="SAPBEXstdDataEmph 2 2" xfId="42288"/>
    <cellStyle name="SAPBEXstdDataEmph 2 2 10" xfId="42289"/>
    <cellStyle name="SAPBEXstdDataEmph 2 2 11" xfId="42290"/>
    <cellStyle name="SAPBEXstdDataEmph 2 2 12" xfId="42291"/>
    <cellStyle name="SAPBEXstdDataEmph 2 2 13" xfId="42292"/>
    <cellStyle name="SAPBEXstdDataEmph 2 2 14" xfId="42293"/>
    <cellStyle name="SAPBEXstdDataEmph 2 2 15" xfId="42294"/>
    <cellStyle name="SAPBEXstdDataEmph 2 2 16" xfId="42295"/>
    <cellStyle name="SAPBEXstdDataEmph 2 2 17" xfId="42296"/>
    <cellStyle name="SAPBEXstdDataEmph 2 2 18" xfId="42297"/>
    <cellStyle name="SAPBEXstdDataEmph 2 2 2" xfId="42298"/>
    <cellStyle name="SAPBEXstdDataEmph 2 2 2 2" xfId="42299"/>
    <cellStyle name="SAPBEXstdDataEmph 2 2 2 2 2" xfId="42300"/>
    <cellStyle name="SAPBEXstdDataEmph 2 2 2 3" xfId="42301"/>
    <cellStyle name="SAPBEXstdDataEmph 2 2 2 4" xfId="42302"/>
    <cellStyle name="SAPBEXstdDataEmph 2 2 3" xfId="42303"/>
    <cellStyle name="SAPBEXstdDataEmph 2 2 3 2" xfId="42304"/>
    <cellStyle name="SAPBEXstdDataEmph 2 2 3 3" xfId="42305"/>
    <cellStyle name="SAPBEXstdDataEmph 2 2 4" xfId="42306"/>
    <cellStyle name="SAPBEXstdDataEmph 2 2 4 2" xfId="42307"/>
    <cellStyle name="SAPBEXstdDataEmph 2 2 5" xfId="42308"/>
    <cellStyle name="SAPBEXstdDataEmph 2 2 6" xfId="42309"/>
    <cellStyle name="SAPBEXstdDataEmph 2 2 7" xfId="42310"/>
    <cellStyle name="SAPBEXstdDataEmph 2 2 8" xfId="42311"/>
    <cellStyle name="SAPBEXstdDataEmph 2 2 9" xfId="42312"/>
    <cellStyle name="SAPBEXstdDataEmph 2 20" xfId="42313"/>
    <cellStyle name="SAPBEXstdDataEmph 2 21" xfId="42314"/>
    <cellStyle name="SAPBEXstdDataEmph 2 22" xfId="42315"/>
    <cellStyle name="SAPBEXstdDataEmph 2 23" xfId="42316"/>
    <cellStyle name="SAPBEXstdDataEmph 2 24" xfId="42317"/>
    <cellStyle name="SAPBEXstdDataEmph 2 3" xfId="42318"/>
    <cellStyle name="SAPBEXstdDataEmph 2 3 10" xfId="42319"/>
    <cellStyle name="SAPBEXstdDataEmph 2 3 11" xfId="42320"/>
    <cellStyle name="SAPBEXstdDataEmph 2 3 12" xfId="42321"/>
    <cellStyle name="SAPBEXstdDataEmph 2 3 13" xfId="42322"/>
    <cellStyle name="SAPBEXstdDataEmph 2 3 14" xfId="42323"/>
    <cellStyle name="SAPBEXstdDataEmph 2 3 15" xfId="42324"/>
    <cellStyle name="SAPBEXstdDataEmph 2 3 16" xfId="42325"/>
    <cellStyle name="SAPBEXstdDataEmph 2 3 17" xfId="42326"/>
    <cellStyle name="SAPBEXstdDataEmph 2 3 18" xfId="42327"/>
    <cellStyle name="SAPBEXstdDataEmph 2 3 2" xfId="42328"/>
    <cellStyle name="SAPBEXstdDataEmph 2 3 2 2" xfId="42329"/>
    <cellStyle name="SAPBEXstdDataEmph 2 3 2 2 2" xfId="42330"/>
    <cellStyle name="SAPBEXstdDataEmph 2 3 2 3" xfId="42331"/>
    <cellStyle name="SAPBEXstdDataEmph 2 3 2 4" xfId="42332"/>
    <cellStyle name="SAPBEXstdDataEmph 2 3 3" xfId="42333"/>
    <cellStyle name="SAPBEXstdDataEmph 2 3 3 2" xfId="42334"/>
    <cellStyle name="SAPBEXstdDataEmph 2 3 3 3" xfId="42335"/>
    <cellStyle name="SAPBEXstdDataEmph 2 3 4" xfId="42336"/>
    <cellStyle name="SAPBEXstdDataEmph 2 3 4 2" xfId="42337"/>
    <cellStyle name="SAPBEXstdDataEmph 2 3 5" xfId="42338"/>
    <cellStyle name="SAPBEXstdDataEmph 2 3 6" xfId="42339"/>
    <cellStyle name="SAPBEXstdDataEmph 2 3 7" xfId="42340"/>
    <cellStyle name="SAPBEXstdDataEmph 2 3 8" xfId="42341"/>
    <cellStyle name="SAPBEXstdDataEmph 2 3 9" xfId="42342"/>
    <cellStyle name="SAPBEXstdDataEmph 2 4" xfId="42343"/>
    <cellStyle name="SAPBEXstdDataEmph 2 4 2" xfId="42344"/>
    <cellStyle name="SAPBEXstdDataEmph 2 4 2 2" xfId="42345"/>
    <cellStyle name="SAPBEXstdDataEmph 2 4 2 3" xfId="42346"/>
    <cellStyle name="SAPBEXstdDataEmph 2 4 3" xfId="42347"/>
    <cellStyle name="SAPBEXstdDataEmph 2 4 3 2" xfId="42348"/>
    <cellStyle name="SAPBEXstdDataEmph 2 4 4" xfId="42349"/>
    <cellStyle name="SAPBEXstdDataEmph 2 4 5" xfId="42350"/>
    <cellStyle name="SAPBEXstdDataEmph 2 5" xfId="42351"/>
    <cellStyle name="SAPBEXstdDataEmph 2 5 2" xfId="42352"/>
    <cellStyle name="SAPBEXstdDataEmph 2 5 2 2" xfId="42353"/>
    <cellStyle name="SAPBEXstdDataEmph 2 5 3" xfId="42354"/>
    <cellStyle name="SAPBEXstdDataEmph 2 5 4" xfId="42355"/>
    <cellStyle name="SAPBEXstdDataEmph 2 6" xfId="42356"/>
    <cellStyle name="SAPBEXstdDataEmph 2 6 2" xfId="42357"/>
    <cellStyle name="SAPBEXstdDataEmph 2 6 3" xfId="42358"/>
    <cellStyle name="SAPBEXstdDataEmph 2 7" xfId="42359"/>
    <cellStyle name="SAPBEXstdDataEmph 2 7 2" xfId="42360"/>
    <cellStyle name="SAPBEXstdDataEmph 2 8" xfId="42361"/>
    <cellStyle name="SAPBEXstdDataEmph 2 9" xfId="42362"/>
    <cellStyle name="SAPBEXstdDataEmph 3" xfId="42363"/>
    <cellStyle name="SAPBEXstdDataEmph 3 10" xfId="42364"/>
    <cellStyle name="SAPBEXstdDataEmph 3 11" xfId="42365"/>
    <cellStyle name="SAPBEXstdDataEmph 3 12" xfId="42366"/>
    <cellStyle name="SAPBEXstdDataEmph 3 13" xfId="42367"/>
    <cellStyle name="SAPBEXstdDataEmph 3 14" xfId="42368"/>
    <cellStyle name="SAPBEXstdDataEmph 3 15" xfId="42369"/>
    <cellStyle name="SAPBEXstdDataEmph 3 16" xfId="42370"/>
    <cellStyle name="SAPBEXstdDataEmph 3 17" xfId="42371"/>
    <cellStyle name="SAPBEXstdDataEmph 3 18" xfId="42372"/>
    <cellStyle name="SAPBEXstdDataEmph 3 19" xfId="42373"/>
    <cellStyle name="SAPBEXstdDataEmph 3 2" xfId="42374"/>
    <cellStyle name="SAPBEXstdDataEmph 3 2 10" xfId="42375"/>
    <cellStyle name="SAPBEXstdDataEmph 3 2 11" xfId="42376"/>
    <cellStyle name="SAPBEXstdDataEmph 3 2 12" xfId="42377"/>
    <cellStyle name="SAPBEXstdDataEmph 3 2 13" xfId="42378"/>
    <cellStyle name="SAPBEXstdDataEmph 3 2 14" xfId="42379"/>
    <cellStyle name="SAPBEXstdDataEmph 3 2 15" xfId="42380"/>
    <cellStyle name="SAPBEXstdDataEmph 3 2 16" xfId="42381"/>
    <cellStyle name="SAPBEXstdDataEmph 3 2 17" xfId="42382"/>
    <cellStyle name="SAPBEXstdDataEmph 3 2 18" xfId="42383"/>
    <cellStyle name="SAPBEXstdDataEmph 3 2 2" xfId="42384"/>
    <cellStyle name="SAPBEXstdDataEmph 3 2 2 2" xfId="42385"/>
    <cellStyle name="SAPBEXstdDataEmph 3 2 2 2 2" xfId="42386"/>
    <cellStyle name="SAPBEXstdDataEmph 3 2 2 3" xfId="42387"/>
    <cellStyle name="SAPBEXstdDataEmph 3 2 2 4" xfId="42388"/>
    <cellStyle name="SAPBEXstdDataEmph 3 2 3" xfId="42389"/>
    <cellStyle name="SAPBEXstdDataEmph 3 2 3 2" xfId="42390"/>
    <cellStyle name="SAPBEXstdDataEmph 3 2 3 3" xfId="42391"/>
    <cellStyle name="SAPBEXstdDataEmph 3 2 4" xfId="42392"/>
    <cellStyle name="SAPBEXstdDataEmph 3 2 4 2" xfId="42393"/>
    <cellStyle name="SAPBEXstdDataEmph 3 2 5" xfId="42394"/>
    <cellStyle name="SAPBEXstdDataEmph 3 2 6" xfId="42395"/>
    <cellStyle name="SAPBEXstdDataEmph 3 2 7" xfId="42396"/>
    <cellStyle name="SAPBEXstdDataEmph 3 2 8" xfId="42397"/>
    <cellStyle name="SAPBEXstdDataEmph 3 2 9" xfId="42398"/>
    <cellStyle name="SAPBEXstdDataEmph 3 20" xfId="42399"/>
    <cellStyle name="SAPBEXstdDataEmph 3 3" xfId="42400"/>
    <cellStyle name="SAPBEXstdDataEmph 3 3 10" xfId="42401"/>
    <cellStyle name="SAPBEXstdDataEmph 3 3 11" xfId="42402"/>
    <cellStyle name="SAPBEXstdDataEmph 3 3 12" xfId="42403"/>
    <cellStyle name="SAPBEXstdDataEmph 3 3 13" xfId="42404"/>
    <cellStyle name="SAPBEXstdDataEmph 3 3 14" xfId="42405"/>
    <cellStyle name="SAPBEXstdDataEmph 3 3 15" xfId="42406"/>
    <cellStyle name="SAPBEXstdDataEmph 3 3 16" xfId="42407"/>
    <cellStyle name="SAPBEXstdDataEmph 3 3 17" xfId="42408"/>
    <cellStyle name="SAPBEXstdDataEmph 3 3 18" xfId="42409"/>
    <cellStyle name="SAPBEXstdDataEmph 3 3 2" xfId="42410"/>
    <cellStyle name="SAPBEXstdDataEmph 3 3 2 2" xfId="42411"/>
    <cellStyle name="SAPBEXstdDataEmph 3 3 2 2 2" xfId="42412"/>
    <cellStyle name="SAPBEXstdDataEmph 3 3 2 3" xfId="42413"/>
    <cellStyle name="SAPBEXstdDataEmph 3 3 2 4" xfId="42414"/>
    <cellStyle name="SAPBEXstdDataEmph 3 3 3" xfId="42415"/>
    <cellStyle name="SAPBEXstdDataEmph 3 3 3 2" xfId="42416"/>
    <cellStyle name="SAPBEXstdDataEmph 3 3 3 3" xfId="42417"/>
    <cellStyle name="SAPBEXstdDataEmph 3 3 4" xfId="42418"/>
    <cellStyle name="SAPBEXstdDataEmph 3 3 4 2" xfId="42419"/>
    <cellStyle name="SAPBEXstdDataEmph 3 3 5" xfId="42420"/>
    <cellStyle name="SAPBEXstdDataEmph 3 3 6" xfId="42421"/>
    <cellStyle name="SAPBEXstdDataEmph 3 3 7" xfId="42422"/>
    <cellStyle name="SAPBEXstdDataEmph 3 3 8" xfId="42423"/>
    <cellStyle name="SAPBEXstdDataEmph 3 3 9" xfId="42424"/>
    <cellStyle name="SAPBEXstdDataEmph 3 4" xfId="42425"/>
    <cellStyle name="SAPBEXstdDataEmph 3 4 2" xfId="42426"/>
    <cellStyle name="SAPBEXstdDataEmph 3 4 2 2" xfId="42427"/>
    <cellStyle name="SAPBEXstdDataEmph 3 4 2 3" xfId="42428"/>
    <cellStyle name="SAPBEXstdDataEmph 3 4 3" xfId="42429"/>
    <cellStyle name="SAPBEXstdDataEmph 3 4 3 2" xfId="42430"/>
    <cellStyle name="SAPBEXstdDataEmph 3 4 4" xfId="42431"/>
    <cellStyle name="SAPBEXstdDataEmph 3 4 5" xfId="42432"/>
    <cellStyle name="SAPBEXstdDataEmph 3 5" xfId="42433"/>
    <cellStyle name="SAPBEXstdDataEmph 3 5 2" xfId="42434"/>
    <cellStyle name="SAPBEXstdDataEmph 3 5 2 2" xfId="42435"/>
    <cellStyle name="SAPBEXstdDataEmph 3 5 3" xfId="42436"/>
    <cellStyle name="SAPBEXstdDataEmph 3 5 4" xfId="42437"/>
    <cellStyle name="SAPBEXstdDataEmph 3 6" xfId="42438"/>
    <cellStyle name="SAPBEXstdDataEmph 3 6 2" xfId="42439"/>
    <cellStyle name="SAPBEXstdDataEmph 3 6 3" xfId="42440"/>
    <cellStyle name="SAPBEXstdDataEmph 3 7" xfId="42441"/>
    <cellStyle name="SAPBEXstdDataEmph 3 7 2" xfId="42442"/>
    <cellStyle name="SAPBEXstdDataEmph 3 8" xfId="42443"/>
    <cellStyle name="SAPBEXstdDataEmph 3 9" xfId="42444"/>
    <cellStyle name="SAPBEXstdDataEmph 4" xfId="42445"/>
    <cellStyle name="SAPBEXstdDataEmph 4 10" xfId="42446"/>
    <cellStyle name="SAPBEXstdDataEmph 4 11" xfId="42447"/>
    <cellStyle name="SAPBEXstdDataEmph 4 12" xfId="42448"/>
    <cellStyle name="SAPBEXstdDataEmph 4 13" xfId="42449"/>
    <cellStyle name="SAPBEXstdDataEmph 4 14" xfId="42450"/>
    <cellStyle name="SAPBEXstdDataEmph 4 15" xfId="42451"/>
    <cellStyle name="SAPBEXstdDataEmph 4 16" xfId="42452"/>
    <cellStyle name="SAPBEXstdDataEmph 4 17" xfId="42453"/>
    <cellStyle name="SAPBEXstdDataEmph 4 18" xfId="42454"/>
    <cellStyle name="SAPBEXstdDataEmph 4 19" xfId="42455"/>
    <cellStyle name="SAPBEXstdDataEmph 4 2" xfId="42456"/>
    <cellStyle name="SAPBEXstdDataEmph 4 2 10" xfId="42457"/>
    <cellStyle name="SAPBEXstdDataEmph 4 2 11" xfId="42458"/>
    <cellStyle name="SAPBEXstdDataEmph 4 2 12" xfId="42459"/>
    <cellStyle name="SAPBEXstdDataEmph 4 2 13" xfId="42460"/>
    <cellStyle name="SAPBEXstdDataEmph 4 2 14" xfId="42461"/>
    <cellStyle name="SAPBEXstdDataEmph 4 2 15" xfId="42462"/>
    <cellStyle name="SAPBEXstdDataEmph 4 2 16" xfId="42463"/>
    <cellStyle name="SAPBEXstdDataEmph 4 2 17" xfId="42464"/>
    <cellStyle name="SAPBEXstdDataEmph 4 2 18" xfId="42465"/>
    <cellStyle name="SAPBEXstdDataEmph 4 2 2" xfId="42466"/>
    <cellStyle name="SAPBEXstdDataEmph 4 2 2 2" xfId="42467"/>
    <cellStyle name="SAPBEXstdDataEmph 4 2 2 2 2" xfId="42468"/>
    <cellStyle name="SAPBEXstdDataEmph 4 2 2 3" xfId="42469"/>
    <cellStyle name="SAPBEXstdDataEmph 4 2 2 4" xfId="42470"/>
    <cellStyle name="SAPBEXstdDataEmph 4 2 3" xfId="42471"/>
    <cellStyle name="SAPBEXstdDataEmph 4 2 3 2" xfId="42472"/>
    <cellStyle name="SAPBEXstdDataEmph 4 2 3 3" xfId="42473"/>
    <cellStyle name="SAPBEXstdDataEmph 4 2 4" xfId="42474"/>
    <cellStyle name="SAPBEXstdDataEmph 4 2 4 2" xfId="42475"/>
    <cellStyle name="SAPBEXstdDataEmph 4 2 5" xfId="42476"/>
    <cellStyle name="SAPBEXstdDataEmph 4 2 6" xfId="42477"/>
    <cellStyle name="SAPBEXstdDataEmph 4 2 7" xfId="42478"/>
    <cellStyle name="SAPBEXstdDataEmph 4 2 8" xfId="42479"/>
    <cellStyle name="SAPBEXstdDataEmph 4 2 9" xfId="42480"/>
    <cellStyle name="SAPBEXstdDataEmph 4 20" xfId="42481"/>
    <cellStyle name="SAPBEXstdDataEmph 4 21" xfId="42482"/>
    <cellStyle name="SAPBEXstdDataEmph 4 22" xfId="42483"/>
    <cellStyle name="SAPBEXstdDataEmph 4 3" xfId="42484"/>
    <cellStyle name="SAPBEXstdDataEmph 4 3 10" xfId="42485"/>
    <cellStyle name="SAPBEXstdDataEmph 4 3 11" xfId="42486"/>
    <cellStyle name="SAPBEXstdDataEmph 4 3 12" xfId="42487"/>
    <cellStyle name="SAPBEXstdDataEmph 4 3 13" xfId="42488"/>
    <cellStyle name="SAPBEXstdDataEmph 4 3 14" xfId="42489"/>
    <cellStyle name="SAPBEXstdDataEmph 4 3 15" xfId="42490"/>
    <cellStyle name="SAPBEXstdDataEmph 4 3 16" xfId="42491"/>
    <cellStyle name="SAPBEXstdDataEmph 4 3 17" xfId="42492"/>
    <cellStyle name="SAPBEXstdDataEmph 4 3 18" xfId="42493"/>
    <cellStyle name="SAPBEXstdDataEmph 4 3 2" xfId="42494"/>
    <cellStyle name="SAPBEXstdDataEmph 4 3 2 2" xfId="42495"/>
    <cellStyle name="SAPBEXstdDataEmph 4 3 2 2 2" xfId="42496"/>
    <cellStyle name="SAPBEXstdDataEmph 4 3 2 3" xfId="42497"/>
    <cellStyle name="SAPBEXstdDataEmph 4 3 2 4" xfId="42498"/>
    <cellStyle name="SAPBEXstdDataEmph 4 3 3" xfId="42499"/>
    <cellStyle name="SAPBEXstdDataEmph 4 3 3 2" xfId="42500"/>
    <cellStyle name="SAPBEXstdDataEmph 4 3 3 3" xfId="42501"/>
    <cellStyle name="SAPBEXstdDataEmph 4 3 4" xfId="42502"/>
    <cellStyle name="SAPBEXstdDataEmph 4 3 4 2" xfId="42503"/>
    <cellStyle name="SAPBEXstdDataEmph 4 3 5" xfId="42504"/>
    <cellStyle name="SAPBEXstdDataEmph 4 3 6" xfId="42505"/>
    <cellStyle name="SAPBEXstdDataEmph 4 3 7" xfId="42506"/>
    <cellStyle name="SAPBEXstdDataEmph 4 3 8" xfId="42507"/>
    <cellStyle name="SAPBEXstdDataEmph 4 3 9" xfId="42508"/>
    <cellStyle name="SAPBEXstdDataEmph 4 4" xfId="42509"/>
    <cellStyle name="SAPBEXstdDataEmph 4 4 2" xfId="42510"/>
    <cellStyle name="SAPBEXstdDataEmph 4 4 2 2" xfId="42511"/>
    <cellStyle name="SAPBEXstdDataEmph 4 4 2 3" xfId="42512"/>
    <cellStyle name="SAPBEXstdDataEmph 4 4 3" xfId="42513"/>
    <cellStyle name="SAPBEXstdDataEmph 4 4 3 2" xfId="42514"/>
    <cellStyle name="SAPBEXstdDataEmph 4 4 4" xfId="42515"/>
    <cellStyle name="SAPBEXstdDataEmph 4 4 5" xfId="42516"/>
    <cellStyle name="SAPBEXstdDataEmph 4 5" xfId="42517"/>
    <cellStyle name="SAPBEXstdDataEmph 4 5 2" xfId="42518"/>
    <cellStyle name="SAPBEXstdDataEmph 4 5 2 2" xfId="42519"/>
    <cellStyle name="SAPBEXstdDataEmph 4 5 3" xfId="42520"/>
    <cellStyle name="SAPBEXstdDataEmph 4 5 4" xfId="42521"/>
    <cellStyle name="SAPBEXstdDataEmph 4 6" xfId="42522"/>
    <cellStyle name="SAPBEXstdDataEmph 4 6 2" xfId="42523"/>
    <cellStyle name="SAPBEXstdDataEmph 4 6 3" xfId="42524"/>
    <cellStyle name="SAPBEXstdDataEmph 4 7" xfId="42525"/>
    <cellStyle name="SAPBEXstdDataEmph 4 7 2" xfId="42526"/>
    <cellStyle name="SAPBEXstdDataEmph 4 8" xfId="42527"/>
    <cellStyle name="SAPBEXstdDataEmph 4 9" xfId="42528"/>
    <cellStyle name="SAPBEXstdDataEmph 5" xfId="42529"/>
    <cellStyle name="SAPBEXstdDataEmph 5 10" xfId="42530"/>
    <cellStyle name="SAPBEXstdDataEmph 5 11" xfId="42531"/>
    <cellStyle name="SAPBEXstdDataEmph 5 12" xfId="42532"/>
    <cellStyle name="SAPBEXstdDataEmph 5 13" xfId="42533"/>
    <cellStyle name="SAPBEXstdDataEmph 5 14" xfId="42534"/>
    <cellStyle name="SAPBEXstdDataEmph 5 15" xfId="42535"/>
    <cellStyle name="SAPBEXstdDataEmph 5 16" xfId="42536"/>
    <cellStyle name="SAPBEXstdDataEmph 5 17" xfId="42537"/>
    <cellStyle name="SAPBEXstdDataEmph 5 18" xfId="42538"/>
    <cellStyle name="SAPBEXstdDataEmph 5 19" xfId="42539"/>
    <cellStyle name="SAPBEXstdDataEmph 5 2" xfId="42540"/>
    <cellStyle name="SAPBEXstdDataEmph 5 2 10" xfId="42541"/>
    <cellStyle name="SAPBEXstdDataEmph 5 2 11" xfId="42542"/>
    <cellStyle name="SAPBEXstdDataEmph 5 2 12" xfId="42543"/>
    <cellStyle name="SAPBEXstdDataEmph 5 2 13" xfId="42544"/>
    <cellStyle name="SAPBEXstdDataEmph 5 2 14" xfId="42545"/>
    <cellStyle name="SAPBEXstdDataEmph 5 2 15" xfId="42546"/>
    <cellStyle name="SAPBEXstdDataEmph 5 2 16" xfId="42547"/>
    <cellStyle name="SAPBEXstdDataEmph 5 2 17" xfId="42548"/>
    <cellStyle name="SAPBEXstdDataEmph 5 2 18" xfId="42549"/>
    <cellStyle name="SAPBEXstdDataEmph 5 2 2" xfId="42550"/>
    <cellStyle name="SAPBEXstdDataEmph 5 2 2 2" xfId="42551"/>
    <cellStyle name="SAPBEXstdDataEmph 5 2 2 2 2" xfId="42552"/>
    <cellStyle name="SAPBEXstdDataEmph 5 2 2 3" xfId="42553"/>
    <cellStyle name="SAPBEXstdDataEmph 5 2 2 4" xfId="42554"/>
    <cellStyle name="SAPBEXstdDataEmph 5 2 3" xfId="42555"/>
    <cellStyle name="SAPBEXstdDataEmph 5 2 3 2" xfId="42556"/>
    <cellStyle name="SAPBEXstdDataEmph 5 2 3 3" xfId="42557"/>
    <cellStyle name="SAPBEXstdDataEmph 5 2 4" xfId="42558"/>
    <cellStyle name="SAPBEXstdDataEmph 5 2 4 2" xfId="42559"/>
    <cellStyle name="SAPBEXstdDataEmph 5 2 5" xfId="42560"/>
    <cellStyle name="SAPBEXstdDataEmph 5 2 6" xfId="42561"/>
    <cellStyle name="SAPBEXstdDataEmph 5 2 7" xfId="42562"/>
    <cellStyle name="SAPBEXstdDataEmph 5 2 8" xfId="42563"/>
    <cellStyle name="SAPBEXstdDataEmph 5 2 9" xfId="42564"/>
    <cellStyle name="SAPBEXstdDataEmph 5 20" xfId="42565"/>
    <cellStyle name="SAPBEXstdDataEmph 5 21" xfId="42566"/>
    <cellStyle name="SAPBEXstdDataEmph 5 22" xfId="42567"/>
    <cellStyle name="SAPBEXstdDataEmph 5 3" xfId="42568"/>
    <cellStyle name="SAPBEXstdDataEmph 5 3 10" xfId="42569"/>
    <cellStyle name="SAPBEXstdDataEmph 5 3 11" xfId="42570"/>
    <cellStyle name="SAPBEXstdDataEmph 5 3 12" xfId="42571"/>
    <cellStyle name="SAPBEXstdDataEmph 5 3 13" xfId="42572"/>
    <cellStyle name="SAPBEXstdDataEmph 5 3 14" xfId="42573"/>
    <cellStyle name="SAPBEXstdDataEmph 5 3 15" xfId="42574"/>
    <cellStyle name="SAPBEXstdDataEmph 5 3 16" xfId="42575"/>
    <cellStyle name="SAPBEXstdDataEmph 5 3 17" xfId="42576"/>
    <cellStyle name="SAPBEXstdDataEmph 5 3 18" xfId="42577"/>
    <cellStyle name="SAPBEXstdDataEmph 5 3 2" xfId="42578"/>
    <cellStyle name="SAPBEXstdDataEmph 5 3 2 2" xfId="42579"/>
    <cellStyle name="SAPBEXstdDataEmph 5 3 2 2 2" xfId="42580"/>
    <cellStyle name="SAPBEXstdDataEmph 5 3 2 3" xfId="42581"/>
    <cellStyle name="SAPBEXstdDataEmph 5 3 2 4" xfId="42582"/>
    <cellStyle name="SAPBEXstdDataEmph 5 3 3" xfId="42583"/>
    <cellStyle name="SAPBEXstdDataEmph 5 3 3 2" xfId="42584"/>
    <cellStyle name="SAPBEXstdDataEmph 5 3 3 3" xfId="42585"/>
    <cellStyle name="SAPBEXstdDataEmph 5 3 4" xfId="42586"/>
    <cellStyle name="SAPBEXstdDataEmph 5 3 4 2" xfId="42587"/>
    <cellStyle name="SAPBEXstdDataEmph 5 3 5" xfId="42588"/>
    <cellStyle name="SAPBEXstdDataEmph 5 3 6" xfId="42589"/>
    <cellStyle name="SAPBEXstdDataEmph 5 3 7" xfId="42590"/>
    <cellStyle name="SAPBEXstdDataEmph 5 3 8" xfId="42591"/>
    <cellStyle name="SAPBEXstdDataEmph 5 3 9" xfId="42592"/>
    <cellStyle name="SAPBEXstdDataEmph 5 4" xfId="42593"/>
    <cellStyle name="SAPBEXstdDataEmph 5 4 2" xfId="42594"/>
    <cellStyle name="SAPBEXstdDataEmph 5 4 2 2" xfId="42595"/>
    <cellStyle name="SAPBEXstdDataEmph 5 4 2 3" xfId="42596"/>
    <cellStyle name="SAPBEXstdDataEmph 5 4 3" xfId="42597"/>
    <cellStyle name="SAPBEXstdDataEmph 5 4 3 2" xfId="42598"/>
    <cellStyle name="SAPBEXstdDataEmph 5 4 4" xfId="42599"/>
    <cellStyle name="SAPBEXstdDataEmph 5 4 5" xfId="42600"/>
    <cellStyle name="SAPBEXstdDataEmph 5 5" xfId="42601"/>
    <cellStyle name="SAPBEXstdDataEmph 5 5 2" xfId="42602"/>
    <cellStyle name="SAPBEXstdDataEmph 5 5 2 2" xfId="42603"/>
    <cellStyle name="SAPBEXstdDataEmph 5 5 3" xfId="42604"/>
    <cellStyle name="SAPBEXstdDataEmph 5 5 4" xfId="42605"/>
    <cellStyle name="SAPBEXstdDataEmph 5 6" xfId="42606"/>
    <cellStyle name="SAPBEXstdDataEmph 5 6 2" xfId="42607"/>
    <cellStyle name="SAPBEXstdDataEmph 5 6 3" xfId="42608"/>
    <cellStyle name="SAPBEXstdDataEmph 5 7" xfId="42609"/>
    <cellStyle name="SAPBEXstdDataEmph 5 7 2" xfId="42610"/>
    <cellStyle name="SAPBEXstdDataEmph 5 8" xfId="42611"/>
    <cellStyle name="SAPBEXstdDataEmph 5 9" xfId="42612"/>
    <cellStyle name="SAPBEXstdDataEmph 6" xfId="42613"/>
    <cellStyle name="SAPBEXstdDataEmph 6 10" xfId="42614"/>
    <cellStyle name="SAPBEXstdDataEmph 6 11" xfId="42615"/>
    <cellStyle name="SAPBEXstdDataEmph 6 12" xfId="42616"/>
    <cellStyle name="SAPBEXstdDataEmph 6 13" xfId="42617"/>
    <cellStyle name="SAPBEXstdDataEmph 6 14" xfId="42618"/>
    <cellStyle name="SAPBEXstdDataEmph 6 15" xfId="42619"/>
    <cellStyle name="SAPBEXstdDataEmph 6 2" xfId="42620"/>
    <cellStyle name="SAPBEXstdDataEmph 6 2 10" xfId="42621"/>
    <cellStyle name="SAPBEXstdDataEmph 6 2 11" xfId="42622"/>
    <cellStyle name="SAPBEXstdDataEmph 6 2 12" xfId="42623"/>
    <cellStyle name="SAPBEXstdDataEmph 6 2 13" xfId="42624"/>
    <cellStyle name="SAPBEXstdDataEmph 6 2 14" xfId="42625"/>
    <cellStyle name="SAPBEXstdDataEmph 6 2 15" xfId="42626"/>
    <cellStyle name="SAPBEXstdDataEmph 6 2 16" xfId="42627"/>
    <cellStyle name="SAPBEXstdDataEmph 6 2 17" xfId="42628"/>
    <cellStyle name="SAPBEXstdDataEmph 6 2 18" xfId="42629"/>
    <cellStyle name="SAPBEXstdDataEmph 6 2 2" xfId="42630"/>
    <cellStyle name="SAPBEXstdDataEmph 6 2 2 2" xfId="42631"/>
    <cellStyle name="SAPBEXstdDataEmph 6 2 2 2 2" xfId="42632"/>
    <cellStyle name="SAPBEXstdDataEmph 6 2 2 3" xfId="42633"/>
    <cellStyle name="SAPBEXstdDataEmph 6 2 2 4" xfId="42634"/>
    <cellStyle name="SAPBEXstdDataEmph 6 2 3" xfId="42635"/>
    <cellStyle name="SAPBEXstdDataEmph 6 2 3 2" xfId="42636"/>
    <cellStyle name="SAPBEXstdDataEmph 6 2 3 3" xfId="42637"/>
    <cellStyle name="SAPBEXstdDataEmph 6 2 4" xfId="42638"/>
    <cellStyle name="SAPBEXstdDataEmph 6 2 4 2" xfId="42639"/>
    <cellStyle name="SAPBEXstdDataEmph 6 2 5" xfId="42640"/>
    <cellStyle name="SAPBEXstdDataEmph 6 2 6" xfId="42641"/>
    <cellStyle name="SAPBEXstdDataEmph 6 2 7" xfId="42642"/>
    <cellStyle name="SAPBEXstdDataEmph 6 2 8" xfId="42643"/>
    <cellStyle name="SAPBEXstdDataEmph 6 2 9" xfId="42644"/>
    <cellStyle name="SAPBEXstdDataEmph 6 3" xfId="42645"/>
    <cellStyle name="SAPBEXstdDataEmph 6 3 10" xfId="42646"/>
    <cellStyle name="SAPBEXstdDataEmph 6 3 11" xfId="42647"/>
    <cellStyle name="SAPBEXstdDataEmph 6 3 12" xfId="42648"/>
    <cellStyle name="SAPBEXstdDataEmph 6 3 13" xfId="42649"/>
    <cellStyle name="SAPBEXstdDataEmph 6 3 14" xfId="42650"/>
    <cellStyle name="SAPBEXstdDataEmph 6 3 15" xfId="42651"/>
    <cellStyle name="SAPBEXstdDataEmph 6 3 16" xfId="42652"/>
    <cellStyle name="SAPBEXstdDataEmph 6 3 17" xfId="42653"/>
    <cellStyle name="SAPBEXstdDataEmph 6 3 18" xfId="42654"/>
    <cellStyle name="SAPBEXstdDataEmph 6 3 2" xfId="42655"/>
    <cellStyle name="SAPBEXstdDataEmph 6 3 2 2" xfId="42656"/>
    <cellStyle name="SAPBEXstdDataEmph 6 3 2 2 2" xfId="42657"/>
    <cellStyle name="SAPBEXstdDataEmph 6 3 2 3" xfId="42658"/>
    <cellStyle name="SAPBEXstdDataEmph 6 3 2 4" xfId="42659"/>
    <cellStyle name="SAPBEXstdDataEmph 6 3 3" xfId="42660"/>
    <cellStyle name="SAPBEXstdDataEmph 6 3 3 2" xfId="42661"/>
    <cellStyle name="SAPBEXstdDataEmph 6 3 3 3" xfId="42662"/>
    <cellStyle name="SAPBEXstdDataEmph 6 3 4" xfId="42663"/>
    <cellStyle name="SAPBEXstdDataEmph 6 3 4 2" xfId="42664"/>
    <cellStyle name="SAPBEXstdDataEmph 6 3 5" xfId="42665"/>
    <cellStyle name="SAPBEXstdDataEmph 6 3 6" xfId="42666"/>
    <cellStyle name="SAPBEXstdDataEmph 6 3 7" xfId="42667"/>
    <cellStyle name="SAPBEXstdDataEmph 6 3 8" xfId="42668"/>
    <cellStyle name="SAPBEXstdDataEmph 6 3 9" xfId="42669"/>
    <cellStyle name="SAPBEXstdDataEmph 6 4" xfId="42670"/>
    <cellStyle name="SAPBEXstdDataEmph 6 4 2" xfId="42671"/>
    <cellStyle name="SAPBEXstdDataEmph 6 4 2 2" xfId="42672"/>
    <cellStyle name="SAPBEXstdDataEmph 6 4 3" xfId="42673"/>
    <cellStyle name="SAPBEXstdDataEmph 6 4 4" xfId="42674"/>
    <cellStyle name="SAPBEXstdDataEmph 6 5" xfId="42675"/>
    <cellStyle name="SAPBEXstdDataEmph 6 5 2" xfId="42676"/>
    <cellStyle name="SAPBEXstdDataEmph 6 6" xfId="42677"/>
    <cellStyle name="SAPBEXstdDataEmph 6 7" xfId="42678"/>
    <cellStyle name="SAPBEXstdDataEmph 6 8" xfId="42679"/>
    <cellStyle name="SAPBEXstdDataEmph 6 9" xfId="42680"/>
    <cellStyle name="SAPBEXstdDataEmph 7" xfId="42681"/>
    <cellStyle name="SAPBEXstdDataEmph 7 10" xfId="42682"/>
    <cellStyle name="SAPBEXstdDataEmph 7 11" xfId="42683"/>
    <cellStyle name="SAPBEXstdDataEmph 7 12" xfId="42684"/>
    <cellStyle name="SAPBEXstdDataEmph 7 13" xfId="42685"/>
    <cellStyle name="SAPBEXstdDataEmph 7 14" xfId="42686"/>
    <cellStyle name="SAPBEXstdDataEmph 7 15" xfId="42687"/>
    <cellStyle name="SAPBEXstdDataEmph 7 16" xfId="42688"/>
    <cellStyle name="SAPBEXstdDataEmph 7 17" xfId="42689"/>
    <cellStyle name="SAPBEXstdDataEmph 7 18" xfId="42690"/>
    <cellStyle name="SAPBEXstdDataEmph 7 2" xfId="42691"/>
    <cellStyle name="SAPBEXstdDataEmph 7 3" xfId="42692"/>
    <cellStyle name="SAPBEXstdDataEmph 7 4" xfId="42693"/>
    <cellStyle name="SAPBEXstdDataEmph 7 5" xfId="42694"/>
    <cellStyle name="SAPBEXstdDataEmph 7 6" xfId="42695"/>
    <cellStyle name="SAPBEXstdDataEmph 7 7" xfId="42696"/>
    <cellStyle name="SAPBEXstdDataEmph 7 8" xfId="42697"/>
    <cellStyle name="SAPBEXstdDataEmph 7 9" xfId="42698"/>
    <cellStyle name="SAPBEXstdDataEmph 8" xfId="42699"/>
    <cellStyle name="SAPBEXstdDataEmph 9" xfId="42700"/>
    <cellStyle name="SAPBEXstdItem" xfId="42701"/>
    <cellStyle name="SAPBEXstdItem 10" xfId="42702"/>
    <cellStyle name="SAPBEXstdItem 11" xfId="42703"/>
    <cellStyle name="SAPBEXstdItem 12" xfId="42704"/>
    <cellStyle name="SAPBEXstdItem 13" xfId="42705"/>
    <cellStyle name="SAPBEXstdItem 14" xfId="42706"/>
    <cellStyle name="SAPBEXstdItem 15" xfId="42707"/>
    <cellStyle name="SAPBEXstdItem 16" xfId="42708"/>
    <cellStyle name="SAPBEXstdItem 17" xfId="42709"/>
    <cellStyle name="SAPBEXstdItem 18" xfId="42710"/>
    <cellStyle name="SAPBEXstdItem 19" xfId="42711"/>
    <cellStyle name="SAPBEXstdItem 2" xfId="42712"/>
    <cellStyle name="SAPBEXstdItem 2 10" xfId="42713"/>
    <cellStyle name="SAPBEXstdItem 2 11" xfId="42714"/>
    <cellStyle name="SAPBEXstdItem 2 12" xfId="42715"/>
    <cellStyle name="SAPBEXstdItem 2 13" xfId="42716"/>
    <cellStyle name="SAPBEXstdItem 2 14" xfId="42717"/>
    <cellStyle name="SAPBEXstdItem 2 15" xfId="42718"/>
    <cellStyle name="SAPBEXstdItem 2 16" xfId="42719"/>
    <cellStyle name="SAPBEXstdItem 2 17" xfId="42720"/>
    <cellStyle name="SAPBEXstdItem 2 18" xfId="42721"/>
    <cellStyle name="SAPBEXstdItem 2 19" xfId="42722"/>
    <cellStyle name="SAPBEXstdItem 2 2" xfId="42723"/>
    <cellStyle name="SAPBEXstdItem 2 2 10" xfId="42724"/>
    <cellStyle name="SAPBEXstdItem 2 2 11" xfId="42725"/>
    <cellStyle name="SAPBEXstdItem 2 2 12" xfId="42726"/>
    <cellStyle name="SAPBEXstdItem 2 2 13" xfId="42727"/>
    <cellStyle name="SAPBEXstdItem 2 2 14" xfId="42728"/>
    <cellStyle name="SAPBEXstdItem 2 2 15" xfId="42729"/>
    <cellStyle name="SAPBEXstdItem 2 2 16" xfId="42730"/>
    <cellStyle name="SAPBEXstdItem 2 2 17" xfId="42731"/>
    <cellStyle name="SAPBEXstdItem 2 2 18" xfId="42732"/>
    <cellStyle name="SAPBEXstdItem 2 2 19" xfId="42733"/>
    <cellStyle name="SAPBEXstdItem 2 2 2" xfId="42734"/>
    <cellStyle name="SAPBEXstdItem 2 2 2 2" xfId="42735"/>
    <cellStyle name="SAPBEXstdItem 2 2 2 2 2" xfId="42736"/>
    <cellStyle name="SAPBEXstdItem 2 2 2 3" xfId="42737"/>
    <cellStyle name="SAPBEXstdItem 2 2 2 4" xfId="42738"/>
    <cellStyle name="SAPBEXstdItem 2 2 20" xfId="42739"/>
    <cellStyle name="SAPBEXstdItem 2 2 21" xfId="42740"/>
    <cellStyle name="SAPBEXstdItem 2 2 3" xfId="42741"/>
    <cellStyle name="SAPBEXstdItem 2 2 3 2" xfId="42742"/>
    <cellStyle name="SAPBEXstdItem 2 2 3 3" xfId="42743"/>
    <cellStyle name="SAPBEXstdItem 2 2 4" xfId="42744"/>
    <cellStyle name="SAPBEXstdItem 2 2 4 2" xfId="42745"/>
    <cellStyle name="SAPBEXstdItem 2 2 5" xfId="42746"/>
    <cellStyle name="SAPBEXstdItem 2 2 6" xfId="42747"/>
    <cellStyle name="SAPBEXstdItem 2 2 7" xfId="42748"/>
    <cellStyle name="SAPBEXstdItem 2 2 8" xfId="42749"/>
    <cellStyle name="SAPBEXstdItem 2 2 9" xfId="42750"/>
    <cellStyle name="SAPBEXstdItem 2 20" xfId="42751"/>
    <cellStyle name="SAPBEXstdItem 2 21" xfId="42752"/>
    <cellStyle name="SAPBEXstdItem 2 22" xfId="42753"/>
    <cellStyle name="SAPBEXstdItem 2 23" xfId="42754"/>
    <cellStyle name="SAPBEXstdItem 2 24" xfId="42755"/>
    <cellStyle name="SAPBEXstdItem 2 3" xfId="42756"/>
    <cellStyle name="SAPBEXstdItem 2 3 10" xfId="42757"/>
    <cellStyle name="SAPBEXstdItem 2 3 11" xfId="42758"/>
    <cellStyle name="SAPBEXstdItem 2 3 12" xfId="42759"/>
    <cellStyle name="SAPBEXstdItem 2 3 13" xfId="42760"/>
    <cellStyle name="SAPBEXstdItem 2 3 14" xfId="42761"/>
    <cellStyle name="SAPBEXstdItem 2 3 15" xfId="42762"/>
    <cellStyle name="SAPBEXstdItem 2 3 16" xfId="42763"/>
    <cellStyle name="SAPBEXstdItem 2 3 17" xfId="42764"/>
    <cellStyle name="SAPBEXstdItem 2 3 18" xfId="42765"/>
    <cellStyle name="SAPBEXstdItem 2 3 2" xfId="42766"/>
    <cellStyle name="SAPBEXstdItem 2 3 2 2" xfId="42767"/>
    <cellStyle name="SAPBEXstdItem 2 3 2 2 2" xfId="42768"/>
    <cellStyle name="SAPBEXstdItem 2 3 2 3" xfId="42769"/>
    <cellStyle name="SAPBEXstdItem 2 3 2 4" xfId="42770"/>
    <cellStyle name="SAPBEXstdItem 2 3 3" xfId="42771"/>
    <cellStyle name="SAPBEXstdItem 2 3 3 2" xfId="42772"/>
    <cellStyle name="SAPBEXstdItem 2 3 3 3" xfId="42773"/>
    <cellStyle name="SAPBEXstdItem 2 3 4" xfId="42774"/>
    <cellStyle name="SAPBEXstdItem 2 3 4 2" xfId="42775"/>
    <cellStyle name="SAPBEXstdItem 2 3 5" xfId="42776"/>
    <cellStyle name="SAPBEXstdItem 2 3 6" xfId="42777"/>
    <cellStyle name="SAPBEXstdItem 2 3 7" xfId="42778"/>
    <cellStyle name="SAPBEXstdItem 2 3 8" xfId="42779"/>
    <cellStyle name="SAPBEXstdItem 2 3 9" xfId="42780"/>
    <cellStyle name="SAPBEXstdItem 2 4" xfId="42781"/>
    <cellStyle name="SAPBEXstdItem 2 4 2" xfId="42782"/>
    <cellStyle name="SAPBEXstdItem 2 4 2 2" xfId="42783"/>
    <cellStyle name="SAPBEXstdItem 2 4 2 3" xfId="42784"/>
    <cellStyle name="SAPBEXstdItem 2 4 3" xfId="42785"/>
    <cellStyle name="SAPBEXstdItem 2 4 3 2" xfId="42786"/>
    <cellStyle name="SAPBEXstdItem 2 4 4" xfId="42787"/>
    <cellStyle name="SAPBEXstdItem 2 4 5" xfId="42788"/>
    <cellStyle name="SAPBEXstdItem 2 5" xfId="42789"/>
    <cellStyle name="SAPBEXstdItem 2 5 2" xfId="42790"/>
    <cellStyle name="SAPBEXstdItem 2 5 2 2" xfId="42791"/>
    <cellStyle name="SAPBEXstdItem 2 5 3" xfId="42792"/>
    <cellStyle name="SAPBEXstdItem 2 5 4" xfId="42793"/>
    <cellStyle name="SAPBEXstdItem 2 6" xfId="42794"/>
    <cellStyle name="SAPBEXstdItem 2 6 2" xfId="42795"/>
    <cellStyle name="SAPBEXstdItem 2 6 3" xfId="42796"/>
    <cellStyle name="SAPBEXstdItem 2 7" xfId="42797"/>
    <cellStyle name="SAPBEXstdItem 2 7 2" xfId="42798"/>
    <cellStyle name="SAPBEXstdItem 2 8" xfId="42799"/>
    <cellStyle name="SAPBEXstdItem 2 9" xfId="42800"/>
    <cellStyle name="SAPBEXstdItem 3" xfId="42801"/>
    <cellStyle name="SAPBEXstdItem 3 10" xfId="42802"/>
    <cellStyle name="SAPBEXstdItem 3 11" xfId="42803"/>
    <cellStyle name="SAPBEXstdItem 3 12" xfId="42804"/>
    <cellStyle name="SAPBEXstdItem 3 13" xfId="42805"/>
    <cellStyle name="SAPBEXstdItem 3 14" xfId="42806"/>
    <cellStyle name="SAPBEXstdItem 3 15" xfId="42807"/>
    <cellStyle name="SAPBEXstdItem 3 16" xfId="42808"/>
    <cellStyle name="SAPBEXstdItem 3 17" xfId="42809"/>
    <cellStyle name="SAPBEXstdItem 3 18" xfId="42810"/>
    <cellStyle name="SAPBEXstdItem 3 19" xfId="42811"/>
    <cellStyle name="SAPBEXstdItem 3 2" xfId="42812"/>
    <cellStyle name="SAPBEXstdItem 3 2 10" xfId="42813"/>
    <cellStyle name="SAPBEXstdItem 3 2 11" xfId="42814"/>
    <cellStyle name="SAPBEXstdItem 3 2 12" xfId="42815"/>
    <cellStyle name="SAPBEXstdItem 3 2 13" xfId="42816"/>
    <cellStyle name="SAPBEXstdItem 3 2 14" xfId="42817"/>
    <cellStyle name="SAPBEXstdItem 3 2 15" xfId="42818"/>
    <cellStyle name="SAPBEXstdItem 3 2 16" xfId="42819"/>
    <cellStyle name="SAPBEXstdItem 3 2 17" xfId="42820"/>
    <cellStyle name="SAPBEXstdItem 3 2 18" xfId="42821"/>
    <cellStyle name="SAPBEXstdItem 3 2 2" xfId="42822"/>
    <cellStyle name="SAPBEXstdItem 3 2 2 2" xfId="42823"/>
    <cellStyle name="SAPBEXstdItem 3 2 2 2 2" xfId="42824"/>
    <cellStyle name="SAPBEXstdItem 3 2 2 3" xfId="42825"/>
    <cellStyle name="SAPBEXstdItem 3 2 2 4" xfId="42826"/>
    <cellStyle name="SAPBEXstdItem 3 2 3" xfId="42827"/>
    <cellStyle name="SAPBEXstdItem 3 2 3 2" xfId="42828"/>
    <cellStyle name="SAPBEXstdItem 3 2 3 3" xfId="42829"/>
    <cellStyle name="SAPBEXstdItem 3 2 4" xfId="42830"/>
    <cellStyle name="SAPBEXstdItem 3 2 4 2" xfId="42831"/>
    <cellStyle name="SAPBEXstdItem 3 2 5" xfId="42832"/>
    <cellStyle name="SAPBEXstdItem 3 2 6" xfId="42833"/>
    <cellStyle name="SAPBEXstdItem 3 2 7" xfId="42834"/>
    <cellStyle name="SAPBEXstdItem 3 2 8" xfId="42835"/>
    <cellStyle name="SAPBEXstdItem 3 2 9" xfId="42836"/>
    <cellStyle name="SAPBEXstdItem 3 20" xfId="42837"/>
    <cellStyle name="SAPBEXstdItem 3 21" xfId="42838"/>
    <cellStyle name="SAPBEXstdItem 3 22" xfId="42839"/>
    <cellStyle name="SAPBEXstdItem 3 3" xfId="42840"/>
    <cellStyle name="SAPBEXstdItem 3 3 10" xfId="42841"/>
    <cellStyle name="SAPBEXstdItem 3 3 11" xfId="42842"/>
    <cellStyle name="SAPBEXstdItem 3 3 12" xfId="42843"/>
    <cellStyle name="SAPBEXstdItem 3 3 13" xfId="42844"/>
    <cellStyle name="SAPBEXstdItem 3 3 14" xfId="42845"/>
    <cellStyle name="SAPBEXstdItem 3 3 15" xfId="42846"/>
    <cellStyle name="SAPBEXstdItem 3 3 16" xfId="42847"/>
    <cellStyle name="SAPBEXstdItem 3 3 17" xfId="42848"/>
    <cellStyle name="SAPBEXstdItem 3 3 18" xfId="42849"/>
    <cellStyle name="SAPBEXstdItem 3 3 2" xfId="42850"/>
    <cellStyle name="SAPBEXstdItem 3 3 2 2" xfId="42851"/>
    <cellStyle name="SAPBEXstdItem 3 3 2 2 2" xfId="42852"/>
    <cellStyle name="SAPBEXstdItem 3 3 2 3" xfId="42853"/>
    <cellStyle name="SAPBEXstdItem 3 3 2 4" xfId="42854"/>
    <cellStyle name="SAPBEXstdItem 3 3 3" xfId="42855"/>
    <cellStyle name="SAPBEXstdItem 3 3 3 2" xfId="42856"/>
    <cellStyle name="SAPBEXstdItem 3 3 3 3" xfId="42857"/>
    <cellStyle name="SAPBEXstdItem 3 3 4" xfId="42858"/>
    <cellStyle name="SAPBEXstdItem 3 3 4 2" xfId="42859"/>
    <cellStyle name="SAPBEXstdItem 3 3 5" xfId="42860"/>
    <cellStyle name="SAPBEXstdItem 3 3 6" xfId="42861"/>
    <cellStyle name="SAPBEXstdItem 3 3 7" xfId="42862"/>
    <cellStyle name="SAPBEXstdItem 3 3 8" xfId="42863"/>
    <cellStyle name="SAPBEXstdItem 3 3 9" xfId="42864"/>
    <cellStyle name="SAPBEXstdItem 3 4" xfId="42865"/>
    <cellStyle name="SAPBEXstdItem 3 4 2" xfId="42866"/>
    <cellStyle name="SAPBEXstdItem 3 4 2 2" xfId="42867"/>
    <cellStyle name="SAPBEXstdItem 3 4 2 3" xfId="42868"/>
    <cellStyle name="SAPBEXstdItem 3 4 3" xfId="42869"/>
    <cellStyle name="SAPBEXstdItem 3 4 3 2" xfId="42870"/>
    <cellStyle name="SAPBEXstdItem 3 4 4" xfId="42871"/>
    <cellStyle name="SAPBEXstdItem 3 4 5" xfId="42872"/>
    <cellStyle name="SAPBEXstdItem 3 5" xfId="42873"/>
    <cellStyle name="SAPBEXstdItem 3 5 2" xfId="42874"/>
    <cellStyle name="SAPBEXstdItem 3 5 2 2" xfId="42875"/>
    <cellStyle name="SAPBEXstdItem 3 5 3" xfId="42876"/>
    <cellStyle name="SAPBEXstdItem 3 5 4" xfId="42877"/>
    <cellStyle name="SAPBEXstdItem 3 6" xfId="42878"/>
    <cellStyle name="SAPBEXstdItem 3 6 2" xfId="42879"/>
    <cellStyle name="SAPBEXstdItem 3 6 3" xfId="42880"/>
    <cellStyle name="SAPBEXstdItem 3 7" xfId="42881"/>
    <cellStyle name="SAPBEXstdItem 3 7 2" xfId="42882"/>
    <cellStyle name="SAPBEXstdItem 3 8" xfId="42883"/>
    <cellStyle name="SAPBEXstdItem 3 9" xfId="42884"/>
    <cellStyle name="SAPBEXstdItem 4" xfId="42885"/>
    <cellStyle name="SAPBEXstdItem 4 10" xfId="42886"/>
    <cellStyle name="SAPBEXstdItem 4 11" xfId="42887"/>
    <cellStyle name="SAPBEXstdItem 4 12" xfId="42888"/>
    <cellStyle name="SAPBEXstdItem 4 13" xfId="42889"/>
    <cellStyle name="SAPBEXstdItem 4 14" xfId="42890"/>
    <cellStyle name="SAPBEXstdItem 4 15" xfId="42891"/>
    <cellStyle name="SAPBEXstdItem 4 16" xfId="42892"/>
    <cellStyle name="SAPBEXstdItem 4 17" xfId="42893"/>
    <cellStyle name="SAPBEXstdItem 4 18" xfId="42894"/>
    <cellStyle name="SAPBEXstdItem 4 19" xfId="42895"/>
    <cellStyle name="SAPBEXstdItem 4 2" xfId="42896"/>
    <cellStyle name="SAPBEXstdItem 4 2 10" xfId="42897"/>
    <cellStyle name="SAPBEXstdItem 4 2 11" xfId="42898"/>
    <cellStyle name="SAPBEXstdItem 4 2 12" xfId="42899"/>
    <cellStyle name="SAPBEXstdItem 4 2 13" xfId="42900"/>
    <cellStyle name="SAPBEXstdItem 4 2 14" xfId="42901"/>
    <cellStyle name="SAPBEXstdItem 4 2 15" xfId="42902"/>
    <cellStyle name="SAPBEXstdItem 4 2 16" xfId="42903"/>
    <cellStyle name="SAPBEXstdItem 4 2 17" xfId="42904"/>
    <cellStyle name="SAPBEXstdItem 4 2 18" xfId="42905"/>
    <cellStyle name="SAPBEXstdItem 4 2 2" xfId="42906"/>
    <cellStyle name="SAPBEXstdItem 4 2 2 2" xfId="42907"/>
    <cellStyle name="SAPBEXstdItem 4 2 2 2 2" xfId="42908"/>
    <cellStyle name="SAPBEXstdItem 4 2 2 3" xfId="42909"/>
    <cellStyle name="SAPBEXstdItem 4 2 2 4" xfId="42910"/>
    <cellStyle name="SAPBEXstdItem 4 2 3" xfId="42911"/>
    <cellStyle name="SAPBEXstdItem 4 2 3 2" xfId="42912"/>
    <cellStyle name="SAPBEXstdItem 4 2 3 3" xfId="42913"/>
    <cellStyle name="SAPBEXstdItem 4 2 4" xfId="42914"/>
    <cellStyle name="SAPBEXstdItem 4 2 4 2" xfId="42915"/>
    <cellStyle name="SAPBEXstdItem 4 2 5" xfId="42916"/>
    <cellStyle name="SAPBEXstdItem 4 2 6" xfId="42917"/>
    <cellStyle name="SAPBEXstdItem 4 2 7" xfId="42918"/>
    <cellStyle name="SAPBEXstdItem 4 2 8" xfId="42919"/>
    <cellStyle name="SAPBEXstdItem 4 2 9" xfId="42920"/>
    <cellStyle name="SAPBEXstdItem 4 20" xfId="42921"/>
    <cellStyle name="SAPBEXstdItem 4 21" xfId="42922"/>
    <cellStyle name="SAPBEXstdItem 4 22" xfId="42923"/>
    <cellStyle name="SAPBEXstdItem 4 3" xfId="42924"/>
    <cellStyle name="SAPBEXstdItem 4 3 10" xfId="42925"/>
    <cellStyle name="SAPBEXstdItem 4 3 11" xfId="42926"/>
    <cellStyle name="SAPBEXstdItem 4 3 12" xfId="42927"/>
    <cellStyle name="SAPBEXstdItem 4 3 13" xfId="42928"/>
    <cellStyle name="SAPBEXstdItem 4 3 14" xfId="42929"/>
    <cellStyle name="SAPBEXstdItem 4 3 15" xfId="42930"/>
    <cellStyle name="SAPBEXstdItem 4 3 16" xfId="42931"/>
    <cellStyle name="SAPBEXstdItem 4 3 17" xfId="42932"/>
    <cellStyle name="SAPBEXstdItem 4 3 18" xfId="42933"/>
    <cellStyle name="SAPBEXstdItem 4 3 2" xfId="42934"/>
    <cellStyle name="SAPBEXstdItem 4 3 2 2" xfId="42935"/>
    <cellStyle name="SAPBEXstdItem 4 3 2 2 2" xfId="42936"/>
    <cellStyle name="SAPBEXstdItem 4 3 2 3" xfId="42937"/>
    <cellStyle name="SAPBEXstdItem 4 3 2 4" xfId="42938"/>
    <cellStyle name="SAPBEXstdItem 4 3 3" xfId="42939"/>
    <cellStyle name="SAPBEXstdItem 4 3 3 2" xfId="42940"/>
    <cellStyle name="SAPBEXstdItem 4 3 3 3" xfId="42941"/>
    <cellStyle name="SAPBEXstdItem 4 3 4" xfId="42942"/>
    <cellStyle name="SAPBEXstdItem 4 3 4 2" xfId="42943"/>
    <cellStyle name="SAPBEXstdItem 4 3 5" xfId="42944"/>
    <cellStyle name="SAPBEXstdItem 4 3 6" xfId="42945"/>
    <cellStyle name="SAPBEXstdItem 4 3 7" xfId="42946"/>
    <cellStyle name="SAPBEXstdItem 4 3 8" xfId="42947"/>
    <cellStyle name="SAPBEXstdItem 4 3 9" xfId="42948"/>
    <cellStyle name="SAPBEXstdItem 4 4" xfId="42949"/>
    <cellStyle name="SAPBEXstdItem 4 4 2" xfId="42950"/>
    <cellStyle name="SAPBEXstdItem 4 4 2 2" xfId="42951"/>
    <cellStyle name="SAPBEXstdItem 4 4 2 3" xfId="42952"/>
    <cellStyle name="SAPBEXstdItem 4 4 3" xfId="42953"/>
    <cellStyle name="SAPBEXstdItem 4 4 3 2" xfId="42954"/>
    <cellStyle name="SAPBEXstdItem 4 4 4" xfId="42955"/>
    <cellStyle name="SAPBEXstdItem 4 4 5" xfId="42956"/>
    <cellStyle name="SAPBEXstdItem 4 5" xfId="42957"/>
    <cellStyle name="SAPBEXstdItem 4 5 2" xfId="42958"/>
    <cellStyle name="SAPBEXstdItem 4 5 2 2" xfId="42959"/>
    <cellStyle name="SAPBEXstdItem 4 5 3" xfId="42960"/>
    <cellStyle name="SAPBEXstdItem 4 5 4" xfId="42961"/>
    <cellStyle name="SAPBEXstdItem 4 6" xfId="42962"/>
    <cellStyle name="SAPBEXstdItem 4 6 2" xfId="42963"/>
    <cellStyle name="SAPBEXstdItem 4 6 3" xfId="42964"/>
    <cellStyle name="SAPBEXstdItem 4 7" xfId="42965"/>
    <cellStyle name="SAPBEXstdItem 4 7 2" xfId="42966"/>
    <cellStyle name="SAPBEXstdItem 4 8" xfId="42967"/>
    <cellStyle name="SAPBEXstdItem 4 9" xfId="42968"/>
    <cellStyle name="SAPBEXstdItem 5" xfId="42969"/>
    <cellStyle name="SAPBEXstdItem 5 10" xfId="42970"/>
    <cellStyle name="SAPBEXstdItem 5 11" xfId="42971"/>
    <cellStyle name="SAPBEXstdItem 5 12" xfId="42972"/>
    <cellStyle name="SAPBEXstdItem 5 13" xfId="42973"/>
    <cellStyle name="SAPBEXstdItem 5 14" xfId="42974"/>
    <cellStyle name="SAPBEXstdItem 5 15" xfId="42975"/>
    <cellStyle name="SAPBEXstdItem 5 16" xfId="42976"/>
    <cellStyle name="SAPBEXstdItem 5 17" xfId="42977"/>
    <cellStyle name="SAPBEXstdItem 5 18" xfId="42978"/>
    <cellStyle name="SAPBEXstdItem 5 19" xfId="42979"/>
    <cellStyle name="SAPBEXstdItem 5 2" xfId="42980"/>
    <cellStyle name="SAPBEXstdItem 5 2 10" xfId="42981"/>
    <cellStyle name="SAPBEXstdItem 5 2 11" xfId="42982"/>
    <cellStyle name="SAPBEXstdItem 5 2 12" xfId="42983"/>
    <cellStyle name="SAPBEXstdItem 5 2 13" xfId="42984"/>
    <cellStyle name="SAPBEXstdItem 5 2 14" xfId="42985"/>
    <cellStyle name="SAPBEXstdItem 5 2 15" xfId="42986"/>
    <cellStyle name="SAPBEXstdItem 5 2 16" xfId="42987"/>
    <cellStyle name="SAPBEXstdItem 5 2 17" xfId="42988"/>
    <cellStyle name="SAPBEXstdItem 5 2 18" xfId="42989"/>
    <cellStyle name="SAPBEXstdItem 5 2 2" xfId="42990"/>
    <cellStyle name="SAPBEXstdItem 5 2 2 2" xfId="42991"/>
    <cellStyle name="SAPBEXstdItem 5 2 2 2 2" xfId="42992"/>
    <cellStyle name="SAPBEXstdItem 5 2 2 3" xfId="42993"/>
    <cellStyle name="SAPBEXstdItem 5 2 2 4" xfId="42994"/>
    <cellStyle name="SAPBEXstdItem 5 2 3" xfId="42995"/>
    <cellStyle name="SAPBEXstdItem 5 2 3 2" xfId="42996"/>
    <cellStyle name="SAPBEXstdItem 5 2 3 3" xfId="42997"/>
    <cellStyle name="SAPBEXstdItem 5 2 4" xfId="42998"/>
    <cellStyle name="SAPBEXstdItem 5 2 4 2" xfId="42999"/>
    <cellStyle name="SAPBEXstdItem 5 2 5" xfId="43000"/>
    <cellStyle name="SAPBEXstdItem 5 2 6" xfId="43001"/>
    <cellStyle name="SAPBEXstdItem 5 2 7" xfId="43002"/>
    <cellStyle name="SAPBEXstdItem 5 2 8" xfId="43003"/>
    <cellStyle name="SAPBEXstdItem 5 2 9" xfId="43004"/>
    <cellStyle name="SAPBEXstdItem 5 20" xfId="43005"/>
    <cellStyle name="SAPBEXstdItem 5 21" xfId="43006"/>
    <cellStyle name="SAPBEXstdItem 5 22" xfId="43007"/>
    <cellStyle name="SAPBEXstdItem 5 3" xfId="43008"/>
    <cellStyle name="SAPBEXstdItem 5 3 10" xfId="43009"/>
    <cellStyle name="SAPBEXstdItem 5 3 11" xfId="43010"/>
    <cellStyle name="SAPBEXstdItem 5 3 12" xfId="43011"/>
    <cellStyle name="SAPBEXstdItem 5 3 13" xfId="43012"/>
    <cellStyle name="SAPBEXstdItem 5 3 14" xfId="43013"/>
    <cellStyle name="SAPBEXstdItem 5 3 15" xfId="43014"/>
    <cellStyle name="SAPBEXstdItem 5 3 16" xfId="43015"/>
    <cellStyle name="SAPBEXstdItem 5 3 17" xfId="43016"/>
    <cellStyle name="SAPBEXstdItem 5 3 18" xfId="43017"/>
    <cellStyle name="SAPBEXstdItem 5 3 2" xfId="43018"/>
    <cellStyle name="SAPBEXstdItem 5 3 2 2" xfId="43019"/>
    <cellStyle name="SAPBEXstdItem 5 3 2 2 2" xfId="43020"/>
    <cellStyle name="SAPBEXstdItem 5 3 2 3" xfId="43021"/>
    <cellStyle name="SAPBEXstdItem 5 3 2 4" xfId="43022"/>
    <cellStyle name="SAPBEXstdItem 5 3 3" xfId="43023"/>
    <cellStyle name="SAPBEXstdItem 5 3 3 2" xfId="43024"/>
    <cellStyle name="SAPBEXstdItem 5 3 3 3" xfId="43025"/>
    <cellStyle name="SAPBEXstdItem 5 3 4" xfId="43026"/>
    <cellStyle name="SAPBEXstdItem 5 3 4 2" xfId="43027"/>
    <cellStyle name="SAPBEXstdItem 5 3 5" xfId="43028"/>
    <cellStyle name="SAPBEXstdItem 5 3 6" xfId="43029"/>
    <cellStyle name="SAPBEXstdItem 5 3 7" xfId="43030"/>
    <cellStyle name="SAPBEXstdItem 5 3 8" xfId="43031"/>
    <cellStyle name="SAPBEXstdItem 5 3 9" xfId="43032"/>
    <cellStyle name="SAPBEXstdItem 5 4" xfId="43033"/>
    <cellStyle name="SAPBEXstdItem 5 4 2" xfId="43034"/>
    <cellStyle name="SAPBEXstdItem 5 4 2 2" xfId="43035"/>
    <cellStyle name="SAPBEXstdItem 5 4 2 3" xfId="43036"/>
    <cellStyle name="SAPBEXstdItem 5 4 3" xfId="43037"/>
    <cellStyle name="SAPBEXstdItem 5 4 3 2" xfId="43038"/>
    <cellStyle name="SAPBEXstdItem 5 4 4" xfId="43039"/>
    <cellStyle name="SAPBEXstdItem 5 4 5" xfId="43040"/>
    <cellStyle name="SAPBEXstdItem 5 5" xfId="43041"/>
    <cellStyle name="SAPBEXstdItem 5 5 2" xfId="43042"/>
    <cellStyle name="SAPBEXstdItem 5 5 2 2" xfId="43043"/>
    <cellStyle name="SAPBEXstdItem 5 5 3" xfId="43044"/>
    <cellStyle name="SAPBEXstdItem 5 5 4" xfId="43045"/>
    <cellStyle name="SAPBEXstdItem 5 6" xfId="43046"/>
    <cellStyle name="SAPBEXstdItem 5 6 2" xfId="43047"/>
    <cellStyle name="SAPBEXstdItem 5 6 3" xfId="43048"/>
    <cellStyle name="SAPBEXstdItem 5 7" xfId="43049"/>
    <cellStyle name="SAPBEXstdItem 5 7 2" xfId="43050"/>
    <cellStyle name="SAPBEXstdItem 5 8" xfId="43051"/>
    <cellStyle name="SAPBEXstdItem 5 9" xfId="43052"/>
    <cellStyle name="SAPBEXstdItem 6" xfId="43053"/>
    <cellStyle name="SAPBEXstdItem 6 10" xfId="43054"/>
    <cellStyle name="SAPBEXstdItem 6 11" xfId="43055"/>
    <cellStyle name="SAPBEXstdItem 6 12" xfId="43056"/>
    <cellStyle name="SAPBEXstdItem 6 13" xfId="43057"/>
    <cellStyle name="SAPBEXstdItem 6 14" xfId="43058"/>
    <cellStyle name="SAPBEXstdItem 6 15" xfId="43059"/>
    <cellStyle name="SAPBEXstdItem 6 2" xfId="43060"/>
    <cellStyle name="SAPBEXstdItem 6 2 10" xfId="43061"/>
    <cellStyle name="SAPBEXstdItem 6 2 11" xfId="43062"/>
    <cellStyle name="SAPBEXstdItem 6 2 12" xfId="43063"/>
    <cellStyle name="SAPBEXstdItem 6 2 13" xfId="43064"/>
    <cellStyle name="SAPBEXstdItem 6 2 14" xfId="43065"/>
    <cellStyle name="SAPBEXstdItem 6 2 15" xfId="43066"/>
    <cellStyle name="SAPBEXstdItem 6 2 16" xfId="43067"/>
    <cellStyle name="SAPBEXstdItem 6 2 17" xfId="43068"/>
    <cellStyle name="SAPBEXstdItem 6 2 18" xfId="43069"/>
    <cellStyle name="SAPBEXstdItem 6 2 2" xfId="43070"/>
    <cellStyle name="SAPBEXstdItem 6 2 2 2" xfId="43071"/>
    <cellStyle name="SAPBEXstdItem 6 2 2 2 2" xfId="43072"/>
    <cellStyle name="SAPBEXstdItem 6 2 2 3" xfId="43073"/>
    <cellStyle name="SAPBEXstdItem 6 2 2 4" xfId="43074"/>
    <cellStyle name="SAPBEXstdItem 6 2 3" xfId="43075"/>
    <cellStyle name="SAPBEXstdItem 6 2 3 2" xfId="43076"/>
    <cellStyle name="SAPBEXstdItem 6 2 3 3" xfId="43077"/>
    <cellStyle name="SAPBEXstdItem 6 2 4" xfId="43078"/>
    <cellStyle name="SAPBEXstdItem 6 2 4 2" xfId="43079"/>
    <cellStyle name="SAPBEXstdItem 6 2 5" xfId="43080"/>
    <cellStyle name="SAPBEXstdItem 6 2 6" xfId="43081"/>
    <cellStyle name="SAPBEXstdItem 6 2 7" xfId="43082"/>
    <cellStyle name="SAPBEXstdItem 6 2 8" xfId="43083"/>
    <cellStyle name="SAPBEXstdItem 6 2 9" xfId="43084"/>
    <cellStyle name="SAPBEXstdItem 6 3" xfId="43085"/>
    <cellStyle name="SAPBEXstdItem 6 3 10" xfId="43086"/>
    <cellStyle name="SAPBEXstdItem 6 3 11" xfId="43087"/>
    <cellStyle name="SAPBEXstdItem 6 3 12" xfId="43088"/>
    <cellStyle name="SAPBEXstdItem 6 3 13" xfId="43089"/>
    <cellStyle name="SAPBEXstdItem 6 3 14" xfId="43090"/>
    <cellStyle name="SAPBEXstdItem 6 3 15" xfId="43091"/>
    <cellStyle name="SAPBEXstdItem 6 3 16" xfId="43092"/>
    <cellStyle name="SAPBEXstdItem 6 3 17" xfId="43093"/>
    <cellStyle name="SAPBEXstdItem 6 3 18" xfId="43094"/>
    <cellStyle name="SAPBEXstdItem 6 3 2" xfId="43095"/>
    <cellStyle name="SAPBEXstdItem 6 3 2 2" xfId="43096"/>
    <cellStyle name="SAPBEXstdItem 6 3 2 2 2" xfId="43097"/>
    <cellStyle name="SAPBEXstdItem 6 3 2 3" xfId="43098"/>
    <cellStyle name="SAPBEXstdItem 6 3 2 4" xfId="43099"/>
    <cellStyle name="SAPBEXstdItem 6 3 3" xfId="43100"/>
    <cellStyle name="SAPBEXstdItem 6 3 3 2" xfId="43101"/>
    <cellStyle name="SAPBEXstdItem 6 3 3 3" xfId="43102"/>
    <cellStyle name="SAPBEXstdItem 6 3 4" xfId="43103"/>
    <cellStyle name="SAPBEXstdItem 6 3 4 2" xfId="43104"/>
    <cellStyle name="SAPBEXstdItem 6 3 5" xfId="43105"/>
    <cellStyle name="SAPBEXstdItem 6 3 6" xfId="43106"/>
    <cellStyle name="SAPBEXstdItem 6 3 7" xfId="43107"/>
    <cellStyle name="SAPBEXstdItem 6 3 8" xfId="43108"/>
    <cellStyle name="SAPBEXstdItem 6 3 9" xfId="43109"/>
    <cellStyle name="SAPBEXstdItem 6 4" xfId="43110"/>
    <cellStyle name="SAPBEXstdItem 6 4 2" xfId="43111"/>
    <cellStyle name="SAPBEXstdItem 6 4 2 2" xfId="43112"/>
    <cellStyle name="SAPBEXstdItem 6 4 3" xfId="43113"/>
    <cellStyle name="SAPBEXstdItem 6 4 4" xfId="43114"/>
    <cellStyle name="SAPBEXstdItem 6 5" xfId="43115"/>
    <cellStyle name="SAPBEXstdItem 6 5 2" xfId="43116"/>
    <cellStyle name="SAPBEXstdItem 6 6" xfId="43117"/>
    <cellStyle name="SAPBEXstdItem 6 7" xfId="43118"/>
    <cellStyle name="SAPBEXstdItem 6 8" xfId="43119"/>
    <cellStyle name="SAPBEXstdItem 6 9" xfId="43120"/>
    <cellStyle name="SAPBEXstdItem 7" xfId="43121"/>
    <cellStyle name="SAPBEXstdItem 7 10" xfId="43122"/>
    <cellStyle name="SAPBEXstdItem 7 11" xfId="43123"/>
    <cellStyle name="SAPBEXstdItem 7 12" xfId="43124"/>
    <cellStyle name="SAPBEXstdItem 7 13" xfId="43125"/>
    <cellStyle name="SAPBEXstdItem 7 14" xfId="43126"/>
    <cellStyle name="SAPBEXstdItem 7 15" xfId="43127"/>
    <cellStyle name="SAPBEXstdItem 7 16" xfId="43128"/>
    <cellStyle name="SAPBEXstdItem 7 17" xfId="43129"/>
    <cellStyle name="SAPBEXstdItem 7 18" xfId="43130"/>
    <cellStyle name="SAPBEXstdItem 7 19" xfId="43131"/>
    <cellStyle name="SAPBEXstdItem 7 2" xfId="43132"/>
    <cellStyle name="SAPBEXstdItem 7 3" xfId="43133"/>
    <cellStyle name="SAPBEXstdItem 7 4" xfId="43134"/>
    <cellStyle name="SAPBEXstdItem 7 5" xfId="43135"/>
    <cellStyle name="SAPBEXstdItem 7 6" xfId="43136"/>
    <cellStyle name="SAPBEXstdItem 7 7" xfId="43137"/>
    <cellStyle name="SAPBEXstdItem 7 8" xfId="43138"/>
    <cellStyle name="SAPBEXstdItem 7 9" xfId="43139"/>
    <cellStyle name="SAPBEXstdItem 8" xfId="43140"/>
    <cellStyle name="SAPBEXstdItem 9" xfId="43141"/>
    <cellStyle name="SAPBEXstdItem_7-р" xfId="43142"/>
    <cellStyle name="SAPBEXstdItemX" xfId="43143"/>
    <cellStyle name="SAPBEXstdItemX 10" xfId="43144"/>
    <cellStyle name="SAPBEXstdItemX 11" xfId="43145"/>
    <cellStyle name="SAPBEXstdItemX 12" xfId="43146"/>
    <cellStyle name="SAPBEXstdItemX 13" xfId="43147"/>
    <cellStyle name="SAPBEXstdItemX 14" xfId="43148"/>
    <cellStyle name="SAPBEXstdItemX 15" xfId="43149"/>
    <cellStyle name="SAPBEXstdItemX 16" xfId="43150"/>
    <cellStyle name="SAPBEXstdItemX 17" xfId="43151"/>
    <cellStyle name="SAPBEXstdItemX 18" xfId="43152"/>
    <cellStyle name="SAPBEXstdItemX 19" xfId="43153"/>
    <cellStyle name="SAPBEXstdItemX 2" xfId="43154"/>
    <cellStyle name="SAPBEXstdItemX 2 10" xfId="43155"/>
    <cellStyle name="SAPBEXstdItemX 2 11" xfId="43156"/>
    <cellStyle name="SAPBEXstdItemX 2 12" xfId="43157"/>
    <cellStyle name="SAPBEXstdItemX 2 13" xfId="43158"/>
    <cellStyle name="SAPBEXstdItemX 2 14" xfId="43159"/>
    <cellStyle name="SAPBEXstdItemX 2 15" xfId="43160"/>
    <cellStyle name="SAPBEXstdItemX 2 16" xfId="43161"/>
    <cellStyle name="SAPBEXstdItemX 2 17" xfId="43162"/>
    <cellStyle name="SAPBEXstdItemX 2 18" xfId="43163"/>
    <cellStyle name="SAPBEXstdItemX 2 19" xfId="43164"/>
    <cellStyle name="SAPBEXstdItemX 2 2" xfId="43165"/>
    <cellStyle name="SAPBEXstdItemX 2 2 10" xfId="43166"/>
    <cellStyle name="SAPBEXstdItemX 2 2 11" xfId="43167"/>
    <cellStyle name="SAPBEXstdItemX 2 2 12" xfId="43168"/>
    <cellStyle name="SAPBEXstdItemX 2 2 13" xfId="43169"/>
    <cellStyle name="SAPBEXstdItemX 2 2 14" xfId="43170"/>
    <cellStyle name="SAPBEXstdItemX 2 2 15" xfId="43171"/>
    <cellStyle name="SAPBEXstdItemX 2 2 16" xfId="43172"/>
    <cellStyle name="SAPBEXstdItemX 2 2 17" xfId="43173"/>
    <cellStyle name="SAPBEXstdItemX 2 2 18" xfId="43174"/>
    <cellStyle name="SAPBEXstdItemX 2 2 19" xfId="43175"/>
    <cellStyle name="SAPBEXstdItemX 2 2 2" xfId="43176"/>
    <cellStyle name="SAPBEXstdItemX 2 2 2 2" xfId="43177"/>
    <cellStyle name="SAPBEXstdItemX 2 2 2 2 2" xfId="43178"/>
    <cellStyle name="SAPBEXstdItemX 2 2 2 3" xfId="43179"/>
    <cellStyle name="SAPBEXstdItemX 2 2 2 4" xfId="43180"/>
    <cellStyle name="SAPBEXstdItemX 2 2 20" xfId="43181"/>
    <cellStyle name="SAPBEXstdItemX 2 2 21" xfId="43182"/>
    <cellStyle name="SAPBEXstdItemX 2 2 3" xfId="43183"/>
    <cellStyle name="SAPBEXstdItemX 2 2 3 2" xfId="43184"/>
    <cellStyle name="SAPBEXstdItemX 2 2 3 3" xfId="43185"/>
    <cellStyle name="SAPBEXstdItemX 2 2 4" xfId="43186"/>
    <cellStyle name="SAPBEXstdItemX 2 2 4 2" xfId="43187"/>
    <cellStyle name="SAPBEXstdItemX 2 2 5" xfId="43188"/>
    <cellStyle name="SAPBEXstdItemX 2 2 6" xfId="43189"/>
    <cellStyle name="SAPBEXstdItemX 2 2 7" xfId="43190"/>
    <cellStyle name="SAPBEXstdItemX 2 2 8" xfId="43191"/>
    <cellStyle name="SAPBEXstdItemX 2 2 9" xfId="43192"/>
    <cellStyle name="SAPBEXstdItemX 2 20" xfId="43193"/>
    <cellStyle name="SAPBEXstdItemX 2 21" xfId="43194"/>
    <cellStyle name="SAPBEXstdItemX 2 22" xfId="43195"/>
    <cellStyle name="SAPBEXstdItemX 2 23" xfId="43196"/>
    <cellStyle name="SAPBEXstdItemX 2 24" xfId="43197"/>
    <cellStyle name="SAPBEXstdItemX 2 3" xfId="43198"/>
    <cellStyle name="SAPBEXstdItemX 2 3 10" xfId="43199"/>
    <cellStyle name="SAPBEXstdItemX 2 3 11" xfId="43200"/>
    <cellStyle name="SAPBEXstdItemX 2 3 12" xfId="43201"/>
    <cellStyle name="SAPBEXstdItemX 2 3 13" xfId="43202"/>
    <cellStyle name="SAPBEXstdItemX 2 3 14" xfId="43203"/>
    <cellStyle name="SAPBEXstdItemX 2 3 15" xfId="43204"/>
    <cellStyle name="SAPBEXstdItemX 2 3 16" xfId="43205"/>
    <cellStyle name="SAPBEXstdItemX 2 3 17" xfId="43206"/>
    <cellStyle name="SAPBEXstdItemX 2 3 18" xfId="43207"/>
    <cellStyle name="SAPBEXstdItemX 2 3 2" xfId="43208"/>
    <cellStyle name="SAPBEXstdItemX 2 3 2 2" xfId="43209"/>
    <cellStyle name="SAPBEXstdItemX 2 3 2 2 2" xfId="43210"/>
    <cellStyle name="SAPBEXstdItemX 2 3 2 3" xfId="43211"/>
    <cellStyle name="SAPBEXstdItemX 2 3 2 4" xfId="43212"/>
    <cellStyle name="SAPBEXstdItemX 2 3 3" xfId="43213"/>
    <cellStyle name="SAPBEXstdItemX 2 3 3 2" xfId="43214"/>
    <cellStyle name="SAPBEXstdItemX 2 3 3 3" xfId="43215"/>
    <cellStyle name="SAPBEXstdItemX 2 3 4" xfId="43216"/>
    <cellStyle name="SAPBEXstdItemX 2 3 4 2" xfId="43217"/>
    <cellStyle name="SAPBEXstdItemX 2 3 5" xfId="43218"/>
    <cellStyle name="SAPBEXstdItemX 2 3 6" xfId="43219"/>
    <cellStyle name="SAPBEXstdItemX 2 3 7" xfId="43220"/>
    <cellStyle name="SAPBEXstdItemX 2 3 8" xfId="43221"/>
    <cellStyle name="SAPBEXstdItemX 2 3 9" xfId="43222"/>
    <cellStyle name="SAPBEXstdItemX 2 4" xfId="43223"/>
    <cellStyle name="SAPBEXstdItemX 2 4 2" xfId="43224"/>
    <cellStyle name="SAPBEXstdItemX 2 4 2 2" xfId="43225"/>
    <cellStyle name="SAPBEXstdItemX 2 4 2 3" xfId="43226"/>
    <cellStyle name="SAPBEXstdItemX 2 4 3" xfId="43227"/>
    <cellStyle name="SAPBEXstdItemX 2 4 3 2" xfId="43228"/>
    <cellStyle name="SAPBEXstdItemX 2 4 4" xfId="43229"/>
    <cellStyle name="SAPBEXstdItemX 2 4 5" xfId="43230"/>
    <cellStyle name="SAPBEXstdItemX 2 5" xfId="43231"/>
    <cellStyle name="SAPBEXstdItemX 2 5 2" xfId="43232"/>
    <cellStyle name="SAPBEXstdItemX 2 5 2 2" xfId="43233"/>
    <cellStyle name="SAPBEXstdItemX 2 5 3" xfId="43234"/>
    <cellStyle name="SAPBEXstdItemX 2 5 4" xfId="43235"/>
    <cellStyle name="SAPBEXstdItemX 2 6" xfId="43236"/>
    <cellStyle name="SAPBEXstdItemX 2 6 2" xfId="43237"/>
    <cellStyle name="SAPBEXstdItemX 2 6 3" xfId="43238"/>
    <cellStyle name="SAPBEXstdItemX 2 7" xfId="43239"/>
    <cellStyle name="SAPBEXstdItemX 2 7 2" xfId="43240"/>
    <cellStyle name="SAPBEXstdItemX 2 8" xfId="43241"/>
    <cellStyle name="SAPBEXstdItemX 2 9" xfId="43242"/>
    <cellStyle name="SAPBEXstdItemX 3" xfId="43243"/>
    <cellStyle name="SAPBEXstdItemX 3 10" xfId="43244"/>
    <cellStyle name="SAPBEXstdItemX 3 11" xfId="43245"/>
    <cellStyle name="SAPBEXstdItemX 3 12" xfId="43246"/>
    <cellStyle name="SAPBEXstdItemX 3 13" xfId="43247"/>
    <cellStyle name="SAPBEXstdItemX 3 14" xfId="43248"/>
    <cellStyle name="SAPBEXstdItemX 3 15" xfId="43249"/>
    <cellStyle name="SAPBEXstdItemX 3 16" xfId="43250"/>
    <cellStyle name="SAPBEXstdItemX 3 17" xfId="43251"/>
    <cellStyle name="SAPBEXstdItemX 3 18" xfId="43252"/>
    <cellStyle name="SAPBEXstdItemX 3 19" xfId="43253"/>
    <cellStyle name="SAPBEXstdItemX 3 2" xfId="43254"/>
    <cellStyle name="SAPBEXstdItemX 3 2 10" xfId="43255"/>
    <cellStyle name="SAPBEXstdItemX 3 2 11" xfId="43256"/>
    <cellStyle name="SAPBEXstdItemX 3 2 12" xfId="43257"/>
    <cellStyle name="SAPBEXstdItemX 3 2 13" xfId="43258"/>
    <cellStyle name="SAPBEXstdItemX 3 2 14" xfId="43259"/>
    <cellStyle name="SAPBEXstdItemX 3 2 15" xfId="43260"/>
    <cellStyle name="SAPBEXstdItemX 3 2 16" xfId="43261"/>
    <cellStyle name="SAPBEXstdItemX 3 2 17" xfId="43262"/>
    <cellStyle name="SAPBEXstdItemX 3 2 18" xfId="43263"/>
    <cellStyle name="SAPBEXstdItemX 3 2 2" xfId="43264"/>
    <cellStyle name="SAPBEXstdItemX 3 2 2 2" xfId="43265"/>
    <cellStyle name="SAPBEXstdItemX 3 2 2 2 2" xfId="43266"/>
    <cellStyle name="SAPBEXstdItemX 3 2 2 3" xfId="43267"/>
    <cellStyle name="SAPBEXstdItemX 3 2 2 4" xfId="43268"/>
    <cellStyle name="SAPBEXstdItemX 3 2 3" xfId="43269"/>
    <cellStyle name="SAPBEXstdItemX 3 2 3 2" xfId="43270"/>
    <cellStyle name="SAPBEXstdItemX 3 2 3 3" xfId="43271"/>
    <cellStyle name="SAPBEXstdItemX 3 2 4" xfId="43272"/>
    <cellStyle name="SAPBEXstdItemX 3 2 4 2" xfId="43273"/>
    <cellStyle name="SAPBEXstdItemX 3 2 5" xfId="43274"/>
    <cellStyle name="SAPBEXstdItemX 3 2 6" xfId="43275"/>
    <cellStyle name="SAPBEXstdItemX 3 2 7" xfId="43276"/>
    <cellStyle name="SAPBEXstdItemX 3 2 8" xfId="43277"/>
    <cellStyle name="SAPBEXstdItemX 3 2 9" xfId="43278"/>
    <cellStyle name="SAPBEXstdItemX 3 20" xfId="43279"/>
    <cellStyle name="SAPBEXstdItemX 3 21" xfId="43280"/>
    <cellStyle name="SAPBEXstdItemX 3 22" xfId="43281"/>
    <cellStyle name="SAPBEXstdItemX 3 3" xfId="43282"/>
    <cellStyle name="SAPBEXstdItemX 3 3 10" xfId="43283"/>
    <cellStyle name="SAPBEXstdItemX 3 3 11" xfId="43284"/>
    <cellStyle name="SAPBEXstdItemX 3 3 12" xfId="43285"/>
    <cellStyle name="SAPBEXstdItemX 3 3 13" xfId="43286"/>
    <cellStyle name="SAPBEXstdItemX 3 3 14" xfId="43287"/>
    <cellStyle name="SAPBEXstdItemX 3 3 15" xfId="43288"/>
    <cellStyle name="SAPBEXstdItemX 3 3 16" xfId="43289"/>
    <cellStyle name="SAPBEXstdItemX 3 3 17" xfId="43290"/>
    <cellStyle name="SAPBEXstdItemX 3 3 18" xfId="43291"/>
    <cellStyle name="SAPBEXstdItemX 3 3 2" xfId="43292"/>
    <cellStyle name="SAPBEXstdItemX 3 3 2 2" xfId="43293"/>
    <cellStyle name="SAPBEXstdItemX 3 3 2 2 2" xfId="43294"/>
    <cellStyle name="SAPBEXstdItemX 3 3 2 3" xfId="43295"/>
    <cellStyle name="SAPBEXstdItemX 3 3 2 4" xfId="43296"/>
    <cellStyle name="SAPBEXstdItemX 3 3 3" xfId="43297"/>
    <cellStyle name="SAPBEXstdItemX 3 3 3 2" xfId="43298"/>
    <cellStyle name="SAPBEXstdItemX 3 3 3 3" xfId="43299"/>
    <cellStyle name="SAPBEXstdItemX 3 3 4" xfId="43300"/>
    <cellStyle name="SAPBEXstdItemX 3 3 4 2" xfId="43301"/>
    <cellStyle name="SAPBEXstdItemX 3 3 5" xfId="43302"/>
    <cellStyle name="SAPBEXstdItemX 3 3 6" xfId="43303"/>
    <cellStyle name="SAPBEXstdItemX 3 3 7" xfId="43304"/>
    <cellStyle name="SAPBEXstdItemX 3 3 8" xfId="43305"/>
    <cellStyle name="SAPBEXstdItemX 3 3 9" xfId="43306"/>
    <cellStyle name="SAPBEXstdItemX 3 4" xfId="43307"/>
    <cellStyle name="SAPBEXstdItemX 3 4 2" xfId="43308"/>
    <cellStyle name="SAPBEXstdItemX 3 4 2 2" xfId="43309"/>
    <cellStyle name="SAPBEXstdItemX 3 4 2 3" xfId="43310"/>
    <cellStyle name="SAPBEXstdItemX 3 4 3" xfId="43311"/>
    <cellStyle name="SAPBEXstdItemX 3 4 3 2" xfId="43312"/>
    <cellStyle name="SAPBEXstdItemX 3 4 4" xfId="43313"/>
    <cellStyle name="SAPBEXstdItemX 3 4 5" xfId="43314"/>
    <cellStyle name="SAPBEXstdItemX 3 5" xfId="43315"/>
    <cellStyle name="SAPBEXstdItemX 3 5 2" xfId="43316"/>
    <cellStyle name="SAPBEXstdItemX 3 5 2 2" xfId="43317"/>
    <cellStyle name="SAPBEXstdItemX 3 5 3" xfId="43318"/>
    <cellStyle name="SAPBEXstdItemX 3 5 4" xfId="43319"/>
    <cellStyle name="SAPBEXstdItemX 3 6" xfId="43320"/>
    <cellStyle name="SAPBEXstdItemX 3 6 2" xfId="43321"/>
    <cellStyle name="SAPBEXstdItemX 3 6 3" xfId="43322"/>
    <cellStyle name="SAPBEXstdItemX 3 7" xfId="43323"/>
    <cellStyle name="SAPBEXstdItemX 3 7 2" xfId="43324"/>
    <cellStyle name="SAPBEXstdItemX 3 8" xfId="43325"/>
    <cellStyle name="SAPBEXstdItemX 3 9" xfId="43326"/>
    <cellStyle name="SAPBEXstdItemX 4" xfId="43327"/>
    <cellStyle name="SAPBEXstdItemX 4 10" xfId="43328"/>
    <cellStyle name="SAPBEXstdItemX 4 11" xfId="43329"/>
    <cellStyle name="SAPBEXstdItemX 4 12" xfId="43330"/>
    <cellStyle name="SAPBEXstdItemX 4 13" xfId="43331"/>
    <cellStyle name="SAPBEXstdItemX 4 14" xfId="43332"/>
    <cellStyle name="SAPBEXstdItemX 4 15" xfId="43333"/>
    <cellStyle name="SAPBEXstdItemX 4 16" xfId="43334"/>
    <cellStyle name="SAPBEXstdItemX 4 17" xfId="43335"/>
    <cellStyle name="SAPBEXstdItemX 4 18" xfId="43336"/>
    <cellStyle name="SAPBEXstdItemX 4 19" xfId="43337"/>
    <cellStyle name="SAPBEXstdItemX 4 2" xfId="43338"/>
    <cellStyle name="SAPBEXstdItemX 4 2 10" xfId="43339"/>
    <cellStyle name="SAPBEXstdItemX 4 2 11" xfId="43340"/>
    <cellStyle name="SAPBEXstdItemX 4 2 12" xfId="43341"/>
    <cellStyle name="SAPBEXstdItemX 4 2 13" xfId="43342"/>
    <cellStyle name="SAPBEXstdItemX 4 2 14" xfId="43343"/>
    <cellStyle name="SAPBEXstdItemX 4 2 15" xfId="43344"/>
    <cellStyle name="SAPBEXstdItemX 4 2 16" xfId="43345"/>
    <cellStyle name="SAPBEXstdItemX 4 2 17" xfId="43346"/>
    <cellStyle name="SAPBEXstdItemX 4 2 18" xfId="43347"/>
    <cellStyle name="SAPBEXstdItemX 4 2 2" xfId="43348"/>
    <cellStyle name="SAPBEXstdItemX 4 2 2 2" xfId="43349"/>
    <cellStyle name="SAPBEXstdItemX 4 2 2 2 2" xfId="43350"/>
    <cellStyle name="SAPBEXstdItemX 4 2 2 3" xfId="43351"/>
    <cellStyle name="SAPBEXstdItemX 4 2 2 4" xfId="43352"/>
    <cellStyle name="SAPBEXstdItemX 4 2 3" xfId="43353"/>
    <cellStyle name="SAPBEXstdItemX 4 2 3 2" xfId="43354"/>
    <cellStyle name="SAPBEXstdItemX 4 2 3 3" xfId="43355"/>
    <cellStyle name="SAPBEXstdItemX 4 2 4" xfId="43356"/>
    <cellStyle name="SAPBEXstdItemX 4 2 4 2" xfId="43357"/>
    <cellStyle name="SAPBEXstdItemX 4 2 5" xfId="43358"/>
    <cellStyle name="SAPBEXstdItemX 4 2 6" xfId="43359"/>
    <cellStyle name="SAPBEXstdItemX 4 2 7" xfId="43360"/>
    <cellStyle name="SAPBEXstdItemX 4 2 8" xfId="43361"/>
    <cellStyle name="SAPBEXstdItemX 4 2 9" xfId="43362"/>
    <cellStyle name="SAPBEXstdItemX 4 20" xfId="43363"/>
    <cellStyle name="SAPBEXstdItemX 4 21" xfId="43364"/>
    <cellStyle name="SAPBEXstdItemX 4 22" xfId="43365"/>
    <cellStyle name="SAPBEXstdItemX 4 3" xfId="43366"/>
    <cellStyle name="SAPBEXstdItemX 4 3 10" xfId="43367"/>
    <cellStyle name="SAPBEXstdItemX 4 3 11" xfId="43368"/>
    <cellStyle name="SAPBEXstdItemX 4 3 12" xfId="43369"/>
    <cellStyle name="SAPBEXstdItemX 4 3 13" xfId="43370"/>
    <cellStyle name="SAPBEXstdItemX 4 3 14" xfId="43371"/>
    <cellStyle name="SAPBEXstdItemX 4 3 15" xfId="43372"/>
    <cellStyle name="SAPBEXstdItemX 4 3 16" xfId="43373"/>
    <cellStyle name="SAPBEXstdItemX 4 3 17" xfId="43374"/>
    <cellStyle name="SAPBEXstdItemX 4 3 18" xfId="43375"/>
    <cellStyle name="SAPBEXstdItemX 4 3 2" xfId="43376"/>
    <cellStyle name="SAPBEXstdItemX 4 3 2 2" xfId="43377"/>
    <cellStyle name="SAPBEXstdItemX 4 3 2 2 2" xfId="43378"/>
    <cellStyle name="SAPBEXstdItemX 4 3 2 3" xfId="43379"/>
    <cellStyle name="SAPBEXstdItemX 4 3 2 4" xfId="43380"/>
    <cellStyle name="SAPBEXstdItemX 4 3 3" xfId="43381"/>
    <cellStyle name="SAPBEXstdItemX 4 3 3 2" xfId="43382"/>
    <cellStyle name="SAPBEXstdItemX 4 3 3 3" xfId="43383"/>
    <cellStyle name="SAPBEXstdItemX 4 3 4" xfId="43384"/>
    <cellStyle name="SAPBEXstdItemX 4 3 4 2" xfId="43385"/>
    <cellStyle name="SAPBEXstdItemX 4 3 5" xfId="43386"/>
    <cellStyle name="SAPBEXstdItemX 4 3 6" xfId="43387"/>
    <cellStyle name="SAPBEXstdItemX 4 3 7" xfId="43388"/>
    <cellStyle name="SAPBEXstdItemX 4 3 8" xfId="43389"/>
    <cellStyle name="SAPBEXstdItemX 4 3 9" xfId="43390"/>
    <cellStyle name="SAPBEXstdItemX 4 4" xfId="43391"/>
    <cellStyle name="SAPBEXstdItemX 4 4 2" xfId="43392"/>
    <cellStyle name="SAPBEXstdItemX 4 4 2 2" xfId="43393"/>
    <cellStyle name="SAPBEXstdItemX 4 4 2 3" xfId="43394"/>
    <cellStyle name="SAPBEXstdItemX 4 4 3" xfId="43395"/>
    <cellStyle name="SAPBEXstdItemX 4 4 3 2" xfId="43396"/>
    <cellStyle name="SAPBEXstdItemX 4 4 4" xfId="43397"/>
    <cellStyle name="SAPBEXstdItemX 4 4 5" xfId="43398"/>
    <cellStyle name="SAPBEXstdItemX 4 5" xfId="43399"/>
    <cellStyle name="SAPBEXstdItemX 4 5 2" xfId="43400"/>
    <cellStyle name="SAPBEXstdItemX 4 5 2 2" xfId="43401"/>
    <cellStyle name="SAPBEXstdItemX 4 5 3" xfId="43402"/>
    <cellStyle name="SAPBEXstdItemX 4 5 4" xfId="43403"/>
    <cellStyle name="SAPBEXstdItemX 4 6" xfId="43404"/>
    <cellStyle name="SAPBEXstdItemX 4 6 2" xfId="43405"/>
    <cellStyle name="SAPBEXstdItemX 4 6 3" xfId="43406"/>
    <cellStyle name="SAPBEXstdItemX 4 7" xfId="43407"/>
    <cellStyle name="SAPBEXstdItemX 4 7 2" xfId="43408"/>
    <cellStyle name="SAPBEXstdItemX 4 8" xfId="43409"/>
    <cellStyle name="SAPBEXstdItemX 4 9" xfId="43410"/>
    <cellStyle name="SAPBEXstdItemX 5" xfId="43411"/>
    <cellStyle name="SAPBEXstdItemX 5 10" xfId="43412"/>
    <cellStyle name="SAPBEXstdItemX 5 11" xfId="43413"/>
    <cellStyle name="SAPBEXstdItemX 5 12" xfId="43414"/>
    <cellStyle name="SAPBEXstdItemX 5 13" xfId="43415"/>
    <cellStyle name="SAPBEXstdItemX 5 14" xfId="43416"/>
    <cellStyle name="SAPBEXstdItemX 5 15" xfId="43417"/>
    <cellStyle name="SAPBEXstdItemX 5 16" xfId="43418"/>
    <cellStyle name="SAPBEXstdItemX 5 17" xfId="43419"/>
    <cellStyle name="SAPBEXstdItemX 5 18" xfId="43420"/>
    <cellStyle name="SAPBEXstdItemX 5 19" xfId="43421"/>
    <cellStyle name="SAPBEXstdItemX 5 2" xfId="43422"/>
    <cellStyle name="SAPBEXstdItemX 5 2 10" xfId="43423"/>
    <cellStyle name="SAPBEXstdItemX 5 2 11" xfId="43424"/>
    <cellStyle name="SAPBEXstdItemX 5 2 12" xfId="43425"/>
    <cellStyle name="SAPBEXstdItemX 5 2 13" xfId="43426"/>
    <cellStyle name="SAPBEXstdItemX 5 2 14" xfId="43427"/>
    <cellStyle name="SAPBEXstdItemX 5 2 15" xfId="43428"/>
    <cellStyle name="SAPBEXstdItemX 5 2 16" xfId="43429"/>
    <cellStyle name="SAPBEXstdItemX 5 2 17" xfId="43430"/>
    <cellStyle name="SAPBEXstdItemX 5 2 18" xfId="43431"/>
    <cellStyle name="SAPBEXstdItemX 5 2 2" xfId="43432"/>
    <cellStyle name="SAPBEXstdItemX 5 2 2 2" xfId="43433"/>
    <cellStyle name="SAPBEXstdItemX 5 2 2 2 2" xfId="43434"/>
    <cellStyle name="SAPBEXstdItemX 5 2 2 3" xfId="43435"/>
    <cellStyle name="SAPBEXstdItemX 5 2 2 4" xfId="43436"/>
    <cellStyle name="SAPBEXstdItemX 5 2 3" xfId="43437"/>
    <cellStyle name="SAPBEXstdItemX 5 2 3 2" xfId="43438"/>
    <cellStyle name="SAPBEXstdItemX 5 2 3 3" xfId="43439"/>
    <cellStyle name="SAPBEXstdItemX 5 2 4" xfId="43440"/>
    <cellStyle name="SAPBEXstdItemX 5 2 4 2" xfId="43441"/>
    <cellStyle name="SAPBEXstdItemX 5 2 5" xfId="43442"/>
    <cellStyle name="SAPBEXstdItemX 5 2 6" xfId="43443"/>
    <cellStyle name="SAPBEXstdItemX 5 2 7" xfId="43444"/>
    <cellStyle name="SAPBEXstdItemX 5 2 8" xfId="43445"/>
    <cellStyle name="SAPBEXstdItemX 5 2 9" xfId="43446"/>
    <cellStyle name="SAPBEXstdItemX 5 20" xfId="43447"/>
    <cellStyle name="SAPBEXstdItemX 5 21" xfId="43448"/>
    <cellStyle name="SAPBEXstdItemX 5 22" xfId="43449"/>
    <cellStyle name="SAPBEXstdItemX 5 3" xfId="43450"/>
    <cellStyle name="SAPBEXstdItemX 5 3 10" xfId="43451"/>
    <cellStyle name="SAPBEXstdItemX 5 3 11" xfId="43452"/>
    <cellStyle name="SAPBEXstdItemX 5 3 12" xfId="43453"/>
    <cellStyle name="SAPBEXstdItemX 5 3 13" xfId="43454"/>
    <cellStyle name="SAPBEXstdItemX 5 3 14" xfId="43455"/>
    <cellStyle name="SAPBEXstdItemX 5 3 15" xfId="43456"/>
    <cellStyle name="SAPBEXstdItemX 5 3 16" xfId="43457"/>
    <cellStyle name="SAPBEXstdItemX 5 3 17" xfId="43458"/>
    <cellStyle name="SAPBEXstdItemX 5 3 18" xfId="43459"/>
    <cellStyle name="SAPBEXstdItemX 5 3 2" xfId="43460"/>
    <cellStyle name="SAPBEXstdItemX 5 3 2 2" xfId="43461"/>
    <cellStyle name="SAPBEXstdItemX 5 3 2 2 2" xfId="43462"/>
    <cellStyle name="SAPBEXstdItemX 5 3 2 3" xfId="43463"/>
    <cellStyle name="SAPBEXstdItemX 5 3 2 4" xfId="43464"/>
    <cellStyle name="SAPBEXstdItemX 5 3 3" xfId="43465"/>
    <cellStyle name="SAPBEXstdItemX 5 3 3 2" xfId="43466"/>
    <cellStyle name="SAPBEXstdItemX 5 3 3 3" xfId="43467"/>
    <cellStyle name="SAPBEXstdItemX 5 3 4" xfId="43468"/>
    <cellStyle name="SAPBEXstdItemX 5 3 4 2" xfId="43469"/>
    <cellStyle name="SAPBEXstdItemX 5 3 5" xfId="43470"/>
    <cellStyle name="SAPBEXstdItemX 5 3 6" xfId="43471"/>
    <cellStyle name="SAPBEXstdItemX 5 3 7" xfId="43472"/>
    <cellStyle name="SAPBEXstdItemX 5 3 8" xfId="43473"/>
    <cellStyle name="SAPBEXstdItemX 5 3 9" xfId="43474"/>
    <cellStyle name="SAPBEXstdItemX 5 4" xfId="43475"/>
    <cellStyle name="SAPBEXstdItemX 5 4 2" xfId="43476"/>
    <cellStyle name="SAPBEXstdItemX 5 4 2 2" xfId="43477"/>
    <cellStyle name="SAPBEXstdItemX 5 4 2 3" xfId="43478"/>
    <cellStyle name="SAPBEXstdItemX 5 4 3" xfId="43479"/>
    <cellStyle name="SAPBEXstdItemX 5 4 3 2" xfId="43480"/>
    <cellStyle name="SAPBEXstdItemX 5 4 4" xfId="43481"/>
    <cellStyle name="SAPBEXstdItemX 5 4 5" xfId="43482"/>
    <cellStyle name="SAPBEXstdItemX 5 5" xfId="43483"/>
    <cellStyle name="SAPBEXstdItemX 5 5 2" xfId="43484"/>
    <cellStyle name="SAPBEXstdItemX 5 5 2 2" xfId="43485"/>
    <cellStyle name="SAPBEXstdItemX 5 5 3" xfId="43486"/>
    <cellStyle name="SAPBEXstdItemX 5 5 4" xfId="43487"/>
    <cellStyle name="SAPBEXstdItemX 5 6" xfId="43488"/>
    <cellStyle name="SAPBEXstdItemX 5 6 2" xfId="43489"/>
    <cellStyle name="SAPBEXstdItemX 5 6 3" xfId="43490"/>
    <cellStyle name="SAPBEXstdItemX 5 7" xfId="43491"/>
    <cellStyle name="SAPBEXstdItemX 5 7 2" xfId="43492"/>
    <cellStyle name="SAPBEXstdItemX 5 8" xfId="43493"/>
    <cellStyle name="SAPBEXstdItemX 5 9" xfId="43494"/>
    <cellStyle name="SAPBEXstdItemX 6" xfId="43495"/>
    <cellStyle name="SAPBEXstdItemX 6 10" xfId="43496"/>
    <cellStyle name="SAPBEXstdItemX 6 11" xfId="43497"/>
    <cellStyle name="SAPBEXstdItemX 6 12" xfId="43498"/>
    <cellStyle name="SAPBEXstdItemX 6 13" xfId="43499"/>
    <cellStyle name="SAPBEXstdItemX 6 14" xfId="43500"/>
    <cellStyle name="SAPBEXstdItemX 6 15" xfId="43501"/>
    <cellStyle name="SAPBEXstdItemX 6 2" xfId="43502"/>
    <cellStyle name="SAPBEXstdItemX 6 2 10" xfId="43503"/>
    <cellStyle name="SAPBEXstdItemX 6 2 11" xfId="43504"/>
    <cellStyle name="SAPBEXstdItemX 6 2 12" xfId="43505"/>
    <cellStyle name="SAPBEXstdItemX 6 2 13" xfId="43506"/>
    <cellStyle name="SAPBEXstdItemX 6 2 14" xfId="43507"/>
    <cellStyle name="SAPBEXstdItemX 6 2 15" xfId="43508"/>
    <cellStyle name="SAPBEXstdItemX 6 2 16" xfId="43509"/>
    <cellStyle name="SAPBEXstdItemX 6 2 17" xfId="43510"/>
    <cellStyle name="SAPBEXstdItemX 6 2 18" xfId="43511"/>
    <cellStyle name="SAPBEXstdItemX 6 2 2" xfId="43512"/>
    <cellStyle name="SAPBEXstdItemX 6 2 2 2" xfId="43513"/>
    <cellStyle name="SAPBEXstdItemX 6 2 2 2 2" xfId="43514"/>
    <cellStyle name="SAPBEXstdItemX 6 2 2 3" xfId="43515"/>
    <cellStyle name="SAPBEXstdItemX 6 2 2 4" xfId="43516"/>
    <cellStyle name="SAPBEXstdItemX 6 2 3" xfId="43517"/>
    <cellStyle name="SAPBEXstdItemX 6 2 3 2" xfId="43518"/>
    <cellStyle name="SAPBEXstdItemX 6 2 3 3" xfId="43519"/>
    <cellStyle name="SAPBEXstdItemX 6 2 4" xfId="43520"/>
    <cellStyle name="SAPBEXstdItemX 6 2 4 2" xfId="43521"/>
    <cellStyle name="SAPBEXstdItemX 6 2 5" xfId="43522"/>
    <cellStyle name="SAPBEXstdItemX 6 2 6" xfId="43523"/>
    <cellStyle name="SAPBEXstdItemX 6 2 7" xfId="43524"/>
    <cellStyle name="SAPBEXstdItemX 6 2 8" xfId="43525"/>
    <cellStyle name="SAPBEXstdItemX 6 2 9" xfId="43526"/>
    <cellStyle name="SAPBEXstdItemX 6 3" xfId="43527"/>
    <cellStyle name="SAPBEXstdItemX 6 3 10" xfId="43528"/>
    <cellStyle name="SAPBEXstdItemX 6 3 11" xfId="43529"/>
    <cellStyle name="SAPBEXstdItemX 6 3 12" xfId="43530"/>
    <cellStyle name="SAPBEXstdItemX 6 3 13" xfId="43531"/>
    <cellStyle name="SAPBEXstdItemX 6 3 14" xfId="43532"/>
    <cellStyle name="SAPBEXstdItemX 6 3 15" xfId="43533"/>
    <cellStyle name="SAPBEXstdItemX 6 3 16" xfId="43534"/>
    <cellStyle name="SAPBEXstdItemX 6 3 17" xfId="43535"/>
    <cellStyle name="SAPBEXstdItemX 6 3 18" xfId="43536"/>
    <cellStyle name="SAPBEXstdItemX 6 3 2" xfId="43537"/>
    <cellStyle name="SAPBEXstdItemX 6 3 2 2" xfId="43538"/>
    <cellStyle name="SAPBEXstdItemX 6 3 2 2 2" xfId="43539"/>
    <cellStyle name="SAPBEXstdItemX 6 3 2 3" xfId="43540"/>
    <cellStyle name="SAPBEXstdItemX 6 3 2 4" xfId="43541"/>
    <cellStyle name="SAPBEXstdItemX 6 3 3" xfId="43542"/>
    <cellStyle name="SAPBEXstdItemX 6 3 3 2" xfId="43543"/>
    <cellStyle name="SAPBEXstdItemX 6 3 3 3" xfId="43544"/>
    <cellStyle name="SAPBEXstdItemX 6 3 4" xfId="43545"/>
    <cellStyle name="SAPBEXstdItemX 6 3 4 2" xfId="43546"/>
    <cellStyle name="SAPBEXstdItemX 6 3 5" xfId="43547"/>
    <cellStyle name="SAPBEXstdItemX 6 3 6" xfId="43548"/>
    <cellStyle name="SAPBEXstdItemX 6 3 7" xfId="43549"/>
    <cellStyle name="SAPBEXstdItemX 6 3 8" xfId="43550"/>
    <cellStyle name="SAPBEXstdItemX 6 3 9" xfId="43551"/>
    <cellStyle name="SAPBEXstdItemX 6 4" xfId="43552"/>
    <cellStyle name="SAPBEXstdItemX 6 4 2" xfId="43553"/>
    <cellStyle name="SAPBEXstdItemX 6 4 2 2" xfId="43554"/>
    <cellStyle name="SAPBEXstdItemX 6 4 3" xfId="43555"/>
    <cellStyle name="SAPBEXstdItemX 6 4 4" xfId="43556"/>
    <cellStyle name="SAPBEXstdItemX 6 5" xfId="43557"/>
    <cellStyle name="SAPBEXstdItemX 6 5 2" xfId="43558"/>
    <cellStyle name="SAPBEXstdItemX 6 6" xfId="43559"/>
    <cellStyle name="SAPBEXstdItemX 6 7" xfId="43560"/>
    <cellStyle name="SAPBEXstdItemX 6 8" xfId="43561"/>
    <cellStyle name="SAPBEXstdItemX 6 9" xfId="43562"/>
    <cellStyle name="SAPBEXstdItemX 7" xfId="43563"/>
    <cellStyle name="SAPBEXstdItemX 7 10" xfId="43564"/>
    <cellStyle name="SAPBEXstdItemX 7 11" xfId="43565"/>
    <cellStyle name="SAPBEXstdItemX 7 12" xfId="43566"/>
    <cellStyle name="SAPBEXstdItemX 7 13" xfId="43567"/>
    <cellStyle name="SAPBEXstdItemX 7 14" xfId="43568"/>
    <cellStyle name="SAPBEXstdItemX 7 15" xfId="43569"/>
    <cellStyle name="SAPBEXstdItemX 7 16" xfId="43570"/>
    <cellStyle name="SAPBEXstdItemX 7 17" xfId="43571"/>
    <cellStyle name="SAPBEXstdItemX 7 18" xfId="43572"/>
    <cellStyle name="SAPBEXstdItemX 7 2" xfId="43573"/>
    <cellStyle name="SAPBEXstdItemX 7 3" xfId="43574"/>
    <cellStyle name="SAPBEXstdItemX 7 4" xfId="43575"/>
    <cellStyle name="SAPBEXstdItemX 7 5" xfId="43576"/>
    <cellStyle name="SAPBEXstdItemX 7 6" xfId="43577"/>
    <cellStyle name="SAPBEXstdItemX 7 7" xfId="43578"/>
    <cellStyle name="SAPBEXstdItemX 7 8" xfId="43579"/>
    <cellStyle name="SAPBEXstdItemX 7 9" xfId="43580"/>
    <cellStyle name="SAPBEXstdItemX 8" xfId="43581"/>
    <cellStyle name="SAPBEXstdItemX 9" xfId="43582"/>
    <cellStyle name="SAPBEXtitle" xfId="43583"/>
    <cellStyle name="SAPBEXtitle 2" xfId="43584"/>
    <cellStyle name="SAPBEXtitle 2 2" xfId="43585"/>
    <cellStyle name="SAPBEXtitle 3" xfId="43586"/>
    <cellStyle name="SAPBEXtitle 4" xfId="43587"/>
    <cellStyle name="SAPBEXtitle 5" xfId="43588"/>
    <cellStyle name="SAPBEXtitle 6" xfId="43589"/>
    <cellStyle name="SAPBEXunassignedItem" xfId="43590"/>
    <cellStyle name="SAPBEXunassignedItem 2" xfId="43591"/>
    <cellStyle name="SAPBEXundefined" xfId="43592"/>
    <cellStyle name="SAPBEXundefined 10" xfId="43593"/>
    <cellStyle name="SAPBEXundefined 11" xfId="43594"/>
    <cellStyle name="SAPBEXundefined 12" xfId="43595"/>
    <cellStyle name="SAPBEXundefined 13" xfId="43596"/>
    <cellStyle name="SAPBEXundefined 14" xfId="43597"/>
    <cellStyle name="SAPBEXundefined 15" xfId="43598"/>
    <cellStyle name="SAPBEXundefined 16" xfId="43599"/>
    <cellStyle name="SAPBEXundefined 17" xfId="43600"/>
    <cellStyle name="SAPBEXundefined 18" xfId="43601"/>
    <cellStyle name="SAPBEXundefined 19" xfId="43602"/>
    <cellStyle name="SAPBEXundefined 2" xfId="43603"/>
    <cellStyle name="SAPBEXundefined 2 10" xfId="43604"/>
    <cellStyle name="SAPBEXundefined 2 11" xfId="43605"/>
    <cellStyle name="SAPBEXundefined 2 12" xfId="43606"/>
    <cellStyle name="SAPBEXundefined 2 13" xfId="43607"/>
    <cellStyle name="SAPBEXundefined 2 14" xfId="43608"/>
    <cellStyle name="SAPBEXundefined 2 15" xfId="43609"/>
    <cellStyle name="SAPBEXundefined 2 16" xfId="43610"/>
    <cellStyle name="SAPBEXundefined 2 17" xfId="43611"/>
    <cellStyle name="SAPBEXundefined 2 18" xfId="43612"/>
    <cellStyle name="SAPBEXundefined 2 19" xfId="43613"/>
    <cellStyle name="SAPBEXundefined 2 2" xfId="43614"/>
    <cellStyle name="SAPBEXundefined 2 2 10" xfId="43615"/>
    <cellStyle name="SAPBEXundefined 2 2 11" xfId="43616"/>
    <cellStyle name="SAPBEXundefined 2 2 12" xfId="43617"/>
    <cellStyle name="SAPBEXundefined 2 2 13" xfId="43618"/>
    <cellStyle name="SAPBEXundefined 2 2 14" xfId="43619"/>
    <cellStyle name="SAPBEXundefined 2 2 15" xfId="43620"/>
    <cellStyle name="SAPBEXundefined 2 2 16" xfId="43621"/>
    <cellStyle name="SAPBEXundefined 2 2 17" xfId="43622"/>
    <cellStyle name="SAPBEXundefined 2 2 18" xfId="43623"/>
    <cellStyle name="SAPBEXundefined 2 2 2" xfId="43624"/>
    <cellStyle name="SAPBEXundefined 2 2 2 2" xfId="43625"/>
    <cellStyle name="SAPBEXundefined 2 2 2 2 2" xfId="43626"/>
    <cellStyle name="SAPBEXundefined 2 2 2 3" xfId="43627"/>
    <cellStyle name="SAPBEXundefined 2 2 2 4" xfId="43628"/>
    <cellStyle name="SAPBEXundefined 2 2 3" xfId="43629"/>
    <cellStyle name="SAPBEXundefined 2 2 3 2" xfId="43630"/>
    <cellStyle name="SAPBEXundefined 2 2 3 3" xfId="43631"/>
    <cellStyle name="SAPBEXundefined 2 2 4" xfId="43632"/>
    <cellStyle name="SAPBEXundefined 2 2 4 2" xfId="43633"/>
    <cellStyle name="SAPBEXundefined 2 2 5" xfId="43634"/>
    <cellStyle name="SAPBEXundefined 2 2 6" xfId="43635"/>
    <cellStyle name="SAPBEXundefined 2 2 7" xfId="43636"/>
    <cellStyle name="SAPBEXundefined 2 2 8" xfId="43637"/>
    <cellStyle name="SAPBEXundefined 2 2 9" xfId="43638"/>
    <cellStyle name="SAPBEXundefined 2 20" xfId="43639"/>
    <cellStyle name="SAPBEXundefined 2 21" xfId="43640"/>
    <cellStyle name="SAPBEXundefined 2 22" xfId="43641"/>
    <cellStyle name="SAPBEXundefined 2 23" xfId="43642"/>
    <cellStyle name="SAPBEXundefined 2 24" xfId="43643"/>
    <cellStyle name="SAPBEXundefined 2 3" xfId="43644"/>
    <cellStyle name="SAPBEXundefined 2 3 10" xfId="43645"/>
    <cellStyle name="SAPBEXundefined 2 3 11" xfId="43646"/>
    <cellStyle name="SAPBEXundefined 2 3 12" xfId="43647"/>
    <cellStyle name="SAPBEXundefined 2 3 13" xfId="43648"/>
    <cellStyle name="SAPBEXundefined 2 3 14" xfId="43649"/>
    <cellStyle name="SAPBEXundefined 2 3 15" xfId="43650"/>
    <cellStyle name="SAPBEXundefined 2 3 16" xfId="43651"/>
    <cellStyle name="SAPBEXundefined 2 3 17" xfId="43652"/>
    <cellStyle name="SAPBEXundefined 2 3 18" xfId="43653"/>
    <cellStyle name="SAPBEXundefined 2 3 2" xfId="43654"/>
    <cellStyle name="SAPBEXundefined 2 3 2 2" xfId="43655"/>
    <cellStyle name="SAPBEXundefined 2 3 2 2 2" xfId="43656"/>
    <cellStyle name="SAPBEXundefined 2 3 2 3" xfId="43657"/>
    <cellStyle name="SAPBEXundefined 2 3 2 4" xfId="43658"/>
    <cellStyle name="SAPBEXundefined 2 3 3" xfId="43659"/>
    <cellStyle name="SAPBEXundefined 2 3 3 2" xfId="43660"/>
    <cellStyle name="SAPBEXundefined 2 3 3 3" xfId="43661"/>
    <cellStyle name="SAPBEXundefined 2 3 4" xfId="43662"/>
    <cellStyle name="SAPBEXundefined 2 3 4 2" xfId="43663"/>
    <cellStyle name="SAPBEXundefined 2 3 5" xfId="43664"/>
    <cellStyle name="SAPBEXundefined 2 3 6" xfId="43665"/>
    <cellStyle name="SAPBEXundefined 2 3 7" xfId="43666"/>
    <cellStyle name="SAPBEXundefined 2 3 8" xfId="43667"/>
    <cellStyle name="SAPBEXundefined 2 3 9" xfId="43668"/>
    <cellStyle name="SAPBEXundefined 2 4" xfId="43669"/>
    <cellStyle name="SAPBEXundefined 2 4 2" xfId="43670"/>
    <cellStyle name="SAPBEXundefined 2 4 2 2" xfId="43671"/>
    <cellStyle name="SAPBEXundefined 2 4 2 3" xfId="43672"/>
    <cellStyle name="SAPBEXundefined 2 4 3" xfId="43673"/>
    <cellStyle name="SAPBEXundefined 2 4 3 2" xfId="43674"/>
    <cellStyle name="SAPBEXundefined 2 4 4" xfId="43675"/>
    <cellStyle name="SAPBEXundefined 2 4 5" xfId="43676"/>
    <cellStyle name="SAPBEXundefined 2 5" xfId="43677"/>
    <cellStyle name="SAPBEXundefined 2 5 2" xfId="43678"/>
    <cellStyle name="SAPBEXundefined 2 5 2 2" xfId="43679"/>
    <cellStyle name="SAPBEXundefined 2 5 3" xfId="43680"/>
    <cellStyle name="SAPBEXundefined 2 5 4" xfId="43681"/>
    <cellStyle name="SAPBEXundefined 2 6" xfId="43682"/>
    <cellStyle name="SAPBEXundefined 2 6 2" xfId="43683"/>
    <cellStyle name="SAPBEXundefined 2 6 3" xfId="43684"/>
    <cellStyle name="SAPBEXundefined 2 7" xfId="43685"/>
    <cellStyle name="SAPBEXundefined 2 7 2" xfId="43686"/>
    <cellStyle name="SAPBEXundefined 2 8" xfId="43687"/>
    <cellStyle name="SAPBEXundefined 2 9" xfId="43688"/>
    <cellStyle name="SAPBEXundefined 3" xfId="43689"/>
    <cellStyle name="SAPBEXundefined 3 10" xfId="43690"/>
    <cellStyle name="SAPBEXundefined 3 11" xfId="43691"/>
    <cellStyle name="SAPBEXundefined 3 12" xfId="43692"/>
    <cellStyle name="SAPBEXundefined 3 13" xfId="43693"/>
    <cellStyle name="SAPBEXundefined 3 14" xfId="43694"/>
    <cellStyle name="SAPBEXundefined 3 15" xfId="43695"/>
    <cellStyle name="SAPBEXundefined 3 16" xfId="43696"/>
    <cellStyle name="SAPBEXundefined 3 17" xfId="43697"/>
    <cellStyle name="SAPBEXundefined 3 18" xfId="43698"/>
    <cellStyle name="SAPBEXundefined 3 19" xfId="43699"/>
    <cellStyle name="SAPBEXundefined 3 2" xfId="43700"/>
    <cellStyle name="SAPBEXundefined 3 2 10" xfId="43701"/>
    <cellStyle name="SAPBEXundefined 3 2 11" xfId="43702"/>
    <cellStyle name="SAPBEXundefined 3 2 12" xfId="43703"/>
    <cellStyle name="SAPBEXundefined 3 2 13" xfId="43704"/>
    <cellStyle name="SAPBEXundefined 3 2 14" xfId="43705"/>
    <cellStyle name="SAPBEXundefined 3 2 15" xfId="43706"/>
    <cellStyle name="SAPBEXundefined 3 2 16" xfId="43707"/>
    <cellStyle name="SAPBEXundefined 3 2 17" xfId="43708"/>
    <cellStyle name="SAPBEXundefined 3 2 18" xfId="43709"/>
    <cellStyle name="SAPBEXundefined 3 2 2" xfId="43710"/>
    <cellStyle name="SAPBEXundefined 3 2 2 2" xfId="43711"/>
    <cellStyle name="SAPBEXundefined 3 2 2 2 2" xfId="43712"/>
    <cellStyle name="SAPBEXundefined 3 2 2 3" xfId="43713"/>
    <cellStyle name="SAPBEXundefined 3 2 2 4" xfId="43714"/>
    <cellStyle name="SAPBEXundefined 3 2 3" xfId="43715"/>
    <cellStyle name="SAPBEXundefined 3 2 3 2" xfId="43716"/>
    <cellStyle name="SAPBEXundefined 3 2 3 3" xfId="43717"/>
    <cellStyle name="SAPBEXundefined 3 2 4" xfId="43718"/>
    <cellStyle name="SAPBEXundefined 3 2 4 2" xfId="43719"/>
    <cellStyle name="SAPBEXundefined 3 2 5" xfId="43720"/>
    <cellStyle name="SAPBEXundefined 3 2 6" xfId="43721"/>
    <cellStyle name="SAPBEXundefined 3 2 7" xfId="43722"/>
    <cellStyle name="SAPBEXundefined 3 2 8" xfId="43723"/>
    <cellStyle name="SAPBEXundefined 3 2 9" xfId="43724"/>
    <cellStyle name="SAPBEXundefined 3 20" xfId="43725"/>
    <cellStyle name="SAPBEXundefined 3 3" xfId="43726"/>
    <cellStyle name="SAPBEXundefined 3 3 10" xfId="43727"/>
    <cellStyle name="SAPBEXundefined 3 3 11" xfId="43728"/>
    <cellStyle name="SAPBEXundefined 3 3 12" xfId="43729"/>
    <cellStyle name="SAPBEXundefined 3 3 13" xfId="43730"/>
    <cellStyle name="SAPBEXundefined 3 3 14" xfId="43731"/>
    <cellStyle name="SAPBEXundefined 3 3 15" xfId="43732"/>
    <cellStyle name="SAPBEXundefined 3 3 16" xfId="43733"/>
    <cellStyle name="SAPBEXundefined 3 3 17" xfId="43734"/>
    <cellStyle name="SAPBEXundefined 3 3 18" xfId="43735"/>
    <cellStyle name="SAPBEXundefined 3 3 2" xfId="43736"/>
    <cellStyle name="SAPBEXundefined 3 3 2 2" xfId="43737"/>
    <cellStyle name="SAPBEXundefined 3 3 2 2 2" xfId="43738"/>
    <cellStyle name="SAPBEXundefined 3 3 2 3" xfId="43739"/>
    <cellStyle name="SAPBEXundefined 3 3 2 4" xfId="43740"/>
    <cellStyle name="SAPBEXundefined 3 3 3" xfId="43741"/>
    <cellStyle name="SAPBEXundefined 3 3 3 2" xfId="43742"/>
    <cellStyle name="SAPBEXundefined 3 3 3 3" xfId="43743"/>
    <cellStyle name="SAPBEXundefined 3 3 4" xfId="43744"/>
    <cellStyle name="SAPBEXundefined 3 3 4 2" xfId="43745"/>
    <cellStyle name="SAPBEXundefined 3 3 5" xfId="43746"/>
    <cellStyle name="SAPBEXundefined 3 3 6" xfId="43747"/>
    <cellStyle name="SAPBEXundefined 3 3 7" xfId="43748"/>
    <cellStyle name="SAPBEXundefined 3 3 8" xfId="43749"/>
    <cellStyle name="SAPBEXundefined 3 3 9" xfId="43750"/>
    <cellStyle name="SAPBEXundefined 3 4" xfId="43751"/>
    <cellStyle name="SAPBEXundefined 3 4 2" xfId="43752"/>
    <cellStyle name="SAPBEXundefined 3 4 2 2" xfId="43753"/>
    <cellStyle name="SAPBEXundefined 3 4 2 3" xfId="43754"/>
    <cellStyle name="SAPBEXundefined 3 4 3" xfId="43755"/>
    <cellStyle name="SAPBEXundefined 3 4 3 2" xfId="43756"/>
    <cellStyle name="SAPBEXundefined 3 4 4" xfId="43757"/>
    <cellStyle name="SAPBEXundefined 3 4 5" xfId="43758"/>
    <cellStyle name="SAPBEXundefined 3 5" xfId="43759"/>
    <cellStyle name="SAPBEXundefined 3 5 2" xfId="43760"/>
    <cellStyle name="SAPBEXundefined 3 5 2 2" xfId="43761"/>
    <cellStyle name="SAPBEXundefined 3 5 3" xfId="43762"/>
    <cellStyle name="SAPBEXundefined 3 5 4" xfId="43763"/>
    <cellStyle name="SAPBEXundefined 3 6" xfId="43764"/>
    <cellStyle name="SAPBEXundefined 3 6 2" xfId="43765"/>
    <cellStyle name="SAPBEXundefined 3 6 3" xfId="43766"/>
    <cellStyle name="SAPBEXundefined 3 7" xfId="43767"/>
    <cellStyle name="SAPBEXundefined 3 7 2" xfId="43768"/>
    <cellStyle name="SAPBEXundefined 3 8" xfId="43769"/>
    <cellStyle name="SAPBEXundefined 3 9" xfId="43770"/>
    <cellStyle name="SAPBEXundefined 4" xfId="43771"/>
    <cellStyle name="SAPBEXundefined 4 10" xfId="43772"/>
    <cellStyle name="SAPBEXundefined 4 11" xfId="43773"/>
    <cellStyle name="SAPBEXundefined 4 12" xfId="43774"/>
    <cellStyle name="SAPBEXundefined 4 13" xfId="43775"/>
    <cellStyle name="SAPBEXundefined 4 14" xfId="43776"/>
    <cellStyle name="SAPBEXundefined 4 15" xfId="43777"/>
    <cellStyle name="SAPBEXundefined 4 16" xfId="43778"/>
    <cellStyle name="SAPBEXundefined 4 17" xfId="43779"/>
    <cellStyle name="SAPBEXundefined 4 18" xfId="43780"/>
    <cellStyle name="SAPBEXundefined 4 19" xfId="43781"/>
    <cellStyle name="SAPBEXundefined 4 2" xfId="43782"/>
    <cellStyle name="SAPBEXundefined 4 2 10" xfId="43783"/>
    <cellStyle name="SAPBEXundefined 4 2 11" xfId="43784"/>
    <cellStyle name="SAPBEXundefined 4 2 12" xfId="43785"/>
    <cellStyle name="SAPBEXundefined 4 2 13" xfId="43786"/>
    <cellStyle name="SAPBEXundefined 4 2 14" xfId="43787"/>
    <cellStyle name="SAPBEXundefined 4 2 15" xfId="43788"/>
    <cellStyle name="SAPBEXundefined 4 2 16" xfId="43789"/>
    <cellStyle name="SAPBEXundefined 4 2 17" xfId="43790"/>
    <cellStyle name="SAPBEXundefined 4 2 18" xfId="43791"/>
    <cellStyle name="SAPBEXundefined 4 2 2" xfId="43792"/>
    <cellStyle name="SAPBEXundefined 4 2 2 2" xfId="43793"/>
    <cellStyle name="SAPBEXundefined 4 2 2 2 2" xfId="43794"/>
    <cellStyle name="SAPBEXundefined 4 2 2 3" xfId="43795"/>
    <cellStyle name="SAPBEXundefined 4 2 2 4" xfId="43796"/>
    <cellStyle name="SAPBEXundefined 4 2 3" xfId="43797"/>
    <cellStyle name="SAPBEXundefined 4 2 3 2" xfId="43798"/>
    <cellStyle name="SAPBEXundefined 4 2 3 3" xfId="43799"/>
    <cellStyle name="SAPBEXundefined 4 2 4" xfId="43800"/>
    <cellStyle name="SAPBEXundefined 4 2 4 2" xfId="43801"/>
    <cellStyle name="SAPBEXundefined 4 2 5" xfId="43802"/>
    <cellStyle name="SAPBEXundefined 4 2 6" xfId="43803"/>
    <cellStyle name="SAPBEXundefined 4 2 7" xfId="43804"/>
    <cellStyle name="SAPBEXundefined 4 2 8" xfId="43805"/>
    <cellStyle name="SAPBEXundefined 4 2 9" xfId="43806"/>
    <cellStyle name="SAPBEXundefined 4 20" xfId="43807"/>
    <cellStyle name="SAPBEXundefined 4 21" xfId="43808"/>
    <cellStyle name="SAPBEXundefined 4 22" xfId="43809"/>
    <cellStyle name="SAPBEXundefined 4 3" xfId="43810"/>
    <cellStyle name="SAPBEXundefined 4 3 10" xfId="43811"/>
    <cellStyle name="SAPBEXundefined 4 3 11" xfId="43812"/>
    <cellStyle name="SAPBEXundefined 4 3 12" xfId="43813"/>
    <cellStyle name="SAPBEXundefined 4 3 13" xfId="43814"/>
    <cellStyle name="SAPBEXundefined 4 3 14" xfId="43815"/>
    <cellStyle name="SAPBEXundefined 4 3 15" xfId="43816"/>
    <cellStyle name="SAPBEXundefined 4 3 16" xfId="43817"/>
    <cellStyle name="SAPBEXundefined 4 3 17" xfId="43818"/>
    <cellStyle name="SAPBEXundefined 4 3 18" xfId="43819"/>
    <cellStyle name="SAPBEXundefined 4 3 2" xfId="43820"/>
    <cellStyle name="SAPBEXundefined 4 3 2 2" xfId="43821"/>
    <cellStyle name="SAPBEXundefined 4 3 2 2 2" xfId="43822"/>
    <cellStyle name="SAPBEXundefined 4 3 2 3" xfId="43823"/>
    <cellStyle name="SAPBEXundefined 4 3 2 4" xfId="43824"/>
    <cellStyle name="SAPBEXundefined 4 3 3" xfId="43825"/>
    <cellStyle name="SAPBEXundefined 4 3 3 2" xfId="43826"/>
    <cellStyle name="SAPBEXundefined 4 3 3 3" xfId="43827"/>
    <cellStyle name="SAPBEXundefined 4 3 4" xfId="43828"/>
    <cellStyle name="SAPBEXundefined 4 3 4 2" xfId="43829"/>
    <cellStyle name="SAPBEXundefined 4 3 5" xfId="43830"/>
    <cellStyle name="SAPBEXundefined 4 3 6" xfId="43831"/>
    <cellStyle name="SAPBEXundefined 4 3 7" xfId="43832"/>
    <cellStyle name="SAPBEXundefined 4 3 8" xfId="43833"/>
    <cellStyle name="SAPBEXundefined 4 3 9" xfId="43834"/>
    <cellStyle name="SAPBEXundefined 4 4" xfId="43835"/>
    <cellStyle name="SAPBEXundefined 4 4 2" xfId="43836"/>
    <cellStyle name="SAPBEXundefined 4 4 2 2" xfId="43837"/>
    <cellStyle name="SAPBEXundefined 4 4 2 3" xfId="43838"/>
    <cellStyle name="SAPBEXundefined 4 4 3" xfId="43839"/>
    <cellStyle name="SAPBEXundefined 4 4 3 2" xfId="43840"/>
    <cellStyle name="SAPBEXundefined 4 4 4" xfId="43841"/>
    <cellStyle name="SAPBEXundefined 4 4 5" xfId="43842"/>
    <cellStyle name="SAPBEXundefined 4 5" xfId="43843"/>
    <cellStyle name="SAPBEXundefined 4 5 2" xfId="43844"/>
    <cellStyle name="SAPBEXundefined 4 5 2 2" xfId="43845"/>
    <cellStyle name="SAPBEXundefined 4 5 3" xfId="43846"/>
    <cellStyle name="SAPBEXundefined 4 5 4" xfId="43847"/>
    <cellStyle name="SAPBEXundefined 4 6" xfId="43848"/>
    <cellStyle name="SAPBEXundefined 4 6 2" xfId="43849"/>
    <cellStyle name="SAPBEXundefined 4 6 3" xfId="43850"/>
    <cellStyle name="SAPBEXundefined 4 7" xfId="43851"/>
    <cellStyle name="SAPBEXundefined 4 7 2" xfId="43852"/>
    <cellStyle name="SAPBEXundefined 4 8" xfId="43853"/>
    <cellStyle name="SAPBEXundefined 4 9" xfId="43854"/>
    <cellStyle name="SAPBEXundefined 5" xfId="43855"/>
    <cellStyle name="SAPBEXundefined 5 10" xfId="43856"/>
    <cellStyle name="SAPBEXundefined 5 11" xfId="43857"/>
    <cellStyle name="SAPBEXundefined 5 12" xfId="43858"/>
    <cellStyle name="SAPBEXundefined 5 13" xfId="43859"/>
    <cellStyle name="SAPBEXundefined 5 14" xfId="43860"/>
    <cellStyle name="SAPBEXundefined 5 15" xfId="43861"/>
    <cellStyle name="SAPBEXundefined 5 16" xfId="43862"/>
    <cellStyle name="SAPBEXundefined 5 17" xfId="43863"/>
    <cellStyle name="SAPBEXundefined 5 18" xfId="43864"/>
    <cellStyle name="SAPBEXundefined 5 19" xfId="43865"/>
    <cellStyle name="SAPBEXundefined 5 2" xfId="43866"/>
    <cellStyle name="SAPBEXundefined 5 2 10" xfId="43867"/>
    <cellStyle name="SAPBEXundefined 5 2 11" xfId="43868"/>
    <cellStyle name="SAPBEXundefined 5 2 12" xfId="43869"/>
    <cellStyle name="SAPBEXundefined 5 2 13" xfId="43870"/>
    <cellStyle name="SAPBEXundefined 5 2 14" xfId="43871"/>
    <cellStyle name="SAPBEXundefined 5 2 15" xfId="43872"/>
    <cellStyle name="SAPBEXundefined 5 2 16" xfId="43873"/>
    <cellStyle name="SAPBEXundefined 5 2 17" xfId="43874"/>
    <cellStyle name="SAPBEXundefined 5 2 18" xfId="43875"/>
    <cellStyle name="SAPBEXundefined 5 2 2" xfId="43876"/>
    <cellStyle name="SAPBEXundefined 5 2 2 2" xfId="43877"/>
    <cellStyle name="SAPBEXundefined 5 2 2 2 2" xfId="43878"/>
    <cellStyle name="SAPBEXundefined 5 2 2 3" xfId="43879"/>
    <cellStyle name="SAPBEXundefined 5 2 2 4" xfId="43880"/>
    <cellStyle name="SAPBEXundefined 5 2 3" xfId="43881"/>
    <cellStyle name="SAPBEXundefined 5 2 3 2" xfId="43882"/>
    <cellStyle name="SAPBEXundefined 5 2 3 3" xfId="43883"/>
    <cellStyle name="SAPBEXundefined 5 2 4" xfId="43884"/>
    <cellStyle name="SAPBEXundefined 5 2 4 2" xfId="43885"/>
    <cellStyle name="SAPBEXundefined 5 2 5" xfId="43886"/>
    <cellStyle name="SAPBEXundefined 5 2 6" xfId="43887"/>
    <cellStyle name="SAPBEXundefined 5 2 7" xfId="43888"/>
    <cellStyle name="SAPBEXundefined 5 2 8" xfId="43889"/>
    <cellStyle name="SAPBEXundefined 5 2 9" xfId="43890"/>
    <cellStyle name="SAPBEXundefined 5 20" xfId="43891"/>
    <cellStyle name="SAPBEXundefined 5 21" xfId="43892"/>
    <cellStyle name="SAPBEXundefined 5 22" xfId="43893"/>
    <cellStyle name="SAPBEXundefined 5 3" xfId="43894"/>
    <cellStyle name="SAPBEXundefined 5 3 10" xfId="43895"/>
    <cellStyle name="SAPBEXundefined 5 3 11" xfId="43896"/>
    <cellStyle name="SAPBEXundefined 5 3 12" xfId="43897"/>
    <cellStyle name="SAPBEXundefined 5 3 13" xfId="43898"/>
    <cellStyle name="SAPBEXundefined 5 3 14" xfId="43899"/>
    <cellStyle name="SAPBEXundefined 5 3 15" xfId="43900"/>
    <cellStyle name="SAPBEXundefined 5 3 16" xfId="43901"/>
    <cellStyle name="SAPBEXundefined 5 3 17" xfId="43902"/>
    <cellStyle name="SAPBEXundefined 5 3 18" xfId="43903"/>
    <cellStyle name="SAPBEXundefined 5 3 2" xfId="43904"/>
    <cellStyle name="SAPBEXundefined 5 3 2 2" xfId="43905"/>
    <cellStyle name="SAPBEXundefined 5 3 2 2 2" xfId="43906"/>
    <cellStyle name="SAPBEXundefined 5 3 2 3" xfId="43907"/>
    <cellStyle name="SAPBEXundefined 5 3 2 4" xfId="43908"/>
    <cellStyle name="SAPBEXundefined 5 3 3" xfId="43909"/>
    <cellStyle name="SAPBEXundefined 5 3 3 2" xfId="43910"/>
    <cellStyle name="SAPBEXundefined 5 3 3 3" xfId="43911"/>
    <cellStyle name="SAPBEXundefined 5 3 4" xfId="43912"/>
    <cellStyle name="SAPBEXundefined 5 3 4 2" xfId="43913"/>
    <cellStyle name="SAPBEXundefined 5 3 5" xfId="43914"/>
    <cellStyle name="SAPBEXundefined 5 3 6" xfId="43915"/>
    <cellStyle name="SAPBEXundefined 5 3 7" xfId="43916"/>
    <cellStyle name="SAPBEXundefined 5 3 8" xfId="43917"/>
    <cellStyle name="SAPBEXundefined 5 3 9" xfId="43918"/>
    <cellStyle name="SAPBEXundefined 5 4" xfId="43919"/>
    <cellStyle name="SAPBEXundefined 5 4 2" xfId="43920"/>
    <cellStyle name="SAPBEXundefined 5 4 2 2" xfId="43921"/>
    <cellStyle name="SAPBEXundefined 5 4 2 3" xfId="43922"/>
    <cellStyle name="SAPBEXundefined 5 4 3" xfId="43923"/>
    <cellStyle name="SAPBEXundefined 5 4 3 2" xfId="43924"/>
    <cellStyle name="SAPBEXundefined 5 4 4" xfId="43925"/>
    <cellStyle name="SAPBEXundefined 5 4 5" xfId="43926"/>
    <cellStyle name="SAPBEXundefined 5 5" xfId="43927"/>
    <cellStyle name="SAPBEXundefined 5 5 2" xfId="43928"/>
    <cellStyle name="SAPBEXundefined 5 5 2 2" xfId="43929"/>
    <cellStyle name="SAPBEXundefined 5 5 3" xfId="43930"/>
    <cellStyle name="SAPBEXundefined 5 5 4" xfId="43931"/>
    <cellStyle name="SAPBEXundefined 5 6" xfId="43932"/>
    <cellStyle name="SAPBEXundefined 5 6 2" xfId="43933"/>
    <cellStyle name="SAPBEXundefined 5 6 3" xfId="43934"/>
    <cellStyle name="SAPBEXundefined 5 7" xfId="43935"/>
    <cellStyle name="SAPBEXundefined 5 7 2" xfId="43936"/>
    <cellStyle name="SAPBEXundefined 5 8" xfId="43937"/>
    <cellStyle name="SAPBEXundefined 5 9" xfId="43938"/>
    <cellStyle name="SAPBEXundefined 6" xfId="43939"/>
    <cellStyle name="SAPBEXundefined 6 10" xfId="43940"/>
    <cellStyle name="SAPBEXundefined 6 11" xfId="43941"/>
    <cellStyle name="SAPBEXundefined 6 12" xfId="43942"/>
    <cellStyle name="SAPBEXundefined 6 13" xfId="43943"/>
    <cellStyle name="SAPBEXundefined 6 14" xfId="43944"/>
    <cellStyle name="SAPBEXundefined 6 15" xfId="43945"/>
    <cellStyle name="SAPBEXundefined 6 2" xfId="43946"/>
    <cellStyle name="SAPBEXundefined 6 2 10" xfId="43947"/>
    <cellStyle name="SAPBEXundefined 6 2 11" xfId="43948"/>
    <cellStyle name="SAPBEXundefined 6 2 12" xfId="43949"/>
    <cellStyle name="SAPBEXundefined 6 2 13" xfId="43950"/>
    <cellStyle name="SAPBEXundefined 6 2 14" xfId="43951"/>
    <cellStyle name="SAPBEXundefined 6 2 15" xfId="43952"/>
    <cellStyle name="SAPBEXundefined 6 2 16" xfId="43953"/>
    <cellStyle name="SAPBEXundefined 6 2 17" xfId="43954"/>
    <cellStyle name="SAPBEXundefined 6 2 18" xfId="43955"/>
    <cellStyle name="SAPBEXundefined 6 2 2" xfId="43956"/>
    <cellStyle name="SAPBEXundefined 6 2 2 2" xfId="43957"/>
    <cellStyle name="SAPBEXundefined 6 2 2 2 2" xfId="43958"/>
    <cellStyle name="SAPBEXundefined 6 2 2 3" xfId="43959"/>
    <cellStyle name="SAPBEXundefined 6 2 2 4" xfId="43960"/>
    <cellStyle name="SAPBEXundefined 6 2 3" xfId="43961"/>
    <cellStyle name="SAPBEXundefined 6 2 3 2" xfId="43962"/>
    <cellStyle name="SAPBEXundefined 6 2 3 3" xfId="43963"/>
    <cellStyle name="SAPBEXundefined 6 2 4" xfId="43964"/>
    <cellStyle name="SAPBEXundefined 6 2 4 2" xfId="43965"/>
    <cellStyle name="SAPBEXundefined 6 2 5" xfId="43966"/>
    <cellStyle name="SAPBEXundefined 6 2 6" xfId="43967"/>
    <cellStyle name="SAPBEXundefined 6 2 7" xfId="43968"/>
    <cellStyle name="SAPBEXundefined 6 2 8" xfId="43969"/>
    <cellStyle name="SAPBEXundefined 6 2 9" xfId="43970"/>
    <cellStyle name="SAPBEXundefined 6 3" xfId="43971"/>
    <cellStyle name="SAPBEXundefined 6 3 10" xfId="43972"/>
    <cellStyle name="SAPBEXundefined 6 3 11" xfId="43973"/>
    <cellStyle name="SAPBEXundefined 6 3 12" xfId="43974"/>
    <cellStyle name="SAPBEXundefined 6 3 13" xfId="43975"/>
    <cellStyle name="SAPBEXundefined 6 3 14" xfId="43976"/>
    <cellStyle name="SAPBEXundefined 6 3 15" xfId="43977"/>
    <cellStyle name="SAPBEXundefined 6 3 16" xfId="43978"/>
    <cellStyle name="SAPBEXundefined 6 3 17" xfId="43979"/>
    <cellStyle name="SAPBEXundefined 6 3 18" xfId="43980"/>
    <cellStyle name="SAPBEXundefined 6 3 2" xfId="43981"/>
    <cellStyle name="SAPBEXundefined 6 3 2 2" xfId="43982"/>
    <cellStyle name="SAPBEXundefined 6 3 2 2 2" xfId="43983"/>
    <cellStyle name="SAPBEXundefined 6 3 2 3" xfId="43984"/>
    <cellStyle name="SAPBEXundefined 6 3 2 4" xfId="43985"/>
    <cellStyle name="SAPBEXundefined 6 3 3" xfId="43986"/>
    <cellStyle name="SAPBEXundefined 6 3 3 2" xfId="43987"/>
    <cellStyle name="SAPBEXundefined 6 3 3 3" xfId="43988"/>
    <cellStyle name="SAPBEXundefined 6 3 4" xfId="43989"/>
    <cellStyle name="SAPBEXundefined 6 3 4 2" xfId="43990"/>
    <cellStyle name="SAPBEXundefined 6 3 5" xfId="43991"/>
    <cellStyle name="SAPBEXundefined 6 3 6" xfId="43992"/>
    <cellStyle name="SAPBEXundefined 6 3 7" xfId="43993"/>
    <cellStyle name="SAPBEXundefined 6 3 8" xfId="43994"/>
    <cellStyle name="SAPBEXundefined 6 3 9" xfId="43995"/>
    <cellStyle name="SAPBEXundefined 6 4" xfId="43996"/>
    <cellStyle name="SAPBEXundefined 6 4 2" xfId="43997"/>
    <cellStyle name="SAPBEXundefined 6 4 2 2" xfId="43998"/>
    <cellStyle name="SAPBEXundefined 6 4 3" xfId="43999"/>
    <cellStyle name="SAPBEXundefined 6 4 4" xfId="44000"/>
    <cellStyle name="SAPBEXundefined 6 5" xfId="44001"/>
    <cellStyle name="SAPBEXundefined 6 5 2" xfId="44002"/>
    <cellStyle name="SAPBEXundefined 6 6" xfId="44003"/>
    <cellStyle name="SAPBEXundefined 6 7" xfId="44004"/>
    <cellStyle name="SAPBEXundefined 6 8" xfId="44005"/>
    <cellStyle name="SAPBEXundefined 6 9" xfId="44006"/>
    <cellStyle name="SAPBEXundefined 7" xfId="44007"/>
    <cellStyle name="SAPBEXundefined 7 10" xfId="44008"/>
    <cellStyle name="SAPBEXundefined 7 11" xfId="44009"/>
    <cellStyle name="SAPBEXundefined 7 12" xfId="44010"/>
    <cellStyle name="SAPBEXundefined 7 13" xfId="44011"/>
    <cellStyle name="SAPBEXundefined 7 14" xfId="44012"/>
    <cellStyle name="SAPBEXundefined 7 15" xfId="44013"/>
    <cellStyle name="SAPBEXundefined 7 16" xfId="44014"/>
    <cellStyle name="SAPBEXundefined 7 17" xfId="44015"/>
    <cellStyle name="SAPBEXundefined 7 18" xfId="44016"/>
    <cellStyle name="SAPBEXundefined 7 2" xfId="44017"/>
    <cellStyle name="SAPBEXundefined 7 3" xfId="44018"/>
    <cellStyle name="SAPBEXundefined 7 4" xfId="44019"/>
    <cellStyle name="SAPBEXundefined 7 5" xfId="44020"/>
    <cellStyle name="SAPBEXundefined 7 6" xfId="44021"/>
    <cellStyle name="SAPBEXundefined 7 7" xfId="44022"/>
    <cellStyle name="SAPBEXundefined 7 8" xfId="44023"/>
    <cellStyle name="SAPBEXundefined 7 9" xfId="44024"/>
    <cellStyle name="SAPBEXundefined 8" xfId="44025"/>
    <cellStyle name="SAPBEXundefined 9" xfId="44026"/>
    <cellStyle name="SAPOutput" xfId="44027"/>
    <cellStyle name="SAPOutput 2" xfId="44028"/>
    <cellStyle name="ScripFactor" xfId="44029"/>
    <cellStyle name="Section" xfId="44030"/>
    <cellStyle name="SectionHeading" xfId="44031"/>
    <cellStyle name="SectionHeading 10" xfId="44032"/>
    <cellStyle name="SectionHeading 11" xfId="44033"/>
    <cellStyle name="SectionHeading 12" xfId="44034"/>
    <cellStyle name="SectionHeading 13" xfId="44035"/>
    <cellStyle name="SectionHeading 14" xfId="44036"/>
    <cellStyle name="SectionHeading 15" xfId="44037"/>
    <cellStyle name="SectionHeading 16" xfId="44038"/>
    <cellStyle name="SectionHeading 17" xfId="44039"/>
    <cellStyle name="SectionHeading 18" xfId="44040"/>
    <cellStyle name="SectionHeading 19" xfId="44041"/>
    <cellStyle name="SectionHeading 2" xfId="44042"/>
    <cellStyle name="SectionHeading 2 10" xfId="44043"/>
    <cellStyle name="SectionHeading 2 11" xfId="44044"/>
    <cellStyle name="SectionHeading 2 12" xfId="44045"/>
    <cellStyle name="SectionHeading 2 13" xfId="44046"/>
    <cellStyle name="SectionHeading 2 14" xfId="44047"/>
    <cellStyle name="SectionHeading 2 15" xfId="44048"/>
    <cellStyle name="SectionHeading 2 16" xfId="44049"/>
    <cellStyle name="SectionHeading 2 17" xfId="44050"/>
    <cellStyle name="SectionHeading 2 18" xfId="44051"/>
    <cellStyle name="SectionHeading 2 19" xfId="44052"/>
    <cellStyle name="SectionHeading 2 2" xfId="44053"/>
    <cellStyle name="SectionHeading 2 2 10" xfId="44054"/>
    <cellStyle name="SectionHeading 2 2 11" xfId="44055"/>
    <cellStyle name="SectionHeading 2 2 12" xfId="44056"/>
    <cellStyle name="SectionHeading 2 2 13" xfId="44057"/>
    <cellStyle name="SectionHeading 2 2 14" xfId="44058"/>
    <cellStyle name="SectionHeading 2 2 15" xfId="44059"/>
    <cellStyle name="SectionHeading 2 2 16" xfId="44060"/>
    <cellStyle name="SectionHeading 2 2 17" xfId="44061"/>
    <cellStyle name="SectionHeading 2 2 18" xfId="44062"/>
    <cellStyle name="SectionHeading 2 2 2" xfId="44063"/>
    <cellStyle name="SectionHeading 2 2 2 2" xfId="44064"/>
    <cellStyle name="SectionHeading 2 2 2 2 2" xfId="44065"/>
    <cellStyle name="SectionHeading 2 2 2 3" xfId="44066"/>
    <cellStyle name="SectionHeading 2 2 2 4" xfId="44067"/>
    <cellStyle name="SectionHeading 2 2 3" xfId="44068"/>
    <cellStyle name="SectionHeading 2 2 3 2" xfId="44069"/>
    <cellStyle name="SectionHeading 2 2 3 3" xfId="44070"/>
    <cellStyle name="SectionHeading 2 2 4" xfId="44071"/>
    <cellStyle name="SectionHeading 2 2 4 2" xfId="44072"/>
    <cellStyle name="SectionHeading 2 2 5" xfId="44073"/>
    <cellStyle name="SectionHeading 2 2 6" xfId="44074"/>
    <cellStyle name="SectionHeading 2 2 7" xfId="44075"/>
    <cellStyle name="SectionHeading 2 2 8" xfId="44076"/>
    <cellStyle name="SectionHeading 2 2 9" xfId="44077"/>
    <cellStyle name="SectionHeading 2 3" xfId="44078"/>
    <cellStyle name="SectionHeading 2 3 10" xfId="44079"/>
    <cellStyle name="SectionHeading 2 3 11" xfId="44080"/>
    <cellStyle name="SectionHeading 2 3 12" xfId="44081"/>
    <cellStyle name="SectionHeading 2 3 13" xfId="44082"/>
    <cellStyle name="SectionHeading 2 3 14" xfId="44083"/>
    <cellStyle name="SectionHeading 2 3 15" xfId="44084"/>
    <cellStyle name="SectionHeading 2 3 16" xfId="44085"/>
    <cellStyle name="SectionHeading 2 3 17" xfId="44086"/>
    <cellStyle name="SectionHeading 2 3 18" xfId="44087"/>
    <cellStyle name="SectionHeading 2 3 2" xfId="44088"/>
    <cellStyle name="SectionHeading 2 3 2 2" xfId="44089"/>
    <cellStyle name="SectionHeading 2 3 2 2 2" xfId="44090"/>
    <cellStyle name="SectionHeading 2 3 2 3" xfId="44091"/>
    <cellStyle name="SectionHeading 2 3 2 4" xfId="44092"/>
    <cellStyle name="SectionHeading 2 3 3" xfId="44093"/>
    <cellStyle name="SectionHeading 2 3 3 2" xfId="44094"/>
    <cellStyle name="SectionHeading 2 3 3 3" xfId="44095"/>
    <cellStyle name="SectionHeading 2 3 4" xfId="44096"/>
    <cellStyle name="SectionHeading 2 3 4 2" xfId="44097"/>
    <cellStyle name="SectionHeading 2 3 5" xfId="44098"/>
    <cellStyle name="SectionHeading 2 3 6" xfId="44099"/>
    <cellStyle name="SectionHeading 2 3 7" xfId="44100"/>
    <cellStyle name="SectionHeading 2 3 8" xfId="44101"/>
    <cellStyle name="SectionHeading 2 3 9" xfId="44102"/>
    <cellStyle name="SectionHeading 2 4" xfId="44103"/>
    <cellStyle name="SectionHeading 2 4 2" xfId="44104"/>
    <cellStyle name="SectionHeading 2 4 2 2" xfId="44105"/>
    <cellStyle name="SectionHeading 2 4 2 3" xfId="44106"/>
    <cellStyle name="SectionHeading 2 4 3" xfId="44107"/>
    <cellStyle name="SectionHeading 2 4 3 2" xfId="44108"/>
    <cellStyle name="SectionHeading 2 4 4" xfId="44109"/>
    <cellStyle name="SectionHeading 2 4 5" xfId="44110"/>
    <cellStyle name="SectionHeading 2 5" xfId="44111"/>
    <cellStyle name="SectionHeading 2 5 2" xfId="44112"/>
    <cellStyle name="SectionHeading 2 5 2 2" xfId="44113"/>
    <cellStyle name="SectionHeading 2 5 3" xfId="44114"/>
    <cellStyle name="SectionHeading 2 5 4" xfId="44115"/>
    <cellStyle name="SectionHeading 2 6" xfId="44116"/>
    <cellStyle name="SectionHeading 2 6 2" xfId="44117"/>
    <cellStyle name="SectionHeading 2 7" xfId="44118"/>
    <cellStyle name="SectionHeading 2 8" xfId="44119"/>
    <cellStyle name="SectionHeading 2 9" xfId="44120"/>
    <cellStyle name="SectionHeading 20" xfId="44121"/>
    <cellStyle name="SectionHeading 21" xfId="44122"/>
    <cellStyle name="SectionHeading 22" xfId="44123"/>
    <cellStyle name="SectionHeading 23" xfId="44124"/>
    <cellStyle name="SectionHeading 24" xfId="44125"/>
    <cellStyle name="SectionHeading 3" xfId="44126"/>
    <cellStyle name="SectionHeading 3 10" xfId="44127"/>
    <cellStyle name="SectionHeading 3 11" xfId="44128"/>
    <cellStyle name="SectionHeading 3 12" xfId="44129"/>
    <cellStyle name="SectionHeading 3 13" xfId="44130"/>
    <cellStyle name="SectionHeading 3 14" xfId="44131"/>
    <cellStyle name="SectionHeading 3 15" xfId="44132"/>
    <cellStyle name="SectionHeading 3 16" xfId="44133"/>
    <cellStyle name="SectionHeading 3 17" xfId="44134"/>
    <cellStyle name="SectionHeading 3 18" xfId="44135"/>
    <cellStyle name="SectionHeading 3 19" xfId="44136"/>
    <cellStyle name="SectionHeading 3 2" xfId="44137"/>
    <cellStyle name="SectionHeading 3 2 10" xfId="44138"/>
    <cellStyle name="SectionHeading 3 2 11" xfId="44139"/>
    <cellStyle name="SectionHeading 3 2 12" xfId="44140"/>
    <cellStyle name="SectionHeading 3 2 13" xfId="44141"/>
    <cellStyle name="SectionHeading 3 2 14" xfId="44142"/>
    <cellStyle name="SectionHeading 3 2 15" xfId="44143"/>
    <cellStyle name="SectionHeading 3 2 16" xfId="44144"/>
    <cellStyle name="SectionHeading 3 2 17" xfId="44145"/>
    <cellStyle name="SectionHeading 3 2 18" xfId="44146"/>
    <cellStyle name="SectionHeading 3 2 2" xfId="44147"/>
    <cellStyle name="SectionHeading 3 2 2 2" xfId="44148"/>
    <cellStyle name="SectionHeading 3 2 2 2 2" xfId="44149"/>
    <cellStyle name="SectionHeading 3 2 2 3" xfId="44150"/>
    <cellStyle name="SectionHeading 3 2 2 4" xfId="44151"/>
    <cellStyle name="SectionHeading 3 2 3" xfId="44152"/>
    <cellStyle name="SectionHeading 3 2 3 2" xfId="44153"/>
    <cellStyle name="SectionHeading 3 2 3 3" xfId="44154"/>
    <cellStyle name="SectionHeading 3 2 4" xfId="44155"/>
    <cellStyle name="SectionHeading 3 2 4 2" xfId="44156"/>
    <cellStyle name="SectionHeading 3 2 5" xfId="44157"/>
    <cellStyle name="SectionHeading 3 2 6" xfId="44158"/>
    <cellStyle name="SectionHeading 3 2 7" xfId="44159"/>
    <cellStyle name="SectionHeading 3 2 8" xfId="44160"/>
    <cellStyle name="SectionHeading 3 2 9" xfId="44161"/>
    <cellStyle name="SectionHeading 3 20" xfId="44162"/>
    <cellStyle name="SectionHeading 3 21" xfId="44163"/>
    <cellStyle name="SectionHeading 3 3" xfId="44164"/>
    <cellStyle name="SectionHeading 3 3 10" xfId="44165"/>
    <cellStyle name="SectionHeading 3 3 11" xfId="44166"/>
    <cellStyle name="SectionHeading 3 3 12" xfId="44167"/>
    <cellStyle name="SectionHeading 3 3 13" xfId="44168"/>
    <cellStyle name="SectionHeading 3 3 14" xfId="44169"/>
    <cellStyle name="SectionHeading 3 3 15" xfId="44170"/>
    <cellStyle name="SectionHeading 3 3 16" xfId="44171"/>
    <cellStyle name="SectionHeading 3 3 17" xfId="44172"/>
    <cellStyle name="SectionHeading 3 3 18" xfId="44173"/>
    <cellStyle name="SectionHeading 3 3 2" xfId="44174"/>
    <cellStyle name="SectionHeading 3 3 2 2" xfId="44175"/>
    <cellStyle name="SectionHeading 3 3 2 2 2" xfId="44176"/>
    <cellStyle name="SectionHeading 3 3 2 3" xfId="44177"/>
    <cellStyle name="SectionHeading 3 3 2 4" xfId="44178"/>
    <cellStyle name="SectionHeading 3 3 3" xfId="44179"/>
    <cellStyle name="SectionHeading 3 3 3 2" xfId="44180"/>
    <cellStyle name="SectionHeading 3 3 3 3" xfId="44181"/>
    <cellStyle name="SectionHeading 3 3 4" xfId="44182"/>
    <cellStyle name="SectionHeading 3 3 4 2" xfId="44183"/>
    <cellStyle name="SectionHeading 3 3 5" xfId="44184"/>
    <cellStyle name="SectionHeading 3 3 6" xfId="44185"/>
    <cellStyle name="SectionHeading 3 3 7" xfId="44186"/>
    <cellStyle name="SectionHeading 3 3 8" xfId="44187"/>
    <cellStyle name="SectionHeading 3 3 9" xfId="44188"/>
    <cellStyle name="SectionHeading 3 4" xfId="44189"/>
    <cellStyle name="SectionHeading 3 4 2" xfId="44190"/>
    <cellStyle name="SectionHeading 3 4 2 2" xfId="44191"/>
    <cellStyle name="SectionHeading 3 4 2 3" xfId="44192"/>
    <cellStyle name="SectionHeading 3 4 3" xfId="44193"/>
    <cellStyle name="SectionHeading 3 4 3 2" xfId="44194"/>
    <cellStyle name="SectionHeading 3 4 4" xfId="44195"/>
    <cellStyle name="SectionHeading 3 4 5" xfId="44196"/>
    <cellStyle name="SectionHeading 3 5" xfId="44197"/>
    <cellStyle name="SectionHeading 3 5 2" xfId="44198"/>
    <cellStyle name="SectionHeading 3 5 2 2" xfId="44199"/>
    <cellStyle name="SectionHeading 3 5 3" xfId="44200"/>
    <cellStyle name="SectionHeading 3 5 4" xfId="44201"/>
    <cellStyle name="SectionHeading 3 6" xfId="44202"/>
    <cellStyle name="SectionHeading 3 6 2" xfId="44203"/>
    <cellStyle name="SectionHeading 3 7" xfId="44204"/>
    <cellStyle name="SectionHeading 3 8" xfId="44205"/>
    <cellStyle name="SectionHeading 3 9" xfId="44206"/>
    <cellStyle name="SectionHeading 4" xfId="44207"/>
    <cellStyle name="SectionHeading 4 10" xfId="44208"/>
    <cellStyle name="SectionHeading 4 11" xfId="44209"/>
    <cellStyle name="SectionHeading 4 12" xfId="44210"/>
    <cellStyle name="SectionHeading 4 13" xfId="44211"/>
    <cellStyle name="SectionHeading 4 14" xfId="44212"/>
    <cellStyle name="SectionHeading 4 15" xfId="44213"/>
    <cellStyle name="SectionHeading 4 16" xfId="44214"/>
    <cellStyle name="SectionHeading 4 17" xfId="44215"/>
    <cellStyle name="SectionHeading 4 18" xfId="44216"/>
    <cellStyle name="SectionHeading 4 19" xfId="44217"/>
    <cellStyle name="SectionHeading 4 2" xfId="44218"/>
    <cellStyle name="SectionHeading 4 2 10" xfId="44219"/>
    <cellStyle name="SectionHeading 4 2 11" xfId="44220"/>
    <cellStyle name="SectionHeading 4 2 12" xfId="44221"/>
    <cellStyle name="SectionHeading 4 2 13" xfId="44222"/>
    <cellStyle name="SectionHeading 4 2 14" xfId="44223"/>
    <cellStyle name="SectionHeading 4 2 15" xfId="44224"/>
    <cellStyle name="SectionHeading 4 2 16" xfId="44225"/>
    <cellStyle name="SectionHeading 4 2 17" xfId="44226"/>
    <cellStyle name="SectionHeading 4 2 18" xfId="44227"/>
    <cellStyle name="SectionHeading 4 2 2" xfId="44228"/>
    <cellStyle name="SectionHeading 4 2 2 2" xfId="44229"/>
    <cellStyle name="SectionHeading 4 2 2 2 2" xfId="44230"/>
    <cellStyle name="SectionHeading 4 2 2 3" xfId="44231"/>
    <cellStyle name="SectionHeading 4 2 2 4" xfId="44232"/>
    <cellStyle name="SectionHeading 4 2 3" xfId="44233"/>
    <cellStyle name="SectionHeading 4 2 3 2" xfId="44234"/>
    <cellStyle name="SectionHeading 4 2 3 3" xfId="44235"/>
    <cellStyle name="SectionHeading 4 2 4" xfId="44236"/>
    <cellStyle name="SectionHeading 4 2 4 2" xfId="44237"/>
    <cellStyle name="SectionHeading 4 2 5" xfId="44238"/>
    <cellStyle name="SectionHeading 4 2 6" xfId="44239"/>
    <cellStyle name="SectionHeading 4 2 7" xfId="44240"/>
    <cellStyle name="SectionHeading 4 2 8" xfId="44241"/>
    <cellStyle name="SectionHeading 4 2 9" xfId="44242"/>
    <cellStyle name="SectionHeading 4 20" xfId="44243"/>
    <cellStyle name="SectionHeading 4 21" xfId="44244"/>
    <cellStyle name="SectionHeading 4 3" xfId="44245"/>
    <cellStyle name="SectionHeading 4 3 10" xfId="44246"/>
    <cellStyle name="SectionHeading 4 3 11" xfId="44247"/>
    <cellStyle name="SectionHeading 4 3 12" xfId="44248"/>
    <cellStyle name="SectionHeading 4 3 13" xfId="44249"/>
    <cellStyle name="SectionHeading 4 3 14" xfId="44250"/>
    <cellStyle name="SectionHeading 4 3 15" xfId="44251"/>
    <cellStyle name="SectionHeading 4 3 16" xfId="44252"/>
    <cellStyle name="SectionHeading 4 3 17" xfId="44253"/>
    <cellStyle name="SectionHeading 4 3 18" xfId="44254"/>
    <cellStyle name="SectionHeading 4 3 2" xfId="44255"/>
    <cellStyle name="SectionHeading 4 3 2 2" xfId="44256"/>
    <cellStyle name="SectionHeading 4 3 2 2 2" xfId="44257"/>
    <cellStyle name="SectionHeading 4 3 2 3" xfId="44258"/>
    <cellStyle name="SectionHeading 4 3 2 4" xfId="44259"/>
    <cellStyle name="SectionHeading 4 3 3" xfId="44260"/>
    <cellStyle name="SectionHeading 4 3 3 2" xfId="44261"/>
    <cellStyle name="SectionHeading 4 3 3 3" xfId="44262"/>
    <cellStyle name="SectionHeading 4 3 4" xfId="44263"/>
    <cellStyle name="SectionHeading 4 3 4 2" xfId="44264"/>
    <cellStyle name="SectionHeading 4 3 5" xfId="44265"/>
    <cellStyle name="SectionHeading 4 3 6" xfId="44266"/>
    <cellStyle name="SectionHeading 4 3 7" xfId="44267"/>
    <cellStyle name="SectionHeading 4 3 8" xfId="44268"/>
    <cellStyle name="SectionHeading 4 3 9" xfId="44269"/>
    <cellStyle name="SectionHeading 4 4" xfId="44270"/>
    <cellStyle name="SectionHeading 4 4 2" xfId="44271"/>
    <cellStyle name="SectionHeading 4 4 2 2" xfId="44272"/>
    <cellStyle name="SectionHeading 4 4 2 3" xfId="44273"/>
    <cellStyle name="SectionHeading 4 4 3" xfId="44274"/>
    <cellStyle name="SectionHeading 4 4 3 2" xfId="44275"/>
    <cellStyle name="SectionHeading 4 4 4" xfId="44276"/>
    <cellStyle name="SectionHeading 4 4 5" xfId="44277"/>
    <cellStyle name="SectionHeading 4 5" xfId="44278"/>
    <cellStyle name="SectionHeading 4 5 2" xfId="44279"/>
    <cellStyle name="SectionHeading 4 5 2 2" xfId="44280"/>
    <cellStyle name="SectionHeading 4 5 3" xfId="44281"/>
    <cellStyle name="SectionHeading 4 5 4" xfId="44282"/>
    <cellStyle name="SectionHeading 4 6" xfId="44283"/>
    <cellStyle name="SectionHeading 4 6 2" xfId="44284"/>
    <cellStyle name="SectionHeading 4 7" xfId="44285"/>
    <cellStyle name="SectionHeading 4 8" xfId="44286"/>
    <cellStyle name="SectionHeading 4 9" xfId="44287"/>
    <cellStyle name="SectionHeading 5" xfId="44288"/>
    <cellStyle name="SectionHeading 5 10" xfId="44289"/>
    <cellStyle name="SectionHeading 5 11" xfId="44290"/>
    <cellStyle name="SectionHeading 5 12" xfId="44291"/>
    <cellStyle name="SectionHeading 5 13" xfId="44292"/>
    <cellStyle name="SectionHeading 5 14" xfId="44293"/>
    <cellStyle name="SectionHeading 5 15" xfId="44294"/>
    <cellStyle name="SectionHeading 5 16" xfId="44295"/>
    <cellStyle name="SectionHeading 5 17" xfId="44296"/>
    <cellStyle name="SectionHeading 5 18" xfId="44297"/>
    <cellStyle name="SectionHeading 5 19" xfId="44298"/>
    <cellStyle name="SectionHeading 5 2" xfId="44299"/>
    <cellStyle name="SectionHeading 5 2 10" xfId="44300"/>
    <cellStyle name="SectionHeading 5 2 11" xfId="44301"/>
    <cellStyle name="SectionHeading 5 2 12" xfId="44302"/>
    <cellStyle name="SectionHeading 5 2 13" xfId="44303"/>
    <cellStyle name="SectionHeading 5 2 14" xfId="44304"/>
    <cellStyle name="SectionHeading 5 2 15" xfId="44305"/>
    <cellStyle name="SectionHeading 5 2 16" xfId="44306"/>
    <cellStyle name="SectionHeading 5 2 17" xfId="44307"/>
    <cellStyle name="SectionHeading 5 2 18" xfId="44308"/>
    <cellStyle name="SectionHeading 5 2 2" xfId="44309"/>
    <cellStyle name="SectionHeading 5 2 2 2" xfId="44310"/>
    <cellStyle name="SectionHeading 5 2 2 2 2" xfId="44311"/>
    <cellStyle name="SectionHeading 5 2 2 3" xfId="44312"/>
    <cellStyle name="SectionHeading 5 2 2 4" xfId="44313"/>
    <cellStyle name="SectionHeading 5 2 3" xfId="44314"/>
    <cellStyle name="SectionHeading 5 2 3 2" xfId="44315"/>
    <cellStyle name="SectionHeading 5 2 3 3" xfId="44316"/>
    <cellStyle name="SectionHeading 5 2 4" xfId="44317"/>
    <cellStyle name="SectionHeading 5 2 4 2" xfId="44318"/>
    <cellStyle name="SectionHeading 5 2 5" xfId="44319"/>
    <cellStyle name="SectionHeading 5 2 6" xfId="44320"/>
    <cellStyle name="SectionHeading 5 2 7" xfId="44321"/>
    <cellStyle name="SectionHeading 5 2 8" xfId="44322"/>
    <cellStyle name="SectionHeading 5 2 9" xfId="44323"/>
    <cellStyle name="SectionHeading 5 3" xfId="44324"/>
    <cellStyle name="SectionHeading 5 3 10" xfId="44325"/>
    <cellStyle name="SectionHeading 5 3 11" xfId="44326"/>
    <cellStyle name="SectionHeading 5 3 12" xfId="44327"/>
    <cellStyle name="SectionHeading 5 3 13" xfId="44328"/>
    <cellStyle name="SectionHeading 5 3 14" xfId="44329"/>
    <cellStyle name="SectionHeading 5 3 15" xfId="44330"/>
    <cellStyle name="SectionHeading 5 3 16" xfId="44331"/>
    <cellStyle name="SectionHeading 5 3 17" xfId="44332"/>
    <cellStyle name="SectionHeading 5 3 18" xfId="44333"/>
    <cellStyle name="SectionHeading 5 3 2" xfId="44334"/>
    <cellStyle name="SectionHeading 5 3 2 2" xfId="44335"/>
    <cellStyle name="SectionHeading 5 3 2 2 2" xfId="44336"/>
    <cellStyle name="SectionHeading 5 3 2 3" xfId="44337"/>
    <cellStyle name="SectionHeading 5 3 2 4" xfId="44338"/>
    <cellStyle name="SectionHeading 5 3 3" xfId="44339"/>
    <cellStyle name="SectionHeading 5 3 3 2" xfId="44340"/>
    <cellStyle name="SectionHeading 5 3 3 3" xfId="44341"/>
    <cellStyle name="SectionHeading 5 3 4" xfId="44342"/>
    <cellStyle name="SectionHeading 5 3 4 2" xfId="44343"/>
    <cellStyle name="SectionHeading 5 3 5" xfId="44344"/>
    <cellStyle name="SectionHeading 5 3 6" xfId="44345"/>
    <cellStyle name="SectionHeading 5 3 7" xfId="44346"/>
    <cellStyle name="SectionHeading 5 3 8" xfId="44347"/>
    <cellStyle name="SectionHeading 5 3 9" xfId="44348"/>
    <cellStyle name="SectionHeading 5 4" xfId="44349"/>
    <cellStyle name="SectionHeading 5 4 2" xfId="44350"/>
    <cellStyle name="SectionHeading 5 4 2 2" xfId="44351"/>
    <cellStyle name="SectionHeading 5 4 2 3" xfId="44352"/>
    <cellStyle name="SectionHeading 5 4 3" xfId="44353"/>
    <cellStyle name="SectionHeading 5 4 3 2" xfId="44354"/>
    <cellStyle name="SectionHeading 5 4 4" xfId="44355"/>
    <cellStyle name="SectionHeading 5 4 5" xfId="44356"/>
    <cellStyle name="SectionHeading 5 5" xfId="44357"/>
    <cellStyle name="SectionHeading 5 5 2" xfId="44358"/>
    <cellStyle name="SectionHeading 5 5 2 2" xfId="44359"/>
    <cellStyle name="SectionHeading 5 5 3" xfId="44360"/>
    <cellStyle name="SectionHeading 5 5 4" xfId="44361"/>
    <cellStyle name="SectionHeading 5 6" xfId="44362"/>
    <cellStyle name="SectionHeading 5 6 2" xfId="44363"/>
    <cellStyle name="SectionHeading 5 7" xfId="44364"/>
    <cellStyle name="SectionHeading 5 8" xfId="44365"/>
    <cellStyle name="SectionHeading 5 9" xfId="44366"/>
    <cellStyle name="SectionHeading 6" xfId="44367"/>
    <cellStyle name="SectionHeading 6 10" xfId="44368"/>
    <cellStyle name="SectionHeading 6 11" xfId="44369"/>
    <cellStyle name="SectionHeading 6 12" xfId="44370"/>
    <cellStyle name="SectionHeading 6 13" xfId="44371"/>
    <cellStyle name="SectionHeading 6 14" xfId="44372"/>
    <cellStyle name="SectionHeading 6 15" xfId="44373"/>
    <cellStyle name="SectionHeading 6 16" xfId="44374"/>
    <cellStyle name="SectionHeading 6 17" xfId="44375"/>
    <cellStyle name="SectionHeading 6 18" xfId="44376"/>
    <cellStyle name="SectionHeading 6 19" xfId="44377"/>
    <cellStyle name="SectionHeading 6 2" xfId="44378"/>
    <cellStyle name="SectionHeading 6 2 10" xfId="44379"/>
    <cellStyle name="SectionHeading 6 2 11" xfId="44380"/>
    <cellStyle name="SectionHeading 6 2 12" xfId="44381"/>
    <cellStyle name="SectionHeading 6 2 13" xfId="44382"/>
    <cellStyle name="SectionHeading 6 2 14" xfId="44383"/>
    <cellStyle name="SectionHeading 6 2 15" xfId="44384"/>
    <cellStyle name="SectionHeading 6 2 16" xfId="44385"/>
    <cellStyle name="SectionHeading 6 2 17" xfId="44386"/>
    <cellStyle name="SectionHeading 6 2 18" xfId="44387"/>
    <cellStyle name="SectionHeading 6 2 2" xfId="44388"/>
    <cellStyle name="SectionHeading 6 2 2 2" xfId="44389"/>
    <cellStyle name="SectionHeading 6 2 2 2 2" xfId="44390"/>
    <cellStyle name="SectionHeading 6 2 2 3" xfId="44391"/>
    <cellStyle name="SectionHeading 6 2 2 4" xfId="44392"/>
    <cellStyle name="SectionHeading 6 2 3" xfId="44393"/>
    <cellStyle name="SectionHeading 6 2 3 2" xfId="44394"/>
    <cellStyle name="SectionHeading 6 2 3 3" xfId="44395"/>
    <cellStyle name="SectionHeading 6 2 4" xfId="44396"/>
    <cellStyle name="SectionHeading 6 2 4 2" xfId="44397"/>
    <cellStyle name="SectionHeading 6 2 5" xfId="44398"/>
    <cellStyle name="SectionHeading 6 2 6" xfId="44399"/>
    <cellStyle name="SectionHeading 6 2 7" xfId="44400"/>
    <cellStyle name="SectionHeading 6 2 8" xfId="44401"/>
    <cellStyle name="SectionHeading 6 2 9" xfId="44402"/>
    <cellStyle name="SectionHeading 6 20" xfId="44403"/>
    <cellStyle name="SectionHeading 6 3" xfId="44404"/>
    <cellStyle name="SectionHeading 6 3 10" xfId="44405"/>
    <cellStyle name="SectionHeading 6 3 11" xfId="44406"/>
    <cellStyle name="SectionHeading 6 3 12" xfId="44407"/>
    <cellStyle name="SectionHeading 6 3 13" xfId="44408"/>
    <cellStyle name="SectionHeading 6 3 14" xfId="44409"/>
    <cellStyle name="SectionHeading 6 3 15" xfId="44410"/>
    <cellStyle name="SectionHeading 6 3 16" xfId="44411"/>
    <cellStyle name="SectionHeading 6 3 17" xfId="44412"/>
    <cellStyle name="SectionHeading 6 3 18" xfId="44413"/>
    <cellStyle name="SectionHeading 6 3 2" xfId="44414"/>
    <cellStyle name="SectionHeading 6 3 2 2" xfId="44415"/>
    <cellStyle name="SectionHeading 6 3 2 2 2" xfId="44416"/>
    <cellStyle name="SectionHeading 6 3 2 3" xfId="44417"/>
    <cellStyle name="SectionHeading 6 3 2 4" xfId="44418"/>
    <cellStyle name="SectionHeading 6 3 3" xfId="44419"/>
    <cellStyle name="SectionHeading 6 3 3 2" xfId="44420"/>
    <cellStyle name="SectionHeading 6 3 3 3" xfId="44421"/>
    <cellStyle name="SectionHeading 6 3 4" xfId="44422"/>
    <cellStyle name="SectionHeading 6 3 4 2" xfId="44423"/>
    <cellStyle name="SectionHeading 6 3 5" xfId="44424"/>
    <cellStyle name="SectionHeading 6 3 6" xfId="44425"/>
    <cellStyle name="SectionHeading 6 3 7" xfId="44426"/>
    <cellStyle name="SectionHeading 6 3 8" xfId="44427"/>
    <cellStyle name="SectionHeading 6 3 9" xfId="44428"/>
    <cellStyle name="SectionHeading 6 4" xfId="44429"/>
    <cellStyle name="SectionHeading 6 4 2" xfId="44430"/>
    <cellStyle name="SectionHeading 6 4 2 2" xfId="44431"/>
    <cellStyle name="SectionHeading 6 4 2 3" xfId="44432"/>
    <cellStyle name="SectionHeading 6 4 3" xfId="44433"/>
    <cellStyle name="SectionHeading 6 4 3 2" xfId="44434"/>
    <cellStyle name="SectionHeading 6 4 4" xfId="44435"/>
    <cellStyle name="SectionHeading 6 4 5" xfId="44436"/>
    <cellStyle name="SectionHeading 6 5" xfId="44437"/>
    <cellStyle name="SectionHeading 6 5 2" xfId="44438"/>
    <cellStyle name="SectionHeading 6 5 2 2" xfId="44439"/>
    <cellStyle name="SectionHeading 6 5 3" xfId="44440"/>
    <cellStyle name="SectionHeading 6 5 4" xfId="44441"/>
    <cellStyle name="SectionHeading 6 6" xfId="44442"/>
    <cellStyle name="SectionHeading 6 6 2" xfId="44443"/>
    <cellStyle name="SectionHeading 6 7" xfId="44444"/>
    <cellStyle name="SectionHeading 6 8" xfId="44445"/>
    <cellStyle name="SectionHeading 6 9" xfId="44446"/>
    <cellStyle name="SectionHeading 7" xfId="44447"/>
    <cellStyle name="SectionHeading 7 10" xfId="44448"/>
    <cellStyle name="SectionHeading 7 11" xfId="44449"/>
    <cellStyle name="SectionHeading 7 12" xfId="44450"/>
    <cellStyle name="SectionHeading 7 13" xfId="44451"/>
    <cellStyle name="SectionHeading 7 14" xfId="44452"/>
    <cellStyle name="SectionHeading 7 15" xfId="44453"/>
    <cellStyle name="SectionHeading 7 16" xfId="44454"/>
    <cellStyle name="SectionHeading 7 17" xfId="44455"/>
    <cellStyle name="SectionHeading 7 2" xfId="44456"/>
    <cellStyle name="SectionHeading 7 2 2" xfId="44457"/>
    <cellStyle name="SectionHeading 7 2 2 2" xfId="44458"/>
    <cellStyle name="SectionHeading 7 2 3" xfId="44459"/>
    <cellStyle name="SectionHeading 7 2 4" xfId="44460"/>
    <cellStyle name="SectionHeading 7 3" xfId="44461"/>
    <cellStyle name="SectionHeading 7 3 2" xfId="44462"/>
    <cellStyle name="SectionHeading 7 4" xfId="44463"/>
    <cellStyle name="SectionHeading 7 5" xfId="44464"/>
    <cellStyle name="SectionHeading 7 6" xfId="44465"/>
    <cellStyle name="SectionHeading 7 7" xfId="44466"/>
    <cellStyle name="SectionHeading 7 8" xfId="44467"/>
    <cellStyle name="SectionHeading 7 9" xfId="44468"/>
    <cellStyle name="SectionHeading 8" xfId="44469"/>
    <cellStyle name="SectionHeading 8 2" xfId="44470"/>
    <cellStyle name="SectionHeading 8 2 2" xfId="44471"/>
    <cellStyle name="SectionHeading 8 2 2 2" xfId="44472"/>
    <cellStyle name="SectionHeading 8 2 3" xfId="44473"/>
    <cellStyle name="SectionHeading 8 2 4" xfId="44474"/>
    <cellStyle name="SectionHeading 8 3" xfId="44475"/>
    <cellStyle name="SectionHeading 8 3 2" xfId="44476"/>
    <cellStyle name="SectionHeading 8 3 3" xfId="44477"/>
    <cellStyle name="SectionHeading 8 4" xfId="44478"/>
    <cellStyle name="SectionHeading 8 4 2" xfId="44479"/>
    <cellStyle name="SectionHeading 8 5" xfId="44480"/>
    <cellStyle name="SectionHeading 8 6" xfId="44481"/>
    <cellStyle name="SectionHeading 9" xfId="44482"/>
    <cellStyle name="SectionHeading 9 2" xfId="44483"/>
    <cellStyle name="SectionHeading 9 2 2" xfId="44484"/>
    <cellStyle name="SectionHeading 9 3" xfId="44485"/>
    <cellStyle name="SectionHeading 9 4" xfId="44486"/>
    <cellStyle name="SEM-BPS-data" xfId="44487"/>
    <cellStyle name="SEM-BPS-head" xfId="44488"/>
    <cellStyle name="SEM-BPS-headdata" xfId="44489"/>
    <cellStyle name="SEM-BPS-headdata 2" xfId="44490"/>
    <cellStyle name="SEM-BPS-headkey" xfId="44491"/>
    <cellStyle name="SEM-BPS-input-on" xfId="44492"/>
    <cellStyle name="SEM-BPS-input-on 2" xfId="44493"/>
    <cellStyle name="SEM-BPS-key" xfId="44494"/>
    <cellStyle name="SEM-BPS-sub1" xfId="44495"/>
    <cellStyle name="SEM-BPS-sub2" xfId="44496"/>
    <cellStyle name="SEM-BPS-total" xfId="44497"/>
    <cellStyle name="Serguei" xfId="44498"/>
    <cellStyle name="Serguei 10" xfId="44499"/>
    <cellStyle name="Serguei 11" xfId="44500"/>
    <cellStyle name="Serguei 12" xfId="44501"/>
    <cellStyle name="Serguei 13" xfId="44502"/>
    <cellStyle name="Serguei 14" xfId="44503"/>
    <cellStyle name="Serguei 15" xfId="44504"/>
    <cellStyle name="Serguei 16" xfId="44505"/>
    <cellStyle name="Serguei 17" xfId="44506"/>
    <cellStyle name="Serguei 18" xfId="44507"/>
    <cellStyle name="Serguei 19" xfId="44508"/>
    <cellStyle name="Serguei 2" xfId="44509"/>
    <cellStyle name="Serguei 2 10" xfId="44510"/>
    <cellStyle name="Serguei 2 11" xfId="44511"/>
    <cellStyle name="Serguei 2 12" xfId="44512"/>
    <cellStyle name="Serguei 2 13" xfId="44513"/>
    <cellStyle name="Serguei 2 14" xfId="44514"/>
    <cellStyle name="Serguei 2 15" xfId="44515"/>
    <cellStyle name="Serguei 2 16" xfId="44516"/>
    <cellStyle name="Serguei 2 17" xfId="44517"/>
    <cellStyle name="Serguei 2 18" xfId="44518"/>
    <cellStyle name="Serguei 2 19" xfId="44519"/>
    <cellStyle name="Serguei 2 2" xfId="44520"/>
    <cellStyle name="Serguei 2 2 10" xfId="44521"/>
    <cellStyle name="Serguei 2 2 11" xfId="44522"/>
    <cellStyle name="Serguei 2 2 12" xfId="44523"/>
    <cellStyle name="Serguei 2 2 13" xfId="44524"/>
    <cellStyle name="Serguei 2 2 14" xfId="44525"/>
    <cellStyle name="Serguei 2 2 15" xfId="44526"/>
    <cellStyle name="Serguei 2 2 16" xfId="44527"/>
    <cellStyle name="Serguei 2 2 17" xfId="44528"/>
    <cellStyle name="Serguei 2 2 18" xfId="44529"/>
    <cellStyle name="Serguei 2 2 2" xfId="44530"/>
    <cellStyle name="Serguei 2 2 2 2" xfId="44531"/>
    <cellStyle name="Serguei 2 2 2 2 2" xfId="44532"/>
    <cellStyle name="Serguei 2 2 2 3" xfId="44533"/>
    <cellStyle name="Serguei 2 2 2 4" xfId="44534"/>
    <cellStyle name="Serguei 2 2 3" xfId="44535"/>
    <cellStyle name="Serguei 2 2 3 2" xfId="44536"/>
    <cellStyle name="Serguei 2 2 3 3" xfId="44537"/>
    <cellStyle name="Serguei 2 2 4" xfId="44538"/>
    <cellStyle name="Serguei 2 2 4 2" xfId="44539"/>
    <cellStyle name="Serguei 2 2 5" xfId="44540"/>
    <cellStyle name="Serguei 2 2 6" xfId="44541"/>
    <cellStyle name="Serguei 2 2 7" xfId="44542"/>
    <cellStyle name="Serguei 2 2 8" xfId="44543"/>
    <cellStyle name="Serguei 2 2 9" xfId="44544"/>
    <cellStyle name="Serguei 2 20" xfId="44545"/>
    <cellStyle name="Serguei 2 21" xfId="44546"/>
    <cellStyle name="Serguei 2 22" xfId="44547"/>
    <cellStyle name="Serguei 2 23" xfId="44548"/>
    <cellStyle name="Serguei 2 3" xfId="44549"/>
    <cellStyle name="Serguei 2 3 10" xfId="44550"/>
    <cellStyle name="Serguei 2 3 11" xfId="44551"/>
    <cellStyle name="Serguei 2 3 12" xfId="44552"/>
    <cellStyle name="Serguei 2 3 13" xfId="44553"/>
    <cellStyle name="Serguei 2 3 14" xfId="44554"/>
    <cellStyle name="Serguei 2 3 15" xfId="44555"/>
    <cellStyle name="Serguei 2 3 16" xfId="44556"/>
    <cellStyle name="Serguei 2 3 17" xfId="44557"/>
    <cellStyle name="Serguei 2 3 18" xfId="44558"/>
    <cellStyle name="Serguei 2 3 2" xfId="44559"/>
    <cellStyle name="Serguei 2 3 2 2" xfId="44560"/>
    <cellStyle name="Serguei 2 3 2 2 2" xfId="44561"/>
    <cellStyle name="Serguei 2 3 2 3" xfId="44562"/>
    <cellStyle name="Serguei 2 3 2 4" xfId="44563"/>
    <cellStyle name="Serguei 2 3 3" xfId="44564"/>
    <cellStyle name="Serguei 2 3 3 2" xfId="44565"/>
    <cellStyle name="Serguei 2 3 3 3" xfId="44566"/>
    <cellStyle name="Serguei 2 3 4" xfId="44567"/>
    <cellStyle name="Serguei 2 3 4 2" xfId="44568"/>
    <cellStyle name="Serguei 2 3 5" xfId="44569"/>
    <cellStyle name="Serguei 2 3 6" xfId="44570"/>
    <cellStyle name="Serguei 2 3 7" xfId="44571"/>
    <cellStyle name="Serguei 2 3 8" xfId="44572"/>
    <cellStyle name="Serguei 2 3 9" xfId="44573"/>
    <cellStyle name="Serguei 2 4" xfId="44574"/>
    <cellStyle name="Serguei 2 4 2" xfId="44575"/>
    <cellStyle name="Serguei 2 4 2 2" xfId="44576"/>
    <cellStyle name="Serguei 2 4 2 3" xfId="44577"/>
    <cellStyle name="Serguei 2 4 3" xfId="44578"/>
    <cellStyle name="Serguei 2 4 3 2" xfId="44579"/>
    <cellStyle name="Serguei 2 4 4" xfId="44580"/>
    <cellStyle name="Serguei 2 4 5" xfId="44581"/>
    <cellStyle name="Serguei 2 5" xfId="44582"/>
    <cellStyle name="Serguei 2 5 2" xfId="44583"/>
    <cellStyle name="Serguei 2 5 2 2" xfId="44584"/>
    <cellStyle name="Serguei 2 5 3" xfId="44585"/>
    <cellStyle name="Serguei 2 5 4" xfId="44586"/>
    <cellStyle name="Serguei 2 6" xfId="44587"/>
    <cellStyle name="Serguei 2 6 2" xfId="44588"/>
    <cellStyle name="Serguei 2 6 3" xfId="44589"/>
    <cellStyle name="Serguei 2 7" xfId="44590"/>
    <cellStyle name="Serguei 2 7 2" xfId="44591"/>
    <cellStyle name="Serguei 2 8" xfId="44592"/>
    <cellStyle name="Serguei 2 9" xfId="44593"/>
    <cellStyle name="Serguei 20" xfId="44594"/>
    <cellStyle name="Serguei 21" xfId="44595"/>
    <cellStyle name="Serguei 3" xfId="44596"/>
    <cellStyle name="Serguei 3 10" xfId="44597"/>
    <cellStyle name="Serguei 3 11" xfId="44598"/>
    <cellStyle name="Serguei 3 12" xfId="44599"/>
    <cellStyle name="Serguei 3 13" xfId="44600"/>
    <cellStyle name="Serguei 3 14" xfId="44601"/>
    <cellStyle name="Serguei 3 15" xfId="44602"/>
    <cellStyle name="Serguei 3 16" xfId="44603"/>
    <cellStyle name="Serguei 3 17" xfId="44604"/>
    <cellStyle name="Serguei 3 18" xfId="44605"/>
    <cellStyle name="Serguei 3 19" xfId="44606"/>
    <cellStyle name="Serguei 3 2" xfId="44607"/>
    <cellStyle name="Serguei 3 2 10" xfId="44608"/>
    <cellStyle name="Serguei 3 2 11" xfId="44609"/>
    <cellStyle name="Serguei 3 2 12" xfId="44610"/>
    <cellStyle name="Serguei 3 2 13" xfId="44611"/>
    <cellStyle name="Serguei 3 2 14" xfId="44612"/>
    <cellStyle name="Serguei 3 2 15" xfId="44613"/>
    <cellStyle name="Serguei 3 2 16" xfId="44614"/>
    <cellStyle name="Serguei 3 2 17" xfId="44615"/>
    <cellStyle name="Serguei 3 2 18" xfId="44616"/>
    <cellStyle name="Serguei 3 2 2" xfId="44617"/>
    <cellStyle name="Serguei 3 2 2 2" xfId="44618"/>
    <cellStyle name="Serguei 3 2 2 2 2" xfId="44619"/>
    <cellStyle name="Serguei 3 2 2 3" xfId="44620"/>
    <cellStyle name="Serguei 3 2 2 4" xfId="44621"/>
    <cellStyle name="Serguei 3 2 3" xfId="44622"/>
    <cellStyle name="Serguei 3 2 3 2" xfId="44623"/>
    <cellStyle name="Serguei 3 2 3 3" xfId="44624"/>
    <cellStyle name="Serguei 3 2 4" xfId="44625"/>
    <cellStyle name="Serguei 3 2 4 2" xfId="44626"/>
    <cellStyle name="Serguei 3 2 5" xfId="44627"/>
    <cellStyle name="Serguei 3 2 6" xfId="44628"/>
    <cellStyle name="Serguei 3 2 7" xfId="44629"/>
    <cellStyle name="Serguei 3 2 8" xfId="44630"/>
    <cellStyle name="Serguei 3 2 9" xfId="44631"/>
    <cellStyle name="Serguei 3 3" xfId="44632"/>
    <cellStyle name="Serguei 3 3 10" xfId="44633"/>
    <cellStyle name="Serguei 3 3 11" xfId="44634"/>
    <cellStyle name="Serguei 3 3 12" xfId="44635"/>
    <cellStyle name="Serguei 3 3 13" xfId="44636"/>
    <cellStyle name="Serguei 3 3 14" xfId="44637"/>
    <cellStyle name="Serguei 3 3 15" xfId="44638"/>
    <cellStyle name="Serguei 3 3 16" xfId="44639"/>
    <cellStyle name="Serguei 3 3 17" xfId="44640"/>
    <cellStyle name="Serguei 3 3 18" xfId="44641"/>
    <cellStyle name="Serguei 3 3 2" xfId="44642"/>
    <cellStyle name="Serguei 3 3 2 2" xfId="44643"/>
    <cellStyle name="Serguei 3 3 2 2 2" xfId="44644"/>
    <cellStyle name="Serguei 3 3 2 3" xfId="44645"/>
    <cellStyle name="Serguei 3 3 2 4" xfId="44646"/>
    <cellStyle name="Serguei 3 3 3" xfId="44647"/>
    <cellStyle name="Serguei 3 3 3 2" xfId="44648"/>
    <cellStyle name="Serguei 3 3 3 3" xfId="44649"/>
    <cellStyle name="Serguei 3 3 4" xfId="44650"/>
    <cellStyle name="Serguei 3 3 4 2" xfId="44651"/>
    <cellStyle name="Serguei 3 3 5" xfId="44652"/>
    <cellStyle name="Serguei 3 3 6" xfId="44653"/>
    <cellStyle name="Serguei 3 3 7" xfId="44654"/>
    <cellStyle name="Serguei 3 3 8" xfId="44655"/>
    <cellStyle name="Serguei 3 3 9" xfId="44656"/>
    <cellStyle name="Serguei 3 4" xfId="44657"/>
    <cellStyle name="Serguei 3 4 2" xfId="44658"/>
    <cellStyle name="Serguei 3 4 2 2" xfId="44659"/>
    <cellStyle name="Serguei 3 4 2 3" xfId="44660"/>
    <cellStyle name="Serguei 3 4 3" xfId="44661"/>
    <cellStyle name="Serguei 3 4 3 2" xfId="44662"/>
    <cellStyle name="Serguei 3 4 4" xfId="44663"/>
    <cellStyle name="Serguei 3 4 5" xfId="44664"/>
    <cellStyle name="Serguei 3 5" xfId="44665"/>
    <cellStyle name="Serguei 3 5 2" xfId="44666"/>
    <cellStyle name="Serguei 3 5 2 2" xfId="44667"/>
    <cellStyle name="Serguei 3 5 3" xfId="44668"/>
    <cellStyle name="Serguei 3 5 4" xfId="44669"/>
    <cellStyle name="Serguei 3 6" xfId="44670"/>
    <cellStyle name="Serguei 3 6 2" xfId="44671"/>
    <cellStyle name="Serguei 3 6 3" xfId="44672"/>
    <cellStyle name="Serguei 3 7" xfId="44673"/>
    <cellStyle name="Serguei 3 7 2" xfId="44674"/>
    <cellStyle name="Serguei 3 8" xfId="44675"/>
    <cellStyle name="Serguei 3 9" xfId="44676"/>
    <cellStyle name="Serguei 4" xfId="44677"/>
    <cellStyle name="Serguei 4 10" xfId="44678"/>
    <cellStyle name="Serguei 4 11" xfId="44679"/>
    <cellStyle name="Serguei 4 12" xfId="44680"/>
    <cellStyle name="Serguei 4 13" xfId="44681"/>
    <cellStyle name="Serguei 4 14" xfId="44682"/>
    <cellStyle name="Serguei 4 15" xfId="44683"/>
    <cellStyle name="Serguei 4 16" xfId="44684"/>
    <cellStyle name="Serguei 4 17" xfId="44685"/>
    <cellStyle name="Serguei 4 18" xfId="44686"/>
    <cellStyle name="Serguei 4 19" xfId="44687"/>
    <cellStyle name="Serguei 4 2" xfId="44688"/>
    <cellStyle name="Serguei 4 2 10" xfId="44689"/>
    <cellStyle name="Serguei 4 2 11" xfId="44690"/>
    <cellStyle name="Serguei 4 2 12" xfId="44691"/>
    <cellStyle name="Serguei 4 2 13" xfId="44692"/>
    <cellStyle name="Serguei 4 2 14" xfId="44693"/>
    <cellStyle name="Serguei 4 2 15" xfId="44694"/>
    <cellStyle name="Serguei 4 2 16" xfId="44695"/>
    <cellStyle name="Serguei 4 2 17" xfId="44696"/>
    <cellStyle name="Serguei 4 2 18" xfId="44697"/>
    <cellStyle name="Serguei 4 2 2" xfId="44698"/>
    <cellStyle name="Serguei 4 2 2 2" xfId="44699"/>
    <cellStyle name="Serguei 4 2 2 2 2" xfId="44700"/>
    <cellStyle name="Serguei 4 2 2 3" xfId="44701"/>
    <cellStyle name="Serguei 4 2 2 4" xfId="44702"/>
    <cellStyle name="Serguei 4 2 3" xfId="44703"/>
    <cellStyle name="Serguei 4 2 3 2" xfId="44704"/>
    <cellStyle name="Serguei 4 2 3 3" xfId="44705"/>
    <cellStyle name="Serguei 4 2 4" xfId="44706"/>
    <cellStyle name="Serguei 4 2 4 2" xfId="44707"/>
    <cellStyle name="Serguei 4 2 5" xfId="44708"/>
    <cellStyle name="Serguei 4 2 6" xfId="44709"/>
    <cellStyle name="Serguei 4 2 7" xfId="44710"/>
    <cellStyle name="Serguei 4 2 8" xfId="44711"/>
    <cellStyle name="Serguei 4 2 9" xfId="44712"/>
    <cellStyle name="Serguei 4 3" xfId="44713"/>
    <cellStyle name="Serguei 4 3 10" xfId="44714"/>
    <cellStyle name="Serguei 4 3 11" xfId="44715"/>
    <cellStyle name="Serguei 4 3 12" xfId="44716"/>
    <cellStyle name="Serguei 4 3 13" xfId="44717"/>
    <cellStyle name="Serguei 4 3 14" xfId="44718"/>
    <cellStyle name="Serguei 4 3 15" xfId="44719"/>
    <cellStyle name="Serguei 4 3 16" xfId="44720"/>
    <cellStyle name="Serguei 4 3 17" xfId="44721"/>
    <cellStyle name="Serguei 4 3 18" xfId="44722"/>
    <cellStyle name="Serguei 4 3 2" xfId="44723"/>
    <cellStyle name="Serguei 4 3 2 2" xfId="44724"/>
    <cellStyle name="Serguei 4 3 2 2 2" xfId="44725"/>
    <cellStyle name="Serguei 4 3 2 3" xfId="44726"/>
    <cellStyle name="Serguei 4 3 2 4" xfId="44727"/>
    <cellStyle name="Serguei 4 3 3" xfId="44728"/>
    <cellStyle name="Serguei 4 3 3 2" xfId="44729"/>
    <cellStyle name="Serguei 4 3 3 3" xfId="44730"/>
    <cellStyle name="Serguei 4 3 4" xfId="44731"/>
    <cellStyle name="Serguei 4 3 4 2" xfId="44732"/>
    <cellStyle name="Serguei 4 3 5" xfId="44733"/>
    <cellStyle name="Serguei 4 3 6" xfId="44734"/>
    <cellStyle name="Serguei 4 3 7" xfId="44735"/>
    <cellStyle name="Serguei 4 3 8" xfId="44736"/>
    <cellStyle name="Serguei 4 3 9" xfId="44737"/>
    <cellStyle name="Serguei 4 4" xfId="44738"/>
    <cellStyle name="Serguei 4 4 2" xfId="44739"/>
    <cellStyle name="Serguei 4 4 2 2" xfId="44740"/>
    <cellStyle name="Serguei 4 4 2 3" xfId="44741"/>
    <cellStyle name="Serguei 4 4 3" xfId="44742"/>
    <cellStyle name="Serguei 4 4 3 2" xfId="44743"/>
    <cellStyle name="Serguei 4 4 4" xfId="44744"/>
    <cellStyle name="Serguei 4 4 5" xfId="44745"/>
    <cellStyle name="Serguei 4 5" xfId="44746"/>
    <cellStyle name="Serguei 4 5 2" xfId="44747"/>
    <cellStyle name="Serguei 4 5 2 2" xfId="44748"/>
    <cellStyle name="Serguei 4 5 3" xfId="44749"/>
    <cellStyle name="Serguei 4 5 4" xfId="44750"/>
    <cellStyle name="Serguei 4 6" xfId="44751"/>
    <cellStyle name="Serguei 4 6 2" xfId="44752"/>
    <cellStyle name="Serguei 4 6 3" xfId="44753"/>
    <cellStyle name="Serguei 4 7" xfId="44754"/>
    <cellStyle name="Serguei 4 7 2" xfId="44755"/>
    <cellStyle name="Serguei 4 8" xfId="44756"/>
    <cellStyle name="Serguei 4 9" xfId="44757"/>
    <cellStyle name="Serguei 5" xfId="44758"/>
    <cellStyle name="Serguei 5 10" xfId="44759"/>
    <cellStyle name="Serguei 5 11" xfId="44760"/>
    <cellStyle name="Serguei 5 12" xfId="44761"/>
    <cellStyle name="Serguei 5 13" xfId="44762"/>
    <cellStyle name="Serguei 5 14" xfId="44763"/>
    <cellStyle name="Serguei 5 15" xfId="44764"/>
    <cellStyle name="Serguei 5 2" xfId="44765"/>
    <cellStyle name="Serguei 5 2 10" xfId="44766"/>
    <cellStyle name="Serguei 5 2 11" xfId="44767"/>
    <cellStyle name="Serguei 5 2 12" xfId="44768"/>
    <cellStyle name="Serguei 5 2 13" xfId="44769"/>
    <cellStyle name="Serguei 5 2 14" xfId="44770"/>
    <cellStyle name="Serguei 5 2 15" xfId="44771"/>
    <cellStyle name="Serguei 5 2 16" xfId="44772"/>
    <cellStyle name="Serguei 5 2 17" xfId="44773"/>
    <cellStyle name="Serguei 5 2 18" xfId="44774"/>
    <cellStyle name="Serguei 5 2 2" xfId="44775"/>
    <cellStyle name="Serguei 5 2 2 2" xfId="44776"/>
    <cellStyle name="Serguei 5 2 2 2 2" xfId="44777"/>
    <cellStyle name="Serguei 5 2 2 3" xfId="44778"/>
    <cellStyle name="Serguei 5 2 2 4" xfId="44779"/>
    <cellStyle name="Serguei 5 2 3" xfId="44780"/>
    <cellStyle name="Serguei 5 2 3 2" xfId="44781"/>
    <cellStyle name="Serguei 5 2 3 3" xfId="44782"/>
    <cellStyle name="Serguei 5 2 4" xfId="44783"/>
    <cellStyle name="Serguei 5 2 4 2" xfId="44784"/>
    <cellStyle name="Serguei 5 2 5" xfId="44785"/>
    <cellStyle name="Serguei 5 2 6" xfId="44786"/>
    <cellStyle name="Serguei 5 2 7" xfId="44787"/>
    <cellStyle name="Serguei 5 2 8" xfId="44788"/>
    <cellStyle name="Serguei 5 2 9" xfId="44789"/>
    <cellStyle name="Serguei 5 3" xfId="44790"/>
    <cellStyle name="Serguei 5 3 10" xfId="44791"/>
    <cellStyle name="Serguei 5 3 11" xfId="44792"/>
    <cellStyle name="Serguei 5 3 12" xfId="44793"/>
    <cellStyle name="Serguei 5 3 13" xfId="44794"/>
    <cellStyle name="Serguei 5 3 14" xfId="44795"/>
    <cellStyle name="Serguei 5 3 15" xfId="44796"/>
    <cellStyle name="Serguei 5 3 16" xfId="44797"/>
    <cellStyle name="Serguei 5 3 17" xfId="44798"/>
    <cellStyle name="Serguei 5 3 18" xfId="44799"/>
    <cellStyle name="Serguei 5 3 2" xfId="44800"/>
    <cellStyle name="Serguei 5 3 2 2" xfId="44801"/>
    <cellStyle name="Serguei 5 3 2 2 2" xfId="44802"/>
    <cellStyle name="Serguei 5 3 2 3" xfId="44803"/>
    <cellStyle name="Serguei 5 3 2 4" xfId="44804"/>
    <cellStyle name="Serguei 5 3 3" xfId="44805"/>
    <cellStyle name="Serguei 5 3 3 2" xfId="44806"/>
    <cellStyle name="Serguei 5 3 3 3" xfId="44807"/>
    <cellStyle name="Serguei 5 3 4" xfId="44808"/>
    <cellStyle name="Serguei 5 3 4 2" xfId="44809"/>
    <cellStyle name="Serguei 5 3 5" xfId="44810"/>
    <cellStyle name="Serguei 5 3 6" xfId="44811"/>
    <cellStyle name="Serguei 5 3 7" xfId="44812"/>
    <cellStyle name="Serguei 5 3 8" xfId="44813"/>
    <cellStyle name="Serguei 5 3 9" xfId="44814"/>
    <cellStyle name="Serguei 5 4" xfId="44815"/>
    <cellStyle name="Serguei 5 4 2" xfId="44816"/>
    <cellStyle name="Serguei 5 4 2 2" xfId="44817"/>
    <cellStyle name="Serguei 5 4 2 3" xfId="44818"/>
    <cellStyle name="Serguei 5 4 3" xfId="44819"/>
    <cellStyle name="Serguei 5 4 3 2" xfId="44820"/>
    <cellStyle name="Serguei 5 4 4" xfId="44821"/>
    <cellStyle name="Serguei 5 4 5" xfId="44822"/>
    <cellStyle name="Serguei 5 5" xfId="44823"/>
    <cellStyle name="Serguei 5 5 2" xfId="44824"/>
    <cellStyle name="Serguei 5 5 2 2" xfId="44825"/>
    <cellStyle name="Serguei 5 5 3" xfId="44826"/>
    <cellStyle name="Serguei 5 5 4" xfId="44827"/>
    <cellStyle name="Serguei 5 6" xfId="44828"/>
    <cellStyle name="Serguei 5 6 2" xfId="44829"/>
    <cellStyle name="Serguei 5 7" xfId="44830"/>
    <cellStyle name="Serguei 5 8" xfId="44831"/>
    <cellStyle name="Serguei 5 9" xfId="44832"/>
    <cellStyle name="Serguei 6" xfId="44833"/>
    <cellStyle name="Serguei 6 10" xfId="44834"/>
    <cellStyle name="Serguei 6 11" xfId="44835"/>
    <cellStyle name="Serguei 6 12" xfId="44836"/>
    <cellStyle name="Serguei 6 13" xfId="44837"/>
    <cellStyle name="Serguei 6 14" xfId="44838"/>
    <cellStyle name="Serguei 6 15" xfId="44839"/>
    <cellStyle name="Serguei 6 16" xfId="44840"/>
    <cellStyle name="Serguei 6 17" xfId="44841"/>
    <cellStyle name="Serguei 6 18" xfId="44842"/>
    <cellStyle name="Serguei 6 2" xfId="44843"/>
    <cellStyle name="Serguei 6 2 2" xfId="44844"/>
    <cellStyle name="Serguei 6 2 2 2" xfId="44845"/>
    <cellStyle name="Serguei 6 2 3" xfId="44846"/>
    <cellStyle name="Serguei 6 2 4" xfId="44847"/>
    <cellStyle name="Serguei 6 3" xfId="44848"/>
    <cellStyle name="Serguei 6 3 2" xfId="44849"/>
    <cellStyle name="Serguei 6 3 3" xfId="44850"/>
    <cellStyle name="Serguei 6 4" xfId="44851"/>
    <cellStyle name="Serguei 6 4 2" xfId="44852"/>
    <cellStyle name="Serguei 6 5" xfId="44853"/>
    <cellStyle name="Serguei 6 6" xfId="44854"/>
    <cellStyle name="Serguei 6 7" xfId="44855"/>
    <cellStyle name="Serguei 6 8" xfId="44856"/>
    <cellStyle name="Serguei 6 9" xfId="44857"/>
    <cellStyle name="Serguei 7" xfId="44858"/>
    <cellStyle name="Serguei 7 10" xfId="44859"/>
    <cellStyle name="Serguei 7 11" xfId="44860"/>
    <cellStyle name="Serguei 7 12" xfId="44861"/>
    <cellStyle name="Serguei 7 13" xfId="44862"/>
    <cellStyle name="Serguei 7 14" xfId="44863"/>
    <cellStyle name="Serguei 7 15" xfId="44864"/>
    <cellStyle name="Serguei 7 16" xfId="44865"/>
    <cellStyle name="Serguei 7 17" xfId="44866"/>
    <cellStyle name="Serguei 7 18" xfId="44867"/>
    <cellStyle name="Serguei 7 2" xfId="44868"/>
    <cellStyle name="Serguei 7 2 2" xfId="44869"/>
    <cellStyle name="Serguei 7 2 3" xfId="44870"/>
    <cellStyle name="Serguei 7 3" xfId="44871"/>
    <cellStyle name="Serguei 7 3 2" xfId="44872"/>
    <cellStyle name="Serguei 7 4" xfId="44873"/>
    <cellStyle name="Serguei 7 5" xfId="44874"/>
    <cellStyle name="Serguei 7 6" xfId="44875"/>
    <cellStyle name="Serguei 7 7" xfId="44876"/>
    <cellStyle name="Serguei 7 8" xfId="44877"/>
    <cellStyle name="Serguei 7 9" xfId="44878"/>
    <cellStyle name="Serguei 8" xfId="44879"/>
    <cellStyle name="Serguei 8 2" xfId="44880"/>
    <cellStyle name="Serguei 8 2 2" xfId="44881"/>
    <cellStyle name="Serguei 8 3" xfId="44882"/>
    <cellStyle name="Serguei 8 4" xfId="44883"/>
    <cellStyle name="Serguei 9" xfId="44884"/>
    <cellStyle name="Sheet Title" xfId="44885"/>
    <cellStyle name="Sheet_Header" xfId="44886"/>
    <cellStyle name="Short Date" xfId="44887"/>
    <cellStyle name="Show_Sell" xfId="44888"/>
    <cellStyle name="Single Accounting" xfId="44889"/>
    <cellStyle name="small" xfId="44890"/>
    <cellStyle name="small 2" xfId="44891"/>
    <cellStyle name="small 3" xfId="44892"/>
    <cellStyle name="Standaard_laroux" xfId="44893"/>
    <cellStyle name="Standard" xfId="44894"/>
    <cellStyle name="Stock Comma" xfId="44895"/>
    <cellStyle name="Stock Comma 2" xfId="44896"/>
    <cellStyle name="Stock Price" xfId="44897"/>
    <cellStyle name="Stock Price 2" xfId="44898"/>
    <cellStyle name="Straipsnis1" xfId="44899"/>
    <cellStyle name="Straipsnis4" xfId="44900"/>
    <cellStyle name="Strange" xfId="44901"/>
    <cellStyle name="Strange 2" xfId="44902"/>
    <cellStyle name="STYLE1 - Style1" xfId="44903"/>
    <cellStyle name="STYLE1 - Style1 2" xfId="44904"/>
    <cellStyle name="STYLE1 - Style1 3" xfId="44905"/>
    <cellStyle name="STYLE1 - Style1 4" xfId="44906"/>
    <cellStyle name="STYLE1 - Style1 5" xfId="44907"/>
    <cellStyle name="styleColumnTitles" xfId="44908"/>
    <cellStyle name="styleColumnTitles 10" xfId="44909"/>
    <cellStyle name="styleColumnTitles 11" xfId="44910"/>
    <cellStyle name="styleColumnTitles 12" xfId="44911"/>
    <cellStyle name="styleColumnTitles 13" xfId="44912"/>
    <cellStyle name="styleColumnTitles 14" xfId="44913"/>
    <cellStyle name="styleColumnTitles 15" xfId="44914"/>
    <cellStyle name="styleColumnTitles 16" xfId="44915"/>
    <cellStyle name="styleColumnTitles 17" xfId="44916"/>
    <cellStyle name="styleColumnTitles 18" xfId="44917"/>
    <cellStyle name="styleColumnTitles 19" xfId="44918"/>
    <cellStyle name="styleColumnTitles 2" xfId="44919"/>
    <cellStyle name="styleColumnTitles 2 10" xfId="44920"/>
    <cellStyle name="styleColumnTitles 2 11" xfId="44921"/>
    <cellStyle name="styleColumnTitles 2 12" xfId="44922"/>
    <cellStyle name="styleColumnTitles 2 13" xfId="44923"/>
    <cellStyle name="styleColumnTitles 2 14" xfId="44924"/>
    <cellStyle name="styleColumnTitles 2 15" xfId="44925"/>
    <cellStyle name="styleColumnTitles 2 16" xfId="44926"/>
    <cellStyle name="styleColumnTitles 2 17" xfId="44927"/>
    <cellStyle name="styleColumnTitles 2 18" xfId="44928"/>
    <cellStyle name="styleColumnTitles 2 2" xfId="44929"/>
    <cellStyle name="styleColumnTitles 2 2 2" xfId="44930"/>
    <cellStyle name="styleColumnTitles 2 2 2 2" xfId="44931"/>
    <cellStyle name="styleColumnTitles 2 2 3" xfId="44932"/>
    <cellStyle name="styleColumnTitles 2 2 4" xfId="44933"/>
    <cellStyle name="styleColumnTitles 2 3" xfId="44934"/>
    <cellStyle name="styleColumnTitles 2 3 2" xfId="44935"/>
    <cellStyle name="styleColumnTitles 2 3 3" xfId="44936"/>
    <cellStyle name="styleColumnTitles 2 4" xfId="44937"/>
    <cellStyle name="styleColumnTitles 2 4 2" xfId="44938"/>
    <cellStyle name="styleColumnTitles 2 5" xfId="44939"/>
    <cellStyle name="styleColumnTitles 2 6" xfId="44940"/>
    <cellStyle name="styleColumnTitles 2 7" xfId="44941"/>
    <cellStyle name="styleColumnTitles 2 8" xfId="44942"/>
    <cellStyle name="styleColumnTitles 2 9" xfId="44943"/>
    <cellStyle name="styleColumnTitles 20" xfId="44944"/>
    <cellStyle name="styleColumnTitles 21" xfId="44945"/>
    <cellStyle name="styleColumnTitles 22" xfId="44946"/>
    <cellStyle name="styleColumnTitles 3" xfId="44947"/>
    <cellStyle name="styleColumnTitles 3 10" xfId="44948"/>
    <cellStyle name="styleColumnTitles 3 11" xfId="44949"/>
    <cellStyle name="styleColumnTitles 3 12" xfId="44950"/>
    <cellStyle name="styleColumnTitles 3 13" xfId="44951"/>
    <cellStyle name="styleColumnTitles 3 14" xfId="44952"/>
    <cellStyle name="styleColumnTitles 3 15" xfId="44953"/>
    <cellStyle name="styleColumnTitles 3 16" xfId="44954"/>
    <cellStyle name="styleColumnTitles 3 17" xfId="44955"/>
    <cellStyle name="styleColumnTitles 3 18" xfId="44956"/>
    <cellStyle name="styleColumnTitles 3 2" xfId="44957"/>
    <cellStyle name="styleColumnTitles 3 2 2" xfId="44958"/>
    <cellStyle name="styleColumnTitles 3 2 2 2" xfId="44959"/>
    <cellStyle name="styleColumnTitles 3 2 3" xfId="44960"/>
    <cellStyle name="styleColumnTitles 3 2 4" xfId="44961"/>
    <cellStyle name="styleColumnTitles 3 3" xfId="44962"/>
    <cellStyle name="styleColumnTitles 3 3 2" xfId="44963"/>
    <cellStyle name="styleColumnTitles 3 3 3" xfId="44964"/>
    <cellStyle name="styleColumnTitles 3 4" xfId="44965"/>
    <cellStyle name="styleColumnTitles 3 4 2" xfId="44966"/>
    <cellStyle name="styleColumnTitles 3 5" xfId="44967"/>
    <cellStyle name="styleColumnTitles 3 6" xfId="44968"/>
    <cellStyle name="styleColumnTitles 3 7" xfId="44969"/>
    <cellStyle name="styleColumnTitles 3 8" xfId="44970"/>
    <cellStyle name="styleColumnTitles 3 9" xfId="44971"/>
    <cellStyle name="styleColumnTitles 4" xfId="44972"/>
    <cellStyle name="styleColumnTitles 4 2" xfId="44973"/>
    <cellStyle name="styleColumnTitles 4 2 2" xfId="44974"/>
    <cellStyle name="styleColumnTitles 4 2 3" xfId="44975"/>
    <cellStyle name="styleColumnTitles 4 3" xfId="44976"/>
    <cellStyle name="styleColumnTitles 4 3 2" xfId="44977"/>
    <cellStyle name="styleColumnTitles 4 4" xfId="44978"/>
    <cellStyle name="styleColumnTitles 4 5" xfId="44979"/>
    <cellStyle name="styleColumnTitles 5" xfId="44980"/>
    <cellStyle name="styleColumnTitles 5 2" xfId="44981"/>
    <cellStyle name="styleColumnTitles 5 2 2" xfId="44982"/>
    <cellStyle name="styleColumnTitles 5 3" xfId="44983"/>
    <cellStyle name="styleColumnTitles 5 4" xfId="44984"/>
    <cellStyle name="styleColumnTitles 6" xfId="44985"/>
    <cellStyle name="styleColumnTitles 6 2" xfId="44986"/>
    <cellStyle name="styleColumnTitles 6 3" xfId="44987"/>
    <cellStyle name="styleColumnTitles 7" xfId="44988"/>
    <cellStyle name="styleColumnTitles 7 2" xfId="44989"/>
    <cellStyle name="styleColumnTitles 8" xfId="44990"/>
    <cellStyle name="styleColumnTitles 9" xfId="44991"/>
    <cellStyle name="styleDateRange" xfId="44992"/>
    <cellStyle name="styleDateRange 10" xfId="44993"/>
    <cellStyle name="styleDateRange 11" xfId="44994"/>
    <cellStyle name="styleDateRange 12" xfId="44995"/>
    <cellStyle name="styleDateRange 13" xfId="44996"/>
    <cellStyle name="styleDateRange 14" xfId="44997"/>
    <cellStyle name="styleDateRange 15" xfId="44998"/>
    <cellStyle name="styleDateRange 16" xfId="44999"/>
    <cellStyle name="styleDateRange 17" xfId="45000"/>
    <cellStyle name="styleDateRange 18" xfId="45001"/>
    <cellStyle name="styleDateRange 19" xfId="45002"/>
    <cellStyle name="styleDateRange 2" xfId="45003"/>
    <cellStyle name="styleDateRange 2 10" xfId="45004"/>
    <cellStyle name="styleDateRange 2 11" xfId="45005"/>
    <cellStyle name="styleDateRange 2 12" xfId="45006"/>
    <cellStyle name="styleDateRange 2 13" xfId="45007"/>
    <cellStyle name="styleDateRange 2 14" xfId="45008"/>
    <cellStyle name="styleDateRange 2 15" xfId="45009"/>
    <cellStyle name="styleDateRange 2 16" xfId="45010"/>
    <cellStyle name="styleDateRange 2 17" xfId="45011"/>
    <cellStyle name="styleDateRange 2 18" xfId="45012"/>
    <cellStyle name="styleDateRange 2 2" xfId="45013"/>
    <cellStyle name="styleDateRange 2 2 2" xfId="45014"/>
    <cellStyle name="styleDateRange 2 2 2 2" xfId="45015"/>
    <cellStyle name="styleDateRange 2 2 3" xfId="45016"/>
    <cellStyle name="styleDateRange 2 2 4" xfId="45017"/>
    <cellStyle name="styleDateRange 2 3" xfId="45018"/>
    <cellStyle name="styleDateRange 2 3 2" xfId="45019"/>
    <cellStyle name="styleDateRange 2 3 3" xfId="45020"/>
    <cellStyle name="styleDateRange 2 4" xfId="45021"/>
    <cellStyle name="styleDateRange 2 4 2" xfId="45022"/>
    <cellStyle name="styleDateRange 2 5" xfId="45023"/>
    <cellStyle name="styleDateRange 2 6" xfId="45024"/>
    <cellStyle name="styleDateRange 2 7" xfId="45025"/>
    <cellStyle name="styleDateRange 2 8" xfId="45026"/>
    <cellStyle name="styleDateRange 2 9" xfId="45027"/>
    <cellStyle name="styleDateRange 20" xfId="45028"/>
    <cellStyle name="styleDateRange 21" xfId="45029"/>
    <cellStyle name="styleDateRange 22" xfId="45030"/>
    <cellStyle name="styleDateRange 3" xfId="45031"/>
    <cellStyle name="styleDateRange 3 10" xfId="45032"/>
    <cellStyle name="styleDateRange 3 11" xfId="45033"/>
    <cellStyle name="styleDateRange 3 12" xfId="45034"/>
    <cellStyle name="styleDateRange 3 13" xfId="45035"/>
    <cellStyle name="styleDateRange 3 14" xfId="45036"/>
    <cellStyle name="styleDateRange 3 15" xfId="45037"/>
    <cellStyle name="styleDateRange 3 16" xfId="45038"/>
    <cellStyle name="styleDateRange 3 17" xfId="45039"/>
    <cellStyle name="styleDateRange 3 18" xfId="45040"/>
    <cellStyle name="styleDateRange 3 2" xfId="45041"/>
    <cellStyle name="styleDateRange 3 2 2" xfId="45042"/>
    <cellStyle name="styleDateRange 3 2 2 2" xfId="45043"/>
    <cellStyle name="styleDateRange 3 2 3" xfId="45044"/>
    <cellStyle name="styleDateRange 3 2 4" xfId="45045"/>
    <cellStyle name="styleDateRange 3 3" xfId="45046"/>
    <cellStyle name="styleDateRange 3 3 2" xfId="45047"/>
    <cellStyle name="styleDateRange 3 3 3" xfId="45048"/>
    <cellStyle name="styleDateRange 3 4" xfId="45049"/>
    <cellStyle name="styleDateRange 3 4 2" xfId="45050"/>
    <cellStyle name="styleDateRange 3 5" xfId="45051"/>
    <cellStyle name="styleDateRange 3 6" xfId="45052"/>
    <cellStyle name="styleDateRange 3 7" xfId="45053"/>
    <cellStyle name="styleDateRange 3 8" xfId="45054"/>
    <cellStyle name="styleDateRange 3 9" xfId="45055"/>
    <cellStyle name="styleDateRange 4" xfId="45056"/>
    <cellStyle name="styleDateRange 4 2" xfId="45057"/>
    <cellStyle name="styleDateRange 4 2 2" xfId="45058"/>
    <cellStyle name="styleDateRange 4 2 3" xfId="45059"/>
    <cellStyle name="styleDateRange 4 3" xfId="45060"/>
    <cellStyle name="styleDateRange 4 3 2" xfId="45061"/>
    <cellStyle name="styleDateRange 4 4" xfId="45062"/>
    <cellStyle name="styleDateRange 4 5" xfId="45063"/>
    <cellStyle name="styleDateRange 5" xfId="45064"/>
    <cellStyle name="styleDateRange 5 2" xfId="45065"/>
    <cellStyle name="styleDateRange 5 2 2" xfId="45066"/>
    <cellStyle name="styleDateRange 5 3" xfId="45067"/>
    <cellStyle name="styleDateRange 5 4" xfId="45068"/>
    <cellStyle name="styleDateRange 6" xfId="45069"/>
    <cellStyle name="styleDateRange 6 2" xfId="45070"/>
    <cellStyle name="styleDateRange 6 3" xfId="45071"/>
    <cellStyle name="styleDateRange 7" xfId="45072"/>
    <cellStyle name="styleDateRange 7 2" xfId="45073"/>
    <cellStyle name="styleDateRange 8" xfId="45074"/>
    <cellStyle name="styleDateRange 9" xfId="45075"/>
    <cellStyle name="styleHidden" xfId="45076"/>
    <cellStyle name="styleNormal" xfId="45077"/>
    <cellStyle name="styleSeriesAttributes" xfId="45078"/>
    <cellStyle name="styleSeriesAttributes 10" xfId="45079"/>
    <cellStyle name="styleSeriesAttributes 11" xfId="45080"/>
    <cellStyle name="styleSeriesAttributes 12" xfId="45081"/>
    <cellStyle name="styleSeriesAttributes 13" xfId="45082"/>
    <cellStyle name="styleSeriesAttributes 14" xfId="45083"/>
    <cellStyle name="styleSeriesAttributes 15" xfId="45084"/>
    <cellStyle name="styleSeriesAttributes 16" xfId="45085"/>
    <cellStyle name="styleSeriesAttributes 17" xfId="45086"/>
    <cellStyle name="styleSeriesAttributes 18" xfId="45087"/>
    <cellStyle name="styleSeriesAttributes 19" xfId="45088"/>
    <cellStyle name="styleSeriesAttributes 2" xfId="45089"/>
    <cellStyle name="styleSeriesAttributes 2 10" xfId="45090"/>
    <cellStyle name="styleSeriesAttributes 2 11" xfId="45091"/>
    <cellStyle name="styleSeriesAttributes 2 12" xfId="45092"/>
    <cellStyle name="styleSeriesAttributes 2 13" xfId="45093"/>
    <cellStyle name="styleSeriesAttributes 2 14" xfId="45094"/>
    <cellStyle name="styleSeriesAttributes 2 15" xfId="45095"/>
    <cellStyle name="styleSeriesAttributes 2 16" xfId="45096"/>
    <cellStyle name="styleSeriesAttributes 2 17" xfId="45097"/>
    <cellStyle name="styleSeriesAttributes 2 18" xfId="45098"/>
    <cellStyle name="styleSeriesAttributes 2 2" xfId="45099"/>
    <cellStyle name="styleSeriesAttributes 2 2 2" xfId="45100"/>
    <cellStyle name="styleSeriesAttributes 2 2 2 2" xfId="45101"/>
    <cellStyle name="styleSeriesAttributes 2 2 3" xfId="45102"/>
    <cellStyle name="styleSeriesAttributes 2 2 4" xfId="45103"/>
    <cellStyle name="styleSeriesAttributes 2 3" xfId="45104"/>
    <cellStyle name="styleSeriesAttributes 2 3 2" xfId="45105"/>
    <cellStyle name="styleSeriesAttributes 2 3 3" xfId="45106"/>
    <cellStyle name="styleSeriesAttributes 2 4" xfId="45107"/>
    <cellStyle name="styleSeriesAttributes 2 4 2" xfId="45108"/>
    <cellStyle name="styleSeriesAttributes 2 5" xfId="45109"/>
    <cellStyle name="styleSeriesAttributes 2 6" xfId="45110"/>
    <cellStyle name="styleSeriesAttributes 2 7" xfId="45111"/>
    <cellStyle name="styleSeriesAttributes 2 8" xfId="45112"/>
    <cellStyle name="styleSeriesAttributes 2 9" xfId="45113"/>
    <cellStyle name="styleSeriesAttributes 20" xfId="45114"/>
    <cellStyle name="styleSeriesAttributes 21" xfId="45115"/>
    <cellStyle name="styleSeriesAttributes 22" xfId="45116"/>
    <cellStyle name="styleSeriesAttributes 3" xfId="45117"/>
    <cellStyle name="styleSeriesAttributes 3 10" xfId="45118"/>
    <cellStyle name="styleSeriesAttributes 3 11" xfId="45119"/>
    <cellStyle name="styleSeriesAttributes 3 12" xfId="45120"/>
    <cellStyle name="styleSeriesAttributes 3 13" xfId="45121"/>
    <cellStyle name="styleSeriesAttributes 3 14" xfId="45122"/>
    <cellStyle name="styleSeriesAttributes 3 15" xfId="45123"/>
    <cellStyle name="styleSeriesAttributes 3 16" xfId="45124"/>
    <cellStyle name="styleSeriesAttributes 3 17" xfId="45125"/>
    <cellStyle name="styleSeriesAttributes 3 18" xfId="45126"/>
    <cellStyle name="styleSeriesAttributes 3 2" xfId="45127"/>
    <cellStyle name="styleSeriesAttributes 3 2 2" xfId="45128"/>
    <cellStyle name="styleSeriesAttributes 3 2 2 2" xfId="45129"/>
    <cellStyle name="styleSeriesAttributes 3 2 3" xfId="45130"/>
    <cellStyle name="styleSeriesAttributes 3 2 4" xfId="45131"/>
    <cellStyle name="styleSeriesAttributes 3 3" xfId="45132"/>
    <cellStyle name="styleSeriesAttributes 3 3 2" xfId="45133"/>
    <cellStyle name="styleSeriesAttributes 3 3 3" xfId="45134"/>
    <cellStyle name="styleSeriesAttributes 3 4" xfId="45135"/>
    <cellStyle name="styleSeriesAttributes 3 4 2" xfId="45136"/>
    <cellStyle name="styleSeriesAttributes 3 5" xfId="45137"/>
    <cellStyle name="styleSeriesAttributes 3 6" xfId="45138"/>
    <cellStyle name="styleSeriesAttributes 3 7" xfId="45139"/>
    <cellStyle name="styleSeriesAttributes 3 8" xfId="45140"/>
    <cellStyle name="styleSeriesAttributes 3 9" xfId="45141"/>
    <cellStyle name="styleSeriesAttributes 4" xfId="45142"/>
    <cellStyle name="styleSeriesAttributes 4 2" xfId="45143"/>
    <cellStyle name="styleSeriesAttributes 4 2 2" xfId="45144"/>
    <cellStyle name="styleSeriesAttributes 4 2 3" xfId="45145"/>
    <cellStyle name="styleSeriesAttributes 4 3" xfId="45146"/>
    <cellStyle name="styleSeriesAttributes 4 3 2" xfId="45147"/>
    <cellStyle name="styleSeriesAttributes 4 4" xfId="45148"/>
    <cellStyle name="styleSeriesAttributes 4 5" xfId="45149"/>
    <cellStyle name="styleSeriesAttributes 5" xfId="45150"/>
    <cellStyle name="styleSeriesAttributes 5 2" xfId="45151"/>
    <cellStyle name="styleSeriesAttributes 5 2 2" xfId="45152"/>
    <cellStyle name="styleSeriesAttributes 5 3" xfId="45153"/>
    <cellStyle name="styleSeriesAttributes 5 4" xfId="45154"/>
    <cellStyle name="styleSeriesAttributes 6" xfId="45155"/>
    <cellStyle name="styleSeriesAttributes 6 2" xfId="45156"/>
    <cellStyle name="styleSeriesAttributes 6 3" xfId="45157"/>
    <cellStyle name="styleSeriesAttributes 7" xfId="45158"/>
    <cellStyle name="styleSeriesAttributes 7 2" xfId="45159"/>
    <cellStyle name="styleSeriesAttributes 8" xfId="45160"/>
    <cellStyle name="styleSeriesAttributes 9" xfId="45161"/>
    <cellStyle name="styleSeriesData" xfId="45162"/>
    <cellStyle name="styleSeriesData 10" xfId="45163"/>
    <cellStyle name="styleSeriesData 11" xfId="45164"/>
    <cellStyle name="styleSeriesData 12" xfId="45165"/>
    <cellStyle name="styleSeriesData 13" xfId="45166"/>
    <cellStyle name="styleSeriesData 14" xfId="45167"/>
    <cellStyle name="styleSeriesData 15" xfId="45168"/>
    <cellStyle name="styleSeriesData 16" xfId="45169"/>
    <cellStyle name="styleSeriesData 17" xfId="45170"/>
    <cellStyle name="styleSeriesData 18" xfId="45171"/>
    <cellStyle name="styleSeriesData 19" xfId="45172"/>
    <cellStyle name="styleSeriesData 2" xfId="45173"/>
    <cellStyle name="styleSeriesData 2 10" xfId="45174"/>
    <cellStyle name="styleSeriesData 2 11" xfId="45175"/>
    <cellStyle name="styleSeriesData 2 12" xfId="45176"/>
    <cellStyle name="styleSeriesData 2 13" xfId="45177"/>
    <cellStyle name="styleSeriesData 2 14" xfId="45178"/>
    <cellStyle name="styleSeriesData 2 15" xfId="45179"/>
    <cellStyle name="styleSeriesData 2 16" xfId="45180"/>
    <cellStyle name="styleSeriesData 2 17" xfId="45181"/>
    <cellStyle name="styleSeriesData 2 18" xfId="45182"/>
    <cellStyle name="styleSeriesData 2 2" xfId="45183"/>
    <cellStyle name="styleSeriesData 2 2 2" xfId="45184"/>
    <cellStyle name="styleSeriesData 2 2 2 2" xfId="45185"/>
    <cellStyle name="styleSeriesData 2 2 3" xfId="45186"/>
    <cellStyle name="styleSeriesData 2 2 4" xfId="45187"/>
    <cellStyle name="styleSeriesData 2 3" xfId="45188"/>
    <cellStyle name="styleSeriesData 2 3 2" xfId="45189"/>
    <cellStyle name="styleSeriesData 2 3 3" xfId="45190"/>
    <cellStyle name="styleSeriesData 2 4" xfId="45191"/>
    <cellStyle name="styleSeriesData 2 4 2" xfId="45192"/>
    <cellStyle name="styleSeriesData 2 5" xfId="45193"/>
    <cellStyle name="styleSeriesData 2 6" xfId="45194"/>
    <cellStyle name="styleSeriesData 2 7" xfId="45195"/>
    <cellStyle name="styleSeriesData 2 8" xfId="45196"/>
    <cellStyle name="styleSeriesData 2 9" xfId="45197"/>
    <cellStyle name="styleSeriesData 20" xfId="45198"/>
    <cellStyle name="styleSeriesData 21" xfId="45199"/>
    <cellStyle name="styleSeriesData 22" xfId="45200"/>
    <cellStyle name="styleSeriesData 3" xfId="45201"/>
    <cellStyle name="styleSeriesData 3 10" xfId="45202"/>
    <cellStyle name="styleSeriesData 3 11" xfId="45203"/>
    <cellStyle name="styleSeriesData 3 12" xfId="45204"/>
    <cellStyle name="styleSeriesData 3 13" xfId="45205"/>
    <cellStyle name="styleSeriesData 3 14" xfId="45206"/>
    <cellStyle name="styleSeriesData 3 15" xfId="45207"/>
    <cellStyle name="styleSeriesData 3 16" xfId="45208"/>
    <cellStyle name="styleSeriesData 3 17" xfId="45209"/>
    <cellStyle name="styleSeriesData 3 18" xfId="45210"/>
    <cellStyle name="styleSeriesData 3 2" xfId="45211"/>
    <cellStyle name="styleSeriesData 3 2 2" xfId="45212"/>
    <cellStyle name="styleSeriesData 3 2 2 2" xfId="45213"/>
    <cellStyle name="styleSeriesData 3 2 3" xfId="45214"/>
    <cellStyle name="styleSeriesData 3 2 4" xfId="45215"/>
    <cellStyle name="styleSeriesData 3 3" xfId="45216"/>
    <cellStyle name="styleSeriesData 3 3 2" xfId="45217"/>
    <cellStyle name="styleSeriesData 3 3 3" xfId="45218"/>
    <cellStyle name="styleSeriesData 3 4" xfId="45219"/>
    <cellStyle name="styleSeriesData 3 4 2" xfId="45220"/>
    <cellStyle name="styleSeriesData 3 5" xfId="45221"/>
    <cellStyle name="styleSeriesData 3 6" xfId="45222"/>
    <cellStyle name="styleSeriesData 3 7" xfId="45223"/>
    <cellStyle name="styleSeriesData 3 8" xfId="45224"/>
    <cellStyle name="styleSeriesData 3 9" xfId="45225"/>
    <cellStyle name="styleSeriesData 4" xfId="45226"/>
    <cellStyle name="styleSeriesData 4 2" xfId="45227"/>
    <cellStyle name="styleSeriesData 4 2 2" xfId="45228"/>
    <cellStyle name="styleSeriesData 4 2 3" xfId="45229"/>
    <cellStyle name="styleSeriesData 4 3" xfId="45230"/>
    <cellStyle name="styleSeriesData 4 3 2" xfId="45231"/>
    <cellStyle name="styleSeriesData 4 4" xfId="45232"/>
    <cellStyle name="styleSeriesData 4 5" xfId="45233"/>
    <cellStyle name="styleSeriesData 5" xfId="45234"/>
    <cellStyle name="styleSeriesData 5 2" xfId="45235"/>
    <cellStyle name="styleSeriesData 5 2 2" xfId="45236"/>
    <cellStyle name="styleSeriesData 5 3" xfId="45237"/>
    <cellStyle name="styleSeriesData 5 4" xfId="45238"/>
    <cellStyle name="styleSeriesData 6" xfId="45239"/>
    <cellStyle name="styleSeriesData 6 2" xfId="45240"/>
    <cellStyle name="styleSeriesData 6 3" xfId="45241"/>
    <cellStyle name="styleSeriesData 7" xfId="45242"/>
    <cellStyle name="styleSeriesData 7 2" xfId="45243"/>
    <cellStyle name="styleSeriesData 8" xfId="45244"/>
    <cellStyle name="styleSeriesData 9" xfId="45245"/>
    <cellStyle name="styleSeriesDataForecast" xfId="45246"/>
    <cellStyle name="styleSeriesDataForecast 10" xfId="45247"/>
    <cellStyle name="styleSeriesDataForecast 11" xfId="45248"/>
    <cellStyle name="styleSeriesDataForecast 12" xfId="45249"/>
    <cellStyle name="styleSeriesDataForecast 13" xfId="45250"/>
    <cellStyle name="styleSeriesDataForecast 14" xfId="45251"/>
    <cellStyle name="styleSeriesDataForecast 15" xfId="45252"/>
    <cellStyle name="styleSeriesDataForecast 16" xfId="45253"/>
    <cellStyle name="styleSeriesDataForecast 17" xfId="45254"/>
    <cellStyle name="styleSeriesDataForecast 18" xfId="45255"/>
    <cellStyle name="styleSeriesDataForecast 19" xfId="45256"/>
    <cellStyle name="styleSeriesDataForecast 2" xfId="45257"/>
    <cellStyle name="styleSeriesDataForecast 2 10" xfId="45258"/>
    <cellStyle name="styleSeriesDataForecast 2 11" xfId="45259"/>
    <cellStyle name="styleSeriesDataForecast 2 12" xfId="45260"/>
    <cellStyle name="styleSeriesDataForecast 2 13" xfId="45261"/>
    <cellStyle name="styleSeriesDataForecast 2 14" xfId="45262"/>
    <cellStyle name="styleSeriesDataForecast 2 15" xfId="45263"/>
    <cellStyle name="styleSeriesDataForecast 2 16" xfId="45264"/>
    <cellStyle name="styleSeriesDataForecast 2 17" xfId="45265"/>
    <cellStyle name="styleSeriesDataForecast 2 18" xfId="45266"/>
    <cellStyle name="styleSeriesDataForecast 2 2" xfId="45267"/>
    <cellStyle name="styleSeriesDataForecast 2 2 2" xfId="45268"/>
    <cellStyle name="styleSeriesDataForecast 2 2 2 2" xfId="45269"/>
    <cellStyle name="styleSeriesDataForecast 2 2 3" xfId="45270"/>
    <cellStyle name="styleSeriesDataForecast 2 2 4" xfId="45271"/>
    <cellStyle name="styleSeriesDataForecast 2 3" xfId="45272"/>
    <cellStyle name="styleSeriesDataForecast 2 3 2" xfId="45273"/>
    <cellStyle name="styleSeriesDataForecast 2 3 3" xfId="45274"/>
    <cellStyle name="styleSeriesDataForecast 2 4" xfId="45275"/>
    <cellStyle name="styleSeriesDataForecast 2 4 2" xfId="45276"/>
    <cellStyle name="styleSeriesDataForecast 2 5" xfId="45277"/>
    <cellStyle name="styleSeriesDataForecast 2 6" xfId="45278"/>
    <cellStyle name="styleSeriesDataForecast 2 7" xfId="45279"/>
    <cellStyle name="styleSeriesDataForecast 2 8" xfId="45280"/>
    <cellStyle name="styleSeriesDataForecast 2 9" xfId="45281"/>
    <cellStyle name="styleSeriesDataForecast 20" xfId="45282"/>
    <cellStyle name="styleSeriesDataForecast 21" xfId="45283"/>
    <cellStyle name="styleSeriesDataForecast 22" xfId="45284"/>
    <cellStyle name="styleSeriesDataForecast 3" xfId="45285"/>
    <cellStyle name="styleSeriesDataForecast 3 10" xfId="45286"/>
    <cellStyle name="styleSeriesDataForecast 3 11" xfId="45287"/>
    <cellStyle name="styleSeriesDataForecast 3 12" xfId="45288"/>
    <cellStyle name="styleSeriesDataForecast 3 13" xfId="45289"/>
    <cellStyle name="styleSeriesDataForecast 3 14" xfId="45290"/>
    <cellStyle name="styleSeriesDataForecast 3 15" xfId="45291"/>
    <cellStyle name="styleSeriesDataForecast 3 16" xfId="45292"/>
    <cellStyle name="styleSeriesDataForecast 3 17" xfId="45293"/>
    <cellStyle name="styleSeriesDataForecast 3 18" xfId="45294"/>
    <cellStyle name="styleSeriesDataForecast 3 2" xfId="45295"/>
    <cellStyle name="styleSeriesDataForecast 3 2 2" xfId="45296"/>
    <cellStyle name="styleSeriesDataForecast 3 2 2 2" xfId="45297"/>
    <cellStyle name="styleSeriesDataForecast 3 2 3" xfId="45298"/>
    <cellStyle name="styleSeriesDataForecast 3 2 4" xfId="45299"/>
    <cellStyle name="styleSeriesDataForecast 3 3" xfId="45300"/>
    <cellStyle name="styleSeriesDataForecast 3 3 2" xfId="45301"/>
    <cellStyle name="styleSeriesDataForecast 3 3 3" xfId="45302"/>
    <cellStyle name="styleSeriesDataForecast 3 4" xfId="45303"/>
    <cellStyle name="styleSeriesDataForecast 3 4 2" xfId="45304"/>
    <cellStyle name="styleSeriesDataForecast 3 5" xfId="45305"/>
    <cellStyle name="styleSeriesDataForecast 3 6" xfId="45306"/>
    <cellStyle name="styleSeriesDataForecast 3 7" xfId="45307"/>
    <cellStyle name="styleSeriesDataForecast 3 8" xfId="45308"/>
    <cellStyle name="styleSeriesDataForecast 3 9" xfId="45309"/>
    <cellStyle name="styleSeriesDataForecast 4" xfId="45310"/>
    <cellStyle name="styleSeriesDataForecast 4 2" xfId="45311"/>
    <cellStyle name="styleSeriesDataForecast 4 2 2" xfId="45312"/>
    <cellStyle name="styleSeriesDataForecast 4 2 3" xfId="45313"/>
    <cellStyle name="styleSeriesDataForecast 4 3" xfId="45314"/>
    <cellStyle name="styleSeriesDataForecast 4 3 2" xfId="45315"/>
    <cellStyle name="styleSeriesDataForecast 4 4" xfId="45316"/>
    <cellStyle name="styleSeriesDataForecast 4 5" xfId="45317"/>
    <cellStyle name="styleSeriesDataForecast 5" xfId="45318"/>
    <cellStyle name="styleSeriesDataForecast 5 2" xfId="45319"/>
    <cellStyle name="styleSeriesDataForecast 5 2 2" xfId="45320"/>
    <cellStyle name="styleSeriesDataForecast 5 3" xfId="45321"/>
    <cellStyle name="styleSeriesDataForecast 5 4" xfId="45322"/>
    <cellStyle name="styleSeriesDataForecast 6" xfId="45323"/>
    <cellStyle name="styleSeriesDataForecast 6 2" xfId="45324"/>
    <cellStyle name="styleSeriesDataForecast 6 3" xfId="45325"/>
    <cellStyle name="styleSeriesDataForecast 7" xfId="45326"/>
    <cellStyle name="styleSeriesDataForecast 7 2" xfId="45327"/>
    <cellStyle name="styleSeriesDataForecast 8" xfId="45328"/>
    <cellStyle name="styleSeriesDataForecast 9" xfId="45329"/>
    <cellStyle name="styleSeriesDataForecastNA" xfId="45330"/>
    <cellStyle name="styleSeriesDataForecastNA 10" xfId="45331"/>
    <cellStyle name="styleSeriesDataForecastNA 11" xfId="45332"/>
    <cellStyle name="styleSeriesDataForecastNA 12" xfId="45333"/>
    <cellStyle name="styleSeriesDataForecastNA 13" xfId="45334"/>
    <cellStyle name="styleSeriesDataForecastNA 14" xfId="45335"/>
    <cellStyle name="styleSeriesDataForecastNA 15" xfId="45336"/>
    <cellStyle name="styleSeriesDataForecastNA 16" xfId="45337"/>
    <cellStyle name="styleSeriesDataForecastNA 17" xfId="45338"/>
    <cellStyle name="styleSeriesDataForecastNA 18" xfId="45339"/>
    <cellStyle name="styleSeriesDataForecastNA 19" xfId="45340"/>
    <cellStyle name="styleSeriesDataForecastNA 2" xfId="45341"/>
    <cellStyle name="styleSeriesDataForecastNA 2 10" xfId="45342"/>
    <cellStyle name="styleSeriesDataForecastNA 2 11" xfId="45343"/>
    <cellStyle name="styleSeriesDataForecastNA 2 12" xfId="45344"/>
    <cellStyle name="styleSeriesDataForecastNA 2 13" xfId="45345"/>
    <cellStyle name="styleSeriesDataForecastNA 2 14" xfId="45346"/>
    <cellStyle name="styleSeriesDataForecastNA 2 15" xfId="45347"/>
    <cellStyle name="styleSeriesDataForecastNA 2 16" xfId="45348"/>
    <cellStyle name="styleSeriesDataForecastNA 2 17" xfId="45349"/>
    <cellStyle name="styleSeriesDataForecastNA 2 18" xfId="45350"/>
    <cellStyle name="styleSeriesDataForecastNA 2 2" xfId="45351"/>
    <cellStyle name="styleSeriesDataForecastNA 2 2 2" xfId="45352"/>
    <cellStyle name="styleSeriesDataForecastNA 2 2 2 2" xfId="45353"/>
    <cellStyle name="styleSeriesDataForecastNA 2 2 3" xfId="45354"/>
    <cellStyle name="styleSeriesDataForecastNA 2 2 4" xfId="45355"/>
    <cellStyle name="styleSeriesDataForecastNA 2 3" xfId="45356"/>
    <cellStyle name="styleSeriesDataForecastNA 2 3 2" xfId="45357"/>
    <cellStyle name="styleSeriesDataForecastNA 2 3 3" xfId="45358"/>
    <cellStyle name="styleSeriesDataForecastNA 2 4" xfId="45359"/>
    <cellStyle name="styleSeriesDataForecastNA 2 4 2" xfId="45360"/>
    <cellStyle name="styleSeriesDataForecastNA 2 5" xfId="45361"/>
    <cellStyle name="styleSeriesDataForecastNA 2 6" xfId="45362"/>
    <cellStyle name="styleSeriesDataForecastNA 2 7" xfId="45363"/>
    <cellStyle name="styleSeriesDataForecastNA 2 8" xfId="45364"/>
    <cellStyle name="styleSeriesDataForecastNA 2 9" xfId="45365"/>
    <cellStyle name="styleSeriesDataForecastNA 20" xfId="45366"/>
    <cellStyle name="styleSeriesDataForecastNA 21" xfId="45367"/>
    <cellStyle name="styleSeriesDataForecastNA 22" xfId="45368"/>
    <cellStyle name="styleSeriesDataForecastNA 3" xfId="45369"/>
    <cellStyle name="styleSeriesDataForecastNA 3 10" xfId="45370"/>
    <cellStyle name="styleSeriesDataForecastNA 3 11" xfId="45371"/>
    <cellStyle name="styleSeriesDataForecastNA 3 12" xfId="45372"/>
    <cellStyle name="styleSeriesDataForecastNA 3 13" xfId="45373"/>
    <cellStyle name="styleSeriesDataForecastNA 3 14" xfId="45374"/>
    <cellStyle name="styleSeriesDataForecastNA 3 15" xfId="45375"/>
    <cellStyle name="styleSeriesDataForecastNA 3 16" xfId="45376"/>
    <cellStyle name="styleSeriesDataForecastNA 3 17" xfId="45377"/>
    <cellStyle name="styleSeriesDataForecastNA 3 18" xfId="45378"/>
    <cellStyle name="styleSeriesDataForecastNA 3 2" xfId="45379"/>
    <cellStyle name="styleSeriesDataForecastNA 3 2 2" xfId="45380"/>
    <cellStyle name="styleSeriesDataForecastNA 3 2 2 2" xfId="45381"/>
    <cellStyle name="styleSeriesDataForecastNA 3 2 3" xfId="45382"/>
    <cellStyle name="styleSeriesDataForecastNA 3 2 4" xfId="45383"/>
    <cellStyle name="styleSeriesDataForecastNA 3 3" xfId="45384"/>
    <cellStyle name="styleSeriesDataForecastNA 3 3 2" xfId="45385"/>
    <cellStyle name="styleSeriesDataForecastNA 3 3 3" xfId="45386"/>
    <cellStyle name="styleSeriesDataForecastNA 3 4" xfId="45387"/>
    <cellStyle name="styleSeriesDataForecastNA 3 4 2" xfId="45388"/>
    <cellStyle name="styleSeriesDataForecastNA 3 5" xfId="45389"/>
    <cellStyle name="styleSeriesDataForecastNA 3 6" xfId="45390"/>
    <cellStyle name="styleSeriesDataForecastNA 3 7" xfId="45391"/>
    <cellStyle name="styleSeriesDataForecastNA 3 8" xfId="45392"/>
    <cellStyle name="styleSeriesDataForecastNA 3 9" xfId="45393"/>
    <cellStyle name="styleSeriesDataForecastNA 4" xfId="45394"/>
    <cellStyle name="styleSeriesDataForecastNA 4 2" xfId="45395"/>
    <cellStyle name="styleSeriesDataForecastNA 4 2 2" xfId="45396"/>
    <cellStyle name="styleSeriesDataForecastNA 4 2 3" xfId="45397"/>
    <cellStyle name="styleSeriesDataForecastNA 4 3" xfId="45398"/>
    <cellStyle name="styleSeriesDataForecastNA 4 3 2" xfId="45399"/>
    <cellStyle name="styleSeriesDataForecastNA 4 4" xfId="45400"/>
    <cellStyle name="styleSeriesDataForecastNA 4 5" xfId="45401"/>
    <cellStyle name="styleSeriesDataForecastNA 5" xfId="45402"/>
    <cellStyle name="styleSeriesDataForecastNA 5 2" xfId="45403"/>
    <cellStyle name="styleSeriesDataForecastNA 5 2 2" xfId="45404"/>
    <cellStyle name="styleSeriesDataForecastNA 5 3" xfId="45405"/>
    <cellStyle name="styleSeriesDataForecastNA 5 4" xfId="45406"/>
    <cellStyle name="styleSeriesDataForecastNA 6" xfId="45407"/>
    <cellStyle name="styleSeriesDataForecastNA 6 2" xfId="45408"/>
    <cellStyle name="styleSeriesDataForecastNA 6 3" xfId="45409"/>
    <cellStyle name="styleSeriesDataForecastNA 7" xfId="45410"/>
    <cellStyle name="styleSeriesDataForecastNA 7 2" xfId="45411"/>
    <cellStyle name="styleSeriesDataForecastNA 8" xfId="45412"/>
    <cellStyle name="styleSeriesDataForecastNA 9" xfId="45413"/>
    <cellStyle name="styleSeriesDataNA" xfId="45414"/>
    <cellStyle name="styleSeriesDataNA 10" xfId="45415"/>
    <cellStyle name="styleSeriesDataNA 11" xfId="45416"/>
    <cellStyle name="styleSeriesDataNA 12" xfId="45417"/>
    <cellStyle name="styleSeriesDataNA 13" xfId="45418"/>
    <cellStyle name="styleSeriesDataNA 14" xfId="45419"/>
    <cellStyle name="styleSeriesDataNA 15" xfId="45420"/>
    <cellStyle name="styleSeriesDataNA 16" xfId="45421"/>
    <cellStyle name="styleSeriesDataNA 17" xfId="45422"/>
    <cellStyle name="styleSeriesDataNA 18" xfId="45423"/>
    <cellStyle name="styleSeriesDataNA 19" xfId="45424"/>
    <cellStyle name="styleSeriesDataNA 2" xfId="45425"/>
    <cellStyle name="styleSeriesDataNA 2 10" xfId="45426"/>
    <cellStyle name="styleSeriesDataNA 2 11" xfId="45427"/>
    <cellStyle name="styleSeriesDataNA 2 12" xfId="45428"/>
    <cellStyle name="styleSeriesDataNA 2 13" xfId="45429"/>
    <cellStyle name="styleSeriesDataNA 2 14" xfId="45430"/>
    <cellStyle name="styleSeriesDataNA 2 15" xfId="45431"/>
    <cellStyle name="styleSeriesDataNA 2 16" xfId="45432"/>
    <cellStyle name="styleSeriesDataNA 2 17" xfId="45433"/>
    <cellStyle name="styleSeriesDataNA 2 18" xfId="45434"/>
    <cellStyle name="styleSeriesDataNA 2 2" xfId="45435"/>
    <cellStyle name="styleSeriesDataNA 2 2 2" xfId="45436"/>
    <cellStyle name="styleSeriesDataNA 2 2 2 2" xfId="45437"/>
    <cellStyle name="styleSeriesDataNA 2 2 3" xfId="45438"/>
    <cellStyle name="styleSeriesDataNA 2 2 4" xfId="45439"/>
    <cellStyle name="styleSeriesDataNA 2 3" xfId="45440"/>
    <cellStyle name="styleSeriesDataNA 2 3 2" xfId="45441"/>
    <cellStyle name="styleSeriesDataNA 2 3 3" xfId="45442"/>
    <cellStyle name="styleSeriesDataNA 2 4" xfId="45443"/>
    <cellStyle name="styleSeriesDataNA 2 4 2" xfId="45444"/>
    <cellStyle name="styleSeriesDataNA 2 5" xfId="45445"/>
    <cellStyle name="styleSeriesDataNA 2 6" xfId="45446"/>
    <cellStyle name="styleSeriesDataNA 2 7" xfId="45447"/>
    <cellStyle name="styleSeriesDataNA 2 8" xfId="45448"/>
    <cellStyle name="styleSeriesDataNA 2 9" xfId="45449"/>
    <cellStyle name="styleSeriesDataNA 20" xfId="45450"/>
    <cellStyle name="styleSeriesDataNA 21" xfId="45451"/>
    <cellStyle name="styleSeriesDataNA 22" xfId="45452"/>
    <cellStyle name="styleSeriesDataNA 3" xfId="45453"/>
    <cellStyle name="styleSeriesDataNA 3 10" xfId="45454"/>
    <cellStyle name="styleSeriesDataNA 3 11" xfId="45455"/>
    <cellStyle name="styleSeriesDataNA 3 12" xfId="45456"/>
    <cellStyle name="styleSeriesDataNA 3 13" xfId="45457"/>
    <cellStyle name="styleSeriesDataNA 3 14" xfId="45458"/>
    <cellStyle name="styleSeriesDataNA 3 15" xfId="45459"/>
    <cellStyle name="styleSeriesDataNA 3 16" xfId="45460"/>
    <cellStyle name="styleSeriesDataNA 3 17" xfId="45461"/>
    <cellStyle name="styleSeriesDataNA 3 18" xfId="45462"/>
    <cellStyle name="styleSeriesDataNA 3 2" xfId="45463"/>
    <cellStyle name="styleSeriesDataNA 3 2 2" xfId="45464"/>
    <cellStyle name="styleSeriesDataNA 3 2 2 2" xfId="45465"/>
    <cellStyle name="styleSeriesDataNA 3 2 3" xfId="45466"/>
    <cellStyle name="styleSeriesDataNA 3 2 4" xfId="45467"/>
    <cellStyle name="styleSeriesDataNA 3 3" xfId="45468"/>
    <cellStyle name="styleSeriesDataNA 3 3 2" xfId="45469"/>
    <cellStyle name="styleSeriesDataNA 3 3 3" xfId="45470"/>
    <cellStyle name="styleSeriesDataNA 3 4" xfId="45471"/>
    <cellStyle name="styleSeriesDataNA 3 4 2" xfId="45472"/>
    <cellStyle name="styleSeriesDataNA 3 5" xfId="45473"/>
    <cellStyle name="styleSeriesDataNA 3 6" xfId="45474"/>
    <cellStyle name="styleSeriesDataNA 3 7" xfId="45475"/>
    <cellStyle name="styleSeriesDataNA 3 8" xfId="45476"/>
    <cellStyle name="styleSeriesDataNA 3 9" xfId="45477"/>
    <cellStyle name="styleSeriesDataNA 4" xfId="45478"/>
    <cellStyle name="styleSeriesDataNA 4 2" xfId="45479"/>
    <cellStyle name="styleSeriesDataNA 4 2 2" xfId="45480"/>
    <cellStyle name="styleSeriesDataNA 4 2 3" xfId="45481"/>
    <cellStyle name="styleSeriesDataNA 4 3" xfId="45482"/>
    <cellStyle name="styleSeriesDataNA 4 3 2" xfId="45483"/>
    <cellStyle name="styleSeriesDataNA 4 4" xfId="45484"/>
    <cellStyle name="styleSeriesDataNA 4 5" xfId="45485"/>
    <cellStyle name="styleSeriesDataNA 5" xfId="45486"/>
    <cellStyle name="styleSeriesDataNA 5 2" xfId="45487"/>
    <cellStyle name="styleSeriesDataNA 5 2 2" xfId="45488"/>
    <cellStyle name="styleSeriesDataNA 5 3" xfId="45489"/>
    <cellStyle name="styleSeriesDataNA 5 4" xfId="45490"/>
    <cellStyle name="styleSeriesDataNA 6" xfId="45491"/>
    <cellStyle name="styleSeriesDataNA 6 2" xfId="45492"/>
    <cellStyle name="styleSeriesDataNA 6 3" xfId="45493"/>
    <cellStyle name="styleSeriesDataNA 7" xfId="45494"/>
    <cellStyle name="styleSeriesDataNA 7 2" xfId="45495"/>
    <cellStyle name="styleSeriesDataNA 8" xfId="45496"/>
    <cellStyle name="styleSeriesDataNA 9" xfId="45497"/>
    <cellStyle name="SubHead" xfId="45498"/>
    <cellStyle name="Sum" xfId="45499"/>
    <cellStyle name="Sum 2" xfId="45500"/>
    <cellStyle name="Sum 2 2" xfId="45501"/>
    <cellStyle name="Sum 2 3" xfId="45502"/>
    <cellStyle name="Sum 2 4" xfId="45503"/>
    <cellStyle name="Sum 3" xfId="45504"/>
    <cellStyle name="Sum 4" xfId="45505"/>
    <cellStyle name="Summe" xfId="45506"/>
    <cellStyle name="Summe 2" xfId="45507"/>
    <cellStyle name="SYSTEM" xfId="45508"/>
    <cellStyle name="SYSTEM 10" xfId="45509"/>
    <cellStyle name="SYSTEM 11" xfId="45510"/>
    <cellStyle name="SYSTEM 12" xfId="45511"/>
    <cellStyle name="SYSTEM 13" xfId="45512"/>
    <cellStyle name="SYSTEM 14" xfId="45513"/>
    <cellStyle name="SYSTEM 15" xfId="45514"/>
    <cellStyle name="SYSTEM 16" xfId="45515"/>
    <cellStyle name="SYSTEM 17" xfId="45516"/>
    <cellStyle name="SYSTEM 18" xfId="45517"/>
    <cellStyle name="SYSTEM 19" xfId="45518"/>
    <cellStyle name="SYSTEM 2" xfId="45519"/>
    <cellStyle name="SYSTEM 2 10" xfId="45520"/>
    <cellStyle name="SYSTEM 2 11" xfId="45521"/>
    <cellStyle name="SYSTEM 2 12" xfId="45522"/>
    <cellStyle name="SYSTEM 2 13" xfId="45523"/>
    <cellStyle name="SYSTEM 2 14" xfId="45524"/>
    <cellStyle name="SYSTEM 2 15" xfId="45525"/>
    <cellStyle name="SYSTEM 2 16" xfId="45526"/>
    <cellStyle name="SYSTEM 2 17" xfId="45527"/>
    <cellStyle name="SYSTEM 2 18" xfId="45528"/>
    <cellStyle name="SYSTEM 2 19" xfId="45529"/>
    <cellStyle name="SYSTEM 2 2" xfId="45530"/>
    <cellStyle name="SYSTEM 2 2 10" xfId="45531"/>
    <cellStyle name="SYSTEM 2 2 11" xfId="45532"/>
    <cellStyle name="SYSTEM 2 2 12" xfId="45533"/>
    <cellStyle name="SYSTEM 2 2 13" xfId="45534"/>
    <cellStyle name="SYSTEM 2 2 14" xfId="45535"/>
    <cellStyle name="SYSTEM 2 2 15" xfId="45536"/>
    <cellStyle name="SYSTEM 2 2 16" xfId="45537"/>
    <cellStyle name="SYSTEM 2 2 17" xfId="45538"/>
    <cellStyle name="SYSTEM 2 2 18" xfId="45539"/>
    <cellStyle name="SYSTEM 2 2 2" xfId="45540"/>
    <cellStyle name="SYSTEM 2 2 2 2" xfId="45541"/>
    <cellStyle name="SYSTEM 2 2 2 2 2" xfId="45542"/>
    <cellStyle name="SYSTEM 2 2 2 3" xfId="45543"/>
    <cellStyle name="SYSTEM 2 2 2 4" xfId="45544"/>
    <cellStyle name="SYSTEM 2 2 3" xfId="45545"/>
    <cellStyle name="SYSTEM 2 2 3 2" xfId="45546"/>
    <cellStyle name="SYSTEM 2 2 3 3" xfId="45547"/>
    <cellStyle name="SYSTEM 2 2 4" xfId="45548"/>
    <cellStyle name="SYSTEM 2 2 4 2" xfId="45549"/>
    <cellStyle name="SYSTEM 2 2 5" xfId="45550"/>
    <cellStyle name="SYSTEM 2 2 6" xfId="45551"/>
    <cellStyle name="SYSTEM 2 2 7" xfId="45552"/>
    <cellStyle name="SYSTEM 2 2 8" xfId="45553"/>
    <cellStyle name="SYSTEM 2 2 9" xfId="45554"/>
    <cellStyle name="SYSTEM 2 3" xfId="45555"/>
    <cellStyle name="SYSTEM 2 3 10" xfId="45556"/>
    <cellStyle name="SYSTEM 2 3 11" xfId="45557"/>
    <cellStyle name="SYSTEM 2 3 12" xfId="45558"/>
    <cellStyle name="SYSTEM 2 3 13" xfId="45559"/>
    <cellStyle name="SYSTEM 2 3 14" xfId="45560"/>
    <cellStyle name="SYSTEM 2 3 15" xfId="45561"/>
    <cellStyle name="SYSTEM 2 3 16" xfId="45562"/>
    <cellStyle name="SYSTEM 2 3 17" xfId="45563"/>
    <cellStyle name="SYSTEM 2 3 18" xfId="45564"/>
    <cellStyle name="SYSTEM 2 3 2" xfId="45565"/>
    <cellStyle name="SYSTEM 2 3 2 2" xfId="45566"/>
    <cellStyle name="SYSTEM 2 3 2 2 2" xfId="45567"/>
    <cellStyle name="SYSTEM 2 3 2 3" xfId="45568"/>
    <cellStyle name="SYSTEM 2 3 2 4" xfId="45569"/>
    <cellStyle name="SYSTEM 2 3 3" xfId="45570"/>
    <cellStyle name="SYSTEM 2 3 3 2" xfId="45571"/>
    <cellStyle name="SYSTEM 2 3 3 3" xfId="45572"/>
    <cellStyle name="SYSTEM 2 3 4" xfId="45573"/>
    <cellStyle name="SYSTEM 2 3 4 2" xfId="45574"/>
    <cellStyle name="SYSTEM 2 3 5" xfId="45575"/>
    <cellStyle name="SYSTEM 2 3 6" xfId="45576"/>
    <cellStyle name="SYSTEM 2 3 7" xfId="45577"/>
    <cellStyle name="SYSTEM 2 3 8" xfId="45578"/>
    <cellStyle name="SYSTEM 2 3 9" xfId="45579"/>
    <cellStyle name="SYSTEM 2 4" xfId="45580"/>
    <cellStyle name="SYSTEM 2 4 2" xfId="45581"/>
    <cellStyle name="SYSTEM 2 4 2 2" xfId="45582"/>
    <cellStyle name="SYSTEM 2 4 2 3" xfId="45583"/>
    <cellStyle name="SYSTEM 2 4 3" xfId="45584"/>
    <cellStyle name="SYSTEM 2 4 3 2" xfId="45585"/>
    <cellStyle name="SYSTEM 2 4 4" xfId="45586"/>
    <cellStyle name="SYSTEM 2 4 5" xfId="45587"/>
    <cellStyle name="SYSTEM 2 5" xfId="45588"/>
    <cellStyle name="SYSTEM 2 5 2" xfId="45589"/>
    <cellStyle name="SYSTEM 2 5 2 2" xfId="45590"/>
    <cellStyle name="SYSTEM 2 5 3" xfId="45591"/>
    <cellStyle name="SYSTEM 2 5 4" xfId="45592"/>
    <cellStyle name="SYSTEM 2 6" xfId="45593"/>
    <cellStyle name="SYSTEM 2 6 2" xfId="45594"/>
    <cellStyle name="SYSTEM 2 7" xfId="45595"/>
    <cellStyle name="SYSTEM 2 8" xfId="45596"/>
    <cellStyle name="SYSTEM 2 9" xfId="45597"/>
    <cellStyle name="SYSTEM 20" xfId="45598"/>
    <cellStyle name="SYSTEM 21" xfId="45599"/>
    <cellStyle name="SYSTEM 22" xfId="45600"/>
    <cellStyle name="SYSTEM 23" xfId="45601"/>
    <cellStyle name="SYSTEM 24" xfId="45602"/>
    <cellStyle name="SYSTEM 3" xfId="45603"/>
    <cellStyle name="SYSTEM 3 10" xfId="45604"/>
    <cellStyle name="SYSTEM 3 11" xfId="45605"/>
    <cellStyle name="SYSTEM 3 12" xfId="45606"/>
    <cellStyle name="SYSTEM 3 13" xfId="45607"/>
    <cellStyle name="SYSTEM 3 14" xfId="45608"/>
    <cellStyle name="SYSTEM 3 15" xfId="45609"/>
    <cellStyle name="SYSTEM 3 16" xfId="45610"/>
    <cellStyle name="SYSTEM 3 17" xfId="45611"/>
    <cellStyle name="SYSTEM 3 18" xfId="45612"/>
    <cellStyle name="SYSTEM 3 19" xfId="45613"/>
    <cellStyle name="SYSTEM 3 2" xfId="45614"/>
    <cellStyle name="SYSTEM 3 2 10" xfId="45615"/>
    <cellStyle name="SYSTEM 3 2 11" xfId="45616"/>
    <cellStyle name="SYSTEM 3 2 12" xfId="45617"/>
    <cellStyle name="SYSTEM 3 2 13" xfId="45618"/>
    <cellStyle name="SYSTEM 3 2 14" xfId="45619"/>
    <cellStyle name="SYSTEM 3 2 15" xfId="45620"/>
    <cellStyle name="SYSTEM 3 2 16" xfId="45621"/>
    <cellStyle name="SYSTEM 3 2 17" xfId="45622"/>
    <cellStyle name="SYSTEM 3 2 18" xfId="45623"/>
    <cellStyle name="SYSTEM 3 2 2" xfId="45624"/>
    <cellStyle name="SYSTEM 3 2 2 2" xfId="45625"/>
    <cellStyle name="SYSTEM 3 2 2 2 2" xfId="45626"/>
    <cellStyle name="SYSTEM 3 2 2 3" xfId="45627"/>
    <cellStyle name="SYSTEM 3 2 2 4" xfId="45628"/>
    <cellStyle name="SYSTEM 3 2 3" xfId="45629"/>
    <cellStyle name="SYSTEM 3 2 3 2" xfId="45630"/>
    <cellStyle name="SYSTEM 3 2 3 3" xfId="45631"/>
    <cellStyle name="SYSTEM 3 2 4" xfId="45632"/>
    <cellStyle name="SYSTEM 3 2 4 2" xfId="45633"/>
    <cellStyle name="SYSTEM 3 2 5" xfId="45634"/>
    <cellStyle name="SYSTEM 3 2 6" xfId="45635"/>
    <cellStyle name="SYSTEM 3 2 7" xfId="45636"/>
    <cellStyle name="SYSTEM 3 2 8" xfId="45637"/>
    <cellStyle name="SYSTEM 3 2 9" xfId="45638"/>
    <cellStyle name="SYSTEM 3 20" xfId="45639"/>
    <cellStyle name="SYSTEM 3 21" xfId="45640"/>
    <cellStyle name="SYSTEM 3 3" xfId="45641"/>
    <cellStyle name="SYSTEM 3 3 10" xfId="45642"/>
    <cellStyle name="SYSTEM 3 3 11" xfId="45643"/>
    <cellStyle name="SYSTEM 3 3 12" xfId="45644"/>
    <cellStyle name="SYSTEM 3 3 13" xfId="45645"/>
    <cellStyle name="SYSTEM 3 3 14" xfId="45646"/>
    <cellStyle name="SYSTEM 3 3 15" xfId="45647"/>
    <cellStyle name="SYSTEM 3 3 16" xfId="45648"/>
    <cellStyle name="SYSTEM 3 3 17" xfId="45649"/>
    <cellStyle name="SYSTEM 3 3 18" xfId="45650"/>
    <cellStyle name="SYSTEM 3 3 2" xfId="45651"/>
    <cellStyle name="SYSTEM 3 3 2 2" xfId="45652"/>
    <cellStyle name="SYSTEM 3 3 2 2 2" xfId="45653"/>
    <cellStyle name="SYSTEM 3 3 2 3" xfId="45654"/>
    <cellStyle name="SYSTEM 3 3 2 4" xfId="45655"/>
    <cellStyle name="SYSTEM 3 3 3" xfId="45656"/>
    <cellStyle name="SYSTEM 3 3 3 2" xfId="45657"/>
    <cellStyle name="SYSTEM 3 3 3 3" xfId="45658"/>
    <cellStyle name="SYSTEM 3 3 4" xfId="45659"/>
    <cellStyle name="SYSTEM 3 3 4 2" xfId="45660"/>
    <cellStyle name="SYSTEM 3 3 5" xfId="45661"/>
    <cellStyle name="SYSTEM 3 3 6" xfId="45662"/>
    <cellStyle name="SYSTEM 3 3 7" xfId="45663"/>
    <cellStyle name="SYSTEM 3 3 8" xfId="45664"/>
    <cellStyle name="SYSTEM 3 3 9" xfId="45665"/>
    <cellStyle name="SYSTEM 3 4" xfId="45666"/>
    <cellStyle name="SYSTEM 3 4 2" xfId="45667"/>
    <cellStyle name="SYSTEM 3 4 2 2" xfId="45668"/>
    <cellStyle name="SYSTEM 3 4 2 3" xfId="45669"/>
    <cellStyle name="SYSTEM 3 4 3" xfId="45670"/>
    <cellStyle name="SYSTEM 3 4 3 2" xfId="45671"/>
    <cellStyle name="SYSTEM 3 4 4" xfId="45672"/>
    <cellStyle name="SYSTEM 3 4 5" xfId="45673"/>
    <cellStyle name="SYSTEM 3 5" xfId="45674"/>
    <cellStyle name="SYSTEM 3 5 2" xfId="45675"/>
    <cellStyle name="SYSTEM 3 5 2 2" xfId="45676"/>
    <cellStyle name="SYSTEM 3 5 3" xfId="45677"/>
    <cellStyle name="SYSTEM 3 5 4" xfId="45678"/>
    <cellStyle name="SYSTEM 3 6" xfId="45679"/>
    <cellStyle name="SYSTEM 3 6 2" xfId="45680"/>
    <cellStyle name="SYSTEM 3 7" xfId="45681"/>
    <cellStyle name="SYSTEM 3 8" xfId="45682"/>
    <cellStyle name="SYSTEM 3 9" xfId="45683"/>
    <cellStyle name="SYSTEM 4" xfId="45684"/>
    <cellStyle name="SYSTEM 4 10" xfId="45685"/>
    <cellStyle name="SYSTEM 4 11" xfId="45686"/>
    <cellStyle name="SYSTEM 4 12" xfId="45687"/>
    <cellStyle name="SYSTEM 4 13" xfId="45688"/>
    <cellStyle name="SYSTEM 4 14" xfId="45689"/>
    <cellStyle name="SYSTEM 4 15" xfId="45690"/>
    <cellStyle name="SYSTEM 4 16" xfId="45691"/>
    <cellStyle name="SYSTEM 4 17" xfId="45692"/>
    <cellStyle name="SYSTEM 4 18" xfId="45693"/>
    <cellStyle name="SYSTEM 4 19" xfId="45694"/>
    <cellStyle name="SYSTEM 4 2" xfId="45695"/>
    <cellStyle name="SYSTEM 4 2 10" xfId="45696"/>
    <cellStyle name="SYSTEM 4 2 11" xfId="45697"/>
    <cellStyle name="SYSTEM 4 2 12" xfId="45698"/>
    <cellStyle name="SYSTEM 4 2 13" xfId="45699"/>
    <cellStyle name="SYSTEM 4 2 14" xfId="45700"/>
    <cellStyle name="SYSTEM 4 2 15" xfId="45701"/>
    <cellStyle name="SYSTEM 4 2 16" xfId="45702"/>
    <cellStyle name="SYSTEM 4 2 17" xfId="45703"/>
    <cellStyle name="SYSTEM 4 2 18" xfId="45704"/>
    <cellStyle name="SYSTEM 4 2 2" xfId="45705"/>
    <cellStyle name="SYSTEM 4 2 2 2" xfId="45706"/>
    <cellStyle name="SYSTEM 4 2 2 2 2" xfId="45707"/>
    <cellStyle name="SYSTEM 4 2 2 3" xfId="45708"/>
    <cellStyle name="SYSTEM 4 2 2 4" xfId="45709"/>
    <cellStyle name="SYSTEM 4 2 3" xfId="45710"/>
    <cellStyle name="SYSTEM 4 2 3 2" xfId="45711"/>
    <cellStyle name="SYSTEM 4 2 3 3" xfId="45712"/>
    <cellStyle name="SYSTEM 4 2 4" xfId="45713"/>
    <cellStyle name="SYSTEM 4 2 4 2" xfId="45714"/>
    <cellStyle name="SYSTEM 4 2 5" xfId="45715"/>
    <cellStyle name="SYSTEM 4 2 6" xfId="45716"/>
    <cellStyle name="SYSTEM 4 2 7" xfId="45717"/>
    <cellStyle name="SYSTEM 4 2 8" xfId="45718"/>
    <cellStyle name="SYSTEM 4 2 9" xfId="45719"/>
    <cellStyle name="SYSTEM 4 20" xfId="45720"/>
    <cellStyle name="SYSTEM 4 21" xfId="45721"/>
    <cellStyle name="SYSTEM 4 3" xfId="45722"/>
    <cellStyle name="SYSTEM 4 3 10" xfId="45723"/>
    <cellStyle name="SYSTEM 4 3 11" xfId="45724"/>
    <cellStyle name="SYSTEM 4 3 12" xfId="45725"/>
    <cellStyle name="SYSTEM 4 3 13" xfId="45726"/>
    <cellStyle name="SYSTEM 4 3 14" xfId="45727"/>
    <cellStyle name="SYSTEM 4 3 15" xfId="45728"/>
    <cellStyle name="SYSTEM 4 3 16" xfId="45729"/>
    <cellStyle name="SYSTEM 4 3 17" xfId="45730"/>
    <cellStyle name="SYSTEM 4 3 18" xfId="45731"/>
    <cellStyle name="SYSTEM 4 3 2" xfId="45732"/>
    <cellStyle name="SYSTEM 4 3 2 2" xfId="45733"/>
    <cellStyle name="SYSTEM 4 3 2 2 2" xfId="45734"/>
    <cellStyle name="SYSTEM 4 3 2 3" xfId="45735"/>
    <cellStyle name="SYSTEM 4 3 2 4" xfId="45736"/>
    <cellStyle name="SYSTEM 4 3 3" xfId="45737"/>
    <cellStyle name="SYSTEM 4 3 3 2" xfId="45738"/>
    <cellStyle name="SYSTEM 4 3 3 3" xfId="45739"/>
    <cellStyle name="SYSTEM 4 3 4" xfId="45740"/>
    <cellStyle name="SYSTEM 4 3 4 2" xfId="45741"/>
    <cellStyle name="SYSTEM 4 3 5" xfId="45742"/>
    <cellStyle name="SYSTEM 4 3 6" xfId="45743"/>
    <cellStyle name="SYSTEM 4 3 7" xfId="45744"/>
    <cellStyle name="SYSTEM 4 3 8" xfId="45745"/>
    <cellStyle name="SYSTEM 4 3 9" xfId="45746"/>
    <cellStyle name="SYSTEM 4 4" xfId="45747"/>
    <cellStyle name="SYSTEM 4 4 2" xfId="45748"/>
    <cellStyle name="SYSTEM 4 4 2 2" xfId="45749"/>
    <cellStyle name="SYSTEM 4 4 2 3" xfId="45750"/>
    <cellStyle name="SYSTEM 4 4 3" xfId="45751"/>
    <cellStyle name="SYSTEM 4 4 3 2" xfId="45752"/>
    <cellStyle name="SYSTEM 4 4 4" xfId="45753"/>
    <cellStyle name="SYSTEM 4 4 5" xfId="45754"/>
    <cellStyle name="SYSTEM 4 5" xfId="45755"/>
    <cellStyle name="SYSTEM 4 5 2" xfId="45756"/>
    <cellStyle name="SYSTEM 4 5 2 2" xfId="45757"/>
    <cellStyle name="SYSTEM 4 5 3" xfId="45758"/>
    <cellStyle name="SYSTEM 4 5 4" xfId="45759"/>
    <cellStyle name="SYSTEM 4 6" xfId="45760"/>
    <cellStyle name="SYSTEM 4 6 2" xfId="45761"/>
    <cellStyle name="SYSTEM 4 7" xfId="45762"/>
    <cellStyle name="SYSTEM 4 8" xfId="45763"/>
    <cellStyle name="SYSTEM 4 9" xfId="45764"/>
    <cellStyle name="SYSTEM 5" xfId="45765"/>
    <cellStyle name="SYSTEM 5 10" xfId="45766"/>
    <cellStyle name="SYSTEM 5 11" xfId="45767"/>
    <cellStyle name="SYSTEM 5 12" xfId="45768"/>
    <cellStyle name="SYSTEM 5 13" xfId="45769"/>
    <cellStyle name="SYSTEM 5 14" xfId="45770"/>
    <cellStyle name="SYSTEM 5 15" xfId="45771"/>
    <cellStyle name="SYSTEM 5 16" xfId="45772"/>
    <cellStyle name="SYSTEM 5 17" xfId="45773"/>
    <cellStyle name="SYSTEM 5 18" xfId="45774"/>
    <cellStyle name="SYSTEM 5 19" xfId="45775"/>
    <cellStyle name="SYSTEM 5 2" xfId="45776"/>
    <cellStyle name="SYSTEM 5 2 10" xfId="45777"/>
    <cellStyle name="SYSTEM 5 2 11" xfId="45778"/>
    <cellStyle name="SYSTEM 5 2 12" xfId="45779"/>
    <cellStyle name="SYSTEM 5 2 13" xfId="45780"/>
    <cellStyle name="SYSTEM 5 2 14" xfId="45781"/>
    <cellStyle name="SYSTEM 5 2 15" xfId="45782"/>
    <cellStyle name="SYSTEM 5 2 16" xfId="45783"/>
    <cellStyle name="SYSTEM 5 2 17" xfId="45784"/>
    <cellStyle name="SYSTEM 5 2 18" xfId="45785"/>
    <cellStyle name="SYSTEM 5 2 2" xfId="45786"/>
    <cellStyle name="SYSTEM 5 2 2 2" xfId="45787"/>
    <cellStyle name="SYSTEM 5 2 2 2 2" xfId="45788"/>
    <cellStyle name="SYSTEM 5 2 2 3" xfId="45789"/>
    <cellStyle name="SYSTEM 5 2 2 4" xfId="45790"/>
    <cellStyle name="SYSTEM 5 2 3" xfId="45791"/>
    <cellStyle name="SYSTEM 5 2 3 2" xfId="45792"/>
    <cellStyle name="SYSTEM 5 2 3 3" xfId="45793"/>
    <cellStyle name="SYSTEM 5 2 4" xfId="45794"/>
    <cellStyle name="SYSTEM 5 2 4 2" xfId="45795"/>
    <cellStyle name="SYSTEM 5 2 5" xfId="45796"/>
    <cellStyle name="SYSTEM 5 2 6" xfId="45797"/>
    <cellStyle name="SYSTEM 5 2 7" xfId="45798"/>
    <cellStyle name="SYSTEM 5 2 8" xfId="45799"/>
    <cellStyle name="SYSTEM 5 2 9" xfId="45800"/>
    <cellStyle name="SYSTEM 5 3" xfId="45801"/>
    <cellStyle name="SYSTEM 5 3 10" xfId="45802"/>
    <cellStyle name="SYSTEM 5 3 11" xfId="45803"/>
    <cellStyle name="SYSTEM 5 3 12" xfId="45804"/>
    <cellStyle name="SYSTEM 5 3 13" xfId="45805"/>
    <cellStyle name="SYSTEM 5 3 14" xfId="45806"/>
    <cellStyle name="SYSTEM 5 3 15" xfId="45807"/>
    <cellStyle name="SYSTEM 5 3 16" xfId="45808"/>
    <cellStyle name="SYSTEM 5 3 17" xfId="45809"/>
    <cellStyle name="SYSTEM 5 3 18" xfId="45810"/>
    <cellStyle name="SYSTEM 5 3 2" xfId="45811"/>
    <cellStyle name="SYSTEM 5 3 2 2" xfId="45812"/>
    <cellStyle name="SYSTEM 5 3 2 2 2" xfId="45813"/>
    <cellStyle name="SYSTEM 5 3 2 3" xfId="45814"/>
    <cellStyle name="SYSTEM 5 3 2 4" xfId="45815"/>
    <cellStyle name="SYSTEM 5 3 3" xfId="45816"/>
    <cellStyle name="SYSTEM 5 3 3 2" xfId="45817"/>
    <cellStyle name="SYSTEM 5 3 3 3" xfId="45818"/>
    <cellStyle name="SYSTEM 5 3 4" xfId="45819"/>
    <cellStyle name="SYSTEM 5 3 4 2" xfId="45820"/>
    <cellStyle name="SYSTEM 5 3 5" xfId="45821"/>
    <cellStyle name="SYSTEM 5 3 6" xfId="45822"/>
    <cellStyle name="SYSTEM 5 3 7" xfId="45823"/>
    <cellStyle name="SYSTEM 5 3 8" xfId="45824"/>
    <cellStyle name="SYSTEM 5 3 9" xfId="45825"/>
    <cellStyle name="SYSTEM 5 4" xfId="45826"/>
    <cellStyle name="SYSTEM 5 4 2" xfId="45827"/>
    <cellStyle name="SYSTEM 5 4 2 2" xfId="45828"/>
    <cellStyle name="SYSTEM 5 4 2 3" xfId="45829"/>
    <cellStyle name="SYSTEM 5 4 3" xfId="45830"/>
    <cellStyle name="SYSTEM 5 4 3 2" xfId="45831"/>
    <cellStyle name="SYSTEM 5 4 4" xfId="45832"/>
    <cellStyle name="SYSTEM 5 4 5" xfId="45833"/>
    <cellStyle name="SYSTEM 5 5" xfId="45834"/>
    <cellStyle name="SYSTEM 5 5 2" xfId="45835"/>
    <cellStyle name="SYSTEM 5 5 2 2" xfId="45836"/>
    <cellStyle name="SYSTEM 5 5 3" xfId="45837"/>
    <cellStyle name="SYSTEM 5 5 4" xfId="45838"/>
    <cellStyle name="SYSTEM 5 6" xfId="45839"/>
    <cellStyle name="SYSTEM 5 6 2" xfId="45840"/>
    <cellStyle name="SYSTEM 5 7" xfId="45841"/>
    <cellStyle name="SYSTEM 5 8" xfId="45842"/>
    <cellStyle name="SYSTEM 5 9" xfId="45843"/>
    <cellStyle name="SYSTEM 6" xfId="45844"/>
    <cellStyle name="SYSTEM 6 10" xfId="45845"/>
    <cellStyle name="SYSTEM 6 11" xfId="45846"/>
    <cellStyle name="SYSTEM 6 12" xfId="45847"/>
    <cellStyle name="SYSTEM 6 13" xfId="45848"/>
    <cellStyle name="SYSTEM 6 14" xfId="45849"/>
    <cellStyle name="SYSTEM 6 15" xfId="45850"/>
    <cellStyle name="SYSTEM 6 16" xfId="45851"/>
    <cellStyle name="SYSTEM 6 17" xfId="45852"/>
    <cellStyle name="SYSTEM 6 18" xfId="45853"/>
    <cellStyle name="SYSTEM 6 19" xfId="45854"/>
    <cellStyle name="SYSTEM 6 2" xfId="45855"/>
    <cellStyle name="SYSTEM 6 2 10" xfId="45856"/>
    <cellStyle name="SYSTEM 6 2 11" xfId="45857"/>
    <cellStyle name="SYSTEM 6 2 12" xfId="45858"/>
    <cellStyle name="SYSTEM 6 2 13" xfId="45859"/>
    <cellStyle name="SYSTEM 6 2 14" xfId="45860"/>
    <cellStyle name="SYSTEM 6 2 15" xfId="45861"/>
    <cellStyle name="SYSTEM 6 2 16" xfId="45862"/>
    <cellStyle name="SYSTEM 6 2 17" xfId="45863"/>
    <cellStyle name="SYSTEM 6 2 18" xfId="45864"/>
    <cellStyle name="SYSTEM 6 2 2" xfId="45865"/>
    <cellStyle name="SYSTEM 6 2 2 2" xfId="45866"/>
    <cellStyle name="SYSTEM 6 2 2 2 2" xfId="45867"/>
    <cellStyle name="SYSTEM 6 2 2 3" xfId="45868"/>
    <cellStyle name="SYSTEM 6 2 2 4" xfId="45869"/>
    <cellStyle name="SYSTEM 6 2 3" xfId="45870"/>
    <cellStyle name="SYSTEM 6 2 3 2" xfId="45871"/>
    <cellStyle name="SYSTEM 6 2 3 3" xfId="45872"/>
    <cellStyle name="SYSTEM 6 2 4" xfId="45873"/>
    <cellStyle name="SYSTEM 6 2 4 2" xfId="45874"/>
    <cellStyle name="SYSTEM 6 2 5" xfId="45875"/>
    <cellStyle name="SYSTEM 6 2 6" xfId="45876"/>
    <cellStyle name="SYSTEM 6 2 7" xfId="45877"/>
    <cellStyle name="SYSTEM 6 2 8" xfId="45878"/>
    <cellStyle name="SYSTEM 6 2 9" xfId="45879"/>
    <cellStyle name="SYSTEM 6 20" xfId="45880"/>
    <cellStyle name="SYSTEM 6 3" xfId="45881"/>
    <cellStyle name="SYSTEM 6 3 10" xfId="45882"/>
    <cellStyle name="SYSTEM 6 3 11" xfId="45883"/>
    <cellStyle name="SYSTEM 6 3 12" xfId="45884"/>
    <cellStyle name="SYSTEM 6 3 13" xfId="45885"/>
    <cellStyle name="SYSTEM 6 3 14" xfId="45886"/>
    <cellStyle name="SYSTEM 6 3 15" xfId="45887"/>
    <cellStyle name="SYSTEM 6 3 16" xfId="45888"/>
    <cellStyle name="SYSTEM 6 3 17" xfId="45889"/>
    <cellStyle name="SYSTEM 6 3 18" xfId="45890"/>
    <cellStyle name="SYSTEM 6 3 2" xfId="45891"/>
    <cellStyle name="SYSTEM 6 3 2 2" xfId="45892"/>
    <cellStyle name="SYSTEM 6 3 2 2 2" xfId="45893"/>
    <cellStyle name="SYSTEM 6 3 2 3" xfId="45894"/>
    <cellStyle name="SYSTEM 6 3 2 4" xfId="45895"/>
    <cellStyle name="SYSTEM 6 3 3" xfId="45896"/>
    <cellStyle name="SYSTEM 6 3 3 2" xfId="45897"/>
    <cellStyle name="SYSTEM 6 3 3 3" xfId="45898"/>
    <cellStyle name="SYSTEM 6 3 4" xfId="45899"/>
    <cellStyle name="SYSTEM 6 3 4 2" xfId="45900"/>
    <cellStyle name="SYSTEM 6 3 5" xfId="45901"/>
    <cellStyle name="SYSTEM 6 3 6" xfId="45902"/>
    <cellStyle name="SYSTEM 6 3 7" xfId="45903"/>
    <cellStyle name="SYSTEM 6 3 8" xfId="45904"/>
    <cellStyle name="SYSTEM 6 3 9" xfId="45905"/>
    <cellStyle name="SYSTEM 6 4" xfId="45906"/>
    <cellStyle name="SYSTEM 6 4 2" xfId="45907"/>
    <cellStyle name="SYSTEM 6 4 2 2" xfId="45908"/>
    <cellStyle name="SYSTEM 6 4 2 3" xfId="45909"/>
    <cellStyle name="SYSTEM 6 4 3" xfId="45910"/>
    <cellStyle name="SYSTEM 6 4 3 2" xfId="45911"/>
    <cellStyle name="SYSTEM 6 4 4" xfId="45912"/>
    <cellStyle name="SYSTEM 6 4 5" xfId="45913"/>
    <cellStyle name="SYSTEM 6 5" xfId="45914"/>
    <cellStyle name="SYSTEM 6 5 2" xfId="45915"/>
    <cellStyle name="SYSTEM 6 5 2 2" xfId="45916"/>
    <cellStyle name="SYSTEM 6 5 3" xfId="45917"/>
    <cellStyle name="SYSTEM 6 5 4" xfId="45918"/>
    <cellStyle name="SYSTEM 6 6" xfId="45919"/>
    <cellStyle name="SYSTEM 6 6 2" xfId="45920"/>
    <cellStyle name="SYSTEM 6 7" xfId="45921"/>
    <cellStyle name="SYSTEM 6 8" xfId="45922"/>
    <cellStyle name="SYSTEM 6 9" xfId="45923"/>
    <cellStyle name="SYSTEM 7" xfId="45924"/>
    <cellStyle name="SYSTEM 7 10" xfId="45925"/>
    <cellStyle name="SYSTEM 7 11" xfId="45926"/>
    <cellStyle name="SYSTEM 7 12" xfId="45927"/>
    <cellStyle name="SYSTEM 7 13" xfId="45928"/>
    <cellStyle name="SYSTEM 7 14" xfId="45929"/>
    <cellStyle name="SYSTEM 7 15" xfId="45930"/>
    <cellStyle name="SYSTEM 7 16" xfId="45931"/>
    <cellStyle name="SYSTEM 7 17" xfId="45932"/>
    <cellStyle name="SYSTEM 7 2" xfId="45933"/>
    <cellStyle name="SYSTEM 7 2 2" xfId="45934"/>
    <cellStyle name="SYSTEM 7 2 2 2" xfId="45935"/>
    <cellStyle name="SYSTEM 7 2 3" xfId="45936"/>
    <cellStyle name="SYSTEM 7 2 4" xfId="45937"/>
    <cellStyle name="SYSTEM 7 3" xfId="45938"/>
    <cellStyle name="SYSTEM 7 3 2" xfId="45939"/>
    <cellStyle name="SYSTEM 7 4" xfId="45940"/>
    <cellStyle name="SYSTEM 7 5" xfId="45941"/>
    <cellStyle name="SYSTEM 7 6" xfId="45942"/>
    <cellStyle name="SYSTEM 7 7" xfId="45943"/>
    <cellStyle name="SYSTEM 7 8" xfId="45944"/>
    <cellStyle name="SYSTEM 7 9" xfId="45945"/>
    <cellStyle name="SYSTEM 8" xfId="45946"/>
    <cellStyle name="SYSTEM 8 2" xfId="45947"/>
    <cellStyle name="SYSTEM 8 2 2" xfId="45948"/>
    <cellStyle name="SYSTEM 8 2 2 2" xfId="45949"/>
    <cellStyle name="SYSTEM 8 2 3" xfId="45950"/>
    <cellStyle name="SYSTEM 8 2 4" xfId="45951"/>
    <cellStyle name="SYSTEM 8 3" xfId="45952"/>
    <cellStyle name="SYSTEM 8 3 2" xfId="45953"/>
    <cellStyle name="SYSTEM 8 3 3" xfId="45954"/>
    <cellStyle name="SYSTEM 8 4" xfId="45955"/>
    <cellStyle name="SYSTEM 8 4 2" xfId="45956"/>
    <cellStyle name="SYSTEM 8 5" xfId="45957"/>
    <cellStyle name="SYSTEM 8 6" xfId="45958"/>
    <cellStyle name="SYSTEM 9" xfId="45959"/>
    <cellStyle name="SYSTEM 9 2" xfId="45960"/>
    <cellStyle name="SYSTEM 9 2 2" xfId="45961"/>
    <cellStyle name="SYSTEM 9 3" xfId="45962"/>
    <cellStyle name="SYSTEM 9 4" xfId="45963"/>
    <cellStyle name="Table" xfId="45964"/>
    <cellStyle name="Table  - Style6" xfId="45965"/>
    <cellStyle name="Table  - Style6 10" xfId="45966"/>
    <cellStyle name="Table  - Style6 11" xfId="45967"/>
    <cellStyle name="Table  - Style6 12" xfId="45968"/>
    <cellStyle name="Table  - Style6 13" xfId="45969"/>
    <cellStyle name="Table  - Style6 14" xfId="45970"/>
    <cellStyle name="Table  - Style6 15" xfId="45971"/>
    <cellStyle name="Table  - Style6 16" xfId="45972"/>
    <cellStyle name="Table  - Style6 17" xfId="45973"/>
    <cellStyle name="Table  - Style6 18" xfId="45974"/>
    <cellStyle name="Table  - Style6 19" xfId="45975"/>
    <cellStyle name="Table  - Style6 2" xfId="45976"/>
    <cellStyle name="Table  - Style6 2 10" xfId="45977"/>
    <cellStyle name="Table  - Style6 2 11" xfId="45978"/>
    <cellStyle name="Table  - Style6 2 12" xfId="45979"/>
    <cellStyle name="Table  - Style6 2 13" xfId="45980"/>
    <cellStyle name="Table  - Style6 2 14" xfId="45981"/>
    <cellStyle name="Table  - Style6 2 15" xfId="45982"/>
    <cellStyle name="Table  - Style6 2 16" xfId="45983"/>
    <cellStyle name="Table  - Style6 2 17" xfId="45984"/>
    <cellStyle name="Table  - Style6 2 18" xfId="45985"/>
    <cellStyle name="Table  - Style6 2 19" xfId="45986"/>
    <cellStyle name="Table  - Style6 2 2" xfId="45987"/>
    <cellStyle name="Table  - Style6 2 2 10" xfId="45988"/>
    <cellStyle name="Table  - Style6 2 2 11" xfId="45989"/>
    <cellStyle name="Table  - Style6 2 2 12" xfId="45990"/>
    <cellStyle name="Table  - Style6 2 2 13" xfId="45991"/>
    <cellStyle name="Table  - Style6 2 2 14" xfId="45992"/>
    <cellStyle name="Table  - Style6 2 2 15" xfId="45993"/>
    <cellStyle name="Table  - Style6 2 2 16" xfId="45994"/>
    <cellStyle name="Table  - Style6 2 2 17" xfId="45995"/>
    <cellStyle name="Table  - Style6 2 2 18" xfId="45996"/>
    <cellStyle name="Table  - Style6 2 2 2" xfId="45997"/>
    <cellStyle name="Table  - Style6 2 2 2 2" xfId="45998"/>
    <cellStyle name="Table  - Style6 2 2 2 2 2" xfId="45999"/>
    <cellStyle name="Table  - Style6 2 2 2 3" xfId="46000"/>
    <cellStyle name="Table  - Style6 2 2 2 4" xfId="46001"/>
    <cellStyle name="Table  - Style6 2 2 3" xfId="46002"/>
    <cellStyle name="Table  - Style6 2 2 3 2" xfId="46003"/>
    <cellStyle name="Table  - Style6 2 2 3 3" xfId="46004"/>
    <cellStyle name="Table  - Style6 2 2 4" xfId="46005"/>
    <cellStyle name="Table  - Style6 2 2 4 2" xfId="46006"/>
    <cellStyle name="Table  - Style6 2 2 5" xfId="46007"/>
    <cellStyle name="Table  - Style6 2 2 6" xfId="46008"/>
    <cellStyle name="Table  - Style6 2 2 7" xfId="46009"/>
    <cellStyle name="Table  - Style6 2 2 8" xfId="46010"/>
    <cellStyle name="Table  - Style6 2 2 9" xfId="46011"/>
    <cellStyle name="Table  - Style6 2 20" xfId="46012"/>
    <cellStyle name="Table  - Style6 2 21" xfId="46013"/>
    <cellStyle name="Table  - Style6 2 22" xfId="46014"/>
    <cellStyle name="Table  - Style6 2 23" xfId="46015"/>
    <cellStyle name="Table  - Style6 2 3" xfId="46016"/>
    <cellStyle name="Table  - Style6 2 3 10" xfId="46017"/>
    <cellStyle name="Table  - Style6 2 3 11" xfId="46018"/>
    <cellStyle name="Table  - Style6 2 3 12" xfId="46019"/>
    <cellStyle name="Table  - Style6 2 3 13" xfId="46020"/>
    <cellStyle name="Table  - Style6 2 3 14" xfId="46021"/>
    <cellStyle name="Table  - Style6 2 3 15" xfId="46022"/>
    <cellStyle name="Table  - Style6 2 3 16" xfId="46023"/>
    <cellStyle name="Table  - Style6 2 3 17" xfId="46024"/>
    <cellStyle name="Table  - Style6 2 3 18" xfId="46025"/>
    <cellStyle name="Table  - Style6 2 3 2" xfId="46026"/>
    <cellStyle name="Table  - Style6 2 3 2 2" xfId="46027"/>
    <cellStyle name="Table  - Style6 2 3 2 2 2" xfId="46028"/>
    <cellStyle name="Table  - Style6 2 3 2 3" xfId="46029"/>
    <cellStyle name="Table  - Style6 2 3 2 4" xfId="46030"/>
    <cellStyle name="Table  - Style6 2 3 3" xfId="46031"/>
    <cellStyle name="Table  - Style6 2 3 3 2" xfId="46032"/>
    <cellStyle name="Table  - Style6 2 3 3 3" xfId="46033"/>
    <cellStyle name="Table  - Style6 2 3 4" xfId="46034"/>
    <cellStyle name="Table  - Style6 2 3 4 2" xfId="46035"/>
    <cellStyle name="Table  - Style6 2 3 5" xfId="46036"/>
    <cellStyle name="Table  - Style6 2 3 6" xfId="46037"/>
    <cellStyle name="Table  - Style6 2 3 7" xfId="46038"/>
    <cellStyle name="Table  - Style6 2 3 8" xfId="46039"/>
    <cellStyle name="Table  - Style6 2 3 9" xfId="46040"/>
    <cellStyle name="Table  - Style6 2 4" xfId="46041"/>
    <cellStyle name="Table  - Style6 2 4 2" xfId="46042"/>
    <cellStyle name="Table  - Style6 2 4 2 2" xfId="46043"/>
    <cellStyle name="Table  - Style6 2 4 2 3" xfId="46044"/>
    <cellStyle name="Table  - Style6 2 4 3" xfId="46045"/>
    <cellStyle name="Table  - Style6 2 4 3 2" xfId="46046"/>
    <cellStyle name="Table  - Style6 2 4 4" xfId="46047"/>
    <cellStyle name="Table  - Style6 2 4 5" xfId="46048"/>
    <cellStyle name="Table  - Style6 2 5" xfId="46049"/>
    <cellStyle name="Table  - Style6 2 5 2" xfId="46050"/>
    <cellStyle name="Table  - Style6 2 5 2 2" xfId="46051"/>
    <cellStyle name="Table  - Style6 2 5 3" xfId="46052"/>
    <cellStyle name="Table  - Style6 2 5 4" xfId="46053"/>
    <cellStyle name="Table  - Style6 2 6" xfId="46054"/>
    <cellStyle name="Table  - Style6 2 6 2" xfId="46055"/>
    <cellStyle name="Table  - Style6 2 6 3" xfId="46056"/>
    <cellStyle name="Table  - Style6 2 7" xfId="46057"/>
    <cellStyle name="Table  - Style6 2 7 2" xfId="46058"/>
    <cellStyle name="Table  - Style6 2 8" xfId="46059"/>
    <cellStyle name="Table  - Style6 2 9" xfId="46060"/>
    <cellStyle name="Table  - Style6 20" xfId="46061"/>
    <cellStyle name="Table  - Style6 21" xfId="46062"/>
    <cellStyle name="Table  - Style6 3" xfId="46063"/>
    <cellStyle name="Table  - Style6 3 10" xfId="46064"/>
    <cellStyle name="Table  - Style6 3 11" xfId="46065"/>
    <cellStyle name="Table  - Style6 3 12" xfId="46066"/>
    <cellStyle name="Table  - Style6 3 13" xfId="46067"/>
    <cellStyle name="Table  - Style6 3 14" xfId="46068"/>
    <cellStyle name="Table  - Style6 3 15" xfId="46069"/>
    <cellStyle name="Table  - Style6 3 16" xfId="46070"/>
    <cellStyle name="Table  - Style6 3 17" xfId="46071"/>
    <cellStyle name="Table  - Style6 3 18" xfId="46072"/>
    <cellStyle name="Table  - Style6 3 19" xfId="46073"/>
    <cellStyle name="Table  - Style6 3 2" xfId="46074"/>
    <cellStyle name="Table  - Style6 3 2 10" xfId="46075"/>
    <cellStyle name="Table  - Style6 3 2 11" xfId="46076"/>
    <cellStyle name="Table  - Style6 3 2 12" xfId="46077"/>
    <cellStyle name="Table  - Style6 3 2 13" xfId="46078"/>
    <cellStyle name="Table  - Style6 3 2 14" xfId="46079"/>
    <cellStyle name="Table  - Style6 3 2 15" xfId="46080"/>
    <cellStyle name="Table  - Style6 3 2 16" xfId="46081"/>
    <cellStyle name="Table  - Style6 3 2 17" xfId="46082"/>
    <cellStyle name="Table  - Style6 3 2 18" xfId="46083"/>
    <cellStyle name="Table  - Style6 3 2 2" xfId="46084"/>
    <cellStyle name="Table  - Style6 3 2 2 2" xfId="46085"/>
    <cellStyle name="Table  - Style6 3 2 2 2 2" xfId="46086"/>
    <cellStyle name="Table  - Style6 3 2 2 3" xfId="46087"/>
    <cellStyle name="Table  - Style6 3 2 2 4" xfId="46088"/>
    <cellStyle name="Table  - Style6 3 2 3" xfId="46089"/>
    <cellStyle name="Table  - Style6 3 2 3 2" xfId="46090"/>
    <cellStyle name="Table  - Style6 3 2 3 3" xfId="46091"/>
    <cellStyle name="Table  - Style6 3 2 4" xfId="46092"/>
    <cellStyle name="Table  - Style6 3 2 4 2" xfId="46093"/>
    <cellStyle name="Table  - Style6 3 2 5" xfId="46094"/>
    <cellStyle name="Table  - Style6 3 2 6" xfId="46095"/>
    <cellStyle name="Table  - Style6 3 2 7" xfId="46096"/>
    <cellStyle name="Table  - Style6 3 2 8" xfId="46097"/>
    <cellStyle name="Table  - Style6 3 2 9" xfId="46098"/>
    <cellStyle name="Table  - Style6 3 3" xfId="46099"/>
    <cellStyle name="Table  - Style6 3 3 10" xfId="46100"/>
    <cellStyle name="Table  - Style6 3 3 11" xfId="46101"/>
    <cellStyle name="Table  - Style6 3 3 12" xfId="46102"/>
    <cellStyle name="Table  - Style6 3 3 13" xfId="46103"/>
    <cellStyle name="Table  - Style6 3 3 14" xfId="46104"/>
    <cellStyle name="Table  - Style6 3 3 15" xfId="46105"/>
    <cellStyle name="Table  - Style6 3 3 16" xfId="46106"/>
    <cellStyle name="Table  - Style6 3 3 17" xfId="46107"/>
    <cellStyle name="Table  - Style6 3 3 18" xfId="46108"/>
    <cellStyle name="Table  - Style6 3 3 2" xfId="46109"/>
    <cellStyle name="Table  - Style6 3 3 2 2" xfId="46110"/>
    <cellStyle name="Table  - Style6 3 3 2 2 2" xfId="46111"/>
    <cellStyle name="Table  - Style6 3 3 2 3" xfId="46112"/>
    <cellStyle name="Table  - Style6 3 3 2 4" xfId="46113"/>
    <cellStyle name="Table  - Style6 3 3 3" xfId="46114"/>
    <cellStyle name="Table  - Style6 3 3 3 2" xfId="46115"/>
    <cellStyle name="Table  - Style6 3 3 3 3" xfId="46116"/>
    <cellStyle name="Table  - Style6 3 3 4" xfId="46117"/>
    <cellStyle name="Table  - Style6 3 3 4 2" xfId="46118"/>
    <cellStyle name="Table  - Style6 3 3 5" xfId="46119"/>
    <cellStyle name="Table  - Style6 3 3 6" xfId="46120"/>
    <cellStyle name="Table  - Style6 3 3 7" xfId="46121"/>
    <cellStyle name="Table  - Style6 3 3 8" xfId="46122"/>
    <cellStyle name="Table  - Style6 3 3 9" xfId="46123"/>
    <cellStyle name="Table  - Style6 3 4" xfId="46124"/>
    <cellStyle name="Table  - Style6 3 4 2" xfId="46125"/>
    <cellStyle name="Table  - Style6 3 4 2 2" xfId="46126"/>
    <cellStyle name="Table  - Style6 3 4 2 3" xfId="46127"/>
    <cellStyle name="Table  - Style6 3 4 3" xfId="46128"/>
    <cellStyle name="Table  - Style6 3 4 3 2" xfId="46129"/>
    <cellStyle name="Table  - Style6 3 4 4" xfId="46130"/>
    <cellStyle name="Table  - Style6 3 4 5" xfId="46131"/>
    <cellStyle name="Table  - Style6 3 5" xfId="46132"/>
    <cellStyle name="Table  - Style6 3 5 2" xfId="46133"/>
    <cellStyle name="Table  - Style6 3 5 2 2" xfId="46134"/>
    <cellStyle name="Table  - Style6 3 5 3" xfId="46135"/>
    <cellStyle name="Table  - Style6 3 5 4" xfId="46136"/>
    <cellStyle name="Table  - Style6 3 6" xfId="46137"/>
    <cellStyle name="Table  - Style6 3 6 2" xfId="46138"/>
    <cellStyle name="Table  - Style6 3 6 3" xfId="46139"/>
    <cellStyle name="Table  - Style6 3 7" xfId="46140"/>
    <cellStyle name="Table  - Style6 3 7 2" xfId="46141"/>
    <cellStyle name="Table  - Style6 3 8" xfId="46142"/>
    <cellStyle name="Table  - Style6 3 9" xfId="46143"/>
    <cellStyle name="Table  - Style6 4" xfId="46144"/>
    <cellStyle name="Table  - Style6 4 10" xfId="46145"/>
    <cellStyle name="Table  - Style6 4 11" xfId="46146"/>
    <cellStyle name="Table  - Style6 4 12" xfId="46147"/>
    <cellStyle name="Table  - Style6 4 13" xfId="46148"/>
    <cellStyle name="Table  - Style6 4 14" xfId="46149"/>
    <cellStyle name="Table  - Style6 4 15" xfId="46150"/>
    <cellStyle name="Table  - Style6 4 16" xfId="46151"/>
    <cellStyle name="Table  - Style6 4 17" xfId="46152"/>
    <cellStyle name="Table  - Style6 4 18" xfId="46153"/>
    <cellStyle name="Table  - Style6 4 19" xfId="46154"/>
    <cellStyle name="Table  - Style6 4 2" xfId="46155"/>
    <cellStyle name="Table  - Style6 4 2 10" xfId="46156"/>
    <cellStyle name="Table  - Style6 4 2 11" xfId="46157"/>
    <cellStyle name="Table  - Style6 4 2 12" xfId="46158"/>
    <cellStyle name="Table  - Style6 4 2 13" xfId="46159"/>
    <cellStyle name="Table  - Style6 4 2 14" xfId="46160"/>
    <cellStyle name="Table  - Style6 4 2 15" xfId="46161"/>
    <cellStyle name="Table  - Style6 4 2 16" xfId="46162"/>
    <cellStyle name="Table  - Style6 4 2 17" xfId="46163"/>
    <cellStyle name="Table  - Style6 4 2 18" xfId="46164"/>
    <cellStyle name="Table  - Style6 4 2 2" xfId="46165"/>
    <cellStyle name="Table  - Style6 4 2 2 2" xfId="46166"/>
    <cellStyle name="Table  - Style6 4 2 2 2 2" xfId="46167"/>
    <cellStyle name="Table  - Style6 4 2 2 3" xfId="46168"/>
    <cellStyle name="Table  - Style6 4 2 2 4" xfId="46169"/>
    <cellStyle name="Table  - Style6 4 2 3" xfId="46170"/>
    <cellStyle name="Table  - Style6 4 2 3 2" xfId="46171"/>
    <cellStyle name="Table  - Style6 4 2 3 3" xfId="46172"/>
    <cellStyle name="Table  - Style6 4 2 4" xfId="46173"/>
    <cellStyle name="Table  - Style6 4 2 4 2" xfId="46174"/>
    <cellStyle name="Table  - Style6 4 2 5" xfId="46175"/>
    <cellStyle name="Table  - Style6 4 2 6" xfId="46176"/>
    <cellStyle name="Table  - Style6 4 2 7" xfId="46177"/>
    <cellStyle name="Table  - Style6 4 2 8" xfId="46178"/>
    <cellStyle name="Table  - Style6 4 2 9" xfId="46179"/>
    <cellStyle name="Table  - Style6 4 3" xfId="46180"/>
    <cellStyle name="Table  - Style6 4 3 10" xfId="46181"/>
    <cellStyle name="Table  - Style6 4 3 11" xfId="46182"/>
    <cellStyle name="Table  - Style6 4 3 12" xfId="46183"/>
    <cellStyle name="Table  - Style6 4 3 13" xfId="46184"/>
    <cellStyle name="Table  - Style6 4 3 14" xfId="46185"/>
    <cellStyle name="Table  - Style6 4 3 15" xfId="46186"/>
    <cellStyle name="Table  - Style6 4 3 16" xfId="46187"/>
    <cellStyle name="Table  - Style6 4 3 17" xfId="46188"/>
    <cellStyle name="Table  - Style6 4 3 18" xfId="46189"/>
    <cellStyle name="Table  - Style6 4 3 2" xfId="46190"/>
    <cellStyle name="Table  - Style6 4 3 2 2" xfId="46191"/>
    <cellStyle name="Table  - Style6 4 3 2 2 2" xfId="46192"/>
    <cellStyle name="Table  - Style6 4 3 2 3" xfId="46193"/>
    <cellStyle name="Table  - Style6 4 3 2 4" xfId="46194"/>
    <cellStyle name="Table  - Style6 4 3 3" xfId="46195"/>
    <cellStyle name="Table  - Style6 4 3 3 2" xfId="46196"/>
    <cellStyle name="Table  - Style6 4 3 3 3" xfId="46197"/>
    <cellStyle name="Table  - Style6 4 3 4" xfId="46198"/>
    <cellStyle name="Table  - Style6 4 3 4 2" xfId="46199"/>
    <cellStyle name="Table  - Style6 4 3 5" xfId="46200"/>
    <cellStyle name="Table  - Style6 4 3 6" xfId="46201"/>
    <cellStyle name="Table  - Style6 4 3 7" xfId="46202"/>
    <cellStyle name="Table  - Style6 4 3 8" xfId="46203"/>
    <cellStyle name="Table  - Style6 4 3 9" xfId="46204"/>
    <cellStyle name="Table  - Style6 4 4" xfId="46205"/>
    <cellStyle name="Table  - Style6 4 4 2" xfId="46206"/>
    <cellStyle name="Table  - Style6 4 4 2 2" xfId="46207"/>
    <cellStyle name="Table  - Style6 4 4 2 3" xfId="46208"/>
    <cellStyle name="Table  - Style6 4 4 3" xfId="46209"/>
    <cellStyle name="Table  - Style6 4 4 3 2" xfId="46210"/>
    <cellStyle name="Table  - Style6 4 4 4" xfId="46211"/>
    <cellStyle name="Table  - Style6 4 4 5" xfId="46212"/>
    <cellStyle name="Table  - Style6 4 5" xfId="46213"/>
    <cellStyle name="Table  - Style6 4 5 2" xfId="46214"/>
    <cellStyle name="Table  - Style6 4 5 2 2" xfId="46215"/>
    <cellStyle name="Table  - Style6 4 5 3" xfId="46216"/>
    <cellStyle name="Table  - Style6 4 5 4" xfId="46217"/>
    <cellStyle name="Table  - Style6 4 6" xfId="46218"/>
    <cellStyle name="Table  - Style6 4 6 2" xfId="46219"/>
    <cellStyle name="Table  - Style6 4 6 3" xfId="46220"/>
    <cellStyle name="Table  - Style6 4 7" xfId="46221"/>
    <cellStyle name="Table  - Style6 4 7 2" xfId="46222"/>
    <cellStyle name="Table  - Style6 4 8" xfId="46223"/>
    <cellStyle name="Table  - Style6 4 9" xfId="46224"/>
    <cellStyle name="Table  - Style6 5" xfId="46225"/>
    <cellStyle name="Table  - Style6 5 10" xfId="46226"/>
    <cellStyle name="Table  - Style6 5 11" xfId="46227"/>
    <cellStyle name="Table  - Style6 5 12" xfId="46228"/>
    <cellStyle name="Table  - Style6 5 13" xfId="46229"/>
    <cellStyle name="Table  - Style6 5 14" xfId="46230"/>
    <cellStyle name="Table  - Style6 5 15" xfId="46231"/>
    <cellStyle name="Table  - Style6 5 2" xfId="46232"/>
    <cellStyle name="Table  - Style6 5 2 10" xfId="46233"/>
    <cellStyle name="Table  - Style6 5 2 11" xfId="46234"/>
    <cellStyle name="Table  - Style6 5 2 12" xfId="46235"/>
    <cellStyle name="Table  - Style6 5 2 13" xfId="46236"/>
    <cellStyle name="Table  - Style6 5 2 14" xfId="46237"/>
    <cellStyle name="Table  - Style6 5 2 15" xfId="46238"/>
    <cellStyle name="Table  - Style6 5 2 16" xfId="46239"/>
    <cellStyle name="Table  - Style6 5 2 17" xfId="46240"/>
    <cellStyle name="Table  - Style6 5 2 18" xfId="46241"/>
    <cellStyle name="Table  - Style6 5 2 2" xfId="46242"/>
    <cellStyle name="Table  - Style6 5 2 2 2" xfId="46243"/>
    <cellStyle name="Table  - Style6 5 2 2 2 2" xfId="46244"/>
    <cellStyle name="Table  - Style6 5 2 2 3" xfId="46245"/>
    <cellStyle name="Table  - Style6 5 2 2 4" xfId="46246"/>
    <cellStyle name="Table  - Style6 5 2 3" xfId="46247"/>
    <cellStyle name="Table  - Style6 5 2 3 2" xfId="46248"/>
    <cellStyle name="Table  - Style6 5 2 3 3" xfId="46249"/>
    <cellStyle name="Table  - Style6 5 2 4" xfId="46250"/>
    <cellStyle name="Table  - Style6 5 2 4 2" xfId="46251"/>
    <cellStyle name="Table  - Style6 5 2 5" xfId="46252"/>
    <cellStyle name="Table  - Style6 5 2 6" xfId="46253"/>
    <cellStyle name="Table  - Style6 5 2 7" xfId="46254"/>
    <cellStyle name="Table  - Style6 5 2 8" xfId="46255"/>
    <cellStyle name="Table  - Style6 5 2 9" xfId="46256"/>
    <cellStyle name="Table  - Style6 5 3" xfId="46257"/>
    <cellStyle name="Table  - Style6 5 3 10" xfId="46258"/>
    <cellStyle name="Table  - Style6 5 3 11" xfId="46259"/>
    <cellStyle name="Table  - Style6 5 3 12" xfId="46260"/>
    <cellStyle name="Table  - Style6 5 3 13" xfId="46261"/>
    <cellStyle name="Table  - Style6 5 3 14" xfId="46262"/>
    <cellStyle name="Table  - Style6 5 3 15" xfId="46263"/>
    <cellStyle name="Table  - Style6 5 3 16" xfId="46264"/>
    <cellStyle name="Table  - Style6 5 3 17" xfId="46265"/>
    <cellStyle name="Table  - Style6 5 3 18" xfId="46266"/>
    <cellStyle name="Table  - Style6 5 3 2" xfId="46267"/>
    <cellStyle name="Table  - Style6 5 3 2 2" xfId="46268"/>
    <cellStyle name="Table  - Style6 5 3 2 2 2" xfId="46269"/>
    <cellStyle name="Table  - Style6 5 3 2 3" xfId="46270"/>
    <cellStyle name="Table  - Style6 5 3 2 4" xfId="46271"/>
    <cellStyle name="Table  - Style6 5 3 3" xfId="46272"/>
    <cellStyle name="Table  - Style6 5 3 3 2" xfId="46273"/>
    <cellStyle name="Table  - Style6 5 3 3 3" xfId="46274"/>
    <cellStyle name="Table  - Style6 5 3 4" xfId="46275"/>
    <cellStyle name="Table  - Style6 5 3 4 2" xfId="46276"/>
    <cellStyle name="Table  - Style6 5 3 5" xfId="46277"/>
    <cellStyle name="Table  - Style6 5 3 6" xfId="46278"/>
    <cellStyle name="Table  - Style6 5 3 7" xfId="46279"/>
    <cellStyle name="Table  - Style6 5 3 8" xfId="46280"/>
    <cellStyle name="Table  - Style6 5 3 9" xfId="46281"/>
    <cellStyle name="Table  - Style6 5 4" xfId="46282"/>
    <cellStyle name="Table  - Style6 5 4 2" xfId="46283"/>
    <cellStyle name="Table  - Style6 5 4 2 2" xfId="46284"/>
    <cellStyle name="Table  - Style6 5 4 2 3" xfId="46285"/>
    <cellStyle name="Table  - Style6 5 4 3" xfId="46286"/>
    <cellStyle name="Table  - Style6 5 4 3 2" xfId="46287"/>
    <cellStyle name="Table  - Style6 5 4 4" xfId="46288"/>
    <cellStyle name="Table  - Style6 5 4 5" xfId="46289"/>
    <cellStyle name="Table  - Style6 5 5" xfId="46290"/>
    <cellStyle name="Table  - Style6 5 5 2" xfId="46291"/>
    <cellStyle name="Table  - Style6 5 5 2 2" xfId="46292"/>
    <cellStyle name="Table  - Style6 5 5 3" xfId="46293"/>
    <cellStyle name="Table  - Style6 5 5 4" xfId="46294"/>
    <cellStyle name="Table  - Style6 5 6" xfId="46295"/>
    <cellStyle name="Table  - Style6 5 6 2" xfId="46296"/>
    <cellStyle name="Table  - Style6 5 7" xfId="46297"/>
    <cellStyle name="Table  - Style6 5 8" xfId="46298"/>
    <cellStyle name="Table  - Style6 5 9" xfId="46299"/>
    <cellStyle name="Table  - Style6 6" xfId="46300"/>
    <cellStyle name="Table  - Style6 6 10" xfId="46301"/>
    <cellStyle name="Table  - Style6 6 11" xfId="46302"/>
    <cellStyle name="Table  - Style6 6 12" xfId="46303"/>
    <cellStyle name="Table  - Style6 6 13" xfId="46304"/>
    <cellStyle name="Table  - Style6 6 14" xfId="46305"/>
    <cellStyle name="Table  - Style6 6 15" xfId="46306"/>
    <cellStyle name="Table  - Style6 6 16" xfId="46307"/>
    <cellStyle name="Table  - Style6 6 17" xfId="46308"/>
    <cellStyle name="Table  - Style6 6 18" xfId="46309"/>
    <cellStyle name="Table  - Style6 6 2" xfId="46310"/>
    <cellStyle name="Table  - Style6 6 2 2" xfId="46311"/>
    <cellStyle name="Table  - Style6 6 2 2 2" xfId="46312"/>
    <cellStyle name="Table  - Style6 6 2 3" xfId="46313"/>
    <cellStyle name="Table  - Style6 6 2 4" xfId="46314"/>
    <cellStyle name="Table  - Style6 6 3" xfId="46315"/>
    <cellStyle name="Table  - Style6 6 3 2" xfId="46316"/>
    <cellStyle name="Table  - Style6 6 3 3" xfId="46317"/>
    <cellStyle name="Table  - Style6 6 4" xfId="46318"/>
    <cellStyle name="Table  - Style6 6 4 2" xfId="46319"/>
    <cellStyle name="Table  - Style6 6 5" xfId="46320"/>
    <cellStyle name="Table  - Style6 6 6" xfId="46321"/>
    <cellStyle name="Table  - Style6 6 7" xfId="46322"/>
    <cellStyle name="Table  - Style6 6 8" xfId="46323"/>
    <cellStyle name="Table  - Style6 6 9" xfId="46324"/>
    <cellStyle name="Table  - Style6 7" xfId="46325"/>
    <cellStyle name="Table  - Style6 7 10" xfId="46326"/>
    <cellStyle name="Table  - Style6 7 11" xfId="46327"/>
    <cellStyle name="Table  - Style6 7 12" xfId="46328"/>
    <cellStyle name="Table  - Style6 7 13" xfId="46329"/>
    <cellStyle name="Table  - Style6 7 14" xfId="46330"/>
    <cellStyle name="Table  - Style6 7 15" xfId="46331"/>
    <cellStyle name="Table  - Style6 7 16" xfId="46332"/>
    <cellStyle name="Table  - Style6 7 17" xfId="46333"/>
    <cellStyle name="Table  - Style6 7 18" xfId="46334"/>
    <cellStyle name="Table  - Style6 7 2" xfId="46335"/>
    <cellStyle name="Table  - Style6 7 2 2" xfId="46336"/>
    <cellStyle name="Table  - Style6 7 2 3" xfId="46337"/>
    <cellStyle name="Table  - Style6 7 3" xfId="46338"/>
    <cellStyle name="Table  - Style6 7 3 2" xfId="46339"/>
    <cellStyle name="Table  - Style6 7 4" xfId="46340"/>
    <cellStyle name="Table  - Style6 7 5" xfId="46341"/>
    <cellStyle name="Table  - Style6 7 6" xfId="46342"/>
    <cellStyle name="Table  - Style6 7 7" xfId="46343"/>
    <cellStyle name="Table  - Style6 7 8" xfId="46344"/>
    <cellStyle name="Table  - Style6 7 9" xfId="46345"/>
    <cellStyle name="Table  - Style6 8" xfId="46346"/>
    <cellStyle name="Table  - Style6 8 2" xfId="46347"/>
    <cellStyle name="Table  - Style6 8 2 2" xfId="46348"/>
    <cellStyle name="Table  - Style6 8 3" xfId="46349"/>
    <cellStyle name="Table  - Style6 8 4" xfId="46350"/>
    <cellStyle name="Table  - Style6 9" xfId="46351"/>
    <cellStyle name="Table 2" xfId="46352"/>
    <cellStyle name="Table 2 2" xfId="46353"/>
    <cellStyle name="Table 3" xfId="46354"/>
    <cellStyle name="Table 3 2" xfId="46355"/>
    <cellStyle name="Table 4" xfId="46356"/>
    <cellStyle name="Table 4 2" xfId="46357"/>
    <cellStyle name="Table 5" xfId="46358"/>
    <cellStyle name="Table Col Head" xfId="46359"/>
    <cellStyle name="Table Head" xfId="46360"/>
    <cellStyle name="Table Head Aligned" xfId="46361"/>
    <cellStyle name="Table Head Aligned 2" xfId="46362"/>
    <cellStyle name="Table Head Aligned 2 2" xfId="46363"/>
    <cellStyle name="Table Head Aligned 2 3" xfId="46364"/>
    <cellStyle name="Table Head Aligned 2 4" xfId="46365"/>
    <cellStyle name="Table Head Aligned 2 5" xfId="46366"/>
    <cellStyle name="Table Head Aligned 3" xfId="46367"/>
    <cellStyle name="Table Head Aligned 4" xfId="46368"/>
    <cellStyle name="Table Head Aligned 5" xfId="46369"/>
    <cellStyle name="Table Head Aligned 6" xfId="46370"/>
    <cellStyle name="Table Head Blue" xfId="46371"/>
    <cellStyle name="Table Head Green" xfId="46372"/>
    <cellStyle name="Table Head Green 2" xfId="46373"/>
    <cellStyle name="Table Head Green 2 2" xfId="46374"/>
    <cellStyle name="Table Head Green 2 3" xfId="46375"/>
    <cellStyle name="Table Head Green 2 4" xfId="46376"/>
    <cellStyle name="Table Head Green 2 5" xfId="46377"/>
    <cellStyle name="Table Head Green 3" xfId="46378"/>
    <cellStyle name="Table Head Green 4" xfId="46379"/>
    <cellStyle name="Table Head Green 5" xfId="46380"/>
    <cellStyle name="Table Head Green 6" xfId="46381"/>
    <cellStyle name="Table Sub Head" xfId="46382"/>
    <cellStyle name="Table Title" xfId="46383"/>
    <cellStyle name="Table Units" xfId="46384"/>
    <cellStyle name="Table Units 2" xfId="46385"/>
    <cellStyle name="Table Units 2 2" xfId="46386"/>
    <cellStyle name="Table Units 2 3" xfId="46387"/>
    <cellStyle name="Table Units 2 4" xfId="46388"/>
    <cellStyle name="Table Units 3" xfId="46389"/>
    <cellStyle name="Table Units 4" xfId="46390"/>
    <cellStyle name="Table_Heading" xfId="46391"/>
    <cellStyle name="Tausender" xfId="46392"/>
    <cellStyle name="Tausender 2" xfId="46393"/>
    <cellStyle name="Technical_Input" xfId="46394"/>
    <cellStyle name="Test" xfId="46395"/>
    <cellStyle name="Test 2" xfId="46396"/>
    <cellStyle name="Text [3]" xfId="46397"/>
    <cellStyle name="Text [3] 2" xfId="46398"/>
    <cellStyle name="Text [5]" xfId="46399"/>
    <cellStyle name="Text [5] 2" xfId="46400"/>
    <cellStyle name="Text [6]" xfId="46401"/>
    <cellStyle name="Text [6] 2" xfId="46402"/>
    <cellStyle name="Text Indent A" xfId="46403"/>
    <cellStyle name="Text Indent A 2" xfId="46404"/>
    <cellStyle name="Text Indent A 2 2" xfId="46405"/>
    <cellStyle name="Text Indent A 3" xfId="46406"/>
    <cellStyle name="Text Indent A 3 2" xfId="46407"/>
    <cellStyle name="Text Indent A 4" xfId="46408"/>
    <cellStyle name="Text Indent A 4 2" xfId="46409"/>
    <cellStyle name="Text Indent A 5" xfId="46410"/>
    <cellStyle name="Text Indent B" xfId="46411"/>
    <cellStyle name="Text Indent B 2" xfId="46412"/>
    <cellStyle name="Text Indent B 3" xfId="46413"/>
    <cellStyle name="Text Indent B 4" xfId="46414"/>
    <cellStyle name="Text Indent B 5" xfId="46415"/>
    <cellStyle name="Text Indent C" xfId="46416"/>
    <cellStyle name="Text Indent C 2" xfId="46417"/>
    <cellStyle name="Text Indent C 3" xfId="46418"/>
    <cellStyle name="Text Indent C 4" xfId="46419"/>
    <cellStyle name="Text Indent C 5" xfId="46420"/>
    <cellStyle name="TextNormal" xfId="46421"/>
    <cellStyle name="TextNormal 2" xfId="46422"/>
    <cellStyle name="TextNormal 3" xfId="46423"/>
    <cellStyle name="Tickmark" xfId="46424"/>
    <cellStyle name="TIME Detail" xfId="46425"/>
    <cellStyle name="TIME Period Start" xfId="46426"/>
    <cellStyle name="TIME Period Start 2" xfId="46427"/>
    <cellStyle name="Times 10" xfId="46428"/>
    <cellStyle name="Times 10 2" xfId="46429"/>
    <cellStyle name="Times 12" xfId="46430"/>
    <cellStyle name="Times New Roman0181000015536870911" xfId="46431"/>
    <cellStyle name="TITLE" xfId="46432"/>
    <cellStyle name="Title  - Style1" xfId="46433"/>
    <cellStyle name="TITLE 10" xfId="46434"/>
    <cellStyle name="TITLE 11" xfId="46435"/>
    <cellStyle name="TITLE 12" xfId="46436"/>
    <cellStyle name="TITLE 13" xfId="46437"/>
    <cellStyle name="TITLE 14" xfId="46438"/>
    <cellStyle name="TITLE 15" xfId="46439"/>
    <cellStyle name="TITLE 16" xfId="46440"/>
    <cellStyle name="TITLE 17" xfId="46441"/>
    <cellStyle name="TITLE 18" xfId="46442"/>
    <cellStyle name="TITLE 19" xfId="46443"/>
    <cellStyle name="TITLE 2" xfId="46444"/>
    <cellStyle name="TITLE 20" xfId="46445"/>
    <cellStyle name="TITLE 21" xfId="46446"/>
    <cellStyle name="TITLE 22" xfId="46447"/>
    <cellStyle name="TITLE 23" xfId="46448"/>
    <cellStyle name="TITLE 24" xfId="46449"/>
    <cellStyle name="TITLE 3" xfId="46450"/>
    <cellStyle name="TITLE 4" xfId="46451"/>
    <cellStyle name="TITLE 5" xfId="46452"/>
    <cellStyle name="TITLE 6" xfId="46453"/>
    <cellStyle name="TITLE 7" xfId="46454"/>
    <cellStyle name="TITLE 8" xfId="46455"/>
    <cellStyle name="TITLE 9" xfId="46456"/>
    <cellStyle name="Title_1" xfId="46457"/>
    <cellStyle name="Titles" xfId="46458"/>
    <cellStyle name="Top Edge" xfId="46459"/>
    <cellStyle name="Total" xfId="46460"/>
    <cellStyle name="Total 2" xfId="46461"/>
    <cellStyle name="Total 3" xfId="46462"/>
    <cellStyle name="Total2 - Style2" xfId="46463"/>
    <cellStyle name="Total2 - Style2 2" xfId="46464"/>
    <cellStyle name="TotCol - Style5" xfId="46465"/>
    <cellStyle name="TotCol - Style5 2" xfId="46466"/>
    <cellStyle name="TotRow - Style4" xfId="46467"/>
    <cellStyle name="TotRow - Style4 10" xfId="46468"/>
    <cellStyle name="TotRow - Style4 11" xfId="46469"/>
    <cellStyle name="TotRow - Style4 12" xfId="46470"/>
    <cellStyle name="TotRow - Style4 13" xfId="46471"/>
    <cellStyle name="TotRow - Style4 14" xfId="46472"/>
    <cellStyle name="TotRow - Style4 15" xfId="46473"/>
    <cellStyle name="TotRow - Style4 16" xfId="46474"/>
    <cellStyle name="TotRow - Style4 17" xfId="46475"/>
    <cellStyle name="TotRow - Style4 18" xfId="46476"/>
    <cellStyle name="TotRow - Style4 19" xfId="46477"/>
    <cellStyle name="TotRow - Style4 2" xfId="46478"/>
    <cellStyle name="TotRow - Style4 2 10" xfId="46479"/>
    <cellStyle name="TotRow - Style4 2 11" xfId="46480"/>
    <cellStyle name="TotRow - Style4 2 12" xfId="46481"/>
    <cellStyle name="TotRow - Style4 2 13" xfId="46482"/>
    <cellStyle name="TotRow - Style4 2 14" xfId="46483"/>
    <cellStyle name="TotRow - Style4 2 15" xfId="46484"/>
    <cellStyle name="TotRow - Style4 2 16" xfId="46485"/>
    <cellStyle name="TotRow - Style4 2 17" xfId="46486"/>
    <cellStyle name="TotRow - Style4 2 18" xfId="46487"/>
    <cellStyle name="TotRow - Style4 2 19" xfId="46488"/>
    <cellStyle name="TotRow - Style4 2 2" xfId="46489"/>
    <cellStyle name="TotRow - Style4 2 2 10" xfId="46490"/>
    <cellStyle name="TotRow - Style4 2 2 11" xfId="46491"/>
    <cellStyle name="TotRow - Style4 2 2 12" xfId="46492"/>
    <cellStyle name="TotRow - Style4 2 2 13" xfId="46493"/>
    <cellStyle name="TotRow - Style4 2 2 14" xfId="46494"/>
    <cellStyle name="TotRow - Style4 2 2 15" xfId="46495"/>
    <cellStyle name="TotRow - Style4 2 2 16" xfId="46496"/>
    <cellStyle name="TotRow - Style4 2 2 17" xfId="46497"/>
    <cellStyle name="TotRow - Style4 2 2 18" xfId="46498"/>
    <cellStyle name="TotRow - Style4 2 2 2" xfId="46499"/>
    <cellStyle name="TotRow - Style4 2 2 2 2" xfId="46500"/>
    <cellStyle name="TotRow - Style4 2 2 2 2 2" xfId="46501"/>
    <cellStyle name="TotRow - Style4 2 2 2 3" xfId="46502"/>
    <cellStyle name="TotRow - Style4 2 2 2 4" xfId="46503"/>
    <cellStyle name="TotRow - Style4 2 2 3" xfId="46504"/>
    <cellStyle name="TotRow - Style4 2 2 3 2" xfId="46505"/>
    <cellStyle name="TotRow - Style4 2 2 3 3" xfId="46506"/>
    <cellStyle name="TotRow - Style4 2 2 4" xfId="46507"/>
    <cellStyle name="TotRow - Style4 2 2 4 2" xfId="46508"/>
    <cellStyle name="TotRow - Style4 2 2 5" xfId="46509"/>
    <cellStyle name="TotRow - Style4 2 2 6" xfId="46510"/>
    <cellStyle name="TotRow - Style4 2 2 7" xfId="46511"/>
    <cellStyle name="TotRow - Style4 2 2 8" xfId="46512"/>
    <cellStyle name="TotRow - Style4 2 2 9" xfId="46513"/>
    <cellStyle name="TotRow - Style4 2 20" xfId="46514"/>
    <cellStyle name="TotRow - Style4 2 21" xfId="46515"/>
    <cellStyle name="TotRow - Style4 2 22" xfId="46516"/>
    <cellStyle name="TotRow - Style4 2 23" xfId="46517"/>
    <cellStyle name="TotRow - Style4 2 3" xfId="46518"/>
    <cellStyle name="TotRow - Style4 2 3 10" xfId="46519"/>
    <cellStyle name="TotRow - Style4 2 3 11" xfId="46520"/>
    <cellStyle name="TotRow - Style4 2 3 12" xfId="46521"/>
    <cellStyle name="TotRow - Style4 2 3 13" xfId="46522"/>
    <cellStyle name="TotRow - Style4 2 3 14" xfId="46523"/>
    <cellStyle name="TotRow - Style4 2 3 15" xfId="46524"/>
    <cellStyle name="TotRow - Style4 2 3 16" xfId="46525"/>
    <cellStyle name="TotRow - Style4 2 3 17" xfId="46526"/>
    <cellStyle name="TotRow - Style4 2 3 18" xfId="46527"/>
    <cellStyle name="TotRow - Style4 2 3 2" xfId="46528"/>
    <cellStyle name="TotRow - Style4 2 3 2 2" xfId="46529"/>
    <cellStyle name="TotRow - Style4 2 3 2 2 2" xfId="46530"/>
    <cellStyle name="TotRow - Style4 2 3 2 3" xfId="46531"/>
    <cellStyle name="TotRow - Style4 2 3 2 4" xfId="46532"/>
    <cellStyle name="TotRow - Style4 2 3 3" xfId="46533"/>
    <cellStyle name="TotRow - Style4 2 3 3 2" xfId="46534"/>
    <cellStyle name="TotRow - Style4 2 3 3 3" xfId="46535"/>
    <cellStyle name="TotRow - Style4 2 3 4" xfId="46536"/>
    <cellStyle name="TotRow - Style4 2 3 4 2" xfId="46537"/>
    <cellStyle name="TotRow - Style4 2 3 5" xfId="46538"/>
    <cellStyle name="TotRow - Style4 2 3 6" xfId="46539"/>
    <cellStyle name="TotRow - Style4 2 3 7" xfId="46540"/>
    <cellStyle name="TotRow - Style4 2 3 8" xfId="46541"/>
    <cellStyle name="TotRow - Style4 2 3 9" xfId="46542"/>
    <cellStyle name="TotRow - Style4 2 4" xfId="46543"/>
    <cellStyle name="TotRow - Style4 2 4 2" xfId="46544"/>
    <cellStyle name="TotRow - Style4 2 4 2 2" xfId="46545"/>
    <cellStyle name="TotRow - Style4 2 4 2 3" xfId="46546"/>
    <cellStyle name="TotRow - Style4 2 4 3" xfId="46547"/>
    <cellStyle name="TotRow - Style4 2 4 3 2" xfId="46548"/>
    <cellStyle name="TotRow - Style4 2 4 4" xfId="46549"/>
    <cellStyle name="TotRow - Style4 2 4 5" xfId="46550"/>
    <cellStyle name="TotRow - Style4 2 5" xfId="46551"/>
    <cellStyle name="TotRow - Style4 2 5 2" xfId="46552"/>
    <cellStyle name="TotRow - Style4 2 5 2 2" xfId="46553"/>
    <cellStyle name="TotRow - Style4 2 5 3" xfId="46554"/>
    <cellStyle name="TotRow - Style4 2 5 4" xfId="46555"/>
    <cellStyle name="TotRow - Style4 2 6" xfId="46556"/>
    <cellStyle name="TotRow - Style4 2 6 2" xfId="46557"/>
    <cellStyle name="TotRow - Style4 2 6 3" xfId="46558"/>
    <cellStyle name="TotRow - Style4 2 7" xfId="46559"/>
    <cellStyle name="TotRow - Style4 2 7 2" xfId="46560"/>
    <cellStyle name="TotRow - Style4 2 8" xfId="46561"/>
    <cellStyle name="TotRow - Style4 2 9" xfId="46562"/>
    <cellStyle name="TotRow - Style4 20" xfId="46563"/>
    <cellStyle name="TotRow - Style4 21" xfId="46564"/>
    <cellStyle name="TotRow - Style4 3" xfId="46565"/>
    <cellStyle name="TotRow - Style4 3 10" xfId="46566"/>
    <cellStyle name="TotRow - Style4 3 11" xfId="46567"/>
    <cellStyle name="TotRow - Style4 3 12" xfId="46568"/>
    <cellStyle name="TotRow - Style4 3 13" xfId="46569"/>
    <cellStyle name="TotRow - Style4 3 14" xfId="46570"/>
    <cellStyle name="TotRow - Style4 3 15" xfId="46571"/>
    <cellStyle name="TotRow - Style4 3 16" xfId="46572"/>
    <cellStyle name="TotRow - Style4 3 17" xfId="46573"/>
    <cellStyle name="TotRow - Style4 3 18" xfId="46574"/>
    <cellStyle name="TotRow - Style4 3 19" xfId="46575"/>
    <cellStyle name="TotRow - Style4 3 2" xfId="46576"/>
    <cellStyle name="TotRow - Style4 3 2 10" xfId="46577"/>
    <cellStyle name="TotRow - Style4 3 2 11" xfId="46578"/>
    <cellStyle name="TotRow - Style4 3 2 12" xfId="46579"/>
    <cellStyle name="TotRow - Style4 3 2 13" xfId="46580"/>
    <cellStyle name="TotRow - Style4 3 2 14" xfId="46581"/>
    <cellStyle name="TotRow - Style4 3 2 15" xfId="46582"/>
    <cellStyle name="TotRow - Style4 3 2 16" xfId="46583"/>
    <cellStyle name="TotRow - Style4 3 2 17" xfId="46584"/>
    <cellStyle name="TotRow - Style4 3 2 18" xfId="46585"/>
    <cellStyle name="TotRow - Style4 3 2 2" xfId="46586"/>
    <cellStyle name="TotRow - Style4 3 2 2 2" xfId="46587"/>
    <cellStyle name="TotRow - Style4 3 2 2 2 2" xfId="46588"/>
    <cellStyle name="TotRow - Style4 3 2 2 3" xfId="46589"/>
    <cellStyle name="TotRow - Style4 3 2 2 4" xfId="46590"/>
    <cellStyle name="TotRow - Style4 3 2 3" xfId="46591"/>
    <cellStyle name="TotRow - Style4 3 2 3 2" xfId="46592"/>
    <cellStyle name="TotRow - Style4 3 2 3 3" xfId="46593"/>
    <cellStyle name="TotRow - Style4 3 2 4" xfId="46594"/>
    <cellStyle name="TotRow - Style4 3 2 4 2" xfId="46595"/>
    <cellStyle name="TotRow - Style4 3 2 5" xfId="46596"/>
    <cellStyle name="TotRow - Style4 3 2 6" xfId="46597"/>
    <cellStyle name="TotRow - Style4 3 2 7" xfId="46598"/>
    <cellStyle name="TotRow - Style4 3 2 8" xfId="46599"/>
    <cellStyle name="TotRow - Style4 3 2 9" xfId="46600"/>
    <cellStyle name="TotRow - Style4 3 3" xfId="46601"/>
    <cellStyle name="TotRow - Style4 3 3 10" xfId="46602"/>
    <cellStyle name="TotRow - Style4 3 3 11" xfId="46603"/>
    <cellStyle name="TotRow - Style4 3 3 12" xfId="46604"/>
    <cellStyle name="TotRow - Style4 3 3 13" xfId="46605"/>
    <cellStyle name="TotRow - Style4 3 3 14" xfId="46606"/>
    <cellStyle name="TotRow - Style4 3 3 15" xfId="46607"/>
    <cellStyle name="TotRow - Style4 3 3 16" xfId="46608"/>
    <cellStyle name="TotRow - Style4 3 3 17" xfId="46609"/>
    <cellStyle name="TotRow - Style4 3 3 18" xfId="46610"/>
    <cellStyle name="TotRow - Style4 3 3 2" xfId="46611"/>
    <cellStyle name="TotRow - Style4 3 3 2 2" xfId="46612"/>
    <cellStyle name="TotRow - Style4 3 3 2 2 2" xfId="46613"/>
    <cellStyle name="TotRow - Style4 3 3 2 3" xfId="46614"/>
    <cellStyle name="TotRow - Style4 3 3 2 4" xfId="46615"/>
    <cellStyle name="TotRow - Style4 3 3 3" xfId="46616"/>
    <cellStyle name="TotRow - Style4 3 3 3 2" xfId="46617"/>
    <cellStyle name="TotRow - Style4 3 3 3 3" xfId="46618"/>
    <cellStyle name="TotRow - Style4 3 3 4" xfId="46619"/>
    <cellStyle name="TotRow - Style4 3 3 4 2" xfId="46620"/>
    <cellStyle name="TotRow - Style4 3 3 5" xfId="46621"/>
    <cellStyle name="TotRow - Style4 3 3 6" xfId="46622"/>
    <cellStyle name="TotRow - Style4 3 3 7" xfId="46623"/>
    <cellStyle name="TotRow - Style4 3 3 8" xfId="46624"/>
    <cellStyle name="TotRow - Style4 3 3 9" xfId="46625"/>
    <cellStyle name="TotRow - Style4 3 4" xfId="46626"/>
    <cellStyle name="TotRow - Style4 3 4 2" xfId="46627"/>
    <cellStyle name="TotRow - Style4 3 4 2 2" xfId="46628"/>
    <cellStyle name="TotRow - Style4 3 4 2 3" xfId="46629"/>
    <cellStyle name="TotRow - Style4 3 4 3" xfId="46630"/>
    <cellStyle name="TotRow - Style4 3 4 3 2" xfId="46631"/>
    <cellStyle name="TotRow - Style4 3 4 4" xfId="46632"/>
    <cellStyle name="TotRow - Style4 3 4 5" xfId="46633"/>
    <cellStyle name="TotRow - Style4 3 5" xfId="46634"/>
    <cellStyle name="TotRow - Style4 3 5 2" xfId="46635"/>
    <cellStyle name="TotRow - Style4 3 5 2 2" xfId="46636"/>
    <cellStyle name="TotRow - Style4 3 5 3" xfId="46637"/>
    <cellStyle name="TotRow - Style4 3 5 4" xfId="46638"/>
    <cellStyle name="TotRow - Style4 3 6" xfId="46639"/>
    <cellStyle name="TotRow - Style4 3 6 2" xfId="46640"/>
    <cellStyle name="TotRow - Style4 3 6 3" xfId="46641"/>
    <cellStyle name="TotRow - Style4 3 7" xfId="46642"/>
    <cellStyle name="TotRow - Style4 3 7 2" xfId="46643"/>
    <cellStyle name="TotRow - Style4 3 8" xfId="46644"/>
    <cellStyle name="TotRow - Style4 3 9" xfId="46645"/>
    <cellStyle name="TotRow - Style4 4" xfId="46646"/>
    <cellStyle name="TotRow - Style4 4 10" xfId="46647"/>
    <cellStyle name="TotRow - Style4 4 11" xfId="46648"/>
    <cellStyle name="TotRow - Style4 4 12" xfId="46649"/>
    <cellStyle name="TotRow - Style4 4 13" xfId="46650"/>
    <cellStyle name="TotRow - Style4 4 14" xfId="46651"/>
    <cellStyle name="TotRow - Style4 4 15" xfId="46652"/>
    <cellStyle name="TotRow - Style4 4 16" xfId="46653"/>
    <cellStyle name="TotRow - Style4 4 17" xfId="46654"/>
    <cellStyle name="TotRow - Style4 4 18" xfId="46655"/>
    <cellStyle name="TotRow - Style4 4 19" xfId="46656"/>
    <cellStyle name="TotRow - Style4 4 2" xfId="46657"/>
    <cellStyle name="TotRow - Style4 4 2 10" xfId="46658"/>
    <cellStyle name="TotRow - Style4 4 2 11" xfId="46659"/>
    <cellStyle name="TotRow - Style4 4 2 12" xfId="46660"/>
    <cellStyle name="TotRow - Style4 4 2 13" xfId="46661"/>
    <cellStyle name="TotRow - Style4 4 2 14" xfId="46662"/>
    <cellStyle name="TotRow - Style4 4 2 15" xfId="46663"/>
    <cellStyle name="TotRow - Style4 4 2 16" xfId="46664"/>
    <cellStyle name="TotRow - Style4 4 2 17" xfId="46665"/>
    <cellStyle name="TotRow - Style4 4 2 18" xfId="46666"/>
    <cellStyle name="TotRow - Style4 4 2 2" xfId="46667"/>
    <cellStyle name="TotRow - Style4 4 2 2 2" xfId="46668"/>
    <cellStyle name="TotRow - Style4 4 2 2 2 2" xfId="46669"/>
    <cellStyle name="TotRow - Style4 4 2 2 3" xfId="46670"/>
    <cellStyle name="TotRow - Style4 4 2 2 4" xfId="46671"/>
    <cellStyle name="TotRow - Style4 4 2 3" xfId="46672"/>
    <cellStyle name="TotRow - Style4 4 2 3 2" xfId="46673"/>
    <cellStyle name="TotRow - Style4 4 2 3 3" xfId="46674"/>
    <cellStyle name="TotRow - Style4 4 2 4" xfId="46675"/>
    <cellStyle name="TotRow - Style4 4 2 4 2" xfId="46676"/>
    <cellStyle name="TotRow - Style4 4 2 5" xfId="46677"/>
    <cellStyle name="TotRow - Style4 4 2 6" xfId="46678"/>
    <cellStyle name="TotRow - Style4 4 2 7" xfId="46679"/>
    <cellStyle name="TotRow - Style4 4 2 8" xfId="46680"/>
    <cellStyle name="TotRow - Style4 4 2 9" xfId="46681"/>
    <cellStyle name="TotRow - Style4 4 3" xfId="46682"/>
    <cellStyle name="TotRow - Style4 4 3 10" xfId="46683"/>
    <cellStyle name="TotRow - Style4 4 3 11" xfId="46684"/>
    <cellStyle name="TotRow - Style4 4 3 12" xfId="46685"/>
    <cellStyle name="TotRow - Style4 4 3 13" xfId="46686"/>
    <cellStyle name="TotRow - Style4 4 3 14" xfId="46687"/>
    <cellStyle name="TotRow - Style4 4 3 15" xfId="46688"/>
    <cellStyle name="TotRow - Style4 4 3 16" xfId="46689"/>
    <cellStyle name="TotRow - Style4 4 3 17" xfId="46690"/>
    <cellStyle name="TotRow - Style4 4 3 18" xfId="46691"/>
    <cellStyle name="TotRow - Style4 4 3 2" xfId="46692"/>
    <cellStyle name="TotRow - Style4 4 3 2 2" xfId="46693"/>
    <cellStyle name="TotRow - Style4 4 3 2 2 2" xfId="46694"/>
    <cellStyle name="TotRow - Style4 4 3 2 3" xfId="46695"/>
    <cellStyle name="TotRow - Style4 4 3 2 4" xfId="46696"/>
    <cellStyle name="TotRow - Style4 4 3 3" xfId="46697"/>
    <cellStyle name="TotRow - Style4 4 3 3 2" xfId="46698"/>
    <cellStyle name="TotRow - Style4 4 3 3 3" xfId="46699"/>
    <cellStyle name="TotRow - Style4 4 3 4" xfId="46700"/>
    <cellStyle name="TotRow - Style4 4 3 4 2" xfId="46701"/>
    <cellStyle name="TotRow - Style4 4 3 5" xfId="46702"/>
    <cellStyle name="TotRow - Style4 4 3 6" xfId="46703"/>
    <cellStyle name="TotRow - Style4 4 3 7" xfId="46704"/>
    <cellStyle name="TotRow - Style4 4 3 8" xfId="46705"/>
    <cellStyle name="TotRow - Style4 4 3 9" xfId="46706"/>
    <cellStyle name="TotRow - Style4 4 4" xfId="46707"/>
    <cellStyle name="TotRow - Style4 4 4 2" xfId="46708"/>
    <cellStyle name="TotRow - Style4 4 4 2 2" xfId="46709"/>
    <cellStyle name="TotRow - Style4 4 4 2 3" xfId="46710"/>
    <cellStyle name="TotRow - Style4 4 4 3" xfId="46711"/>
    <cellStyle name="TotRow - Style4 4 4 3 2" xfId="46712"/>
    <cellStyle name="TotRow - Style4 4 4 4" xfId="46713"/>
    <cellStyle name="TotRow - Style4 4 4 5" xfId="46714"/>
    <cellStyle name="TotRow - Style4 4 5" xfId="46715"/>
    <cellStyle name="TotRow - Style4 4 5 2" xfId="46716"/>
    <cellStyle name="TotRow - Style4 4 5 2 2" xfId="46717"/>
    <cellStyle name="TotRow - Style4 4 5 3" xfId="46718"/>
    <cellStyle name="TotRow - Style4 4 5 4" xfId="46719"/>
    <cellStyle name="TotRow - Style4 4 6" xfId="46720"/>
    <cellStyle name="TotRow - Style4 4 6 2" xfId="46721"/>
    <cellStyle name="TotRow - Style4 4 6 3" xfId="46722"/>
    <cellStyle name="TotRow - Style4 4 7" xfId="46723"/>
    <cellStyle name="TotRow - Style4 4 7 2" xfId="46724"/>
    <cellStyle name="TotRow - Style4 4 8" xfId="46725"/>
    <cellStyle name="TotRow - Style4 4 9" xfId="46726"/>
    <cellStyle name="TotRow - Style4 5" xfId="46727"/>
    <cellStyle name="TotRow - Style4 5 10" xfId="46728"/>
    <cellStyle name="TotRow - Style4 5 11" xfId="46729"/>
    <cellStyle name="TotRow - Style4 5 12" xfId="46730"/>
    <cellStyle name="TotRow - Style4 5 13" xfId="46731"/>
    <cellStyle name="TotRow - Style4 5 14" xfId="46732"/>
    <cellStyle name="TotRow - Style4 5 15" xfId="46733"/>
    <cellStyle name="TotRow - Style4 5 2" xfId="46734"/>
    <cellStyle name="TotRow - Style4 5 2 10" xfId="46735"/>
    <cellStyle name="TotRow - Style4 5 2 11" xfId="46736"/>
    <cellStyle name="TotRow - Style4 5 2 12" xfId="46737"/>
    <cellStyle name="TotRow - Style4 5 2 13" xfId="46738"/>
    <cellStyle name="TotRow - Style4 5 2 14" xfId="46739"/>
    <cellStyle name="TotRow - Style4 5 2 15" xfId="46740"/>
    <cellStyle name="TotRow - Style4 5 2 16" xfId="46741"/>
    <cellStyle name="TotRow - Style4 5 2 17" xfId="46742"/>
    <cellStyle name="TotRow - Style4 5 2 18" xfId="46743"/>
    <cellStyle name="TotRow - Style4 5 2 2" xfId="46744"/>
    <cellStyle name="TotRow - Style4 5 2 2 2" xfId="46745"/>
    <cellStyle name="TotRow - Style4 5 2 2 2 2" xfId="46746"/>
    <cellStyle name="TotRow - Style4 5 2 2 3" xfId="46747"/>
    <cellStyle name="TotRow - Style4 5 2 2 4" xfId="46748"/>
    <cellStyle name="TotRow - Style4 5 2 3" xfId="46749"/>
    <cellStyle name="TotRow - Style4 5 2 3 2" xfId="46750"/>
    <cellStyle name="TotRow - Style4 5 2 3 3" xfId="46751"/>
    <cellStyle name="TotRow - Style4 5 2 4" xfId="46752"/>
    <cellStyle name="TotRow - Style4 5 2 4 2" xfId="46753"/>
    <cellStyle name="TotRow - Style4 5 2 5" xfId="46754"/>
    <cellStyle name="TotRow - Style4 5 2 6" xfId="46755"/>
    <cellStyle name="TotRow - Style4 5 2 7" xfId="46756"/>
    <cellStyle name="TotRow - Style4 5 2 8" xfId="46757"/>
    <cellStyle name="TotRow - Style4 5 2 9" xfId="46758"/>
    <cellStyle name="TotRow - Style4 5 3" xfId="46759"/>
    <cellStyle name="TotRow - Style4 5 3 10" xfId="46760"/>
    <cellStyle name="TotRow - Style4 5 3 11" xfId="46761"/>
    <cellStyle name="TotRow - Style4 5 3 12" xfId="46762"/>
    <cellStyle name="TotRow - Style4 5 3 13" xfId="46763"/>
    <cellStyle name="TotRow - Style4 5 3 14" xfId="46764"/>
    <cellStyle name="TotRow - Style4 5 3 15" xfId="46765"/>
    <cellStyle name="TotRow - Style4 5 3 16" xfId="46766"/>
    <cellStyle name="TotRow - Style4 5 3 17" xfId="46767"/>
    <cellStyle name="TotRow - Style4 5 3 18" xfId="46768"/>
    <cellStyle name="TotRow - Style4 5 3 2" xfId="46769"/>
    <cellStyle name="TotRow - Style4 5 3 2 2" xfId="46770"/>
    <cellStyle name="TotRow - Style4 5 3 2 2 2" xfId="46771"/>
    <cellStyle name="TotRow - Style4 5 3 2 3" xfId="46772"/>
    <cellStyle name="TotRow - Style4 5 3 2 4" xfId="46773"/>
    <cellStyle name="TotRow - Style4 5 3 3" xfId="46774"/>
    <cellStyle name="TotRow - Style4 5 3 3 2" xfId="46775"/>
    <cellStyle name="TotRow - Style4 5 3 3 3" xfId="46776"/>
    <cellStyle name="TotRow - Style4 5 3 4" xfId="46777"/>
    <cellStyle name="TotRow - Style4 5 3 4 2" xfId="46778"/>
    <cellStyle name="TotRow - Style4 5 3 5" xfId="46779"/>
    <cellStyle name="TotRow - Style4 5 3 6" xfId="46780"/>
    <cellStyle name="TotRow - Style4 5 3 7" xfId="46781"/>
    <cellStyle name="TotRow - Style4 5 3 8" xfId="46782"/>
    <cellStyle name="TotRow - Style4 5 3 9" xfId="46783"/>
    <cellStyle name="TotRow - Style4 5 4" xfId="46784"/>
    <cellStyle name="TotRow - Style4 5 4 2" xfId="46785"/>
    <cellStyle name="TotRow - Style4 5 4 2 2" xfId="46786"/>
    <cellStyle name="TotRow - Style4 5 4 2 3" xfId="46787"/>
    <cellStyle name="TotRow - Style4 5 4 3" xfId="46788"/>
    <cellStyle name="TotRow - Style4 5 4 3 2" xfId="46789"/>
    <cellStyle name="TotRow - Style4 5 4 4" xfId="46790"/>
    <cellStyle name="TotRow - Style4 5 4 5" xfId="46791"/>
    <cellStyle name="TotRow - Style4 5 5" xfId="46792"/>
    <cellStyle name="TotRow - Style4 5 5 2" xfId="46793"/>
    <cellStyle name="TotRow - Style4 5 5 2 2" xfId="46794"/>
    <cellStyle name="TotRow - Style4 5 5 3" xfId="46795"/>
    <cellStyle name="TotRow - Style4 5 5 4" xfId="46796"/>
    <cellStyle name="TotRow - Style4 5 6" xfId="46797"/>
    <cellStyle name="TotRow - Style4 5 6 2" xfId="46798"/>
    <cellStyle name="TotRow - Style4 5 7" xfId="46799"/>
    <cellStyle name="TotRow - Style4 5 8" xfId="46800"/>
    <cellStyle name="TotRow - Style4 5 9" xfId="46801"/>
    <cellStyle name="TotRow - Style4 6" xfId="46802"/>
    <cellStyle name="TotRow - Style4 6 10" xfId="46803"/>
    <cellStyle name="TotRow - Style4 6 11" xfId="46804"/>
    <cellStyle name="TotRow - Style4 6 12" xfId="46805"/>
    <cellStyle name="TotRow - Style4 6 13" xfId="46806"/>
    <cellStyle name="TotRow - Style4 6 14" xfId="46807"/>
    <cellStyle name="TotRow - Style4 6 15" xfId="46808"/>
    <cellStyle name="TotRow - Style4 6 16" xfId="46809"/>
    <cellStyle name="TotRow - Style4 6 17" xfId="46810"/>
    <cellStyle name="TotRow - Style4 6 18" xfId="46811"/>
    <cellStyle name="TotRow - Style4 6 2" xfId="46812"/>
    <cellStyle name="TotRow - Style4 6 2 2" xfId="46813"/>
    <cellStyle name="TotRow - Style4 6 2 2 2" xfId="46814"/>
    <cellStyle name="TotRow - Style4 6 2 3" xfId="46815"/>
    <cellStyle name="TotRow - Style4 6 2 4" xfId="46816"/>
    <cellStyle name="TotRow - Style4 6 3" xfId="46817"/>
    <cellStyle name="TotRow - Style4 6 3 2" xfId="46818"/>
    <cellStyle name="TotRow - Style4 6 3 3" xfId="46819"/>
    <cellStyle name="TotRow - Style4 6 4" xfId="46820"/>
    <cellStyle name="TotRow - Style4 6 4 2" xfId="46821"/>
    <cellStyle name="TotRow - Style4 6 5" xfId="46822"/>
    <cellStyle name="TotRow - Style4 6 6" xfId="46823"/>
    <cellStyle name="TotRow - Style4 6 7" xfId="46824"/>
    <cellStyle name="TotRow - Style4 6 8" xfId="46825"/>
    <cellStyle name="TotRow - Style4 6 9" xfId="46826"/>
    <cellStyle name="TotRow - Style4 7" xfId="46827"/>
    <cellStyle name="TotRow - Style4 7 10" xfId="46828"/>
    <cellStyle name="TotRow - Style4 7 11" xfId="46829"/>
    <cellStyle name="TotRow - Style4 7 12" xfId="46830"/>
    <cellStyle name="TotRow - Style4 7 13" xfId="46831"/>
    <cellStyle name="TotRow - Style4 7 14" xfId="46832"/>
    <cellStyle name="TotRow - Style4 7 15" xfId="46833"/>
    <cellStyle name="TotRow - Style4 7 16" xfId="46834"/>
    <cellStyle name="TotRow - Style4 7 17" xfId="46835"/>
    <cellStyle name="TotRow - Style4 7 18" xfId="46836"/>
    <cellStyle name="TotRow - Style4 7 2" xfId="46837"/>
    <cellStyle name="TotRow - Style4 7 2 2" xfId="46838"/>
    <cellStyle name="TotRow - Style4 7 2 3" xfId="46839"/>
    <cellStyle name="TotRow - Style4 7 3" xfId="46840"/>
    <cellStyle name="TotRow - Style4 7 3 2" xfId="46841"/>
    <cellStyle name="TotRow - Style4 7 4" xfId="46842"/>
    <cellStyle name="TotRow - Style4 7 5" xfId="46843"/>
    <cellStyle name="TotRow - Style4 7 6" xfId="46844"/>
    <cellStyle name="TotRow - Style4 7 7" xfId="46845"/>
    <cellStyle name="TotRow - Style4 7 8" xfId="46846"/>
    <cellStyle name="TotRow - Style4 7 9" xfId="46847"/>
    <cellStyle name="TotRow - Style4 8" xfId="46848"/>
    <cellStyle name="TotRow - Style4 8 2" xfId="46849"/>
    <cellStyle name="TotRow - Style4 8 2 2" xfId="46850"/>
    <cellStyle name="TotRow - Style4 8 3" xfId="46851"/>
    <cellStyle name="TotRow - Style4 8 4" xfId="46852"/>
    <cellStyle name="TotRow - Style4 9" xfId="46853"/>
    <cellStyle name="Tusenskille [0]_DS" xfId="46854"/>
    <cellStyle name="Tusenskille_DS" xfId="46855"/>
    <cellStyle name="Überschrift 1" xfId="46856"/>
    <cellStyle name="Überschrift 1 2" xfId="46857"/>
    <cellStyle name="Überschrift 2" xfId="46858"/>
    <cellStyle name="Überschrift 2 2" xfId="46859"/>
    <cellStyle name="Überschrift 2 2 2" xfId="46860"/>
    <cellStyle name="Überschrift 2 2 3" xfId="46861"/>
    <cellStyle name="Überschrift 2 3" xfId="46862"/>
    <cellStyle name="Überschrift 2 3 2" xfId="46863"/>
    <cellStyle name="Überschrift 2 3 3" xfId="46864"/>
    <cellStyle name="Überschrift 2 4" xfId="46865"/>
    <cellStyle name="Überschrift 2 4 2" xfId="46866"/>
    <cellStyle name="Überschrift 2 4 3" xfId="46867"/>
    <cellStyle name="Überschrift 2 5" xfId="46868"/>
    <cellStyle name="Überschrift 2 6" xfId="46869"/>
    <cellStyle name="Überschrift 3" xfId="46870"/>
    <cellStyle name="Überschrift 3 2" xfId="46871"/>
    <cellStyle name="Überschrift 3 2 2" xfId="46872"/>
    <cellStyle name="Überschrift 3 2 3" xfId="46873"/>
    <cellStyle name="Überschrift 3 3" xfId="46874"/>
    <cellStyle name="Überschrift 3 3 2" xfId="46875"/>
    <cellStyle name="Überschrift 3 3 3" xfId="46876"/>
    <cellStyle name="Überschrift 3 4" xfId="46877"/>
    <cellStyle name="Überschrift 3 4 2" xfId="46878"/>
    <cellStyle name="Überschrift 3 4 3" xfId="46879"/>
    <cellStyle name="Überschrift 3 5" xfId="46880"/>
    <cellStyle name="Überschrift 3 6" xfId="46881"/>
    <cellStyle name="ubordinated Debt" xfId="46882"/>
    <cellStyle name="Undefiniert" xfId="46883"/>
    <cellStyle name="Undefiniert 2" xfId="46884"/>
    <cellStyle name="Unit" xfId="46885"/>
    <cellStyle name="Unit 2" xfId="46886"/>
    <cellStyle name="Unit 2 2" xfId="46887"/>
    <cellStyle name="Unit 3" xfId="46888"/>
    <cellStyle name="Unit 3 2" xfId="46889"/>
    <cellStyle name="Unit 4" xfId="46890"/>
    <cellStyle name="Unit 4 2" xfId="46891"/>
    <cellStyle name="Unit 5" xfId="46892"/>
    <cellStyle name="Unit 6" xfId="46893"/>
    <cellStyle name="Units" xfId="46894"/>
    <cellStyle name="Units 2" xfId="46895"/>
    <cellStyle name="Validation" xfId="46896"/>
    <cellStyle name="Validation 2" xfId="46897"/>
    <cellStyle name="Validation 2 2" xfId="46898"/>
    <cellStyle name="Validation 2 2 2" xfId="46899"/>
    <cellStyle name="Validation 2 2 2 2" xfId="46900"/>
    <cellStyle name="Validation 2 3" xfId="46901"/>
    <cellStyle name="Validation 2 3 2" xfId="46902"/>
    <cellStyle name="Validation 2 3 2 2" xfId="46903"/>
    <cellStyle name="Validation 2 3 3" xfId="46904"/>
    <cellStyle name="Validation 3" xfId="46905"/>
    <cellStyle name="Valiotsikko" xfId="46906"/>
    <cellStyle name="Valuta [0]_DS" xfId="46907"/>
    <cellStyle name="Valuta_DS" xfId="46908"/>
    <cellStyle name="Vertical" xfId="46909"/>
    <cellStyle name="Vertical 2" xfId="46910"/>
    <cellStyle name="Vertical 2 2" xfId="46911"/>
    <cellStyle name="Vertical 3" xfId="46912"/>
    <cellStyle name="Vertical 3 2" xfId="46913"/>
    <cellStyle name="Vertical 4" xfId="46914"/>
    <cellStyle name="Vertical 4 2" xfId="46915"/>
    <cellStyle name="Vertical 5" xfId="46916"/>
    <cellStyle name="Vдliotsikko" xfId="46917"/>
    <cellStyle name="Währung [0]_1380" xfId="46918"/>
    <cellStyle name="Wahrung [0]_Bilanz" xfId="46919"/>
    <cellStyle name="Währung [0]_laroux" xfId="46920"/>
    <cellStyle name="Währung_1380" xfId="46921"/>
    <cellStyle name="Wahrung_Bilanz" xfId="46922"/>
    <cellStyle name="Währung_laroux" xfId="46923"/>
    <cellStyle name="Walutowy [0]_1" xfId="46924"/>
    <cellStyle name="Walutowy_1" xfId="46925"/>
    <cellStyle name="Warning Text" xfId="46926"/>
    <cellStyle name="Warning Text 2" xfId="46927"/>
    <cellStyle name="white" xfId="46928"/>
    <cellStyle name="white 2" xfId="46929"/>
    <cellStyle name="white 3" xfId="46930"/>
    <cellStyle name="WIP" xfId="46931"/>
    <cellStyle name="WIP 2" xfId="46932"/>
    <cellStyle name="Wдhrung [0]_Compiling Utility Macros" xfId="46933"/>
    <cellStyle name="Wдhrung_Compiling Utility Macros" xfId="46934"/>
    <cellStyle name="Year" xfId="46935"/>
    <cellStyle name="Year 2" xfId="46936"/>
    <cellStyle name="Year 2 2" xfId="46937"/>
    <cellStyle name="Year 2 3" xfId="46938"/>
    <cellStyle name="Year 2 4" xfId="46939"/>
    <cellStyle name="Year 2 5" xfId="46940"/>
    <cellStyle name="Year 3" xfId="46941"/>
    <cellStyle name="Year 4" xfId="46942"/>
    <cellStyle name="Year 5" xfId="46943"/>
    <cellStyle name="Year 6" xfId="46944"/>
    <cellStyle name="Year EN" xfId="46945"/>
    <cellStyle name="Year EN 2" xfId="46946"/>
    <cellStyle name="Year EN 2 2" xfId="46947"/>
    <cellStyle name="Year EN 3" xfId="46948"/>
    <cellStyle name="Year EN 4" xfId="46949"/>
    <cellStyle name="Year Estimates" xfId="46950"/>
    <cellStyle name="Year Historicals" xfId="46951"/>
    <cellStyle name="Year RU" xfId="46952"/>
    <cellStyle name="Year RU 2" xfId="46953"/>
    <cellStyle name="Year RU 3" xfId="46954"/>
    <cellStyle name="Year, Actual" xfId="46955"/>
    <cellStyle name="Year, Actual 2" xfId="46956"/>
    <cellStyle name="Year, Expected" xfId="46957"/>
    <cellStyle name="Year, Expected 2" xfId="46958"/>
    <cellStyle name="Year_Расчет" xfId="46959"/>
    <cellStyle name="Yellow" xfId="46960"/>
    <cellStyle name="Yellow 10" xfId="46961"/>
    <cellStyle name="Yellow 11" xfId="46962"/>
    <cellStyle name="Yellow 12" xfId="46963"/>
    <cellStyle name="Yellow 13" xfId="46964"/>
    <cellStyle name="Yellow 14" xfId="46965"/>
    <cellStyle name="Yellow 15" xfId="46966"/>
    <cellStyle name="Yellow 16" xfId="46967"/>
    <cellStyle name="Yellow 17" xfId="46968"/>
    <cellStyle name="Yellow 18" xfId="46969"/>
    <cellStyle name="Yellow 19" xfId="46970"/>
    <cellStyle name="Yellow 2" xfId="46971"/>
    <cellStyle name="Yellow 2 10" xfId="46972"/>
    <cellStyle name="Yellow 2 11" xfId="46973"/>
    <cellStyle name="Yellow 2 12" xfId="46974"/>
    <cellStyle name="Yellow 2 13" xfId="46975"/>
    <cellStyle name="Yellow 2 14" xfId="46976"/>
    <cellStyle name="Yellow 2 15" xfId="46977"/>
    <cellStyle name="Yellow 2 16" xfId="46978"/>
    <cellStyle name="Yellow 2 17" xfId="46979"/>
    <cellStyle name="Yellow 2 18" xfId="46980"/>
    <cellStyle name="Yellow 2 19" xfId="46981"/>
    <cellStyle name="Yellow 2 2" xfId="46982"/>
    <cellStyle name="Yellow 2 2 10" xfId="46983"/>
    <cellStyle name="Yellow 2 2 11" xfId="46984"/>
    <cellStyle name="Yellow 2 2 12" xfId="46985"/>
    <cellStyle name="Yellow 2 2 13" xfId="46986"/>
    <cellStyle name="Yellow 2 2 14" xfId="46987"/>
    <cellStyle name="Yellow 2 2 15" xfId="46988"/>
    <cellStyle name="Yellow 2 2 16" xfId="46989"/>
    <cellStyle name="Yellow 2 2 17" xfId="46990"/>
    <cellStyle name="Yellow 2 2 18" xfId="46991"/>
    <cellStyle name="Yellow 2 2 2" xfId="46992"/>
    <cellStyle name="Yellow 2 2 2 2" xfId="46993"/>
    <cellStyle name="Yellow 2 2 2 2 2" xfId="46994"/>
    <cellStyle name="Yellow 2 2 2 3" xfId="46995"/>
    <cellStyle name="Yellow 2 2 2 4" xfId="46996"/>
    <cellStyle name="Yellow 2 2 3" xfId="46997"/>
    <cellStyle name="Yellow 2 2 3 2" xfId="46998"/>
    <cellStyle name="Yellow 2 2 3 3" xfId="46999"/>
    <cellStyle name="Yellow 2 2 4" xfId="47000"/>
    <cellStyle name="Yellow 2 2 4 2" xfId="47001"/>
    <cellStyle name="Yellow 2 2 5" xfId="47002"/>
    <cellStyle name="Yellow 2 2 6" xfId="47003"/>
    <cellStyle name="Yellow 2 2 7" xfId="47004"/>
    <cellStyle name="Yellow 2 2 8" xfId="47005"/>
    <cellStyle name="Yellow 2 2 9" xfId="47006"/>
    <cellStyle name="Yellow 2 20" xfId="47007"/>
    <cellStyle name="Yellow 2 3" xfId="47008"/>
    <cellStyle name="Yellow 2 3 10" xfId="47009"/>
    <cellStyle name="Yellow 2 3 11" xfId="47010"/>
    <cellStyle name="Yellow 2 3 12" xfId="47011"/>
    <cellStyle name="Yellow 2 3 13" xfId="47012"/>
    <cellStyle name="Yellow 2 3 14" xfId="47013"/>
    <cellStyle name="Yellow 2 3 15" xfId="47014"/>
    <cellStyle name="Yellow 2 3 16" xfId="47015"/>
    <cellStyle name="Yellow 2 3 17" xfId="47016"/>
    <cellStyle name="Yellow 2 3 18" xfId="47017"/>
    <cellStyle name="Yellow 2 3 2" xfId="47018"/>
    <cellStyle name="Yellow 2 3 2 2" xfId="47019"/>
    <cellStyle name="Yellow 2 3 2 2 2" xfId="47020"/>
    <cellStyle name="Yellow 2 3 2 3" xfId="47021"/>
    <cellStyle name="Yellow 2 3 2 4" xfId="47022"/>
    <cellStyle name="Yellow 2 3 3" xfId="47023"/>
    <cellStyle name="Yellow 2 3 3 2" xfId="47024"/>
    <cellStyle name="Yellow 2 3 3 3" xfId="47025"/>
    <cellStyle name="Yellow 2 3 4" xfId="47026"/>
    <cellStyle name="Yellow 2 3 4 2" xfId="47027"/>
    <cellStyle name="Yellow 2 3 5" xfId="47028"/>
    <cellStyle name="Yellow 2 3 6" xfId="47029"/>
    <cellStyle name="Yellow 2 3 7" xfId="47030"/>
    <cellStyle name="Yellow 2 3 8" xfId="47031"/>
    <cellStyle name="Yellow 2 3 9" xfId="47032"/>
    <cellStyle name="Yellow 2 4" xfId="47033"/>
    <cellStyle name="Yellow 2 4 2" xfId="47034"/>
    <cellStyle name="Yellow 2 4 2 2" xfId="47035"/>
    <cellStyle name="Yellow 2 4 2 3" xfId="47036"/>
    <cellStyle name="Yellow 2 4 3" xfId="47037"/>
    <cellStyle name="Yellow 2 4 3 2" xfId="47038"/>
    <cellStyle name="Yellow 2 4 4" xfId="47039"/>
    <cellStyle name="Yellow 2 4 5" xfId="47040"/>
    <cellStyle name="Yellow 2 5" xfId="47041"/>
    <cellStyle name="Yellow 2 5 2" xfId="47042"/>
    <cellStyle name="Yellow 2 5 2 2" xfId="47043"/>
    <cellStyle name="Yellow 2 5 3" xfId="47044"/>
    <cellStyle name="Yellow 2 5 4" xfId="47045"/>
    <cellStyle name="Yellow 2 6" xfId="47046"/>
    <cellStyle name="Yellow 2 6 2" xfId="47047"/>
    <cellStyle name="Yellow 2 7" xfId="47048"/>
    <cellStyle name="Yellow 2 8" xfId="47049"/>
    <cellStyle name="Yellow 2 9" xfId="47050"/>
    <cellStyle name="Yellow 20" xfId="47051"/>
    <cellStyle name="Yellow 21" xfId="47052"/>
    <cellStyle name="Yellow 22" xfId="47053"/>
    <cellStyle name="Yellow 23" xfId="47054"/>
    <cellStyle name="Yellow 24" xfId="47055"/>
    <cellStyle name="Yellow 3" xfId="47056"/>
    <cellStyle name="Yellow 3 10" xfId="47057"/>
    <cellStyle name="Yellow 3 11" xfId="47058"/>
    <cellStyle name="Yellow 3 12" xfId="47059"/>
    <cellStyle name="Yellow 3 13" xfId="47060"/>
    <cellStyle name="Yellow 3 14" xfId="47061"/>
    <cellStyle name="Yellow 3 15" xfId="47062"/>
    <cellStyle name="Yellow 3 16" xfId="47063"/>
    <cellStyle name="Yellow 3 17" xfId="47064"/>
    <cellStyle name="Yellow 3 18" xfId="47065"/>
    <cellStyle name="Yellow 3 19" xfId="47066"/>
    <cellStyle name="Yellow 3 2" xfId="47067"/>
    <cellStyle name="Yellow 3 2 10" xfId="47068"/>
    <cellStyle name="Yellow 3 2 11" xfId="47069"/>
    <cellStyle name="Yellow 3 2 12" xfId="47070"/>
    <cellStyle name="Yellow 3 2 13" xfId="47071"/>
    <cellStyle name="Yellow 3 2 14" xfId="47072"/>
    <cellStyle name="Yellow 3 2 15" xfId="47073"/>
    <cellStyle name="Yellow 3 2 16" xfId="47074"/>
    <cellStyle name="Yellow 3 2 17" xfId="47075"/>
    <cellStyle name="Yellow 3 2 18" xfId="47076"/>
    <cellStyle name="Yellow 3 2 2" xfId="47077"/>
    <cellStyle name="Yellow 3 2 2 2" xfId="47078"/>
    <cellStyle name="Yellow 3 2 2 2 2" xfId="47079"/>
    <cellStyle name="Yellow 3 2 2 3" xfId="47080"/>
    <cellStyle name="Yellow 3 2 2 4" xfId="47081"/>
    <cellStyle name="Yellow 3 2 3" xfId="47082"/>
    <cellStyle name="Yellow 3 2 3 2" xfId="47083"/>
    <cellStyle name="Yellow 3 2 3 3" xfId="47084"/>
    <cellStyle name="Yellow 3 2 4" xfId="47085"/>
    <cellStyle name="Yellow 3 2 4 2" xfId="47086"/>
    <cellStyle name="Yellow 3 2 5" xfId="47087"/>
    <cellStyle name="Yellow 3 2 6" xfId="47088"/>
    <cellStyle name="Yellow 3 2 7" xfId="47089"/>
    <cellStyle name="Yellow 3 2 8" xfId="47090"/>
    <cellStyle name="Yellow 3 2 9" xfId="47091"/>
    <cellStyle name="Yellow 3 20" xfId="47092"/>
    <cellStyle name="Yellow 3 21" xfId="47093"/>
    <cellStyle name="Yellow 3 3" xfId="47094"/>
    <cellStyle name="Yellow 3 3 10" xfId="47095"/>
    <cellStyle name="Yellow 3 3 11" xfId="47096"/>
    <cellStyle name="Yellow 3 3 12" xfId="47097"/>
    <cellStyle name="Yellow 3 3 13" xfId="47098"/>
    <cellStyle name="Yellow 3 3 14" xfId="47099"/>
    <cellStyle name="Yellow 3 3 15" xfId="47100"/>
    <cellStyle name="Yellow 3 3 16" xfId="47101"/>
    <cellStyle name="Yellow 3 3 17" xfId="47102"/>
    <cellStyle name="Yellow 3 3 18" xfId="47103"/>
    <cellStyle name="Yellow 3 3 2" xfId="47104"/>
    <cellStyle name="Yellow 3 3 2 2" xfId="47105"/>
    <cellStyle name="Yellow 3 3 2 2 2" xfId="47106"/>
    <cellStyle name="Yellow 3 3 2 3" xfId="47107"/>
    <cellStyle name="Yellow 3 3 2 4" xfId="47108"/>
    <cellStyle name="Yellow 3 3 3" xfId="47109"/>
    <cellStyle name="Yellow 3 3 3 2" xfId="47110"/>
    <cellStyle name="Yellow 3 3 3 3" xfId="47111"/>
    <cellStyle name="Yellow 3 3 4" xfId="47112"/>
    <cellStyle name="Yellow 3 3 4 2" xfId="47113"/>
    <cellStyle name="Yellow 3 3 5" xfId="47114"/>
    <cellStyle name="Yellow 3 3 6" xfId="47115"/>
    <cellStyle name="Yellow 3 3 7" xfId="47116"/>
    <cellStyle name="Yellow 3 3 8" xfId="47117"/>
    <cellStyle name="Yellow 3 3 9" xfId="47118"/>
    <cellStyle name="Yellow 3 4" xfId="47119"/>
    <cellStyle name="Yellow 3 4 2" xfId="47120"/>
    <cellStyle name="Yellow 3 4 2 2" xfId="47121"/>
    <cellStyle name="Yellow 3 4 2 3" xfId="47122"/>
    <cellStyle name="Yellow 3 4 3" xfId="47123"/>
    <cellStyle name="Yellow 3 4 3 2" xfId="47124"/>
    <cellStyle name="Yellow 3 4 4" xfId="47125"/>
    <cellStyle name="Yellow 3 4 5" xfId="47126"/>
    <cellStyle name="Yellow 3 5" xfId="47127"/>
    <cellStyle name="Yellow 3 5 2" xfId="47128"/>
    <cellStyle name="Yellow 3 5 2 2" xfId="47129"/>
    <cellStyle name="Yellow 3 5 3" xfId="47130"/>
    <cellStyle name="Yellow 3 5 4" xfId="47131"/>
    <cellStyle name="Yellow 3 6" xfId="47132"/>
    <cellStyle name="Yellow 3 6 2" xfId="47133"/>
    <cellStyle name="Yellow 3 7" xfId="47134"/>
    <cellStyle name="Yellow 3 8" xfId="47135"/>
    <cellStyle name="Yellow 3 9" xfId="47136"/>
    <cellStyle name="Yellow 4" xfId="47137"/>
    <cellStyle name="Yellow 4 10" xfId="47138"/>
    <cellStyle name="Yellow 4 11" xfId="47139"/>
    <cellStyle name="Yellow 4 12" xfId="47140"/>
    <cellStyle name="Yellow 4 13" xfId="47141"/>
    <cellStyle name="Yellow 4 14" xfId="47142"/>
    <cellStyle name="Yellow 4 15" xfId="47143"/>
    <cellStyle name="Yellow 4 16" xfId="47144"/>
    <cellStyle name="Yellow 4 17" xfId="47145"/>
    <cellStyle name="Yellow 4 18" xfId="47146"/>
    <cellStyle name="Yellow 4 19" xfId="47147"/>
    <cellStyle name="Yellow 4 2" xfId="47148"/>
    <cellStyle name="Yellow 4 2 10" xfId="47149"/>
    <cellStyle name="Yellow 4 2 11" xfId="47150"/>
    <cellStyle name="Yellow 4 2 12" xfId="47151"/>
    <cellStyle name="Yellow 4 2 13" xfId="47152"/>
    <cellStyle name="Yellow 4 2 14" xfId="47153"/>
    <cellStyle name="Yellow 4 2 15" xfId="47154"/>
    <cellStyle name="Yellow 4 2 16" xfId="47155"/>
    <cellStyle name="Yellow 4 2 17" xfId="47156"/>
    <cellStyle name="Yellow 4 2 18" xfId="47157"/>
    <cellStyle name="Yellow 4 2 2" xfId="47158"/>
    <cellStyle name="Yellow 4 2 2 2" xfId="47159"/>
    <cellStyle name="Yellow 4 2 2 2 2" xfId="47160"/>
    <cellStyle name="Yellow 4 2 2 3" xfId="47161"/>
    <cellStyle name="Yellow 4 2 2 4" xfId="47162"/>
    <cellStyle name="Yellow 4 2 3" xfId="47163"/>
    <cellStyle name="Yellow 4 2 3 2" xfId="47164"/>
    <cellStyle name="Yellow 4 2 3 3" xfId="47165"/>
    <cellStyle name="Yellow 4 2 4" xfId="47166"/>
    <cellStyle name="Yellow 4 2 4 2" xfId="47167"/>
    <cellStyle name="Yellow 4 2 5" xfId="47168"/>
    <cellStyle name="Yellow 4 2 6" xfId="47169"/>
    <cellStyle name="Yellow 4 2 7" xfId="47170"/>
    <cellStyle name="Yellow 4 2 8" xfId="47171"/>
    <cellStyle name="Yellow 4 2 9" xfId="47172"/>
    <cellStyle name="Yellow 4 20" xfId="47173"/>
    <cellStyle name="Yellow 4 21" xfId="47174"/>
    <cellStyle name="Yellow 4 3" xfId="47175"/>
    <cellStyle name="Yellow 4 3 10" xfId="47176"/>
    <cellStyle name="Yellow 4 3 11" xfId="47177"/>
    <cellStyle name="Yellow 4 3 12" xfId="47178"/>
    <cellStyle name="Yellow 4 3 13" xfId="47179"/>
    <cellStyle name="Yellow 4 3 14" xfId="47180"/>
    <cellStyle name="Yellow 4 3 15" xfId="47181"/>
    <cellStyle name="Yellow 4 3 16" xfId="47182"/>
    <cellStyle name="Yellow 4 3 17" xfId="47183"/>
    <cellStyle name="Yellow 4 3 18" xfId="47184"/>
    <cellStyle name="Yellow 4 3 2" xfId="47185"/>
    <cellStyle name="Yellow 4 3 2 2" xfId="47186"/>
    <cellStyle name="Yellow 4 3 2 2 2" xfId="47187"/>
    <cellStyle name="Yellow 4 3 2 3" xfId="47188"/>
    <cellStyle name="Yellow 4 3 2 4" xfId="47189"/>
    <cellStyle name="Yellow 4 3 3" xfId="47190"/>
    <cellStyle name="Yellow 4 3 3 2" xfId="47191"/>
    <cellStyle name="Yellow 4 3 3 3" xfId="47192"/>
    <cellStyle name="Yellow 4 3 4" xfId="47193"/>
    <cellStyle name="Yellow 4 3 4 2" xfId="47194"/>
    <cellStyle name="Yellow 4 3 5" xfId="47195"/>
    <cellStyle name="Yellow 4 3 6" xfId="47196"/>
    <cellStyle name="Yellow 4 3 7" xfId="47197"/>
    <cellStyle name="Yellow 4 3 8" xfId="47198"/>
    <cellStyle name="Yellow 4 3 9" xfId="47199"/>
    <cellStyle name="Yellow 4 4" xfId="47200"/>
    <cellStyle name="Yellow 4 4 2" xfId="47201"/>
    <cellStyle name="Yellow 4 4 2 2" xfId="47202"/>
    <cellStyle name="Yellow 4 4 2 3" xfId="47203"/>
    <cellStyle name="Yellow 4 4 3" xfId="47204"/>
    <cellStyle name="Yellow 4 4 3 2" xfId="47205"/>
    <cellStyle name="Yellow 4 4 4" xfId="47206"/>
    <cellStyle name="Yellow 4 4 5" xfId="47207"/>
    <cellStyle name="Yellow 4 5" xfId="47208"/>
    <cellStyle name="Yellow 4 5 2" xfId="47209"/>
    <cellStyle name="Yellow 4 5 2 2" xfId="47210"/>
    <cellStyle name="Yellow 4 5 3" xfId="47211"/>
    <cellStyle name="Yellow 4 5 4" xfId="47212"/>
    <cellStyle name="Yellow 4 6" xfId="47213"/>
    <cellStyle name="Yellow 4 6 2" xfId="47214"/>
    <cellStyle name="Yellow 4 7" xfId="47215"/>
    <cellStyle name="Yellow 4 8" xfId="47216"/>
    <cellStyle name="Yellow 4 9" xfId="47217"/>
    <cellStyle name="Yellow 5" xfId="47218"/>
    <cellStyle name="Yellow 5 10" xfId="47219"/>
    <cellStyle name="Yellow 5 11" xfId="47220"/>
    <cellStyle name="Yellow 5 12" xfId="47221"/>
    <cellStyle name="Yellow 5 13" xfId="47222"/>
    <cellStyle name="Yellow 5 14" xfId="47223"/>
    <cellStyle name="Yellow 5 15" xfId="47224"/>
    <cellStyle name="Yellow 5 16" xfId="47225"/>
    <cellStyle name="Yellow 5 17" xfId="47226"/>
    <cellStyle name="Yellow 5 18" xfId="47227"/>
    <cellStyle name="Yellow 5 19" xfId="47228"/>
    <cellStyle name="Yellow 5 2" xfId="47229"/>
    <cellStyle name="Yellow 5 2 10" xfId="47230"/>
    <cellStyle name="Yellow 5 2 11" xfId="47231"/>
    <cellStyle name="Yellow 5 2 12" xfId="47232"/>
    <cellStyle name="Yellow 5 2 13" xfId="47233"/>
    <cellStyle name="Yellow 5 2 14" xfId="47234"/>
    <cellStyle name="Yellow 5 2 15" xfId="47235"/>
    <cellStyle name="Yellow 5 2 16" xfId="47236"/>
    <cellStyle name="Yellow 5 2 17" xfId="47237"/>
    <cellStyle name="Yellow 5 2 18" xfId="47238"/>
    <cellStyle name="Yellow 5 2 2" xfId="47239"/>
    <cellStyle name="Yellow 5 2 2 2" xfId="47240"/>
    <cellStyle name="Yellow 5 2 2 2 2" xfId="47241"/>
    <cellStyle name="Yellow 5 2 2 3" xfId="47242"/>
    <cellStyle name="Yellow 5 2 2 4" xfId="47243"/>
    <cellStyle name="Yellow 5 2 3" xfId="47244"/>
    <cellStyle name="Yellow 5 2 3 2" xfId="47245"/>
    <cellStyle name="Yellow 5 2 3 3" xfId="47246"/>
    <cellStyle name="Yellow 5 2 4" xfId="47247"/>
    <cellStyle name="Yellow 5 2 4 2" xfId="47248"/>
    <cellStyle name="Yellow 5 2 5" xfId="47249"/>
    <cellStyle name="Yellow 5 2 6" xfId="47250"/>
    <cellStyle name="Yellow 5 2 7" xfId="47251"/>
    <cellStyle name="Yellow 5 2 8" xfId="47252"/>
    <cellStyle name="Yellow 5 2 9" xfId="47253"/>
    <cellStyle name="Yellow 5 3" xfId="47254"/>
    <cellStyle name="Yellow 5 3 10" xfId="47255"/>
    <cellStyle name="Yellow 5 3 11" xfId="47256"/>
    <cellStyle name="Yellow 5 3 12" xfId="47257"/>
    <cellStyle name="Yellow 5 3 13" xfId="47258"/>
    <cellStyle name="Yellow 5 3 14" xfId="47259"/>
    <cellStyle name="Yellow 5 3 15" xfId="47260"/>
    <cellStyle name="Yellow 5 3 16" xfId="47261"/>
    <cellStyle name="Yellow 5 3 17" xfId="47262"/>
    <cellStyle name="Yellow 5 3 18" xfId="47263"/>
    <cellStyle name="Yellow 5 3 2" xfId="47264"/>
    <cellStyle name="Yellow 5 3 2 2" xfId="47265"/>
    <cellStyle name="Yellow 5 3 2 2 2" xfId="47266"/>
    <cellStyle name="Yellow 5 3 2 3" xfId="47267"/>
    <cellStyle name="Yellow 5 3 2 4" xfId="47268"/>
    <cellStyle name="Yellow 5 3 3" xfId="47269"/>
    <cellStyle name="Yellow 5 3 3 2" xfId="47270"/>
    <cellStyle name="Yellow 5 3 3 3" xfId="47271"/>
    <cellStyle name="Yellow 5 3 4" xfId="47272"/>
    <cellStyle name="Yellow 5 3 4 2" xfId="47273"/>
    <cellStyle name="Yellow 5 3 5" xfId="47274"/>
    <cellStyle name="Yellow 5 3 6" xfId="47275"/>
    <cellStyle name="Yellow 5 3 7" xfId="47276"/>
    <cellStyle name="Yellow 5 3 8" xfId="47277"/>
    <cellStyle name="Yellow 5 3 9" xfId="47278"/>
    <cellStyle name="Yellow 5 4" xfId="47279"/>
    <cellStyle name="Yellow 5 4 2" xfId="47280"/>
    <cellStyle name="Yellow 5 4 2 2" xfId="47281"/>
    <cellStyle name="Yellow 5 4 2 3" xfId="47282"/>
    <cellStyle name="Yellow 5 4 3" xfId="47283"/>
    <cellStyle name="Yellow 5 4 3 2" xfId="47284"/>
    <cellStyle name="Yellow 5 4 4" xfId="47285"/>
    <cellStyle name="Yellow 5 4 5" xfId="47286"/>
    <cellStyle name="Yellow 5 5" xfId="47287"/>
    <cellStyle name="Yellow 5 5 2" xfId="47288"/>
    <cellStyle name="Yellow 5 5 2 2" xfId="47289"/>
    <cellStyle name="Yellow 5 5 3" xfId="47290"/>
    <cellStyle name="Yellow 5 5 4" xfId="47291"/>
    <cellStyle name="Yellow 5 6" xfId="47292"/>
    <cellStyle name="Yellow 5 6 2" xfId="47293"/>
    <cellStyle name="Yellow 5 7" xfId="47294"/>
    <cellStyle name="Yellow 5 8" xfId="47295"/>
    <cellStyle name="Yellow 5 9" xfId="47296"/>
    <cellStyle name="Yellow 6" xfId="47297"/>
    <cellStyle name="Yellow 6 10" xfId="47298"/>
    <cellStyle name="Yellow 6 11" xfId="47299"/>
    <cellStyle name="Yellow 6 12" xfId="47300"/>
    <cellStyle name="Yellow 6 13" xfId="47301"/>
    <cellStyle name="Yellow 6 14" xfId="47302"/>
    <cellStyle name="Yellow 6 15" xfId="47303"/>
    <cellStyle name="Yellow 6 16" xfId="47304"/>
    <cellStyle name="Yellow 6 17" xfId="47305"/>
    <cellStyle name="Yellow 6 18" xfId="47306"/>
    <cellStyle name="Yellow 6 19" xfId="47307"/>
    <cellStyle name="Yellow 6 2" xfId="47308"/>
    <cellStyle name="Yellow 6 2 10" xfId="47309"/>
    <cellStyle name="Yellow 6 2 11" xfId="47310"/>
    <cellStyle name="Yellow 6 2 12" xfId="47311"/>
    <cellStyle name="Yellow 6 2 13" xfId="47312"/>
    <cellStyle name="Yellow 6 2 14" xfId="47313"/>
    <cellStyle name="Yellow 6 2 15" xfId="47314"/>
    <cellStyle name="Yellow 6 2 16" xfId="47315"/>
    <cellStyle name="Yellow 6 2 17" xfId="47316"/>
    <cellStyle name="Yellow 6 2 18" xfId="47317"/>
    <cellStyle name="Yellow 6 2 2" xfId="47318"/>
    <cellStyle name="Yellow 6 2 2 2" xfId="47319"/>
    <cellStyle name="Yellow 6 2 2 2 2" xfId="47320"/>
    <cellStyle name="Yellow 6 2 2 3" xfId="47321"/>
    <cellStyle name="Yellow 6 2 2 4" xfId="47322"/>
    <cellStyle name="Yellow 6 2 3" xfId="47323"/>
    <cellStyle name="Yellow 6 2 3 2" xfId="47324"/>
    <cellStyle name="Yellow 6 2 3 3" xfId="47325"/>
    <cellStyle name="Yellow 6 2 4" xfId="47326"/>
    <cellStyle name="Yellow 6 2 4 2" xfId="47327"/>
    <cellStyle name="Yellow 6 2 5" xfId="47328"/>
    <cellStyle name="Yellow 6 2 6" xfId="47329"/>
    <cellStyle name="Yellow 6 2 7" xfId="47330"/>
    <cellStyle name="Yellow 6 2 8" xfId="47331"/>
    <cellStyle name="Yellow 6 2 9" xfId="47332"/>
    <cellStyle name="Yellow 6 20" xfId="47333"/>
    <cellStyle name="Yellow 6 3" xfId="47334"/>
    <cellStyle name="Yellow 6 3 10" xfId="47335"/>
    <cellStyle name="Yellow 6 3 11" xfId="47336"/>
    <cellStyle name="Yellow 6 3 12" xfId="47337"/>
    <cellStyle name="Yellow 6 3 13" xfId="47338"/>
    <cellStyle name="Yellow 6 3 14" xfId="47339"/>
    <cellStyle name="Yellow 6 3 15" xfId="47340"/>
    <cellStyle name="Yellow 6 3 16" xfId="47341"/>
    <cellStyle name="Yellow 6 3 17" xfId="47342"/>
    <cellStyle name="Yellow 6 3 18" xfId="47343"/>
    <cellStyle name="Yellow 6 3 2" xfId="47344"/>
    <cellStyle name="Yellow 6 3 2 2" xfId="47345"/>
    <cellStyle name="Yellow 6 3 2 2 2" xfId="47346"/>
    <cellStyle name="Yellow 6 3 2 3" xfId="47347"/>
    <cellStyle name="Yellow 6 3 2 4" xfId="47348"/>
    <cellStyle name="Yellow 6 3 3" xfId="47349"/>
    <cellStyle name="Yellow 6 3 3 2" xfId="47350"/>
    <cellStyle name="Yellow 6 3 3 3" xfId="47351"/>
    <cellStyle name="Yellow 6 3 4" xfId="47352"/>
    <cellStyle name="Yellow 6 3 4 2" xfId="47353"/>
    <cellStyle name="Yellow 6 3 5" xfId="47354"/>
    <cellStyle name="Yellow 6 3 6" xfId="47355"/>
    <cellStyle name="Yellow 6 3 7" xfId="47356"/>
    <cellStyle name="Yellow 6 3 8" xfId="47357"/>
    <cellStyle name="Yellow 6 3 9" xfId="47358"/>
    <cellStyle name="Yellow 6 4" xfId="47359"/>
    <cellStyle name="Yellow 6 4 2" xfId="47360"/>
    <cellStyle name="Yellow 6 4 2 2" xfId="47361"/>
    <cellStyle name="Yellow 6 4 2 3" xfId="47362"/>
    <cellStyle name="Yellow 6 4 3" xfId="47363"/>
    <cellStyle name="Yellow 6 4 3 2" xfId="47364"/>
    <cellStyle name="Yellow 6 4 4" xfId="47365"/>
    <cellStyle name="Yellow 6 4 5" xfId="47366"/>
    <cellStyle name="Yellow 6 5" xfId="47367"/>
    <cellStyle name="Yellow 6 5 2" xfId="47368"/>
    <cellStyle name="Yellow 6 5 2 2" xfId="47369"/>
    <cellStyle name="Yellow 6 5 3" xfId="47370"/>
    <cellStyle name="Yellow 6 5 4" xfId="47371"/>
    <cellStyle name="Yellow 6 6" xfId="47372"/>
    <cellStyle name="Yellow 6 6 2" xfId="47373"/>
    <cellStyle name="Yellow 6 7" xfId="47374"/>
    <cellStyle name="Yellow 6 8" xfId="47375"/>
    <cellStyle name="Yellow 6 9" xfId="47376"/>
    <cellStyle name="Yellow 7" xfId="47377"/>
    <cellStyle name="Yellow 7 10" xfId="47378"/>
    <cellStyle name="Yellow 7 11" xfId="47379"/>
    <cellStyle name="Yellow 7 12" xfId="47380"/>
    <cellStyle name="Yellow 7 13" xfId="47381"/>
    <cellStyle name="Yellow 7 14" xfId="47382"/>
    <cellStyle name="Yellow 7 15" xfId="47383"/>
    <cellStyle name="Yellow 7 16" xfId="47384"/>
    <cellStyle name="Yellow 7 17" xfId="47385"/>
    <cellStyle name="Yellow 7 2" xfId="47386"/>
    <cellStyle name="Yellow 7 2 2" xfId="47387"/>
    <cellStyle name="Yellow 7 2 2 2" xfId="47388"/>
    <cellStyle name="Yellow 7 2 3" xfId="47389"/>
    <cellStyle name="Yellow 7 2 4" xfId="47390"/>
    <cellStyle name="Yellow 7 3" xfId="47391"/>
    <cellStyle name="Yellow 7 3 2" xfId="47392"/>
    <cellStyle name="Yellow 7 4" xfId="47393"/>
    <cellStyle name="Yellow 7 5" xfId="47394"/>
    <cellStyle name="Yellow 7 6" xfId="47395"/>
    <cellStyle name="Yellow 7 7" xfId="47396"/>
    <cellStyle name="Yellow 7 8" xfId="47397"/>
    <cellStyle name="Yellow 7 9" xfId="47398"/>
    <cellStyle name="Yellow 8" xfId="47399"/>
    <cellStyle name="Yellow 8 2" xfId="47400"/>
    <cellStyle name="Yellow 8 2 2" xfId="47401"/>
    <cellStyle name="Yellow 8 2 2 2" xfId="47402"/>
    <cellStyle name="Yellow 8 2 3" xfId="47403"/>
    <cellStyle name="Yellow 8 2 4" xfId="47404"/>
    <cellStyle name="Yellow 8 3" xfId="47405"/>
    <cellStyle name="Yellow 8 3 2" xfId="47406"/>
    <cellStyle name="Yellow 8 3 3" xfId="47407"/>
    <cellStyle name="Yellow 8 4" xfId="47408"/>
    <cellStyle name="Yellow 8 4 2" xfId="47409"/>
    <cellStyle name="Yellow 8 5" xfId="47410"/>
    <cellStyle name="Yellow 8 6" xfId="47411"/>
    <cellStyle name="Yellow 9" xfId="47412"/>
    <cellStyle name="Yellow 9 2" xfId="47413"/>
    <cellStyle name="Yellow 9 2 2" xfId="47414"/>
    <cellStyle name="Yellow 9 3" xfId="47415"/>
    <cellStyle name="Yellow 9 4" xfId="47416"/>
    <cellStyle name="YelNumbersCurr" xfId="47417"/>
    <cellStyle name="YelNumbersCurr 10" xfId="47418"/>
    <cellStyle name="YelNumbersCurr 10 10" xfId="47419"/>
    <cellStyle name="YelNumbersCurr 10 11" xfId="47420"/>
    <cellStyle name="YelNumbersCurr 10 12" xfId="47421"/>
    <cellStyle name="YelNumbersCurr 10 13" xfId="47422"/>
    <cellStyle name="YelNumbersCurr 10 14" xfId="47423"/>
    <cellStyle name="YelNumbersCurr 10 15" xfId="47424"/>
    <cellStyle name="YelNumbersCurr 10 16" xfId="47425"/>
    <cellStyle name="YelNumbersCurr 10 17" xfId="47426"/>
    <cellStyle name="YelNumbersCurr 10 2" xfId="47427"/>
    <cellStyle name="YelNumbersCurr 10 2 2" xfId="47428"/>
    <cellStyle name="YelNumbersCurr 10 2 2 2" xfId="47429"/>
    <cellStyle name="YelNumbersCurr 10 2 3" xfId="47430"/>
    <cellStyle name="YelNumbersCurr 10 2 4" xfId="47431"/>
    <cellStyle name="YelNumbersCurr 10 3" xfId="47432"/>
    <cellStyle name="YelNumbersCurr 10 3 2" xfId="47433"/>
    <cellStyle name="YelNumbersCurr 10 4" xfId="47434"/>
    <cellStyle name="YelNumbersCurr 10 5" xfId="47435"/>
    <cellStyle name="YelNumbersCurr 10 6" xfId="47436"/>
    <cellStyle name="YelNumbersCurr 10 7" xfId="47437"/>
    <cellStyle name="YelNumbersCurr 10 8" xfId="47438"/>
    <cellStyle name="YelNumbersCurr 10 9" xfId="47439"/>
    <cellStyle name="YelNumbersCurr 11" xfId="47440"/>
    <cellStyle name="YelNumbersCurr 11 2" xfId="47441"/>
    <cellStyle name="YelNumbersCurr 11 2 2" xfId="47442"/>
    <cellStyle name="YelNumbersCurr 11 2 2 2" xfId="47443"/>
    <cellStyle name="YelNumbersCurr 11 2 3" xfId="47444"/>
    <cellStyle name="YelNumbersCurr 11 2 4" xfId="47445"/>
    <cellStyle name="YelNumbersCurr 11 3" xfId="47446"/>
    <cellStyle name="YelNumbersCurr 11 3 2" xfId="47447"/>
    <cellStyle name="YelNumbersCurr 11 3 3" xfId="47448"/>
    <cellStyle name="YelNumbersCurr 11 4" xfId="47449"/>
    <cellStyle name="YelNumbersCurr 11 4 2" xfId="47450"/>
    <cellStyle name="YelNumbersCurr 11 5" xfId="47451"/>
    <cellStyle name="YelNumbersCurr 11 6" xfId="47452"/>
    <cellStyle name="YelNumbersCurr 12" xfId="47453"/>
    <cellStyle name="YelNumbersCurr 12 2" xfId="47454"/>
    <cellStyle name="YelNumbersCurr 12 2 2" xfId="47455"/>
    <cellStyle name="YelNumbersCurr 12 3" xfId="47456"/>
    <cellStyle name="YelNumbersCurr 12 4" xfId="47457"/>
    <cellStyle name="YelNumbersCurr 13" xfId="47458"/>
    <cellStyle name="YelNumbersCurr 14" xfId="47459"/>
    <cellStyle name="YelNumbersCurr 15" xfId="47460"/>
    <cellStyle name="YelNumbersCurr 16" xfId="47461"/>
    <cellStyle name="YelNumbersCurr 17" xfId="47462"/>
    <cellStyle name="YelNumbersCurr 18" xfId="47463"/>
    <cellStyle name="YelNumbersCurr 19" xfId="47464"/>
    <cellStyle name="YelNumbersCurr 2" xfId="47465"/>
    <cellStyle name="YelNumbersCurr 2 10" xfId="47466"/>
    <cellStyle name="YelNumbersCurr 2 11" xfId="47467"/>
    <cellStyle name="YelNumbersCurr 2 12" xfId="47468"/>
    <cellStyle name="YelNumbersCurr 2 13" xfId="47469"/>
    <cellStyle name="YelNumbersCurr 2 14" xfId="47470"/>
    <cellStyle name="YelNumbersCurr 2 15" xfId="47471"/>
    <cellStyle name="YelNumbersCurr 2 16" xfId="47472"/>
    <cellStyle name="YelNumbersCurr 2 17" xfId="47473"/>
    <cellStyle name="YelNumbersCurr 2 18" xfId="47474"/>
    <cellStyle name="YelNumbersCurr 2 19" xfId="47475"/>
    <cellStyle name="YelNumbersCurr 2 2" xfId="47476"/>
    <cellStyle name="YelNumbersCurr 2 2 10" xfId="47477"/>
    <cellStyle name="YelNumbersCurr 2 2 11" xfId="47478"/>
    <cellStyle name="YelNumbersCurr 2 2 12" xfId="47479"/>
    <cellStyle name="YelNumbersCurr 2 2 13" xfId="47480"/>
    <cellStyle name="YelNumbersCurr 2 2 14" xfId="47481"/>
    <cellStyle name="YelNumbersCurr 2 2 15" xfId="47482"/>
    <cellStyle name="YelNumbersCurr 2 2 16" xfId="47483"/>
    <cellStyle name="YelNumbersCurr 2 2 17" xfId="47484"/>
    <cellStyle name="YelNumbersCurr 2 2 18" xfId="47485"/>
    <cellStyle name="YelNumbersCurr 2 2 19" xfId="47486"/>
    <cellStyle name="YelNumbersCurr 2 2 2" xfId="47487"/>
    <cellStyle name="YelNumbersCurr 2 2 2 10" xfId="47488"/>
    <cellStyle name="YelNumbersCurr 2 2 2 11" xfId="47489"/>
    <cellStyle name="YelNumbersCurr 2 2 2 12" xfId="47490"/>
    <cellStyle name="YelNumbersCurr 2 2 2 13" xfId="47491"/>
    <cellStyle name="YelNumbersCurr 2 2 2 14" xfId="47492"/>
    <cellStyle name="YelNumbersCurr 2 2 2 15" xfId="47493"/>
    <cellStyle name="YelNumbersCurr 2 2 2 16" xfId="47494"/>
    <cellStyle name="YelNumbersCurr 2 2 2 17" xfId="47495"/>
    <cellStyle name="YelNumbersCurr 2 2 2 18" xfId="47496"/>
    <cellStyle name="YelNumbersCurr 2 2 2 2" xfId="47497"/>
    <cellStyle name="YelNumbersCurr 2 2 2 2 2" xfId="47498"/>
    <cellStyle name="YelNumbersCurr 2 2 2 2 2 2" xfId="47499"/>
    <cellStyle name="YelNumbersCurr 2 2 2 2 3" xfId="47500"/>
    <cellStyle name="YelNumbersCurr 2 2 2 2 4" xfId="47501"/>
    <cellStyle name="YelNumbersCurr 2 2 2 3" xfId="47502"/>
    <cellStyle name="YelNumbersCurr 2 2 2 3 2" xfId="47503"/>
    <cellStyle name="YelNumbersCurr 2 2 2 3 3" xfId="47504"/>
    <cellStyle name="YelNumbersCurr 2 2 2 4" xfId="47505"/>
    <cellStyle name="YelNumbersCurr 2 2 2 4 2" xfId="47506"/>
    <cellStyle name="YelNumbersCurr 2 2 2 5" xfId="47507"/>
    <cellStyle name="YelNumbersCurr 2 2 2 6" xfId="47508"/>
    <cellStyle name="YelNumbersCurr 2 2 2 7" xfId="47509"/>
    <cellStyle name="YelNumbersCurr 2 2 2 8" xfId="47510"/>
    <cellStyle name="YelNumbersCurr 2 2 2 9" xfId="47511"/>
    <cellStyle name="YelNumbersCurr 2 2 3" xfId="47512"/>
    <cellStyle name="YelNumbersCurr 2 2 3 10" xfId="47513"/>
    <cellStyle name="YelNumbersCurr 2 2 3 11" xfId="47514"/>
    <cellStyle name="YelNumbersCurr 2 2 3 12" xfId="47515"/>
    <cellStyle name="YelNumbersCurr 2 2 3 13" xfId="47516"/>
    <cellStyle name="YelNumbersCurr 2 2 3 14" xfId="47517"/>
    <cellStyle name="YelNumbersCurr 2 2 3 15" xfId="47518"/>
    <cellStyle name="YelNumbersCurr 2 2 3 16" xfId="47519"/>
    <cellStyle name="YelNumbersCurr 2 2 3 17" xfId="47520"/>
    <cellStyle name="YelNumbersCurr 2 2 3 18" xfId="47521"/>
    <cellStyle name="YelNumbersCurr 2 2 3 2" xfId="47522"/>
    <cellStyle name="YelNumbersCurr 2 2 3 2 2" xfId="47523"/>
    <cellStyle name="YelNumbersCurr 2 2 3 2 2 2" xfId="47524"/>
    <cellStyle name="YelNumbersCurr 2 2 3 2 3" xfId="47525"/>
    <cellStyle name="YelNumbersCurr 2 2 3 2 4" xfId="47526"/>
    <cellStyle name="YelNumbersCurr 2 2 3 3" xfId="47527"/>
    <cellStyle name="YelNumbersCurr 2 2 3 3 2" xfId="47528"/>
    <cellStyle name="YelNumbersCurr 2 2 3 3 3" xfId="47529"/>
    <cellStyle name="YelNumbersCurr 2 2 3 4" xfId="47530"/>
    <cellStyle name="YelNumbersCurr 2 2 3 4 2" xfId="47531"/>
    <cellStyle name="YelNumbersCurr 2 2 3 5" xfId="47532"/>
    <cellStyle name="YelNumbersCurr 2 2 3 6" xfId="47533"/>
    <cellStyle name="YelNumbersCurr 2 2 3 7" xfId="47534"/>
    <cellStyle name="YelNumbersCurr 2 2 3 8" xfId="47535"/>
    <cellStyle name="YelNumbersCurr 2 2 3 9" xfId="47536"/>
    <cellStyle name="YelNumbersCurr 2 2 4" xfId="47537"/>
    <cellStyle name="YelNumbersCurr 2 2 4 2" xfId="47538"/>
    <cellStyle name="YelNumbersCurr 2 2 4 2 2" xfId="47539"/>
    <cellStyle name="YelNumbersCurr 2 2 4 2 3" xfId="47540"/>
    <cellStyle name="YelNumbersCurr 2 2 4 3" xfId="47541"/>
    <cellStyle name="YelNumbersCurr 2 2 4 3 2" xfId="47542"/>
    <cellStyle name="YelNumbersCurr 2 2 4 4" xfId="47543"/>
    <cellStyle name="YelNumbersCurr 2 2 4 5" xfId="47544"/>
    <cellStyle name="YelNumbersCurr 2 2 5" xfId="47545"/>
    <cellStyle name="YelNumbersCurr 2 2 5 2" xfId="47546"/>
    <cellStyle name="YelNumbersCurr 2 2 5 2 2" xfId="47547"/>
    <cellStyle name="YelNumbersCurr 2 2 5 3" xfId="47548"/>
    <cellStyle name="YelNumbersCurr 2 2 5 4" xfId="47549"/>
    <cellStyle name="YelNumbersCurr 2 2 6" xfId="47550"/>
    <cellStyle name="YelNumbersCurr 2 2 6 2" xfId="47551"/>
    <cellStyle name="YelNumbersCurr 2 2 7" xfId="47552"/>
    <cellStyle name="YelNumbersCurr 2 2 8" xfId="47553"/>
    <cellStyle name="YelNumbersCurr 2 2 9" xfId="47554"/>
    <cellStyle name="YelNumbersCurr 2 20" xfId="47555"/>
    <cellStyle name="YelNumbersCurr 2 21" xfId="47556"/>
    <cellStyle name="YelNumbersCurr 2 22" xfId="47557"/>
    <cellStyle name="YelNumbersCurr 2 23" xfId="47558"/>
    <cellStyle name="YelNumbersCurr 2 24" xfId="47559"/>
    <cellStyle name="YelNumbersCurr 2 25" xfId="47560"/>
    <cellStyle name="YelNumbersCurr 2 3" xfId="47561"/>
    <cellStyle name="YelNumbersCurr 2 3 10" xfId="47562"/>
    <cellStyle name="YelNumbersCurr 2 3 11" xfId="47563"/>
    <cellStyle name="YelNumbersCurr 2 3 12" xfId="47564"/>
    <cellStyle name="YelNumbersCurr 2 3 13" xfId="47565"/>
    <cellStyle name="YelNumbersCurr 2 3 14" xfId="47566"/>
    <cellStyle name="YelNumbersCurr 2 3 15" xfId="47567"/>
    <cellStyle name="YelNumbersCurr 2 3 16" xfId="47568"/>
    <cellStyle name="YelNumbersCurr 2 3 17" xfId="47569"/>
    <cellStyle name="YelNumbersCurr 2 3 18" xfId="47570"/>
    <cellStyle name="YelNumbersCurr 2 3 19" xfId="47571"/>
    <cellStyle name="YelNumbersCurr 2 3 2" xfId="47572"/>
    <cellStyle name="YelNumbersCurr 2 3 2 10" xfId="47573"/>
    <cellStyle name="YelNumbersCurr 2 3 2 11" xfId="47574"/>
    <cellStyle name="YelNumbersCurr 2 3 2 12" xfId="47575"/>
    <cellStyle name="YelNumbersCurr 2 3 2 13" xfId="47576"/>
    <cellStyle name="YelNumbersCurr 2 3 2 14" xfId="47577"/>
    <cellStyle name="YelNumbersCurr 2 3 2 15" xfId="47578"/>
    <cellStyle name="YelNumbersCurr 2 3 2 16" xfId="47579"/>
    <cellStyle name="YelNumbersCurr 2 3 2 17" xfId="47580"/>
    <cellStyle name="YelNumbersCurr 2 3 2 18" xfId="47581"/>
    <cellStyle name="YelNumbersCurr 2 3 2 2" xfId="47582"/>
    <cellStyle name="YelNumbersCurr 2 3 2 2 2" xfId="47583"/>
    <cellStyle name="YelNumbersCurr 2 3 2 2 2 2" xfId="47584"/>
    <cellStyle name="YelNumbersCurr 2 3 2 2 3" xfId="47585"/>
    <cellStyle name="YelNumbersCurr 2 3 2 2 4" xfId="47586"/>
    <cellStyle name="YelNumbersCurr 2 3 2 3" xfId="47587"/>
    <cellStyle name="YelNumbersCurr 2 3 2 3 2" xfId="47588"/>
    <cellStyle name="YelNumbersCurr 2 3 2 3 3" xfId="47589"/>
    <cellStyle name="YelNumbersCurr 2 3 2 4" xfId="47590"/>
    <cellStyle name="YelNumbersCurr 2 3 2 4 2" xfId="47591"/>
    <cellStyle name="YelNumbersCurr 2 3 2 5" xfId="47592"/>
    <cellStyle name="YelNumbersCurr 2 3 2 6" xfId="47593"/>
    <cellStyle name="YelNumbersCurr 2 3 2 7" xfId="47594"/>
    <cellStyle name="YelNumbersCurr 2 3 2 8" xfId="47595"/>
    <cellStyle name="YelNumbersCurr 2 3 2 9" xfId="47596"/>
    <cellStyle name="YelNumbersCurr 2 3 20" xfId="47597"/>
    <cellStyle name="YelNumbersCurr 2 3 21" xfId="47598"/>
    <cellStyle name="YelNumbersCurr 2 3 3" xfId="47599"/>
    <cellStyle name="YelNumbersCurr 2 3 3 10" xfId="47600"/>
    <cellStyle name="YelNumbersCurr 2 3 3 11" xfId="47601"/>
    <cellStyle name="YelNumbersCurr 2 3 3 12" xfId="47602"/>
    <cellStyle name="YelNumbersCurr 2 3 3 13" xfId="47603"/>
    <cellStyle name="YelNumbersCurr 2 3 3 14" xfId="47604"/>
    <cellStyle name="YelNumbersCurr 2 3 3 15" xfId="47605"/>
    <cellStyle name="YelNumbersCurr 2 3 3 16" xfId="47606"/>
    <cellStyle name="YelNumbersCurr 2 3 3 17" xfId="47607"/>
    <cellStyle name="YelNumbersCurr 2 3 3 18" xfId="47608"/>
    <cellStyle name="YelNumbersCurr 2 3 3 2" xfId="47609"/>
    <cellStyle name="YelNumbersCurr 2 3 3 2 2" xfId="47610"/>
    <cellStyle name="YelNumbersCurr 2 3 3 2 2 2" xfId="47611"/>
    <cellStyle name="YelNumbersCurr 2 3 3 2 3" xfId="47612"/>
    <cellStyle name="YelNumbersCurr 2 3 3 2 4" xfId="47613"/>
    <cellStyle name="YelNumbersCurr 2 3 3 3" xfId="47614"/>
    <cellStyle name="YelNumbersCurr 2 3 3 3 2" xfId="47615"/>
    <cellStyle name="YelNumbersCurr 2 3 3 3 3" xfId="47616"/>
    <cellStyle name="YelNumbersCurr 2 3 3 4" xfId="47617"/>
    <cellStyle name="YelNumbersCurr 2 3 3 4 2" xfId="47618"/>
    <cellStyle name="YelNumbersCurr 2 3 3 5" xfId="47619"/>
    <cellStyle name="YelNumbersCurr 2 3 3 6" xfId="47620"/>
    <cellStyle name="YelNumbersCurr 2 3 3 7" xfId="47621"/>
    <cellStyle name="YelNumbersCurr 2 3 3 8" xfId="47622"/>
    <cellStyle name="YelNumbersCurr 2 3 3 9" xfId="47623"/>
    <cellStyle name="YelNumbersCurr 2 3 4" xfId="47624"/>
    <cellStyle name="YelNumbersCurr 2 3 4 2" xfId="47625"/>
    <cellStyle name="YelNumbersCurr 2 3 4 2 2" xfId="47626"/>
    <cellStyle name="YelNumbersCurr 2 3 4 2 3" xfId="47627"/>
    <cellStyle name="YelNumbersCurr 2 3 4 3" xfId="47628"/>
    <cellStyle name="YelNumbersCurr 2 3 4 3 2" xfId="47629"/>
    <cellStyle name="YelNumbersCurr 2 3 4 4" xfId="47630"/>
    <cellStyle name="YelNumbersCurr 2 3 4 5" xfId="47631"/>
    <cellStyle name="YelNumbersCurr 2 3 5" xfId="47632"/>
    <cellStyle name="YelNumbersCurr 2 3 5 2" xfId="47633"/>
    <cellStyle name="YelNumbersCurr 2 3 5 2 2" xfId="47634"/>
    <cellStyle name="YelNumbersCurr 2 3 5 3" xfId="47635"/>
    <cellStyle name="YelNumbersCurr 2 3 5 4" xfId="47636"/>
    <cellStyle name="YelNumbersCurr 2 3 6" xfId="47637"/>
    <cellStyle name="YelNumbersCurr 2 3 6 2" xfId="47638"/>
    <cellStyle name="YelNumbersCurr 2 3 7" xfId="47639"/>
    <cellStyle name="YelNumbersCurr 2 3 8" xfId="47640"/>
    <cellStyle name="YelNumbersCurr 2 3 9" xfId="47641"/>
    <cellStyle name="YelNumbersCurr 2 4" xfId="47642"/>
    <cellStyle name="YelNumbersCurr 2 4 10" xfId="47643"/>
    <cellStyle name="YelNumbersCurr 2 4 11" xfId="47644"/>
    <cellStyle name="YelNumbersCurr 2 4 12" xfId="47645"/>
    <cellStyle name="YelNumbersCurr 2 4 13" xfId="47646"/>
    <cellStyle name="YelNumbersCurr 2 4 14" xfId="47647"/>
    <cellStyle name="YelNumbersCurr 2 4 15" xfId="47648"/>
    <cellStyle name="YelNumbersCurr 2 4 16" xfId="47649"/>
    <cellStyle name="YelNumbersCurr 2 4 17" xfId="47650"/>
    <cellStyle name="YelNumbersCurr 2 4 18" xfId="47651"/>
    <cellStyle name="YelNumbersCurr 2 4 19" xfId="47652"/>
    <cellStyle name="YelNumbersCurr 2 4 2" xfId="47653"/>
    <cellStyle name="YelNumbersCurr 2 4 2 10" xfId="47654"/>
    <cellStyle name="YelNumbersCurr 2 4 2 11" xfId="47655"/>
    <cellStyle name="YelNumbersCurr 2 4 2 12" xfId="47656"/>
    <cellStyle name="YelNumbersCurr 2 4 2 13" xfId="47657"/>
    <cellStyle name="YelNumbersCurr 2 4 2 14" xfId="47658"/>
    <cellStyle name="YelNumbersCurr 2 4 2 15" xfId="47659"/>
    <cellStyle name="YelNumbersCurr 2 4 2 16" xfId="47660"/>
    <cellStyle name="YelNumbersCurr 2 4 2 17" xfId="47661"/>
    <cellStyle name="YelNumbersCurr 2 4 2 18" xfId="47662"/>
    <cellStyle name="YelNumbersCurr 2 4 2 2" xfId="47663"/>
    <cellStyle name="YelNumbersCurr 2 4 2 2 2" xfId="47664"/>
    <cellStyle name="YelNumbersCurr 2 4 2 2 2 2" xfId="47665"/>
    <cellStyle name="YelNumbersCurr 2 4 2 2 3" xfId="47666"/>
    <cellStyle name="YelNumbersCurr 2 4 2 2 4" xfId="47667"/>
    <cellStyle name="YelNumbersCurr 2 4 2 3" xfId="47668"/>
    <cellStyle name="YelNumbersCurr 2 4 2 3 2" xfId="47669"/>
    <cellStyle name="YelNumbersCurr 2 4 2 3 3" xfId="47670"/>
    <cellStyle name="YelNumbersCurr 2 4 2 4" xfId="47671"/>
    <cellStyle name="YelNumbersCurr 2 4 2 4 2" xfId="47672"/>
    <cellStyle name="YelNumbersCurr 2 4 2 5" xfId="47673"/>
    <cellStyle name="YelNumbersCurr 2 4 2 6" xfId="47674"/>
    <cellStyle name="YelNumbersCurr 2 4 2 7" xfId="47675"/>
    <cellStyle name="YelNumbersCurr 2 4 2 8" xfId="47676"/>
    <cellStyle name="YelNumbersCurr 2 4 2 9" xfId="47677"/>
    <cellStyle name="YelNumbersCurr 2 4 20" xfId="47678"/>
    <cellStyle name="YelNumbersCurr 2 4 21" xfId="47679"/>
    <cellStyle name="YelNumbersCurr 2 4 3" xfId="47680"/>
    <cellStyle name="YelNumbersCurr 2 4 3 10" xfId="47681"/>
    <cellStyle name="YelNumbersCurr 2 4 3 11" xfId="47682"/>
    <cellStyle name="YelNumbersCurr 2 4 3 12" xfId="47683"/>
    <cellStyle name="YelNumbersCurr 2 4 3 13" xfId="47684"/>
    <cellStyle name="YelNumbersCurr 2 4 3 14" xfId="47685"/>
    <cellStyle name="YelNumbersCurr 2 4 3 15" xfId="47686"/>
    <cellStyle name="YelNumbersCurr 2 4 3 16" xfId="47687"/>
    <cellStyle name="YelNumbersCurr 2 4 3 17" xfId="47688"/>
    <cellStyle name="YelNumbersCurr 2 4 3 18" xfId="47689"/>
    <cellStyle name="YelNumbersCurr 2 4 3 2" xfId="47690"/>
    <cellStyle name="YelNumbersCurr 2 4 3 2 2" xfId="47691"/>
    <cellStyle name="YelNumbersCurr 2 4 3 2 2 2" xfId="47692"/>
    <cellStyle name="YelNumbersCurr 2 4 3 2 3" xfId="47693"/>
    <cellStyle name="YelNumbersCurr 2 4 3 2 4" xfId="47694"/>
    <cellStyle name="YelNumbersCurr 2 4 3 3" xfId="47695"/>
    <cellStyle name="YelNumbersCurr 2 4 3 3 2" xfId="47696"/>
    <cellStyle name="YelNumbersCurr 2 4 3 3 3" xfId="47697"/>
    <cellStyle name="YelNumbersCurr 2 4 3 4" xfId="47698"/>
    <cellStyle name="YelNumbersCurr 2 4 3 4 2" xfId="47699"/>
    <cellStyle name="YelNumbersCurr 2 4 3 5" xfId="47700"/>
    <cellStyle name="YelNumbersCurr 2 4 3 6" xfId="47701"/>
    <cellStyle name="YelNumbersCurr 2 4 3 7" xfId="47702"/>
    <cellStyle name="YelNumbersCurr 2 4 3 8" xfId="47703"/>
    <cellStyle name="YelNumbersCurr 2 4 3 9" xfId="47704"/>
    <cellStyle name="YelNumbersCurr 2 4 4" xfId="47705"/>
    <cellStyle name="YelNumbersCurr 2 4 4 2" xfId="47706"/>
    <cellStyle name="YelNumbersCurr 2 4 4 2 2" xfId="47707"/>
    <cellStyle name="YelNumbersCurr 2 4 4 2 3" xfId="47708"/>
    <cellStyle name="YelNumbersCurr 2 4 4 3" xfId="47709"/>
    <cellStyle name="YelNumbersCurr 2 4 4 3 2" xfId="47710"/>
    <cellStyle name="YelNumbersCurr 2 4 4 4" xfId="47711"/>
    <cellStyle name="YelNumbersCurr 2 4 4 5" xfId="47712"/>
    <cellStyle name="YelNumbersCurr 2 4 5" xfId="47713"/>
    <cellStyle name="YelNumbersCurr 2 4 5 2" xfId="47714"/>
    <cellStyle name="YelNumbersCurr 2 4 5 2 2" xfId="47715"/>
    <cellStyle name="YelNumbersCurr 2 4 5 3" xfId="47716"/>
    <cellStyle name="YelNumbersCurr 2 4 5 4" xfId="47717"/>
    <cellStyle name="YelNumbersCurr 2 4 6" xfId="47718"/>
    <cellStyle name="YelNumbersCurr 2 4 6 2" xfId="47719"/>
    <cellStyle name="YelNumbersCurr 2 4 7" xfId="47720"/>
    <cellStyle name="YelNumbersCurr 2 4 8" xfId="47721"/>
    <cellStyle name="YelNumbersCurr 2 4 9" xfId="47722"/>
    <cellStyle name="YelNumbersCurr 2 5" xfId="47723"/>
    <cellStyle name="YelNumbersCurr 2 5 10" xfId="47724"/>
    <cellStyle name="YelNumbersCurr 2 5 11" xfId="47725"/>
    <cellStyle name="YelNumbersCurr 2 5 12" xfId="47726"/>
    <cellStyle name="YelNumbersCurr 2 5 13" xfId="47727"/>
    <cellStyle name="YelNumbersCurr 2 5 14" xfId="47728"/>
    <cellStyle name="YelNumbersCurr 2 5 15" xfId="47729"/>
    <cellStyle name="YelNumbersCurr 2 5 16" xfId="47730"/>
    <cellStyle name="YelNumbersCurr 2 5 17" xfId="47731"/>
    <cellStyle name="YelNumbersCurr 2 5 18" xfId="47732"/>
    <cellStyle name="YelNumbersCurr 2 5 19" xfId="47733"/>
    <cellStyle name="YelNumbersCurr 2 5 2" xfId="47734"/>
    <cellStyle name="YelNumbersCurr 2 5 2 10" xfId="47735"/>
    <cellStyle name="YelNumbersCurr 2 5 2 11" xfId="47736"/>
    <cellStyle name="YelNumbersCurr 2 5 2 12" xfId="47737"/>
    <cellStyle name="YelNumbersCurr 2 5 2 13" xfId="47738"/>
    <cellStyle name="YelNumbersCurr 2 5 2 14" xfId="47739"/>
    <cellStyle name="YelNumbersCurr 2 5 2 15" xfId="47740"/>
    <cellStyle name="YelNumbersCurr 2 5 2 16" xfId="47741"/>
    <cellStyle name="YelNumbersCurr 2 5 2 17" xfId="47742"/>
    <cellStyle name="YelNumbersCurr 2 5 2 18" xfId="47743"/>
    <cellStyle name="YelNumbersCurr 2 5 2 2" xfId="47744"/>
    <cellStyle name="YelNumbersCurr 2 5 2 2 2" xfId="47745"/>
    <cellStyle name="YelNumbersCurr 2 5 2 2 2 2" xfId="47746"/>
    <cellStyle name="YelNumbersCurr 2 5 2 2 3" xfId="47747"/>
    <cellStyle name="YelNumbersCurr 2 5 2 2 4" xfId="47748"/>
    <cellStyle name="YelNumbersCurr 2 5 2 3" xfId="47749"/>
    <cellStyle name="YelNumbersCurr 2 5 2 3 2" xfId="47750"/>
    <cellStyle name="YelNumbersCurr 2 5 2 3 3" xfId="47751"/>
    <cellStyle name="YelNumbersCurr 2 5 2 4" xfId="47752"/>
    <cellStyle name="YelNumbersCurr 2 5 2 4 2" xfId="47753"/>
    <cellStyle name="YelNumbersCurr 2 5 2 5" xfId="47754"/>
    <cellStyle name="YelNumbersCurr 2 5 2 6" xfId="47755"/>
    <cellStyle name="YelNumbersCurr 2 5 2 7" xfId="47756"/>
    <cellStyle name="YelNumbersCurr 2 5 2 8" xfId="47757"/>
    <cellStyle name="YelNumbersCurr 2 5 2 9" xfId="47758"/>
    <cellStyle name="YelNumbersCurr 2 5 3" xfId="47759"/>
    <cellStyle name="YelNumbersCurr 2 5 3 10" xfId="47760"/>
    <cellStyle name="YelNumbersCurr 2 5 3 11" xfId="47761"/>
    <cellStyle name="YelNumbersCurr 2 5 3 12" xfId="47762"/>
    <cellStyle name="YelNumbersCurr 2 5 3 13" xfId="47763"/>
    <cellStyle name="YelNumbersCurr 2 5 3 14" xfId="47764"/>
    <cellStyle name="YelNumbersCurr 2 5 3 15" xfId="47765"/>
    <cellStyle name="YelNumbersCurr 2 5 3 16" xfId="47766"/>
    <cellStyle name="YelNumbersCurr 2 5 3 17" xfId="47767"/>
    <cellStyle name="YelNumbersCurr 2 5 3 18" xfId="47768"/>
    <cellStyle name="YelNumbersCurr 2 5 3 2" xfId="47769"/>
    <cellStyle name="YelNumbersCurr 2 5 3 2 2" xfId="47770"/>
    <cellStyle name="YelNumbersCurr 2 5 3 2 2 2" xfId="47771"/>
    <cellStyle name="YelNumbersCurr 2 5 3 2 3" xfId="47772"/>
    <cellStyle name="YelNumbersCurr 2 5 3 2 4" xfId="47773"/>
    <cellStyle name="YelNumbersCurr 2 5 3 3" xfId="47774"/>
    <cellStyle name="YelNumbersCurr 2 5 3 3 2" xfId="47775"/>
    <cellStyle name="YelNumbersCurr 2 5 3 3 3" xfId="47776"/>
    <cellStyle name="YelNumbersCurr 2 5 3 4" xfId="47777"/>
    <cellStyle name="YelNumbersCurr 2 5 3 4 2" xfId="47778"/>
    <cellStyle name="YelNumbersCurr 2 5 3 5" xfId="47779"/>
    <cellStyle name="YelNumbersCurr 2 5 3 6" xfId="47780"/>
    <cellStyle name="YelNumbersCurr 2 5 3 7" xfId="47781"/>
    <cellStyle name="YelNumbersCurr 2 5 3 8" xfId="47782"/>
    <cellStyle name="YelNumbersCurr 2 5 3 9" xfId="47783"/>
    <cellStyle name="YelNumbersCurr 2 5 4" xfId="47784"/>
    <cellStyle name="YelNumbersCurr 2 5 4 2" xfId="47785"/>
    <cellStyle name="YelNumbersCurr 2 5 4 2 2" xfId="47786"/>
    <cellStyle name="YelNumbersCurr 2 5 4 2 3" xfId="47787"/>
    <cellStyle name="YelNumbersCurr 2 5 4 3" xfId="47788"/>
    <cellStyle name="YelNumbersCurr 2 5 4 3 2" xfId="47789"/>
    <cellStyle name="YelNumbersCurr 2 5 4 4" xfId="47790"/>
    <cellStyle name="YelNumbersCurr 2 5 4 5" xfId="47791"/>
    <cellStyle name="YelNumbersCurr 2 5 5" xfId="47792"/>
    <cellStyle name="YelNumbersCurr 2 5 5 2" xfId="47793"/>
    <cellStyle name="YelNumbersCurr 2 5 5 2 2" xfId="47794"/>
    <cellStyle name="YelNumbersCurr 2 5 5 3" xfId="47795"/>
    <cellStyle name="YelNumbersCurr 2 5 5 4" xfId="47796"/>
    <cellStyle name="YelNumbersCurr 2 5 6" xfId="47797"/>
    <cellStyle name="YelNumbersCurr 2 5 6 2" xfId="47798"/>
    <cellStyle name="YelNumbersCurr 2 5 7" xfId="47799"/>
    <cellStyle name="YelNumbersCurr 2 5 8" xfId="47800"/>
    <cellStyle name="YelNumbersCurr 2 5 9" xfId="47801"/>
    <cellStyle name="YelNumbersCurr 2 6" xfId="47802"/>
    <cellStyle name="YelNumbersCurr 2 6 10" xfId="47803"/>
    <cellStyle name="YelNumbersCurr 2 6 11" xfId="47804"/>
    <cellStyle name="YelNumbersCurr 2 6 12" xfId="47805"/>
    <cellStyle name="YelNumbersCurr 2 6 13" xfId="47806"/>
    <cellStyle name="YelNumbersCurr 2 6 14" xfId="47807"/>
    <cellStyle name="YelNumbersCurr 2 6 15" xfId="47808"/>
    <cellStyle name="YelNumbersCurr 2 6 16" xfId="47809"/>
    <cellStyle name="YelNumbersCurr 2 6 17" xfId="47810"/>
    <cellStyle name="YelNumbersCurr 2 6 18" xfId="47811"/>
    <cellStyle name="YelNumbersCurr 2 6 19" xfId="47812"/>
    <cellStyle name="YelNumbersCurr 2 6 2" xfId="47813"/>
    <cellStyle name="YelNumbersCurr 2 6 2 10" xfId="47814"/>
    <cellStyle name="YelNumbersCurr 2 6 2 11" xfId="47815"/>
    <cellStyle name="YelNumbersCurr 2 6 2 12" xfId="47816"/>
    <cellStyle name="YelNumbersCurr 2 6 2 13" xfId="47817"/>
    <cellStyle name="YelNumbersCurr 2 6 2 14" xfId="47818"/>
    <cellStyle name="YelNumbersCurr 2 6 2 15" xfId="47819"/>
    <cellStyle name="YelNumbersCurr 2 6 2 16" xfId="47820"/>
    <cellStyle name="YelNumbersCurr 2 6 2 17" xfId="47821"/>
    <cellStyle name="YelNumbersCurr 2 6 2 18" xfId="47822"/>
    <cellStyle name="YelNumbersCurr 2 6 2 2" xfId="47823"/>
    <cellStyle name="YelNumbersCurr 2 6 2 2 2" xfId="47824"/>
    <cellStyle name="YelNumbersCurr 2 6 2 2 2 2" xfId="47825"/>
    <cellStyle name="YelNumbersCurr 2 6 2 2 3" xfId="47826"/>
    <cellStyle name="YelNumbersCurr 2 6 2 2 4" xfId="47827"/>
    <cellStyle name="YelNumbersCurr 2 6 2 3" xfId="47828"/>
    <cellStyle name="YelNumbersCurr 2 6 2 3 2" xfId="47829"/>
    <cellStyle name="YelNumbersCurr 2 6 2 3 3" xfId="47830"/>
    <cellStyle name="YelNumbersCurr 2 6 2 4" xfId="47831"/>
    <cellStyle name="YelNumbersCurr 2 6 2 4 2" xfId="47832"/>
    <cellStyle name="YelNumbersCurr 2 6 2 5" xfId="47833"/>
    <cellStyle name="YelNumbersCurr 2 6 2 6" xfId="47834"/>
    <cellStyle name="YelNumbersCurr 2 6 2 7" xfId="47835"/>
    <cellStyle name="YelNumbersCurr 2 6 2 8" xfId="47836"/>
    <cellStyle name="YelNumbersCurr 2 6 2 9" xfId="47837"/>
    <cellStyle name="YelNumbersCurr 2 6 20" xfId="47838"/>
    <cellStyle name="YelNumbersCurr 2 6 3" xfId="47839"/>
    <cellStyle name="YelNumbersCurr 2 6 3 10" xfId="47840"/>
    <cellStyle name="YelNumbersCurr 2 6 3 11" xfId="47841"/>
    <cellStyle name="YelNumbersCurr 2 6 3 12" xfId="47842"/>
    <cellStyle name="YelNumbersCurr 2 6 3 13" xfId="47843"/>
    <cellStyle name="YelNumbersCurr 2 6 3 14" xfId="47844"/>
    <cellStyle name="YelNumbersCurr 2 6 3 15" xfId="47845"/>
    <cellStyle name="YelNumbersCurr 2 6 3 16" xfId="47846"/>
    <cellStyle name="YelNumbersCurr 2 6 3 17" xfId="47847"/>
    <cellStyle name="YelNumbersCurr 2 6 3 18" xfId="47848"/>
    <cellStyle name="YelNumbersCurr 2 6 3 2" xfId="47849"/>
    <cellStyle name="YelNumbersCurr 2 6 3 2 2" xfId="47850"/>
    <cellStyle name="YelNumbersCurr 2 6 3 2 2 2" xfId="47851"/>
    <cellStyle name="YelNumbersCurr 2 6 3 2 3" xfId="47852"/>
    <cellStyle name="YelNumbersCurr 2 6 3 2 4" xfId="47853"/>
    <cellStyle name="YelNumbersCurr 2 6 3 3" xfId="47854"/>
    <cellStyle name="YelNumbersCurr 2 6 3 3 2" xfId="47855"/>
    <cellStyle name="YelNumbersCurr 2 6 3 3 3" xfId="47856"/>
    <cellStyle name="YelNumbersCurr 2 6 3 4" xfId="47857"/>
    <cellStyle name="YelNumbersCurr 2 6 3 4 2" xfId="47858"/>
    <cellStyle name="YelNumbersCurr 2 6 3 5" xfId="47859"/>
    <cellStyle name="YelNumbersCurr 2 6 3 6" xfId="47860"/>
    <cellStyle name="YelNumbersCurr 2 6 3 7" xfId="47861"/>
    <cellStyle name="YelNumbersCurr 2 6 3 8" xfId="47862"/>
    <cellStyle name="YelNumbersCurr 2 6 3 9" xfId="47863"/>
    <cellStyle name="YelNumbersCurr 2 6 4" xfId="47864"/>
    <cellStyle name="YelNumbersCurr 2 6 4 2" xfId="47865"/>
    <cellStyle name="YelNumbersCurr 2 6 4 2 2" xfId="47866"/>
    <cellStyle name="YelNumbersCurr 2 6 4 2 3" xfId="47867"/>
    <cellStyle name="YelNumbersCurr 2 6 4 3" xfId="47868"/>
    <cellStyle name="YelNumbersCurr 2 6 4 3 2" xfId="47869"/>
    <cellStyle name="YelNumbersCurr 2 6 4 4" xfId="47870"/>
    <cellStyle name="YelNumbersCurr 2 6 4 5" xfId="47871"/>
    <cellStyle name="YelNumbersCurr 2 6 5" xfId="47872"/>
    <cellStyle name="YelNumbersCurr 2 6 5 2" xfId="47873"/>
    <cellStyle name="YelNumbersCurr 2 6 5 2 2" xfId="47874"/>
    <cellStyle name="YelNumbersCurr 2 6 5 3" xfId="47875"/>
    <cellStyle name="YelNumbersCurr 2 6 5 4" xfId="47876"/>
    <cellStyle name="YelNumbersCurr 2 6 6" xfId="47877"/>
    <cellStyle name="YelNumbersCurr 2 6 6 2" xfId="47878"/>
    <cellStyle name="YelNumbersCurr 2 6 7" xfId="47879"/>
    <cellStyle name="YelNumbersCurr 2 6 8" xfId="47880"/>
    <cellStyle name="YelNumbersCurr 2 6 9" xfId="47881"/>
    <cellStyle name="YelNumbersCurr 2 7" xfId="47882"/>
    <cellStyle name="YelNumbersCurr 2 7 10" xfId="47883"/>
    <cellStyle name="YelNumbersCurr 2 7 11" xfId="47884"/>
    <cellStyle name="YelNumbersCurr 2 7 12" xfId="47885"/>
    <cellStyle name="YelNumbersCurr 2 7 13" xfId="47886"/>
    <cellStyle name="YelNumbersCurr 2 7 14" xfId="47887"/>
    <cellStyle name="YelNumbersCurr 2 7 15" xfId="47888"/>
    <cellStyle name="YelNumbersCurr 2 7 16" xfId="47889"/>
    <cellStyle name="YelNumbersCurr 2 7 17" xfId="47890"/>
    <cellStyle name="YelNumbersCurr 2 7 2" xfId="47891"/>
    <cellStyle name="YelNumbersCurr 2 7 2 2" xfId="47892"/>
    <cellStyle name="YelNumbersCurr 2 7 2 2 2" xfId="47893"/>
    <cellStyle name="YelNumbersCurr 2 7 2 3" xfId="47894"/>
    <cellStyle name="YelNumbersCurr 2 7 2 4" xfId="47895"/>
    <cellStyle name="YelNumbersCurr 2 7 3" xfId="47896"/>
    <cellStyle name="YelNumbersCurr 2 7 3 2" xfId="47897"/>
    <cellStyle name="YelNumbersCurr 2 7 4" xfId="47898"/>
    <cellStyle name="YelNumbersCurr 2 7 5" xfId="47899"/>
    <cellStyle name="YelNumbersCurr 2 7 6" xfId="47900"/>
    <cellStyle name="YelNumbersCurr 2 7 7" xfId="47901"/>
    <cellStyle name="YelNumbersCurr 2 7 8" xfId="47902"/>
    <cellStyle name="YelNumbersCurr 2 7 9" xfId="47903"/>
    <cellStyle name="YelNumbersCurr 2 8" xfId="47904"/>
    <cellStyle name="YelNumbersCurr 2 8 2" xfId="47905"/>
    <cellStyle name="YelNumbersCurr 2 8 2 2" xfId="47906"/>
    <cellStyle name="YelNumbersCurr 2 8 2 2 2" xfId="47907"/>
    <cellStyle name="YelNumbersCurr 2 8 2 3" xfId="47908"/>
    <cellStyle name="YelNumbersCurr 2 8 2 4" xfId="47909"/>
    <cellStyle name="YelNumbersCurr 2 8 3" xfId="47910"/>
    <cellStyle name="YelNumbersCurr 2 8 3 2" xfId="47911"/>
    <cellStyle name="YelNumbersCurr 2 8 3 3" xfId="47912"/>
    <cellStyle name="YelNumbersCurr 2 8 4" xfId="47913"/>
    <cellStyle name="YelNumbersCurr 2 8 4 2" xfId="47914"/>
    <cellStyle name="YelNumbersCurr 2 8 5" xfId="47915"/>
    <cellStyle name="YelNumbersCurr 2 8 6" xfId="47916"/>
    <cellStyle name="YelNumbersCurr 2 9" xfId="47917"/>
    <cellStyle name="YelNumbersCurr 2 9 2" xfId="47918"/>
    <cellStyle name="YelNumbersCurr 2 9 2 2" xfId="47919"/>
    <cellStyle name="YelNumbersCurr 2 9 3" xfId="47920"/>
    <cellStyle name="YelNumbersCurr 2 9 4" xfId="47921"/>
    <cellStyle name="YelNumbersCurr 20" xfId="47922"/>
    <cellStyle name="YelNumbersCurr 21" xfId="47923"/>
    <cellStyle name="YelNumbersCurr 22" xfId="47924"/>
    <cellStyle name="YelNumbersCurr 23" xfId="47925"/>
    <cellStyle name="YelNumbersCurr 24" xfId="47926"/>
    <cellStyle name="YelNumbersCurr 25" xfId="47927"/>
    <cellStyle name="YelNumbersCurr 26" xfId="47928"/>
    <cellStyle name="YelNumbersCurr 27" xfId="47929"/>
    <cellStyle name="YelNumbersCurr 28" xfId="47930"/>
    <cellStyle name="YelNumbersCurr 3" xfId="47931"/>
    <cellStyle name="YelNumbersCurr 3 10" xfId="47932"/>
    <cellStyle name="YelNumbersCurr 3 11" xfId="47933"/>
    <cellStyle name="YelNumbersCurr 3 12" xfId="47934"/>
    <cellStyle name="YelNumbersCurr 3 13" xfId="47935"/>
    <cellStyle name="YelNumbersCurr 3 14" xfId="47936"/>
    <cellStyle name="YelNumbersCurr 3 15" xfId="47937"/>
    <cellStyle name="YelNumbersCurr 3 16" xfId="47938"/>
    <cellStyle name="YelNumbersCurr 3 17" xfId="47939"/>
    <cellStyle name="YelNumbersCurr 3 18" xfId="47940"/>
    <cellStyle name="YelNumbersCurr 3 19" xfId="47941"/>
    <cellStyle name="YelNumbersCurr 3 2" xfId="47942"/>
    <cellStyle name="YelNumbersCurr 3 2 10" xfId="47943"/>
    <cellStyle name="YelNumbersCurr 3 2 11" xfId="47944"/>
    <cellStyle name="YelNumbersCurr 3 2 12" xfId="47945"/>
    <cellStyle name="YelNumbersCurr 3 2 13" xfId="47946"/>
    <cellStyle name="YelNumbersCurr 3 2 14" xfId="47947"/>
    <cellStyle name="YelNumbersCurr 3 2 15" xfId="47948"/>
    <cellStyle name="YelNumbersCurr 3 2 16" xfId="47949"/>
    <cellStyle name="YelNumbersCurr 3 2 17" xfId="47950"/>
    <cellStyle name="YelNumbersCurr 3 2 18" xfId="47951"/>
    <cellStyle name="YelNumbersCurr 3 2 19" xfId="47952"/>
    <cellStyle name="YelNumbersCurr 3 2 2" xfId="47953"/>
    <cellStyle name="YelNumbersCurr 3 2 2 10" xfId="47954"/>
    <cellStyle name="YelNumbersCurr 3 2 2 11" xfId="47955"/>
    <cellStyle name="YelNumbersCurr 3 2 2 12" xfId="47956"/>
    <cellStyle name="YelNumbersCurr 3 2 2 13" xfId="47957"/>
    <cellStyle name="YelNumbersCurr 3 2 2 14" xfId="47958"/>
    <cellStyle name="YelNumbersCurr 3 2 2 15" xfId="47959"/>
    <cellStyle name="YelNumbersCurr 3 2 2 16" xfId="47960"/>
    <cellStyle name="YelNumbersCurr 3 2 2 17" xfId="47961"/>
    <cellStyle name="YelNumbersCurr 3 2 2 18" xfId="47962"/>
    <cellStyle name="YelNumbersCurr 3 2 2 2" xfId="47963"/>
    <cellStyle name="YelNumbersCurr 3 2 2 2 2" xfId="47964"/>
    <cellStyle name="YelNumbersCurr 3 2 2 2 2 2" xfId="47965"/>
    <cellStyle name="YelNumbersCurr 3 2 2 2 3" xfId="47966"/>
    <cellStyle name="YelNumbersCurr 3 2 2 2 4" xfId="47967"/>
    <cellStyle name="YelNumbersCurr 3 2 2 3" xfId="47968"/>
    <cellStyle name="YelNumbersCurr 3 2 2 3 2" xfId="47969"/>
    <cellStyle name="YelNumbersCurr 3 2 2 3 3" xfId="47970"/>
    <cellStyle name="YelNumbersCurr 3 2 2 4" xfId="47971"/>
    <cellStyle name="YelNumbersCurr 3 2 2 4 2" xfId="47972"/>
    <cellStyle name="YelNumbersCurr 3 2 2 5" xfId="47973"/>
    <cellStyle name="YelNumbersCurr 3 2 2 6" xfId="47974"/>
    <cellStyle name="YelNumbersCurr 3 2 2 7" xfId="47975"/>
    <cellStyle name="YelNumbersCurr 3 2 2 8" xfId="47976"/>
    <cellStyle name="YelNumbersCurr 3 2 2 9" xfId="47977"/>
    <cellStyle name="YelNumbersCurr 3 2 3" xfId="47978"/>
    <cellStyle name="YelNumbersCurr 3 2 3 10" xfId="47979"/>
    <cellStyle name="YelNumbersCurr 3 2 3 11" xfId="47980"/>
    <cellStyle name="YelNumbersCurr 3 2 3 12" xfId="47981"/>
    <cellStyle name="YelNumbersCurr 3 2 3 13" xfId="47982"/>
    <cellStyle name="YelNumbersCurr 3 2 3 14" xfId="47983"/>
    <cellStyle name="YelNumbersCurr 3 2 3 15" xfId="47984"/>
    <cellStyle name="YelNumbersCurr 3 2 3 16" xfId="47985"/>
    <cellStyle name="YelNumbersCurr 3 2 3 17" xfId="47986"/>
    <cellStyle name="YelNumbersCurr 3 2 3 18" xfId="47987"/>
    <cellStyle name="YelNumbersCurr 3 2 3 2" xfId="47988"/>
    <cellStyle name="YelNumbersCurr 3 2 3 2 2" xfId="47989"/>
    <cellStyle name="YelNumbersCurr 3 2 3 2 2 2" xfId="47990"/>
    <cellStyle name="YelNumbersCurr 3 2 3 2 3" xfId="47991"/>
    <cellStyle name="YelNumbersCurr 3 2 3 2 4" xfId="47992"/>
    <cellStyle name="YelNumbersCurr 3 2 3 3" xfId="47993"/>
    <cellStyle name="YelNumbersCurr 3 2 3 3 2" xfId="47994"/>
    <cellStyle name="YelNumbersCurr 3 2 3 3 3" xfId="47995"/>
    <cellStyle name="YelNumbersCurr 3 2 3 4" xfId="47996"/>
    <cellStyle name="YelNumbersCurr 3 2 3 4 2" xfId="47997"/>
    <cellStyle name="YelNumbersCurr 3 2 3 5" xfId="47998"/>
    <cellStyle name="YelNumbersCurr 3 2 3 6" xfId="47999"/>
    <cellStyle name="YelNumbersCurr 3 2 3 7" xfId="48000"/>
    <cellStyle name="YelNumbersCurr 3 2 3 8" xfId="48001"/>
    <cellStyle name="YelNumbersCurr 3 2 3 9" xfId="48002"/>
    <cellStyle name="YelNumbersCurr 3 2 4" xfId="48003"/>
    <cellStyle name="YelNumbersCurr 3 2 4 2" xfId="48004"/>
    <cellStyle name="YelNumbersCurr 3 2 4 2 2" xfId="48005"/>
    <cellStyle name="YelNumbersCurr 3 2 4 2 3" xfId="48006"/>
    <cellStyle name="YelNumbersCurr 3 2 4 3" xfId="48007"/>
    <cellStyle name="YelNumbersCurr 3 2 4 3 2" xfId="48008"/>
    <cellStyle name="YelNumbersCurr 3 2 4 4" xfId="48009"/>
    <cellStyle name="YelNumbersCurr 3 2 4 5" xfId="48010"/>
    <cellStyle name="YelNumbersCurr 3 2 5" xfId="48011"/>
    <cellStyle name="YelNumbersCurr 3 2 5 2" xfId="48012"/>
    <cellStyle name="YelNumbersCurr 3 2 5 2 2" xfId="48013"/>
    <cellStyle name="YelNumbersCurr 3 2 5 3" xfId="48014"/>
    <cellStyle name="YelNumbersCurr 3 2 5 4" xfId="48015"/>
    <cellStyle name="YelNumbersCurr 3 2 6" xfId="48016"/>
    <cellStyle name="YelNumbersCurr 3 2 6 2" xfId="48017"/>
    <cellStyle name="YelNumbersCurr 3 2 7" xfId="48018"/>
    <cellStyle name="YelNumbersCurr 3 2 8" xfId="48019"/>
    <cellStyle name="YelNumbersCurr 3 2 9" xfId="48020"/>
    <cellStyle name="YelNumbersCurr 3 20" xfId="48021"/>
    <cellStyle name="YelNumbersCurr 3 21" xfId="48022"/>
    <cellStyle name="YelNumbersCurr 3 22" xfId="48023"/>
    <cellStyle name="YelNumbersCurr 3 23" xfId="48024"/>
    <cellStyle name="YelNumbersCurr 3 24" xfId="48025"/>
    <cellStyle name="YelNumbersCurr 3 25" xfId="48026"/>
    <cellStyle name="YelNumbersCurr 3 3" xfId="48027"/>
    <cellStyle name="YelNumbersCurr 3 3 10" xfId="48028"/>
    <cellStyle name="YelNumbersCurr 3 3 11" xfId="48029"/>
    <cellStyle name="YelNumbersCurr 3 3 12" xfId="48030"/>
    <cellStyle name="YelNumbersCurr 3 3 13" xfId="48031"/>
    <cellStyle name="YelNumbersCurr 3 3 14" xfId="48032"/>
    <cellStyle name="YelNumbersCurr 3 3 15" xfId="48033"/>
    <cellStyle name="YelNumbersCurr 3 3 16" xfId="48034"/>
    <cellStyle name="YelNumbersCurr 3 3 17" xfId="48035"/>
    <cellStyle name="YelNumbersCurr 3 3 18" xfId="48036"/>
    <cellStyle name="YelNumbersCurr 3 3 19" xfId="48037"/>
    <cellStyle name="YelNumbersCurr 3 3 2" xfId="48038"/>
    <cellStyle name="YelNumbersCurr 3 3 2 10" xfId="48039"/>
    <cellStyle name="YelNumbersCurr 3 3 2 11" xfId="48040"/>
    <cellStyle name="YelNumbersCurr 3 3 2 12" xfId="48041"/>
    <cellStyle name="YelNumbersCurr 3 3 2 13" xfId="48042"/>
    <cellStyle name="YelNumbersCurr 3 3 2 14" xfId="48043"/>
    <cellStyle name="YelNumbersCurr 3 3 2 15" xfId="48044"/>
    <cellStyle name="YelNumbersCurr 3 3 2 16" xfId="48045"/>
    <cellStyle name="YelNumbersCurr 3 3 2 17" xfId="48046"/>
    <cellStyle name="YelNumbersCurr 3 3 2 18" xfId="48047"/>
    <cellStyle name="YelNumbersCurr 3 3 2 2" xfId="48048"/>
    <cellStyle name="YelNumbersCurr 3 3 2 2 2" xfId="48049"/>
    <cellStyle name="YelNumbersCurr 3 3 2 2 2 2" xfId="48050"/>
    <cellStyle name="YelNumbersCurr 3 3 2 2 3" xfId="48051"/>
    <cellStyle name="YelNumbersCurr 3 3 2 2 4" xfId="48052"/>
    <cellStyle name="YelNumbersCurr 3 3 2 3" xfId="48053"/>
    <cellStyle name="YelNumbersCurr 3 3 2 3 2" xfId="48054"/>
    <cellStyle name="YelNumbersCurr 3 3 2 3 3" xfId="48055"/>
    <cellStyle name="YelNumbersCurr 3 3 2 4" xfId="48056"/>
    <cellStyle name="YelNumbersCurr 3 3 2 4 2" xfId="48057"/>
    <cellStyle name="YelNumbersCurr 3 3 2 5" xfId="48058"/>
    <cellStyle name="YelNumbersCurr 3 3 2 6" xfId="48059"/>
    <cellStyle name="YelNumbersCurr 3 3 2 7" xfId="48060"/>
    <cellStyle name="YelNumbersCurr 3 3 2 8" xfId="48061"/>
    <cellStyle name="YelNumbersCurr 3 3 2 9" xfId="48062"/>
    <cellStyle name="YelNumbersCurr 3 3 20" xfId="48063"/>
    <cellStyle name="YelNumbersCurr 3 3 21" xfId="48064"/>
    <cellStyle name="YelNumbersCurr 3 3 3" xfId="48065"/>
    <cellStyle name="YelNumbersCurr 3 3 3 10" xfId="48066"/>
    <cellStyle name="YelNumbersCurr 3 3 3 11" xfId="48067"/>
    <cellStyle name="YelNumbersCurr 3 3 3 12" xfId="48068"/>
    <cellStyle name="YelNumbersCurr 3 3 3 13" xfId="48069"/>
    <cellStyle name="YelNumbersCurr 3 3 3 14" xfId="48070"/>
    <cellStyle name="YelNumbersCurr 3 3 3 15" xfId="48071"/>
    <cellStyle name="YelNumbersCurr 3 3 3 16" xfId="48072"/>
    <cellStyle name="YelNumbersCurr 3 3 3 17" xfId="48073"/>
    <cellStyle name="YelNumbersCurr 3 3 3 18" xfId="48074"/>
    <cellStyle name="YelNumbersCurr 3 3 3 2" xfId="48075"/>
    <cellStyle name="YelNumbersCurr 3 3 3 2 2" xfId="48076"/>
    <cellStyle name="YelNumbersCurr 3 3 3 2 2 2" xfId="48077"/>
    <cellStyle name="YelNumbersCurr 3 3 3 2 3" xfId="48078"/>
    <cellStyle name="YelNumbersCurr 3 3 3 2 4" xfId="48079"/>
    <cellStyle name="YelNumbersCurr 3 3 3 3" xfId="48080"/>
    <cellStyle name="YelNumbersCurr 3 3 3 3 2" xfId="48081"/>
    <cellStyle name="YelNumbersCurr 3 3 3 3 3" xfId="48082"/>
    <cellStyle name="YelNumbersCurr 3 3 3 4" xfId="48083"/>
    <cellStyle name="YelNumbersCurr 3 3 3 4 2" xfId="48084"/>
    <cellStyle name="YelNumbersCurr 3 3 3 5" xfId="48085"/>
    <cellStyle name="YelNumbersCurr 3 3 3 6" xfId="48086"/>
    <cellStyle name="YelNumbersCurr 3 3 3 7" xfId="48087"/>
    <cellStyle name="YelNumbersCurr 3 3 3 8" xfId="48088"/>
    <cellStyle name="YelNumbersCurr 3 3 3 9" xfId="48089"/>
    <cellStyle name="YelNumbersCurr 3 3 4" xfId="48090"/>
    <cellStyle name="YelNumbersCurr 3 3 4 2" xfId="48091"/>
    <cellStyle name="YelNumbersCurr 3 3 4 2 2" xfId="48092"/>
    <cellStyle name="YelNumbersCurr 3 3 4 2 3" xfId="48093"/>
    <cellStyle name="YelNumbersCurr 3 3 4 3" xfId="48094"/>
    <cellStyle name="YelNumbersCurr 3 3 4 3 2" xfId="48095"/>
    <cellStyle name="YelNumbersCurr 3 3 4 4" xfId="48096"/>
    <cellStyle name="YelNumbersCurr 3 3 4 5" xfId="48097"/>
    <cellStyle name="YelNumbersCurr 3 3 5" xfId="48098"/>
    <cellStyle name="YelNumbersCurr 3 3 5 2" xfId="48099"/>
    <cellStyle name="YelNumbersCurr 3 3 5 2 2" xfId="48100"/>
    <cellStyle name="YelNumbersCurr 3 3 5 3" xfId="48101"/>
    <cellStyle name="YelNumbersCurr 3 3 5 4" xfId="48102"/>
    <cellStyle name="YelNumbersCurr 3 3 6" xfId="48103"/>
    <cellStyle name="YelNumbersCurr 3 3 6 2" xfId="48104"/>
    <cellStyle name="YelNumbersCurr 3 3 7" xfId="48105"/>
    <cellStyle name="YelNumbersCurr 3 3 8" xfId="48106"/>
    <cellStyle name="YelNumbersCurr 3 3 9" xfId="48107"/>
    <cellStyle name="YelNumbersCurr 3 4" xfId="48108"/>
    <cellStyle name="YelNumbersCurr 3 4 10" xfId="48109"/>
    <cellStyle name="YelNumbersCurr 3 4 11" xfId="48110"/>
    <cellStyle name="YelNumbersCurr 3 4 12" xfId="48111"/>
    <cellStyle name="YelNumbersCurr 3 4 13" xfId="48112"/>
    <cellStyle name="YelNumbersCurr 3 4 14" xfId="48113"/>
    <cellStyle name="YelNumbersCurr 3 4 15" xfId="48114"/>
    <cellStyle name="YelNumbersCurr 3 4 16" xfId="48115"/>
    <cellStyle name="YelNumbersCurr 3 4 17" xfId="48116"/>
    <cellStyle name="YelNumbersCurr 3 4 18" xfId="48117"/>
    <cellStyle name="YelNumbersCurr 3 4 19" xfId="48118"/>
    <cellStyle name="YelNumbersCurr 3 4 2" xfId="48119"/>
    <cellStyle name="YelNumbersCurr 3 4 2 10" xfId="48120"/>
    <cellStyle name="YelNumbersCurr 3 4 2 11" xfId="48121"/>
    <cellStyle name="YelNumbersCurr 3 4 2 12" xfId="48122"/>
    <cellStyle name="YelNumbersCurr 3 4 2 13" xfId="48123"/>
    <cellStyle name="YelNumbersCurr 3 4 2 14" xfId="48124"/>
    <cellStyle name="YelNumbersCurr 3 4 2 15" xfId="48125"/>
    <cellStyle name="YelNumbersCurr 3 4 2 16" xfId="48126"/>
    <cellStyle name="YelNumbersCurr 3 4 2 17" xfId="48127"/>
    <cellStyle name="YelNumbersCurr 3 4 2 18" xfId="48128"/>
    <cellStyle name="YelNumbersCurr 3 4 2 2" xfId="48129"/>
    <cellStyle name="YelNumbersCurr 3 4 2 2 2" xfId="48130"/>
    <cellStyle name="YelNumbersCurr 3 4 2 2 2 2" xfId="48131"/>
    <cellStyle name="YelNumbersCurr 3 4 2 2 3" xfId="48132"/>
    <cellStyle name="YelNumbersCurr 3 4 2 2 4" xfId="48133"/>
    <cellStyle name="YelNumbersCurr 3 4 2 3" xfId="48134"/>
    <cellStyle name="YelNumbersCurr 3 4 2 3 2" xfId="48135"/>
    <cellStyle name="YelNumbersCurr 3 4 2 3 3" xfId="48136"/>
    <cellStyle name="YelNumbersCurr 3 4 2 4" xfId="48137"/>
    <cellStyle name="YelNumbersCurr 3 4 2 4 2" xfId="48138"/>
    <cellStyle name="YelNumbersCurr 3 4 2 5" xfId="48139"/>
    <cellStyle name="YelNumbersCurr 3 4 2 6" xfId="48140"/>
    <cellStyle name="YelNumbersCurr 3 4 2 7" xfId="48141"/>
    <cellStyle name="YelNumbersCurr 3 4 2 8" xfId="48142"/>
    <cellStyle name="YelNumbersCurr 3 4 2 9" xfId="48143"/>
    <cellStyle name="YelNumbersCurr 3 4 20" xfId="48144"/>
    <cellStyle name="YelNumbersCurr 3 4 21" xfId="48145"/>
    <cellStyle name="YelNumbersCurr 3 4 3" xfId="48146"/>
    <cellStyle name="YelNumbersCurr 3 4 3 10" xfId="48147"/>
    <cellStyle name="YelNumbersCurr 3 4 3 11" xfId="48148"/>
    <cellStyle name="YelNumbersCurr 3 4 3 12" xfId="48149"/>
    <cellStyle name="YelNumbersCurr 3 4 3 13" xfId="48150"/>
    <cellStyle name="YelNumbersCurr 3 4 3 14" xfId="48151"/>
    <cellStyle name="YelNumbersCurr 3 4 3 15" xfId="48152"/>
    <cellStyle name="YelNumbersCurr 3 4 3 16" xfId="48153"/>
    <cellStyle name="YelNumbersCurr 3 4 3 17" xfId="48154"/>
    <cellStyle name="YelNumbersCurr 3 4 3 18" xfId="48155"/>
    <cellStyle name="YelNumbersCurr 3 4 3 2" xfId="48156"/>
    <cellStyle name="YelNumbersCurr 3 4 3 2 2" xfId="48157"/>
    <cellStyle name="YelNumbersCurr 3 4 3 2 2 2" xfId="48158"/>
    <cellStyle name="YelNumbersCurr 3 4 3 2 3" xfId="48159"/>
    <cellStyle name="YelNumbersCurr 3 4 3 2 4" xfId="48160"/>
    <cellStyle name="YelNumbersCurr 3 4 3 3" xfId="48161"/>
    <cellStyle name="YelNumbersCurr 3 4 3 3 2" xfId="48162"/>
    <cellStyle name="YelNumbersCurr 3 4 3 3 3" xfId="48163"/>
    <cellStyle name="YelNumbersCurr 3 4 3 4" xfId="48164"/>
    <cellStyle name="YelNumbersCurr 3 4 3 4 2" xfId="48165"/>
    <cellStyle name="YelNumbersCurr 3 4 3 5" xfId="48166"/>
    <cellStyle name="YelNumbersCurr 3 4 3 6" xfId="48167"/>
    <cellStyle name="YelNumbersCurr 3 4 3 7" xfId="48168"/>
    <cellStyle name="YelNumbersCurr 3 4 3 8" xfId="48169"/>
    <cellStyle name="YelNumbersCurr 3 4 3 9" xfId="48170"/>
    <cellStyle name="YelNumbersCurr 3 4 4" xfId="48171"/>
    <cellStyle name="YelNumbersCurr 3 4 4 2" xfId="48172"/>
    <cellStyle name="YelNumbersCurr 3 4 4 2 2" xfId="48173"/>
    <cellStyle name="YelNumbersCurr 3 4 4 2 3" xfId="48174"/>
    <cellStyle name="YelNumbersCurr 3 4 4 3" xfId="48175"/>
    <cellStyle name="YelNumbersCurr 3 4 4 3 2" xfId="48176"/>
    <cellStyle name="YelNumbersCurr 3 4 4 4" xfId="48177"/>
    <cellStyle name="YelNumbersCurr 3 4 4 5" xfId="48178"/>
    <cellStyle name="YelNumbersCurr 3 4 5" xfId="48179"/>
    <cellStyle name="YelNumbersCurr 3 4 5 2" xfId="48180"/>
    <cellStyle name="YelNumbersCurr 3 4 5 2 2" xfId="48181"/>
    <cellStyle name="YelNumbersCurr 3 4 5 3" xfId="48182"/>
    <cellStyle name="YelNumbersCurr 3 4 5 4" xfId="48183"/>
    <cellStyle name="YelNumbersCurr 3 4 6" xfId="48184"/>
    <cellStyle name="YelNumbersCurr 3 4 6 2" xfId="48185"/>
    <cellStyle name="YelNumbersCurr 3 4 7" xfId="48186"/>
    <cellStyle name="YelNumbersCurr 3 4 8" xfId="48187"/>
    <cellStyle name="YelNumbersCurr 3 4 9" xfId="48188"/>
    <cellStyle name="YelNumbersCurr 3 5" xfId="48189"/>
    <cellStyle name="YelNumbersCurr 3 5 10" xfId="48190"/>
    <cellStyle name="YelNumbersCurr 3 5 11" xfId="48191"/>
    <cellStyle name="YelNumbersCurr 3 5 12" xfId="48192"/>
    <cellStyle name="YelNumbersCurr 3 5 13" xfId="48193"/>
    <cellStyle name="YelNumbersCurr 3 5 14" xfId="48194"/>
    <cellStyle name="YelNumbersCurr 3 5 15" xfId="48195"/>
    <cellStyle name="YelNumbersCurr 3 5 16" xfId="48196"/>
    <cellStyle name="YelNumbersCurr 3 5 17" xfId="48197"/>
    <cellStyle name="YelNumbersCurr 3 5 18" xfId="48198"/>
    <cellStyle name="YelNumbersCurr 3 5 19" xfId="48199"/>
    <cellStyle name="YelNumbersCurr 3 5 2" xfId="48200"/>
    <cellStyle name="YelNumbersCurr 3 5 2 10" xfId="48201"/>
    <cellStyle name="YelNumbersCurr 3 5 2 11" xfId="48202"/>
    <cellStyle name="YelNumbersCurr 3 5 2 12" xfId="48203"/>
    <cellStyle name="YelNumbersCurr 3 5 2 13" xfId="48204"/>
    <cellStyle name="YelNumbersCurr 3 5 2 14" xfId="48205"/>
    <cellStyle name="YelNumbersCurr 3 5 2 15" xfId="48206"/>
    <cellStyle name="YelNumbersCurr 3 5 2 16" xfId="48207"/>
    <cellStyle name="YelNumbersCurr 3 5 2 17" xfId="48208"/>
    <cellStyle name="YelNumbersCurr 3 5 2 18" xfId="48209"/>
    <cellStyle name="YelNumbersCurr 3 5 2 2" xfId="48210"/>
    <cellStyle name="YelNumbersCurr 3 5 2 2 2" xfId="48211"/>
    <cellStyle name="YelNumbersCurr 3 5 2 2 2 2" xfId="48212"/>
    <cellStyle name="YelNumbersCurr 3 5 2 2 3" xfId="48213"/>
    <cellStyle name="YelNumbersCurr 3 5 2 2 4" xfId="48214"/>
    <cellStyle name="YelNumbersCurr 3 5 2 3" xfId="48215"/>
    <cellStyle name="YelNumbersCurr 3 5 2 3 2" xfId="48216"/>
    <cellStyle name="YelNumbersCurr 3 5 2 3 3" xfId="48217"/>
    <cellStyle name="YelNumbersCurr 3 5 2 4" xfId="48218"/>
    <cellStyle name="YelNumbersCurr 3 5 2 4 2" xfId="48219"/>
    <cellStyle name="YelNumbersCurr 3 5 2 5" xfId="48220"/>
    <cellStyle name="YelNumbersCurr 3 5 2 6" xfId="48221"/>
    <cellStyle name="YelNumbersCurr 3 5 2 7" xfId="48222"/>
    <cellStyle name="YelNumbersCurr 3 5 2 8" xfId="48223"/>
    <cellStyle name="YelNumbersCurr 3 5 2 9" xfId="48224"/>
    <cellStyle name="YelNumbersCurr 3 5 3" xfId="48225"/>
    <cellStyle name="YelNumbersCurr 3 5 3 10" xfId="48226"/>
    <cellStyle name="YelNumbersCurr 3 5 3 11" xfId="48227"/>
    <cellStyle name="YelNumbersCurr 3 5 3 12" xfId="48228"/>
    <cellStyle name="YelNumbersCurr 3 5 3 13" xfId="48229"/>
    <cellStyle name="YelNumbersCurr 3 5 3 14" xfId="48230"/>
    <cellStyle name="YelNumbersCurr 3 5 3 15" xfId="48231"/>
    <cellStyle name="YelNumbersCurr 3 5 3 16" xfId="48232"/>
    <cellStyle name="YelNumbersCurr 3 5 3 17" xfId="48233"/>
    <cellStyle name="YelNumbersCurr 3 5 3 18" xfId="48234"/>
    <cellStyle name="YelNumbersCurr 3 5 3 2" xfId="48235"/>
    <cellStyle name="YelNumbersCurr 3 5 3 2 2" xfId="48236"/>
    <cellStyle name="YelNumbersCurr 3 5 3 2 2 2" xfId="48237"/>
    <cellStyle name="YelNumbersCurr 3 5 3 2 3" xfId="48238"/>
    <cellStyle name="YelNumbersCurr 3 5 3 2 4" xfId="48239"/>
    <cellStyle name="YelNumbersCurr 3 5 3 3" xfId="48240"/>
    <cellStyle name="YelNumbersCurr 3 5 3 3 2" xfId="48241"/>
    <cellStyle name="YelNumbersCurr 3 5 3 3 3" xfId="48242"/>
    <cellStyle name="YelNumbersCurr 3 5 3 4" xfId="48243"/>
    <cellStyle name="YelNumbersCurr 3 5 3 4 2" xfId="48244"/>
    <cellStyle name="YelNumbersCurr 3 5 3 5" xfId="48245"/>
    <cellStyle name="YelNumbersCurr 3 5 3 6" xfId="48246"/>
    <cellStyle name="YelNumbersCurr 3 5 3 7" xfId="48247"/>
    <cellStyle name="YelNumbersCurr 3 5 3 8" xfId="48248"/>
    <cellStyle name="YelNumbersCurr 3 5 3 9" xfId="48249"/>
    <cellStyle name="YelNumbersCurr 3 5 4" xfId="48250"/>
    <cellStyle name="YelNumbersCurr 3 5 4 2" xfId="48251"/>
    <cellStyle name="YelNumbersCurr 3 5 4 2 2" xfId="48252"/>
    <cellStyle name="YelNumbersCurr 3 5 4 2 3" xfId="48253"/>
    <cellStyle name="YelNumbersCurr 3 5 4 3" xfId="48254"/>
    <cellStyle name="YelNumbersCurr 3 5 4 3 2" xfId="48255"/>
    <cellStyle name="YelNumbersCurr 3 5 4 4" xfId="48256"/>
    <cellStyle name="YelNumbersCurr 3 5 4 5" xfId="48257"/>
    <cellStyle name="YelNumbersCurr 3 5 5" xfId="48258"/>
    <cellStyle name="YelNumbersCurr 3 5 5 2" xfId="48259"/>
    <cellStyle name="YelNumbersCurr 3 5 5 2 2" xfId="48260"/>
    <cellStyle name="YelNumbersCurr 3 5 5 3" xfId="48261"/>
    <cellStyle name="YelNumbersCurr 3 5 5 4" xfId="48262"/>
    <cellStyle name="YelNumbersCurr 3 5 6" xfId="48263"/>
    <cellStyle name="YelNumbersCurr 3 5 6 2" xfId="48264"/>
    <cellStyle name="YelNumbersCurr 3 5 7" xfId="48265"/>
    <cellStyle name="YelNumbersCurr 3 5 8" xfId="48266"/>
    <cellStyle name="YelNumbersCurr 3 5 9" xfId="48267"/>
    <cellStyle name="YelNumbersCurr 3 6" xfId="48268"/>
    <cellStyle name="YelNumbersCurr 3 6 10" xfId="48269"/>
    <cellStyle name="YelNumbersCurr 3 6 11" xfId="48270"/>
    <cellStyle name="YelNumbersCurr 3 6 12" xfId="48271"/>
    <cellStyle name="YelNumbersCurr 3 6 13" xfId="48272"/>
    <cellStyle name="YelNumbersCurr 3 6 14" xfId="48273"/>
    <cellStyle name="YelNumbersCurr 3 6 15" xfId="48274"/>
    <cellStyle name="YelNumbersCurr 3 6 16" xfId="48275"/>
    <cellStyle name="YelNumbersCurr 3 6 17" xfId="48276"/>
    <cellStyle name="YelNumbersCurr 3 6 18" xfId="48277"/>
    <cellStyle name="YelNumbersCurr 3 6 19" xfId="48278"/>
    <cellStyle name="YelNumbersCurr 3 6 2" xfId="48279"/>
    <cellStyle name="YelNumbersCurr 3 6 2 10" xfId="48280"/>
    <cellStyle name="YelNumbersCurr 3 6 2 11" xfId="48281"/>
    <cellStyle name="YelNumbersCurr 3 6 2 12" xfId="48282"/>
    <cellStyle name="YelNumbersCurr 3 6 2 13" xfId="48283"/>
    <cellStyle name="YelNumbersCurr 3 6 2 14" xfId="48284"/>
    <cellStyle name="YelNumbersCurr 3 6 2 15" xfId="48285"/>
    <cellStyle name="YelNumbersCurr 3 6 2 16" xfId="48286"/>
    <cellStyle name="YelNumbersCurr 3 6 2 17" xfId="48287"/>
    <cellStyle name="YelNumbersCurr 3 6 2 18" xfId="48288"/>
    <cellStyle name="YelNumbersCurr 3 6 2 2" xfId="48289"/>
    <cellStyle name="YelNumbersCurr 3 6 2 2 2" xfId="48290"/>
    <cellStyle name="YelNumbersCurr 3 6 2 2 2 2" xfId="48291"/>
    <cellStyle name="YelNumbersCurr 3 6 2 2 3" xfId="48292"/>
    <cellStyle name="YelNumbersCurr 3 6 2 2 4" xfId="48293"/>
    <cellStyle name="YelNumbersCurr 3 6 2 3" xfId="48294"/>
    <cellStyle name="YelNumbersCurr 3 6 2 3 2" xfId="48295"/>
    <cellStyle name="YelNumbersCurr 3 6 2 3 3" xfId="48296"/>
    <cellStyle name="YelNumbersCurr 3 6 2 4" xfId="48297"/>
    <cellStyle name="YelNumbersCurr 3 6 2 4 2" xfId="48298"/>
    <cellStyle name="YelNumbersCurr 3 6 2 5" xfId="48299"/>
    <cellStyle name="YelNumbersCurr 3 6 2 6" xfId="48300"/>
    <cellStyle name="YelNumbersCurr 3 6 2 7" xfId="48301"/>
    <cellStyle name="YelNumbersCurr 3 6 2 8" xfId="48302"/>
    <cellStyle name="YelNumbersCurr 3 6 2 9" xfId="48303"/>
    <cellStyle name="YelNumbersCurr 3 6 20" xfId="48304"/>
    <cellStyle name="YelNumbersCurr 3 6 3" xfId="48305"/>
    <cellStyle name="YelNumbersCurr 3 6 3 10" xfId="48306"/>
    <cellStyle name="YelNumbersCurr 3 6 3 11" xfId="48307"/>
    <cellStyle name="YelNumbersCurr 3 6 3 12" xfId="48308"/>
    <cellStyle name="YelNumbersCurr 3 6 3 13" xfId="48309"/>
    <cellStyle name="YelNumbersCurr 3 6 3 14" xfId="48310"/>
    <cellStyle name="YelNumbersCurr 3 6 3 15" xfId="48311"/>
    <cellStyle name="YelNumbersCurr 3 6 3 16" xfId="48312"/>
    <cellStyle name="YelNumbersCurr 3 6 3 17" xfId="48313"/>
    <cellStyle name="YelNumbersCurr 3 6 3 18" xfId="48314"/>
    <cellStyle name="YelNumbersCurr 3 6 3 2" xfId="48315"/>
    <cellStyle name="YelNumbersCurr 3 6 3 2 2" xfId="48316"/>
    <cellStyle name="YelNumbersCurr 3 6 3 2 2 2" xfId="48317"/>
    <cellStyle name="YelNumbersCurr 3 6 3 2 3" xfId="48318"/>
    <cellStyle name="YelNumbersCurr 3 6 3 2 4" xfId="48319"/>
    <cellStyle name="YelNumbersCurr 3 6 3 3" xfId="48320"/>
    <cellStyle name="YelNumbersCurr 3 6 3 3 2" xfId="48321"/>
    <cellStyle name="YelNumbersCurr 3 6 3 3 3" xfId="48322"/>
    <cellStyle name="YelNumbersCurr 3 6 3 4" xfId="48323"/>
    <cellStyle name="YelNumbersCurr 3 6 3 4 2" xfId="48324"/>
    <cellStyle name="YelNumbersCurr 3 6 3 5" xfId="48325"/>
    <cellStyle name="YelNumbersCurr 3 6 3 6" xfId="48326"/>
    <cellStyle name="YelNumbersCurr 3 6 3 7" xfId="48327"/>
    <cellStyle name="YelNumbersCurr 3 6 3 8" xfId="48328"/>
    <cellStyle name="YelNumbersCurr 3 6 3 9" xfId="48329"/>
    <cellStyle name="YelNumbersCurr 3 6 4" xfId="48330"/>
    <cellStyle name="YelNumbersCurr 3 6 4 2" xfId="48331"/>
    <cellStyle name="YelNumbersCurr 3 6 4 2 2" xfId="48332"/>
    <cellStyle name="YelNumbersCurr 3 6 4 2 3" xfId="48333"/>
    <cellStyle name="YelNumbersCurr 3 6 4 3" xfId="48334"/>
    <cellStyle name="YelNumbersCurr 3 6 4 3 2" xfId="48335"/>
    <cellStyle name="YelNumbersCurr 3 6 4 4" xfId="48336"/>
    <cellStyle name="YelNumbersCurr 3 6 4 5" xfId="48337"/>
    <cellStyle name="YelNumbersCurr 3 6 5" xfId="48338"/>
    <cellStyle name="YelNumbersCurr 3 6 5 2" xfId="48339"/>
    <cellStyle name="YelNumbersCurr 3 6 5 2 2" xfId="48340"/>
    <cellStyle name="YelNumbersCurr 3 6 5 3" xfId="48341"/>
    <cellStyle name="YelNumbersCurr 3 6 5 4" xfId="48342"/>
    <cellStyle name="YelNumbersCurr 3 6 6" xfId="48343"/>
    <cellStyle name="YelNumbersCurr 3 6 6 2" xfId="48344"/>
    <cellStyle name="YelNumbersCurr 3 6 7" xfId="48345"/>
    <cellStyle name="YelNumbersCurr 3 6 8" xfId="48346"/>
    <cellStyle name="YelNumbersCurr 3 6 9" xfId="48347"/>
    <cellStyle name="YelNumbersCurr 3 7" xfId="48348"/>
    <cellStyle name="YelNumbersCurr 3 7 10" xfId="48349"/>
    <cellStyle name="YelNumbersCurr 3 7 11" xfId="48350"/>
    <cellStyle name="YelNumbersCurr 3 7 12" xfId="48351"/>
    <cellStyle name="YelNumbersCurr 3 7 13" xfId="48352"/>
    <cellStyle name="YelNumbersCurr 3 7 14" xfId="48353"/>
    <cellStyle name="YelNumbersCurr 3 7 15" xfId="48354"/>
    <cellStyle name="YelNumbersCurr 3 7 16" xfId="48355"/>
    <cellStyle name="YelNumbersCurr 3 7 17" xfId="48356"/>
    <cellStyle name="YelNumbersCurr 3 7 2" xfId="48357"/>
    <cellStyle name="YelNumbersCurr 3 7 2 2" xfId="48358"/>
    <cellStyle name="YelNumbersCurr 3 7 2 2 2" xfId="48359"/>
    <cellStyle name="YelNumbersCurr 3 7 2 3" xfId="48360"/>
    <cellStyle name="YelNumbersCurr 3 7 2 4" xfId="48361"/>
    <cellStyle name="YelNumbersCurr 3 7 3" xfId="48362"/>
    <cellStyle name="YelNumbersCurr 3 7 3 2" xfId="48363"/>
    <cellStyle name="YelNumbersCurr 3 7 4" xfId="48364"/>
    <cellStyle name="YelNumbersCurr 3 7 5" xfId="48365"/>
    <cellStyle name="YelNumbersCurr 3 7 6" xfId="48366"/>
    <cellStyle name="YelNumbersCurr 3 7 7" xfId="48367"/>
    <cellStyle name="YelNumbersCurr 3 7 8" xfId="48368"/>
    <cellStyle name="YelNumbersCurr 3 7 9" xfId="48369"/>
    <cellStyle name="YelNumbersCurr 3 8" xfId="48370"/>
    <cellStyle name="YelNumbersCurr 3 8 2" xfId="48371"/>
    <cellStyle name="YelNumbersCurr 3 8 2 2" xfId="48372"/>
    <cellStyle name="YelNumbersCurr 3 8 2 2 2" xfId="48373"/>
    <cellStyle name="YelNumbersCurr 3 8 2 3" xfId="48374"/>
    <cellStyle name="YelNumbersCurr 3 8 2 4" xfId="48375"/>
    <cellStyle name="YelNumbersCurr 3 8 3" xfId="48376"/>
    <cellStyle name="YelNumbersCurr 3 8 3 2" xfId="48377"/>
    <cellStyle name="YelNumbersCurr 3 8 3 3" xfId="48378"/>
    <cellStyle name="YelNumbersCurr 3 8 4" xfId="48379"/>
    <cellStyle name="YelNumbersCurr 3 8 4 2" xfId="48380"/>
    <cellStyle name="YelNumbersCurr 3 8 5" xfId="48381"/>
    <cellStyle name="YelNumbersCurr 3 8 6" xfId="48382"/>
    <cellStyle name="YelNumbersCurr 3 9" xfId="48383"/>
    <cellStyle name="YelNumbersCurr 3 9 2" xfId="48384"/>
    <cellStyle name="YelNumbersCurr 3 9 2 2" xfId="48385"/>
    <cellStyle name="YelNumbersCurr 3 9 3" xfId="48386"/>
    <cellStyle name="YelNumbersCurr 3 9 4" xfId="48387"/>
    <cellStyle name="YelNumbersCurr 4" xfId="48388"/>
    <cellStyle name="YelNumbersCurr 4 10" xfId="48389"/>
    <cellStyle name="YelNumbersCurr 4 11" xfId="48390"/>
    <cellStyle name="YelNumbersCurr 4 12" xfId="48391"/>
    <cellStyle name="YelNumbersCurr 4 13" xfId="48392"/>
    <cellStyle name="YelNumbersCurr 4 14" xfId="48393"/>
    <cellStyle name="YelNumbersCurr 4 15" xfId="48394"/>
    <cellStyle name="YelNumbersCurr 4 16" xfId="48395"/>
    <cellStyle name="YelNumbersCurr 4 17" xfId="48396"/>
    <cellStyle name="YelNumbersCurr 4 18" xfId="48397"/>
    <cellStyle name="YelNumbersCurr 4 19" xfId="48398"/>
    <cellStyle name="YelNumbersCurr 4 2" xfId="48399"/>
    <cellStyle name="YelNumbersCurr 4 2 10" xfId="48400"/>
    <cellStyle name="YelNumbersCurr 4 2 11" xfId="48401"/>
    <cellStyle name="YelNumbersCurr 4 2 12" xfId="48402"/>
    <cellStyle name="YelNumbersCurr 4 2 13" xfId="48403"/>
    <cellStyle name="YelNumbersCurr 4 2 14" xfId="48404"/>
    <cellStyle name="YelNumbersCurr 4 2 15" xfId="48405"/>
    <cellStyle name="YelNumbersCurr 4 2 16" xfId="48406"/>
    <cellStyle name="YelNumbersCurr 4 2 17" xfId="48407"/>
    <cellStyle name="YelNumbersCurr 4 2 18" xfId="48408"/>
    <cellStyle name="YelNumbersCurr 4 2 19" xfId="48409"/>
    <cellStyle name="YelNumbersCurr 4 2 2" xfId="48410"/>
    <cellStyle name="YelNumbersCurr 4 2 2 10" xfId="48411"/>
    <cellStyle name="YelNumbersCurr 4 2 2 11" xfId="48412"/>
    <cellStyle name="YelNumbersCurr 4 2 2 12" xfId="48413"/>
    <cellStyle name="YelNumbersCurr 4 2 2 13" xfId="48414"/>
    <cellStyle name="YelNumbersCurr 4 2 2 14" xfId="48415"/>
    <cellStyle name="YelNumbersCurr 4 2 2 15" xfId="48416"/>
    <cellStyle name="YelNumbersCurr 4 2 2 16" xfId="48417"/>
    <cellStyle name="YelNumbersCurr 4 2 2 17" xfId="48418"/>
    <cellStyle name="YelNumbersCurr 4 2 2 18" xfId="48419"/>
    <cellStyle name="YelNumbersCurr 4 2 2 2" xfId="48420"/>
    <cellStyle name="YelNumbersCurr 4 2 2 2 2" xfId="48421"/>
    <cellStyle name="YelNumbersCurr 4 2 2 2 2 2" xfId="48422"/>
    <cellStyle name="YelNumbersCurr 4 2 2 2 3" xfId="48423"/>
    <cellStyle name="YelNumbersCurr 4 2 2 2 4" xfId="48424"/>
    <cellStyle name="YelNumbersCurr 4 2 2 3" xfId="48425"/>
    <cellStyle name="YelNumbersCurr 4 2 2 3 2" xfId="48426"/>
    <cellStyle name="YelNumbersCurr 4 2 2 3 3" xfId="48427"/>
    <cellStyle name="YelNumbersCurr 4 2 2 4" xfId="48428"/>
    <cellStyle name="YelNumbersCurr 4 2 2 4 2" xfId="48429"/>
    <cellStyle name="YelNumbersCurr 4 2 2 5" xfId="48430"/>
    <cellStyle name="YelNumbersCurr 4 2 2 6" xfId="48431"/>
    <cellStyle name="YelNumbersCurr 4 2 2 7" xfId="48432"/>
    <cellStyle name="YelNumbersCurr 4 2 2 8" xfId="48433"/>
    <cellStyle name="YelNumbersCurr 4 2 2 9" xfId="48434"/>
    <cellStyle name="YelNumbersCurr 4 2 3" xfId="48435"/>
    <cellStyle name="YelNumbersCurr 4 2 3 10" xfId="48436"/>
    <cellStyle name="YelNumbersCurr 4 2 3 11" xfId="48437"/>
    <cellStyle name="YelNumbersCurr 4 2 3 12" xfId="48438"/>
    <cellStyle name="YelNumbersCurr 4 2 3 13" xfId="48439"/>
    <cellStyle name="YelNumbersCurr 4 2 3 14" xfId="48440"/>
    <cellStyle name="YelNumbersCurr 4 2 3 15" xfId="48441"/>
    <cellStyle name="YelNumbersCurr 4 2 3 16" xfId="48442"/>
    <cellStyle name="YelNumbersCurr 4 2 3 17" xfId="48443"/>
    <cellStyle name="YelNumbersCurr 4 2 3 18" xfId="48444"/>
    <cellStyle name="YelNumbersCurr 4 2 3 2" xfId="48445"/>
    <cellStyle name="YelNumbersCurr 4 2 3 2 2" xfId="48446"/>
    <cellStyle name="YelNumbersCurr 4 2 3 2 2 2" xfId="48447"/>
    <cellStyle name="YelNumbersCurr 4 2 3 2 3" xfId="48448"/>
    <cellStyle name="YelNumbersCurr 4 2 3 2 4" xfId="48449"/>
    <cellStyle name="YelNumbersCurr 4 2 3 3" xfId="48450"/>
    <cellStyle name="YelNumbersCurr 4 2 3 3 2" xfId="48451"/>
    <cellStyle name="YelNumbersCurr 4 2 3 3 3" xfId="48452"/>
    <cellStyle name="YelNumbersCurr 4 2 3 4" xfId="48453"/>
    <cellStyle name="YelNumbersCurr 4 2 3 4 2" xfId="48454"/>
    <cellStyle name="YelNumbersCurr 4 2 3 5" xfId="48455"/>
    <cellStyle name="YelNumbersCurr 4 2 3 6" xfId="48456"/>
    <cellStyle name="YelNumbersCurr 4 2 3 7" xfId="48457"/>
    <cellStyle name="YelNumbersCurr 4 2 3 8" xfId="48458"/>
    <cellStyle name="YelNumbersCurr 4 2 3 9" xfId="48459"/>
    <cellStyle name="YelNumbersCurr 4 2 4" xfId="48460"/>
    <cellStyle name="YelNumbersCurr 4 2 4 2" xfId="48461"/>
    <cellStyle name="YelNumbersCurr 4 2 4 2 2" xfId="48462"/>
    <cellStyle name="YelNumbersCurr 4 2 4 2 3" xfId="48463"/>
    <cellStyle name="YelNumbersCurr 4 2 4 3" xfId="48464"/>
    <cellStyle name="YelNumbersCurr 4 2 4 3 2" xfId="48465"/>
    <cellStyle name="YelNumbersCurr 4 2 4 4" xfId="48466"/>
    <cellStyle name="YelNumbersCurr 4 2 4 5" xfId="48467"/>
    <cellStyle name="YelNumbersCurr 4 2 5" xfId="48468"/>
    <cellStyle name="YelNumbersCurr 4 2 5 2" xfId="48469"/>
    <cellStyle name="YelNumbersCurr 4 2 5 2 2" xfId="48470"/>
    <cellStyle name="YelNumbersCurr 4 2 5 3" xfId="48471"/>
    <cellStyle name="YelNumbersCurr 4 2 5 4" xfId="48472"/>
    <cellStyle name="YelNumbersCurr 4 2 6" xfId="48473"/>
    <cellStyle name="YelNumbersCurr 4 2 6 2" xfId="48474"/>
    <cellStyle name="YelNumbersCurr 4 2 7" xfId="48475"/>
    <cellStyle name="YelNumbersCurr 4 2 8" xfId="48476"/>
    <cellStyle name="YelNumbersCurr 4 2 9" xfId="48477"/>
    <cellStyle name="YelNumbersCurr 4 20" xfId="48478"/>
    <cellStyle name="YelNumbersCurr 4 21" xfId="48479"/>
    <cellStyle name="YelNumbersCurr 4 22" xfId="48480"/>
    <cellStyle name="YelNumbersCurr 4 23" xfId="48481"/>
    <cellStyle name="YelNumbersCurr 4 24" xfId="48482"/>
    <cellStyle name="YelNumbersCurr 4 25" xfId="48483"/>
    <cellStyle name="YelNumbersCurr 4 3" xfId="48484"/>
    <cellStyle name="YelNumbersCurr 4 3 10" xfId="48485"/>
    <cellStyle name="YelNumbersCurr 4 3 11" xfId="48486"/>
    <cellStyle name="YelNumbersCurr 4 3 12" xfId="48487"/>
    <cellStyle name="YelNumbersCurr 4 3 13" xfId="48488"/>
    <cellStyle name="YelNumbersCurr 4 3 14" xfId="48489"/>
    <cellStyle name="YelNumbersCurr 4 3 15" xfId="48490"/>
    <cellStyle name="YelNumbersCurr 4 3 16" xfId="48491"/>
    <cellStyle name="YelNumbersCurr 4 3 17" xfId="48492"/>
    <cellStyle name="YelNumbersCurr 4 3 18" xfId="48493"/>
    <cellStyle name="YelNumbersCurr 4 3 19" xfId="48494"/>
    <cellStyle name="YelNumbersCurr 4 3 2" xfId="48495"/>
    <cellStyle name="YelNumbersCurr 4 3 2 10" xfId="48496"/>
    <cellStyle name="YelNumbersCurr 4 3 2 11" xfId="48497"/>
    <cellStyle name="YelNumbersCurr 4 3 2 12" xfId="48498"/>
    <cellStyle name="YelNumbersCurr 4 3 2 13" xfId="48499"/>
    <cellStyle name="YelNumbersCurr 4 3 2 14" xfId="48500"/>
    <cellStyle name="YelNumbersCurr 4 3 2 15" xfId="48501"/>
    <cellStyle name="YelNumbersCurr 4 3 2 16" xfId="48502"/>
    <cellStyle name="YelNumbersCurr 4 3 2 17" xfId="48503"/>
    <cellStyle name="YelNumbersCurr 4 3 2 18" xfId="48504"/>
    <cellStyle name="YelNumbersCurr 4 3 2 2" xfId="48505"/>
    <cellStyle name="YelNumbersCurr 4 3 2 2 2" xfId="48506"/>
    <cellStyle name="YelNumbersCurr 4 3 2 2 2 2" xfId="48507"/>
    <cellStyle name="YelNumbersCurr 4 3 2 2 3" xfId="48508"/>
    <cellStyle name="YelNumbersCurr 4 3 2 2 4" xfId="48509"/>
    <cellStyle name="YelNumbersCurr 4 3 2 3" xfId="48510"/>
    <cellStyle name="YelNumbersCurr 4 3 2 3 2" xfId="48511"/>
    <cellStyle name="YelNumbersCurr 4 3 2 3 3" xfId="48512"/>
    <cellStyle name="YelNumbersCurr 4 3 2 4" xfId="48513"/>
    <cellStyle name="YelNumbersCurr 4 3 2 4 2" xfId="48514"/>
    <cellStyle name="YelNumbersCurr 4 3 2 5" xfId="48515"/>
    <cellStyle name="YelNumbersCurr 4 3 2 6" xfId="48516"/>
    <cellStyle name="YelNumbersCurr 4 3 2 7" xfId="48517"/>
    <cellStyle name="YelNumbersCurr 4 3 2 8" xfId="48518"/>
    <cellStyle name="YelNumbersCurr 4 3 2 9" xfId="48519"/>
    <cellStyle name="YelNumbersCurr 4 3 20" xfId="48520"/>
    <cellStyle name="YelNumbersCurr 4 3 21" xfId="48521"/>
    <cellStyle name="YelNumbersCurr 4 3 3" xfId="48522"/>
    <cellStyle name="YelNumbersCurr 4 3 3 10" xfId="48523"/>
    <cellStyle name="YelNumbersCurr 4 3 3 11" xfId="48524"/>
    <cellStyle name="YelNumbersCurr 4 3 3 12" xfId="48525"/>
    <cellStyle name="YelNumbersCurr 4 3 3 13" xfId="48526"/>
    <cellStyle name="YelNumbersCurr 4 3 3 14" xfId="48527"/>
    <cellStyle name="YelNumbersCurr 4 3 3 15" xfId="48528"/>
    <cellStyle name="YelNumbersCurr 4 3 3 16" xfId="48529"/>
    <cellStyle name="YelNumbersCurr 4 3 3 17" xfId="48530"/>
    <cellStyle name="YelNumbersCurr 4 3 3 18" xfId="48531"/>
    <cellStyle name="YelNumbersCurr 4 3 3 2" xfId="48532"/>
    <cellStyle name="YelNumbersCurr 4 3 3 2 2" xfId="48533"/>
    <cellStyle name="YelNumbersCurr 4 3 3 2 2 2" xfId="48534"/>
    <cellStyle name="YelNumbersCurr 4 3 3 2 3" xfId="48535"/>
    <cellStyle name="YelNumbersCurr 4 3 3 2 4" xfId="48536"/>
    <cellStyle name="YelNumbersCurr 4 3 3 3" xfId="48537"/>
    <cellStyle name="YelNumbersCurr 4 3 3 3 2" xfId="48538"/>
    <cellStyle name="YelNumbersCurr 4 3 3 3 3" xfId="48539"/>
    <cellStyle name="YelNumbersCurr 4 3 3 4" xfId="48540"/>
    <cellStyle name="YelNumbersCurr 4 3 3 4 2" xfId="48541"/>
    <cellStyle name="YelNumbersCurr 4 3 3 5" xfId="48542"/>
    <cellStyle name="YelNumbersCurr 4 3 3 6" xfId="48543"/>
    <cellStyle name="YelNumbersCurr 4 3 3 7" xfId="48544"/>
    <cellStyle name="YelNumbersCurr 4 3 3 8" xfId="48545"/>
    <cellStyle name="YelNumbersCurr 4 3 3 9" xfId="48546"/>
    <cellStyle name="YelNumbersCurr 4 3 4" xfId="48547"/>
    <cellStyle name="YelNumbersCurr 4 3 4 2" xfId="48548"/>
    <cellStyle name="YelNumbersCurr 4 3 4 2 2" xfId="48549"/>
    <cellStyle name="YelNumbersCurr 4 3 4 2 3" xfId="48550"/>
    <cellStyle name="YelNumbersCurr 4 3 4 3" xfId="48551"/>
    <cellStyle name="YelNumbersCurr 4 3 4 3 2" xfId="48552"/>
    <cellStyle name="YelNumbersCurr 4 3 4 4" xfId="48553"/>
    <cellStyle name="YelNumbersCurr 4 3 4 5" xfId="48554"/>
    <cellStyle name="YelNumbersCurr 4 3 5" xfId="48555"/>
    <cellStyle name="YelNumbersCurr 4 3 5 2" xfId="48556"/>
    <cellStyle name="YelNumbersCurr 4 3 5 2 2" xfId="48557"/>
    <cellStyle name="YelNumbersCurr 4 3 5 3" xfId="48558"/>
    <cellStyle name="YelNumbersCurr 4 3 5 4" xfId="48559"/>
    <cellStyle name="YelNumbersCurr 4 3 6" xfId="48560"/>
    <cellStyle name="YelNumbersCurr 4 3 6 2" xfId="48561"/>
    <cellStyle name="YelNumbersCurr 4 3 7" xfId="48562"/>
    <cellStyle name="YelNumbersCurr 4 3 8" xfId="48563"/>
    <cellStyle name="YelNumbersCurr 4 3 9" xfId="48564"/>
    <cellStyle name="YelNumbersCurr 4 4" xfId="48565"/>
    <cellStyle name="YelNumbersCurr 4 4 10" xfId="48566"/>
    <cellStyle name="YelNumbersCurr 4 4 11" xfId="48567"/>
    <cellStyle name="YelNumbersCurr 4 4 12" xfId="48568"/>
    <cellStyle name="YelNumbersCurr 4 4 13" xfId="48569"/>
    <cellStyle name="YelNumbersCurr 4 4 14" xfId="48570"/>
    <cellStyle name="YelNumbersCurr 4 4 15" xfId="48571"/>
    <cellStyle name="YelNumbersCurr 4 4 16" xfId="48572"/>
    <cellStyle name="YelNumbersCurr 4 4 17" xfId="48573"/>
    <cellStyle name="YelNumbersCurr 4 4 18" xfId="48574"/>
    <cellStyle name="YelNumbersCurr 4 4 19" xfId="48575"/>
    <cellStyle name="YelNumbersCurr 4 4 2" xfId="48576"/>
    <cellStyle name="YelNumbersCurr 4 4 2 10" xfId="48577"/>
    <cellStyle name="YelNumbersCurr 4 4 2 11" xfId="48578"/>
    <cellStyle name="YelNumbersCurr 4 4 2 12" xfId="48579"/>
    <cellStyle name="YelNumbersCurr 4 4 2 13" xfId="48580"/>
    <cellStyle name="YelNumbersCurr 4 4 2 14" xfId="48581"/>
    <cellStyle name="YelNumbersCurr 4 4 2 15" xfId="48582"/>
    <cellStyle name="YelNumbersCurr 4 4 2 16" xfId="48583"/>
    <cellStyle name="YelNumbersCurr 4 4 2 17" xfId="48584"/>
    <cellStyle name="YelNumbersCurr 4 4 2 18" xfId="48585"/>
    <cellStyle name="YelNumbersCurr 4 4 2 2" xfId="48586"/>
    <cellStyle name="YelNumbersCurr 4 4 2 2 2" xfId="48587"/>
    <cellStyle name="YelNumbersCurr 4 4 2 2 2 2" xfId="48588"/>
    <cellStyle name="YelNumbersCurr 4 4 2 2 3" xfId="48589"/>
    <cellStyle name="YelNumbersCurr 4 4 2 2 4" xfId="48590"/>
    <cellStyle name="YelNumbersCurr 4 4 2 3" xfId="48591"/>
    <cellStyle name="YelNumbersCurr 4 4 2 3 2" xfId="48592"/>
    <cellStyle name="YelNumbersCurr 4 4 2 3 3" xfId="48593"/>
    <cellStyle name="YelNumbersCurr 4 4 2 4" xfId="48594"/>
    <cellStyle name="YelNumbersCurr 4 4 2 4 2" xfId="48595"/>
    <cellStyle name="YelNumbersCurr 4 4 2 5" xfId="48596"/>
    <cellStyle name="YelNumbersCurr 4 4 2 6" xfId="48597"/>
    <cellStyle name="YelNumbersCurr 4 4 2 7" xfId="48598"/>
    <cellStyle name="YelNumbersCurr 4 4 2 8" xfId="48599"/>
    <cellStyle name="YelNumbersCurr 4 4 2 9" xfId="48600"/>
    <cellStyle name="YelNumbersCurr 4 4 20" xfId="48601"/>
    <cellStyle name="YelNumbersCurr 4 4 21" xfId="48602"/>
    <cellStyle name="YelNumbersCurr 4 4 3" xfId="48603"/>
    <cellStyle name="YelNumbersCurr 4 4 3 10" xfId="48604"/>
    <cellStyle name="YelNumbersCurr 4 4 3 11" xfId="48605"/>
    <cellStyle name="YelNumbersCurr 4 4 3 12" xfId="48606"/>
    <cellStyle name="YelNumbersCurr 4 4 3 13" xfId="48607"/>
    <cellStyle name="YelNumbersCurr 4 4 3 14" xfId="48608"/>
    <cellStyle name="YelNumbersCurr 4 4 3 15" xfId="48609"/>
    <cellStyle name="YelNumbersCurr 4 4 3 16" xfId="48610"/>
    <cellStyle name="YelNumbersCurr 4 4 3 17" xfId="48611"/>
    <cellStyle name="YelNumbersCurr 4 4 3 18" xfId="48612"/>
    <cellStyle name="YelNumbersCurr 4 4 3 2" xfId="48613"/>
    <cellStyle name="YelNumbersCurr 4 4 3 2 2" xfId="48614"/>
    <cellStyle name="YelNumbersCurr 4 4 3 2 2 2" xfId="48615"/>
    <cellStyle name="YelNumbersCurr 4 4 3 2 3" xfId="48616"/>
    <cellStyle name="YelNumbersCurr 4 4 3 2 4" xfId="48617"/>
    <cellStyle name="YelNumbersCurr 4 4 3 3" xfId="48618"/>
    <cellStyle name="YelNumbersCurr 4 4 3 3 2" xfId="48619"/>
    <cellStyle name="YelNumbersCurr 4 4 3 3 3" xfId="48620"/>
    <cellStyle name="YelNumbersCurr 4 4 3 4" xfId="48621"/>
    <cellStyle name="YelNumbersCurr 4 4 3 4 2" xfId="48622"/>
    <cellStyle name="YelNumbersCurr 4 4 3 5" xfId="48623"/>
    <cellStyle name="YelNumbersCurr 4 4 3 6" xfId="48624"/>
    <cellStyle name="YelNumbersCurr 4 4 3 7" xfId="48625"/>
    <cellStyle name="YelNumbersCurr 4 4 3 8" xfId="48626"/>
    <cellStyle name="YelNumbersCurr 4 4 3 9" xfId="48627"/>
    <cellStyle name="YelNumbersCurr 4 4 4" xfId="48628"/>
    <cellStyle name="YelNumbersCurr 4 4 4 2" xfId="48629"/>
    <cellStyle name="YelNumbersCurr 4 4 4 2 2" xfId="48630"/>
    <cellStyle name="YelNumbersCurr 4 4 4 2 3" xfId="48631"/>
    <cellStyle name="YelNumbersCurr 4 4 4 3" xfId="48632"/>
    <cellStyle name="YelNumbersCurr 4 4 4 3 2" xfId="48633"/>
    <cellStyle name="YelNumbersCurr 4 4 4 4" xfId="48634"/>
    <cellStyle name="YelNumbersCurr 4 4 4 5" xfId="48635"/>
    <cellStyle name="YelNumbersCurr 4 4 5" xfId="48636"/>
    <cellStyle name="YelNumbersCurr 4 4 5 2" xfId="48637"/>
    <cellStyle name="YelNumbersCurr 4 4 5 2 2" xfId="48638"/>
    <cellStyle name="YelNumbersCurr 4 4 5 3" xfId="48639"/>
    <cellStyle name="YelNumbersCurr 4 4 5 4" xfId="48640"/>
    <cellStyle name="YelNumbersCurr 4 4 6" xfId="48641"/>
    <cellStyle name="YelNumbersCurr 4 4 6 2" xfId="48642"/>
    <cellStyle name="YelNumbersCurr 4 4 7" xfId="48643"/>
    <cellStyle name="YelNumbersCurr 4 4 8" xfId="48644"/>
    <cellStyle name="YelNumbersCurr 4 4 9" xfId="48645"/>
    <cellStyle name="YelNumbersCurr 4 5" xfId="48646"/>
    <cellStyle name="YelNumbersCurr 4 5 10" xfId="48647"/>
    <cellStyle name="YelNumbersCurr 4 5 11" xfId="48648"/>
    <cellStyle name="YelNumbersCurr 4 5 12" xfId="48649"/>
    <cellStyle name="YelNumbersCurr 4 5 13" xfId="48650"/>
    <cellStyle name="YelNumbersCurr 4 5 14" xfId="48651"/>
    <cellStyle name="YelNumbersCurr 4 5 15" xfId="48652"/>
    <cellStyle name="YelNumbersCurr 4 5 16" xfId="48653"/>
    <cellStyle name="YelNumbersCurr 4 5 17" xfId="48654"/>
    <cellStyle name="YelNumbersCurr 4 5 18" xfId="48655"/>
    <cellStyle name="YelNumbersCurr 4 5 19" xfId="48656"/>
    <cellStyle name="YelNumbersCurr 4 5 2" xfId="48657"/>
    <cellStyle name="YelNumbersCurr 4 5 2 10" xfId="48658"/>
    <cellStyle name="YelNumbersCurr 4 5 2 11" xfId="48659"/>
    <cellStyle name="YelNumbersCurr 4 5 2 12" xfId="48660"/>
    <cellStyle name="YelNumbersCurr 4 5 2 13" xfId="48661"/>
    <cellStyle name="YelNumbersCurr 4 5 2 14" xfId="48662"/>
    <cellStyle name="YelNumbersCurr 4 5 2 15" xfId="48663"/>
    <cellStyle name="YelNumbersCurr 4 5 2 16" xfId="48664"/>
    <cellStyle name="YelNumbersCurr 4 5 2 17" xfId="48665"/>
    <cellStyle name="YelNumbersCurr 4 5 2 18" xfId="48666"/>
    <cellStyle name="YelNumbersCurr 4 5 2 2" xfId="48667"/>
    <cellStyle name="YelNumbersCurr 4 5 2 2 2" xfId="48668"/>
    <cellStyle name="YelNumbersCurr 4 5 2 2 2 2" xfId="48669"/>
    <cellStyle name="YelNumbersCurr 4 5 2 2 3" xfId="48670"/>
    <cellStyle name="YelNumbersCurr 4 5 2 2 4" xfId="48671"/>
    <cellStyle name="YelNumbersCurr 4 5 2 3" xfId="48672"/>
    <cellStyle name="YelNumbersCurr 4 5 2 3 2" xfId="48673"/>
    <cellStyle name="YelNumbersCurr 4 5 2 3 3" xfId="48674"/>
    <cellStyle name="YelNumbersCurr 4 5 2 4" xfId="48675"/>
    <cellStyle name="YelNumbersCurr 4 5 2 4 2" xfId="48676"/>
    <cellStyle name="YelNumbersCurr 4 5 2 5" xfId="48677"/>
    <cellStyle name="YelNumbersCurr 4 5 2 6" xfId="48678"/>
    <cellStyle name="YelNumbersCurr 4 5 2 7" xfId="48679"/>
    <cellStyle name="YelNumbersCurr 4 5 2 8" xfId="48680"/>
    <cellStyle name="YelNumbersCurr 4 5 2 9" xfId="48681"/>
    <cellStyle name="YelNumbersCurr 4 5 3" xfId="48682"/>
    <cellStyle name="YelNumbersCurr 4 5 3 10" xfId="48683"/>
    <cellStyle name="YelNumbersCurr 4 5 3 11" xfId="48684"/>
    <cellStyle name="YelNumbersCurr 4 5 3 12" xfId="48685"/>
    <cellStyle name="YelNumbersCurr 4 5 3 13" xfId="48686"/>
    <cellStyle name="YelNumbersCurr 4 5 3 14" xfId="48687"/>
    <cellStyle name="YelNumbersCurr 4 5 3 15" xfId="48688"/>
    <cellStyle name="YelNumbersCurr 4 5 3 16" xfId="48689"/>
    <cellStyle name="YelNumbersCurr 4 5 3 17" xfId="48690"/>
    <cellStyle name="YelNumbersCurr 4 5 3 18" xfId="48691"/>
    <cellStyle name="YelNumbersCurr 4 5 3 2" xfId="48692"/>
    <cellStyle name="YelNumbersCurr 4 5 3 2 2" xfId="48693"/>
    <cellStyle name="YelNumbersCurr 4 5 3 2 2 2" xfId="48694"/>
    <cellStyle name="YelNumbersCurr 4 5 3 2 3" xfId="48695"/>
    <cellStyle name="YelNumbersCurr 4 5 3 2 4" xfId="48696"/>
    <cellStyle name="YelNumbersCurr 4 5 3 3" xfId="48697"/>
    <cellStyle name="YelNumbersCurr 4 5 3 3 2" xfId="48698"/>
    <cellStyle name="YelNumbersCurr 4 5 3 3 3" xfId="48699"/>
    <cellStyle name="YelNumbersCurr 4 5 3 4" xfId="48700"/>
    <cellStyle name="YelNumbersCurr 4 5 3 4 2" xfId="48701"/>
    <cellStyle name="YelNumbersCurr 4 5 3 5" xfId="48702"/>
    <cellStyle name="YelNumbersCurr 4 5 3 6" xfId="48703"/>
    <cellStyle name="YelNumbersCurr 4 5 3 7" xfId="48704"/>
    <cellStyle name="YelNumbersCurr 4 5 3 8" xfId="48705"/>
    <cellStyle name="YelNumbersCurr 4 5 3 9" xfId="48706"/>
    <cellStyle name="YelNumbersCurr 4 5 4" xfId="48707"/>
    <cellStyle name="YelNumbersCurr 4 5 4 2" xfId="48708"/>
    <cellStyle name="YelNumbersCurr 4 5 4 2 2" xfId="48709"/>
    <cellStyle name="YelNumbersCurr 4 5 4 2 3" xfId="48710"/>
    <cellStyle name="YelNumbersCurr 4 5 4 3" xfId="48711"/>
    <cellStyle name="YelNumbersCurr 4 5 4 3 2" xfId="48712"/>
    <cellStyle name="YelNumbersCurr 4 5 4 4" xfId="48713"/>
    <cellStyle name="YelNumbersCurr 4 5 4 5" xfId="48714"/>
    <cellStyle name="YelNumbersCurr 4 5 5" xfId="48715"/>
    <cellStyle name="YelNumbersCurr 4 5 5 2" xfId="48716"/>
    <cellStyle name="YelNumbersCurr 4 5 5 2 2" xfId="48717"/>
    <cellStyle name="YelNumbersCurr 4 5 5 3" xfId="48718"/>
    <cellStyle name="YelNumbersCurr 4 5 5 4" xfId="48719"/>
    <cellStyle name="YelNumbersCurr 4 5 6" xfId="48720"/>
    <cellStyle name="YelNumbersCurr 4 5 6 2" xfId="48721"/>
    <cellStyle name="YelNumbersCurr 4 5 7" xfId="48722"/>
    <cellStyle name="YelNumbersCurr 4 5 8" xfId="48723"/>
    <cellStyle name="YelNumbersCurr 4 5 9" xfId="48724"/>
    <cellStyle name="YelNumbersCurr 4 6" xfId="48725"/>
    <cellStyle name="YelNumbersCurr 4 6 10" xfId="48726"/>
    <cellStyle name="YelNumbersCurr 4 6 11" xfId="48727"/>
    <cellStyle name="YelNumbersCurr 4 6 12" xfId="48728"/>
    <cellStyle name="YelNumbersCurr 4 6 13" xfId="48729"/>
    <cellStyle name="YelNumbersCurr 4 6 14" xfId="48730"/>
    <cellStyle name="YelNumbersCurr 4 6 15" xfId="48731"/>
    <cellStyle name="YelNumbersCurr 4 6 16" xfId="48732"/>
    <cellStyle name="YelNumbersCurr 4 6 17" xfId="48733"/>
    <cellStyle name="YelNumbersCurr 4 6 18" xfId="48734"/>
    <cellStyle name="YelNumbersCurr 4 6 19" xfId="48735"/>
    <cellStyle name="YelNumbersCurr 4 6 2" xfId="48736"/>
    <cellStyle name="YelNumbersCurr 4 6 2 10" xfId="48737"/>
    <cellStyle name="YelNumbersCurr 4 6 2 11" xfId="48738"/>
    <cellStyle name="YelNumbersCurr 4 6 2 12" xfId="48739"/>
    <cellStyle name="YelNumbersCurr 4 6 2 13" xfId="48740"/>
    <cellStyle name="YelNumbersCurr 4 6 2 14" xfId="48741"/>
    <cellStyle name="YelNumbersCurr 4 6 2 15" xfId="48742"/>
    <cellStyle name="YelNumbersCurr 4 6 2 16" xfId="48743"/>
    <cellStyle name="YelNumbersCurr 4 6 2 17" xfId="48744"/>
    <cellStyle name="YelNumbersCurr 4 6 2 18" xfId="48745"/>
    <cellStyle name="YelNumbersCurr 4 6 2 2" xfId="48746"/>
    <cellStyle name="YelNumbersCurr 4 6 2 2 2" xfId="48747"/>
    <cellStyle name="YelNumbersCurr 4 6 2 2 2 2" xfId="48748"/>
    <cellStyle name="YelNumbersCurr 4 6 2 2 3" xfId="48749"/>
    <cellStyle name="YelNumbersCurr 4 6 2 2 4" xfId="48750"/>
    <cellStyle name="YelNumbersCurr 4 6 2 3" xfId="48751"/>
    <cellStyle name="YelNumbersCurr 4 6 2 3 2" xfId="48752"/>
    <cellStyle name="YelNumbersCurr 4 6 2 3 3" xfId="48753"/>
    <cellStyle name="YelNumbersCurr 4 6 2 4" xfId="48754"/>
    <cellStyle name="YelNumbersCurr 4 6 2 4 2" xfId="48755"/>
    <cellStyle name="YelNumbersCurr 4 6 2 5" xfId="48756"/>
    <cellStyle name="YelNumbersCurr 4 6 2 6" xfId="48757"/>
    <cellStyle name="YelNumbersCurr 4 6 2 7" xfId="48758"/>
    <cellStyle name="YelNumbersCurr 4 6 2 8" xfId="48759"/>
    <cellStyle name="YelNumbersCurr 4 6 2 9" xfId="48760"/>
    <cellStyle name="YelNumbersCurr 4 6 20" xfId="48761"/>
    <cellStyle name="YelNumbersCurr 4 6 3" xfId="48762"/>
    <cellStyle name="YelNumbersCurr 4 6 3 10" xfId="48763"/>
    <cellStyle name="YelNumbersCurr 4 6 3 11" xfId="48764"/>
    <cellStyle name="YelNumbersCurr 4 6 3 12" xfId="48765"/>
    <cellStyle name="YelNumbersCurr 4 6 3 13" xfId="48766"/>
    <cellStyle name="YelNumbersCurr 4 6 3 14" xfId="48767"/>
    <cellStyle name="YelNumbersCurr 4 6 3 15" xfId="48768"/>
    <cellStyle name="YelNumbersCurr 4 6 3 16" xfId="48769"/>
    <cellStyle name="YelNumbersCurr 4 6 3 17" xfId="48770"/>
    <cellStyle name="YelNumbersCurr 4 6 3 18" xfId="48771"/>
    <cellStyle name="YelNumbersCurr 4 6 3 2" xfId="48772"/>
    <cellStyle name="YelNumbersCurr 4 6 3 2 2" xfId="48773"/>
    <cellStyle name="YelNumbersCurr 4 6 3 2 2 2" xfId="48774"/>
    <cellStyle name="YelNumbersCurr 4 6 3 2 3" xfId="48775"/>
    <cellStyle name="YelNumbersCurr 4 6 3 2 4" xfId="48776"/>
    <cellStyle name="YelNumbersCurr 4 6 3 3" xfId="48777"/>
    <cellStyle name="YelNumbersCurr 4 6 3 3 2" xfId="48778"/>
    <cellStyle name="YelNumbersCurr 4 6 3 3 3" xfId="48779"/>
    <cellStyle name="YelNumbersCurr 4 6 3 4" xfId="48780"/>
    <cellStyle name="YelNumbersCurr 4 6 3 4 2" xfId="48781"/>
    <cellStyle name="YelNumbersCurr 4 6 3 5" xfId="48782"/>
    <cellStyle name="YelNumbersCurr 4 6 3 6" xfId="48783"/>
    <cellStyle name="YelNumbersCurr 4 6 3 7" xfId="48784"/>
    <cellStyle name="YelNumbersCurr 4 6 3 8" xfId="48785"/>
    <cellStyle name="YelNumbersCurr 4 6 3 9" xfId="48786"/>
    <cellStyle name="YelNumbersCurr 4 6 4" xfId="48787"/>
    <cellStyle name="YelNumbersCurr 4 6 4 2" xfId="48788"/>
    <cellStyle name="YelNumbersCurr 4 6 4 2 2" xfId="48789"/>
    <cellStyle name="YelNumbersCurr 4 6 4 2 3" xfId="48790"/>
    <cellStyle name="YelNumbersCurr 4 6 4 3" xfId="48791"/>
    <cellStyle name="YelNumbersCurr 4 6 4 3 2" xfId="48792"/>
    <cellStyle name="YelNumbersCurr 4 6 4 4" xfId="48793"/>
    <cellStyle name="YelNumbersCurr 4 6 4 5" xfId="48794"/>
    <cellStyle name="YelNumbersCurr 4 6 5" xfId="48795"/>
    <cellStyle name="YelNumbersCurr 4 6 5 2" xfId="48796"/>
    <cellStyle name="YelNumbersCurr 4 6 5 2 2" xfId="48797"/>
    <cellStyle name="YelNumbersCurr 4 6 5 3" xfId="48798"/>
    <cellStyle name="YelNumbersCurr 4 6 5 4" xfId="48799"/>
    <cellStyle name="YelNumbersCurr 4 6 6" xfId="48800"/>
    <cellStyle name="YelNumbersCurr 4 6 6 2" xfId="48801"/>
    <cellStyle name="YelNumbersCurr 4 6 7" xfId="48802"/>
    <cellStyle name="YelNumbersCurr 4 6 8" xfId="48803"/>
    <cellStyle name="YelNumbersCurr 4 6 9" xfId="48804"/>
    <cellStyle name="YelNumbersCurr 4 7" xfId="48805"/>
    <cellStyle name="YelNumbersCurr 4 7 10" xfId="48806"/>
    <cellStyle name="YelNumbersCurr 4 7 11" xfId="48807"/>
    <cellStyle name="YelNumbersCurr 4 7 12" xfId="48808"/>
    <cellStyle name="YelNumbersCurr 4 7 13" xfId="48809"/>
    <cellStyle name="YelNumbersCurr 4 7 14" xfId="48810"/>
    <cellStyle name="YelNumbersCurr 4 7 15" xfId="48811"/>
    <cellStyle name="YelNumbersCurr 4 7 16" xfId="48812"/>
    <cellStyle name="YelNumbersCurr 4 7 17" xfId="48813"/>
    <cellStyle name="YelNumbersCurr 4 7 2" xfId="48814"/>
    <cellStyle name="YelNumbersCurr 4 7 2 2" xfId="48815"/>
    <cellStyle name="YelNumbersCurr 4 7 2 2 2" xfId="48816"/>
    <cellStyle name="YelNumbersCurr 4 7 2 3" xfId="48817"/>
    <cellStyle name="YelNumbersCurr 4 7 2 4" xfId="48818"/>
    <cellStyle name="YelNumbersCurr 4 7 3" xfId="48819"/>
    <cellStyle name="YelNumbersCurr 4 7 3 2" xfId="48820"/>
    <cellStyle name="YelNumbersCurr 4 7 4" xfId="48821"/>
    <cellStyle name="YelNumbersCurr 4 7 5" xfId="48822"/>
    <cellStyle name="YelNumbersCurr 4 7 6" xfId="48823"/>
    <cellStyle name="YelNumbersCurr 4 7 7" xfId="48824"/>
    <cellStyle name="YelNumbersCurr 4 7 8" xfId="48825"/>
    <cellStyle name="YelNumbersCurr 4 7 9" xfId="48826"/>
    <cellStyle name="YelNumbersCurr 4 8" xfId="48827"/>
    <cellStyle name="YelNumbersCurr 4 8 2" xfId="48828"/>
    <cellStyle name="YelNumbersCurr 4 8 2 2" xfId="48829"/>
    <cellStyle name="YelNumbersCurr 4 8 2 2 2" xfId="48830"/>
    <cellStyle name="YelNumbersCurr 4 8 2 3" xfId="48831"/>
    <cellStyle name="YelNumbersCurr 4 8 2 4" xfId="48832"/>
    <cellStyle name="YelNumbersCurr 4 8 3" xfId="48833"/>
    <cellStyle name="YelNumbersCurr 4 8 3 2" xfId="48834"/>
    <cellStyle name="YelNumbersCurr 4 8 3 3" xfId="48835"/>
    <cellStyle name="YelNumbersCurr 4 8 4" xfId="48836"/>
    <cellStyle name="YelNumbersCurr 4 8 4 2" xfId="48837"/>
    <cellStyle name="YelNumbersCurr 4 8 5" xfId="48838"/>
    <cellStyle name="YelNumbersCurr 4 8 6" xfId="48839"/>
    <cellStyle name="YelNumbersCurr 4 9" xfId="48840"/>
    <cellStyle name="YelNumbersCurr 4 9 2" xfId="48841"/>
    <cellStyle name="YelNumbersCurr 4 9 2 2" xfId="48842"/>
    <cellStyle name="YelNumbersCurr 4 9 3" xfId="48843"/>
    <cellStyle name="YelNumbersCurr 4 9 4" xfId="48844"/>
    <cellStyle name="YelNumbersCurr 5" xfId="48845"/>
    <cellStyle name="YelNumbersCurr 5 10" xfId="48846"/>
    <cellStyle name="YelNumbersCurr 5 11" xfId="48847"/>
    <cellStyle name="YelNumbersCurr 5 12" xfId="48848"/>
    <cellStyle name="YelNumbersCurr 5 13" xfId="48849"/>
    <cellStyle name="YelNumbersCurr 5 14" xfId="48850"/>
    <cellStyle name="YelNumbersCurr 5 15" xfId="48851"/>
    <cellStyle name="YelNumbersCurr 5 16" xfId="48852"/>
    <cellStyle name="YelNumbersCurr 5 17" xfId="48853"/>
    <cellStyle name="YelNumbersCurr 5 18" xfId="48854"/>
    <cellStyle name="YelNumbersCurr 5 19" xfId="48855"/>
    <cellStyle name="YelNumbersCurr 5 2" xfId="48856"/>
    <cellStyle name="YelNumbersCurr 5 2 10" xfId="48857"/>
    <cellStyle name="YelNumbersCurr 5 2 11" xfId="48858"/>
    <cellStyle name="YelNumbersCurr 5 2 12" xfId="48859"/>
    <cellStyle name="YelNumbersCurr 5 2 13" xfId="48860"/>
    <cellStyle name="YelNumbersCurr 5 2 14" xfId="48861"/>
    <cellStyle name="YelNumbersCurr 5 2 15" xfId="48862"/>
    <cellStyle name="YelNumbersCurr 5 2 16" xfId="48863"/>
    <cellStyle name="YelNumbersCurr 5 2 17" xfId="48864"/>
    <cellStyle name="YelNumbersCurr 5 2 18" xfId="48865"/>
    <cellStyle name="YelNumbersCurr 5 2 2" xfId="48866"/>
    <cellStyle name="YelNumbersCurr 5 2 2 2" xfId="48867"/>
    <cellStyle name="YelNumbersCurr 5 2 2 2 2" xfId="48868"/>
    <cellStyle name="YelNumbersCurr 5 2 2 3" xfId="48869"/>
    <cellStyle name="YelNumbersCurr 5 2 2 4" xfId="48870"/>
    <cellStyle name="YelNumbersCurr 5 2 3" xfId="48871"/>
    <cellStyle name="YelNumbersCurr 5 2 3 2" xfId="48872"/>
    <cellStyle name="YelNumbersCurr 5 2 3 3" xfId="48873"/>
    <cellStyle name="YelNumbersCurr 5 2 4" xfId="48874"/>
    <cellStyle name="YelNumbersCurr 5 2 4 2" xfId="48875"/>
    <cellStyle name="YelNumbersCurr 5 2 5" xfId="48876"/>
    <cellStyle name="YelNumbersCurr 5 2 6" xfId="48877"/>
    <cellStyle name="YelNumbersCurr 5 2 7" xfId="48878"/>
    <cellStyle name="YelNumbersCurr 5 2 8" xfId="48879"/>
    <cellStyle name="YelNumbersCurr 5 2 9" xfId="48880"/>
    <cellStyle name="YelNumbersCurr 5 3" xfId="48881"/>
    <cellStyle name="YelNumbersCurr 5 3 10" xfId="48882"/>
    <cellStyle name="YelNumbersCurr 5 3 11" xfId="48883"/>
    <cellStyle name="YelNumbersCurr 5 3 12" xfId="48884"/>
    <cellStyle name="YelNumbersCurr 5 3 13" xfId="48885"/>
    <cellStyle name="YelNumbersCurr 5 3 14" xfId="48886"/>
    <cellStyle name="YelNumbersCurr 5 3 15" xfId="48887"/>
    <cellStyle name="YelNumbersCurr 5 3 16" xfId="48888"/>
    <cellStyle name="YelNumbersCurr 5 3 17" xfId="48889"/>
    <cellStyle name="YelNumbersCurr 5 3 18" xfId="48890"/>
    <cellStyle name="YelNumbersCurr 5 3 2" xfId="48891"/>
    <cellStyle name="YelNumbersCurr 5 3 2 2" xfId="48892"/>
    <cellStyle name="YelNumbersCurr 5 3 2 2 2" xfId="48893"/>
    <cellStyle name="YelNumbersCurr 5 3 2 3" xfId="48894"/>
    <cellStyle name="YelNumbersCurr 5 3 2 4" xfId="48895"/>
    <cellStyle name="YelNumbersCurr 5 3 3" xfId="48896"/>
    <cellStyle name="YelNumbersCurr 5 3 3 2" xfId="48897"/>
    <cellStyle name="YelNumbersCurr 5 3 3 3" xfId="48898"/>
    <cellStyle name="YelNumbersCurr 5 3 4" xfId="48899"/>
    <cellStyle name="YelNumbersCurr 5 3 4 2" xfId="48900"/>
    <cellStyle name="YelNumbersCurr 5 3 5" xfId="48901"/>
    <cellStyle name="YelNumbersCurr 5 3 6" xfId="48902"/>
    <cellStyle name="YelNumbersCurr 5 3 7" xfId="48903"/>
    <cellStyle name="YelNumbersCurr 5 3 8" xfId="48904"/>
    <cellStyle name="YelNumbersCurr 5 3 9" xfId="48905"/>
    <cellStyle name="YelNumbersCurr 5 4" xfId="48906"/>
    <cellStyle name="YelNumbersCurr 5 4 2" xfId="48907"/>
    <cellStyle name="YelNumbersCurr 5 4 2 2" xfId="48908"/>
    <cellStyle name="YelNumbersCurr 5 4 2 3" xfId="48909"/>
    <cellStyle name="YelNumbersCurr 5 4 3" xfId="48910"/>
    <cellStyle name="YelNumbersCurr 5 4 3 2" xfId="48911"/>
    <cellStyle name="YelNumbersCurr 5 4 4" xfId="48912"/>
    <cellStyle name="YelNumbersCurr 5 4 5" xfId="48913"/>
    <cellStyle name="YelNumbersCurr 5 5" xfId="48914"/>
    <cellStyle name="YelNumbersCurr 5 5 2" xfId="48915"/>
    <cellStyle name="YelNumbersCurr 5 5 2 2" xfId="48916"/>
    <cellStyle name="YelNumbersCurr 5 5 3" xfId="48917"/>
    <cellStyle name="YelNumbersCurr 5 5 4" xfId="48918"/>
    <cellStyle name="YelNumbersCurr 5 6" xfId="48919"/>
    <cellStyle name="YelNumbersCurr 5 6 2" xfId="48920"/>
    <cellStyle name="YelNumbersCurr 5 7" xfId="48921"/>
    <cellStyle name="YelNumbersCurr 5 8" xfId="48922"/>
    <cellStyle name="YelNumbersCurr 5 9" xfId="48923"/>
    <cellStyle name="YelNumbersCurr 6" xfId="48924"/>
    <cellStyle name="YelNumbersCurr 6 10" xfId="48925"/>
    <cellStyle name="YelNumbersCurr 6 11" xfId="48926"/>
    <cellStyle name="YelNumbersCurr 6 12" xfId="48927"/>
    <cellStyle name="YelNumbersCurr 6 13" xfId="48928"/>
    <cellStyle name="YelNumbersCurr 6 14" xfId="48929"/>
    <cellStyle name="YelNumbersCurr 6 15" xfId="48930"/>
    <cellStyle name="YelNumbersCurr 6 16" xfId="48931"/>
    <cellStyle name="YelNumbersCurr 6 17" xfId="48932"/>
    <cellStyle name="YelNumbersCurr 6 18" xfId="48933"/>
    <cellStyle name="YelNumbersCurr 6 19" xfId="48934"/>
    <cellStyle name="YelNumbersCurr 6 2" xfId="48935"/>
    <cellStyle name="YelNumbersCurr 6 2 10" xfId="48936"/>
    <cellStyle name="YelNumbersCurr 6 2 11" xfId="48937"/>
    <cellStyle name="YelNumbersCurr 6 2 12" xfId="48938"/>
    <cellStyle name="YelNumbersCurr 6 2 13" xfId="48939"/>
    <cellStyle name="YelNumbersCurr 6 2 14" xfId="48940"/>
    <cellStyle name="YelNumbersCurr 6 2 15" xfId="48941"/>
    <cellStyle name="YelNumbersCurr 6 2 16" xfId="48942"/>
    <cellStyle name="YelNumbersCurr 6 2 17" xfId="48943"/>
    <cellStyle name="YelNumbersCurr 6 2 18" xfId="48944"/>
    <cellStyle name="YelNumbersCurr 6 2 2" xfId="48945"/>
    <cellStyle name="YelNumbersCurr 6 2 2 2" xfId="48946"/>
    <cellStyle name="YelNumbersCurr 6 2 2 2 2" xfId="48947"/>
    <cellStyle name="YelNumbersCurr 6 2 2 3" xfId="48948"/>
    <cellStyle name="YelNumbersCurr 6 2 2 4" xfId="48949"/>
    <cellStyle name="YelNumbersCurr 6 2 3" xfId="48950"/>
    <cellStyle name="YelNumbersCurr 6 2 3 2" xfId="48951"/>
    <cellStyle name="YelNumbersCurr 6 2 3 3" xfId="48952"/>
    <cellStyle name="YelNumbersCurr 6 2 4" xfId="48953"/>
    <cellStyle name="YelNumbersCurr 6 2 4 2" xfId="48954"/>
    <cellStyle name="YelNumbersCurr 6 2 5" xfId="48955"/>
    <cellStyle name="YelNumbersCurr 6 2 6" xfId="48956"/>
    <cellStyle name="YelNumbersCurr 6 2 7" xfId="48957"/>
    <cellStyle name="YelNumbersCurr 6 2 8" xfId="48958"/>
    <cellStyle name="YelNumbersCurr 6 2 9" xfId="48959"/>
    <cellStyle name="YelNumbersCurr 6 20" xfId="48960"/>
    <cellStyle name="YelNumbersCurr 6 21" xfId="48961"/>
    <cellStyle name="YelNumbersCurr 6 3" xfId="48962"/>
    <cellStyle name="YelNumbersCurr 6 3 10" xfId="48963"/>
    <cellStyle name="YelNumbersCurr 6 3 11" xfId="48964"/>
    <cellStyle name="YelNumbersCurr 6 3 12" xfId="48965"/>
    <cellStyle name="YelNumbersCurr 6 3 13" xfId="48966"/>
    <cellStyle name="YelNumbersCurr 6 3 14" xfId="48967"/>
    <cellStyle name="YelNumbersCurr 6 3 15" xfId="48968"/>
    <cellStyle name="YelNumbersCurr 6 3 16" xfId="48969"/>
    <cellStyle name="YelNumbersCurr 6 3 17" xfId="48970"/>
    <cellStyle name="YelNumbersCurr 6 3 18" xfId="48971"/>
    <cellStyle name="YelNumbersCurr 6 3 2" xfId="48972"/>
    <cellStyle name="YelNumbersCurr 6 3 2 2" xfId="48973"/>
    <cellStyle name="YelNumbersCurr 6 3 2 2 2" xfId="48974"/>
    <cellStyle name="YelNumbersCurr 6 3 2 3" xfId="48975"/>
    <cellStyle name="YelNumbersCurr 6 3 2 4" xfId="48976"/>
    <cellStyle name="YelNumbersCurr 6 3 3" xfId="48977"/>
    <cellStyle name="YelNumbersCurr 6 3 3 2" xfId="48978"/>
    <cellStyle name="YelNumbersCurr 6 3 3 3" xfId="48979"/>
    <cellStyle name="YelNumbersCurr 6 3 4" xfId="48980"/>
    <cellStyle name="YelNumbersCurr 6 3 4 2" xfId="48981"/>
    <cellStyle name="YelNumbersCurr 6 3 5" xfId="48982"/>
    <cellStyle name="YelNumbersCurr 6 3 6" xfId="48983"/>
    <cellStyle name="YelNumbersCurr 6 3 7" xfId="48984"/>
    <cellStyle name="YelNumbersCurr 6 3 8" xfId="48985"/>
    <cellStyle name="YelNumbersCurr 6 3 9" xfId="48986"/>
    <cellStyle name="YelNumbersCurr 6 4" xfId="48987"/>
    <cellStyle name="YelNumbersCurr 6 4 2" xfId="48988"/>
    <cellStyle name="YelNumbersCurr 6 4 2 2" xfId="48989"/>
    <cellStyle name="YelNumbersCurr 6 4 2 3" xfId="48990"/>
    <cellStyle name="YelNumbersCurr 6 4 3" xfId="48991"/>
    <cellStyle name="YelNumbersCurr 6 4 3 2" xfId="48992"/>
    <cellStyle name="YelNumbersCurr 6 4 4" xfId="48993"/>
    <cellStyle name="YelNumbersCurr 6 4 5" xfId="48994"/>
    <cellStyle name="YelNumbersCurr 6 5" xfId="48995"/>
    <cellStyle name="YelNumbersCurr 6 5 2" xfId="48996"/>
    <cellStyle name="YelNumbersCurr 6 5 2 2" xfId="48997"/>
    <cellStyle name="YelNumbersCurr 6 5 3" xfId="48998"/>
    <cellStyle name="YelNumbersCurr 6 5 4" xfId="48999"/>
    <cellStyle name="YelNumbersCurr 6 6" xfId="49000"/>
    <cellStyle name="YelNumbersCurr 6 6 2" xfId="49001"/>
    <cellStyle name="YelNumbersCurr 6 7" xfId="49002"/>
    <cellStyle name="YelNumbersCurr 6 8" xfId="49003"/>
    <cellStyle name="YelNumbersCurr 6 9" xfId="49004"/>
    <cellStyle name="YelNumbersCurr 7" xfId="49005"/>
    <cellStyle name="YelNumbersCurr 7 10" xfId="49006"/>
    <cellStyle name="YelNumbersCurr 7 11" xfId="49007"/>
    <cellStyle name="YelNumbersCurr 7 12" xfId="49008"/>
    <cellStyle name="YelNumbersCurr 7 13" xfId="49009"/>
    <cellStyle name="YelNumbersCurr 7 14" xfId="49010"/>
    <cellStyle name="YelNumbersCurr 7 15" xfId="49011"/>
    <cellStyle name="YelNumbersCurr 7 16" xfId="49012"/>
    <cellStyle name="YelNumbersCurr 7 17" xfId="49013"/>
    <cellStyle name="YelNumbersCurr 7 18" xfId="49014"/>
    <cellStyle name="YelNumbersCurr 7 19" xfId="49015"/>
    <cellStyle name="YelNumbersCurr 7 2" xfId="49016"/>
    <cellStyle name="YelNumbersCurr 7 2 10" xfId="49017"/>
    <cellStyle name="YelNumbersCurr 7 2 11" xfId="49018"/>
    <cellStyle name="YelNumbersCurr 7 2 12" xfId="49019"/>
    <cellStyle name="YelNumbersCurr 7 2 13" xfId="49020"/>
    <cellStyle name="YelNumbersCurr 7 2 14" xfId="49021"/>
    <cellStyle name="YelNumbersCurr 7 2 15" xfId="49022"/>
    <cellStyle name="YelNumbersCurr 7 2 16" xfId="49023"/>
    <cellStyle name="YelNumbersCurr 7 2 17" xfId="49024"/>
    <cellStyle name="YelNumbersCurr 7 2 18" xfId="49025"/>
    <cellStyle name="YelNumbersCurr 7 2 2" xfId="49026"/>
    <cellStyle name="YelNumbersCurr 7 2 2 2" xfId="49027"/>
    <cellStyle name="YelNumbersCurr 7 2 2 2 2" xfId="49028"/>
    <cellStyle name="YelNumbersCurr 7 2 2 3" xfId="49029"/>
    <cellStyle name="YelNumbersCurr 7 2 2 4" xfId="49030"/>
    <cellStyle name="YelNumbersCurr 7 2 3" xfId="49031"/>
    <cellStyle name="YelNumbersCurr 7 2 3 2" xfId="49032"/>
    <cellStyle name="YelNumbersCurr 7 2 3 3" xfId="49033"/>
    <cellStyle name="YelNumbersCurr 7 2 4" xfId="49034"/>
    <cellStyle name="YelNumbersCurr 7 2 4 2" xfId="49035"/>
    <cellStyle name="YelNumbersCurr 7 2 5" xfId="49036"/>
    <cellStyle name="YelNumbersCurr 7 2 6" xfId="49037"/>
    <cellStyle name="YelNumbersCurr 7 2 7" xfId="49038"/>
    <cellStyle name="YelNumbersCurr 7 2 8" xfId="49039"/>
    <cellStyle name="YelNumbersCurr 7 2 9" xfId="49040"/>
    <cellStyle name="YelNumbersCurr 7 20" xfId="49041"/>
    <cellStyle name="YelNumbersCurr 7 21" xfId="49042"/>
    <cellStyle name="YelNumbersCurr 7 3" xfId="49043"/>
    <cellStyle name="YelNumbersCurr 7 3 10" xfId="49044"/>
    <cellStyle name="YelNumbersCurr 7 3 11" xfId="49045"/>
    <cellStyle name="YelNumbersCurr 7 3 12" xfId="49046"/>
    <cellStyle name="YelNumbersCurr 7 3 13" xfId="49047"/>
    <cellStyle name="YelNumbersCurr 7 3 14" xfId="49048"/>
    <cellStyle name="YelNumbersCurr 7 3 15" xfId="49049"/>
    <cellStyle name="YelNumbersCurr 7 3 16" xfId="49050"/>
    <cellStyle name="YelNumbersCurr 7 3 17" xfId="49051"/>
    <cellStyle name="YelNumbersCurr 7 3 18" xfId="49052"/>
    <cellStyle name="YelNumbersCurr 7 3 2" xfId="49053"/>
    <cellStyle name="YelNumbersCurr 7 3 2 2" xfId="49054"/>
    <cellStyle name="YelNumbersCurr 7 3 2 2 2" xfId="49055"/>
    <cellStyle name="YelNumbersCurr 7 3 2 3" xfId="49056"/>
    <cellStyle name="YelNumbersCurr 7 3 2 4" xfId="49057"/>
    <cellStyle name="YelNumbersCurr 7 3 3" xfId="49058"/>
    <cellStyle name="YelNumbersCurr 7 3 3 2" xfId="49059"/>
    <cellStyle name="YelNumbersCurr 7 3 3 3" xfId="49060"/>
    <cellStyle name="YelNumbersCurr 7 3 4" xfId="49061"/>
    <cellStyle name="YelNumbersCurr 7 3 4 2" xfId="49062"/>
    <cellStyle name="YelNumbersCurr 7 3 5" xfId="49063"/>
    <cellStyle name="YelNumbersCurr 7 3 6" xfId="49064"/>
    <cellStyle name="YelNumbersCurr 7 3 7" xfId="49065"/>
    <cellStyle name="YelNumbersCurr 7 3 8" xfId="49066"/>
    <cellStyle name="YelNumbersCurr 7 3 9" xfId="49067"/>
    <cellStyle name="YelNumbersCurr 7 4" xfId="49068"/>
    <cellStyle name="YelNumbersCurr 7 4 2" xfId="49069"/>
    <cellStyle name="YelNumbersCurr 7 4 2 2" xfId="49070"/>
    <cellStyle name="YelNumbersCurr 7 4 2 3" xfId="49071"/>
    <cellStyle name="YelNumbersCurr 7 4 3" xfId="49072"/>
    <cellStyle name="YelNumbersCurr 7 4 3 2" xfId="49073"/>
    <cellStyle name="YelNumbersCurr 7 4 4" xfId="49074"/>
    <cellStyle name="YelNumbersCurr 7 4 5" xfId="49075"/>
    <cellStyle name="YelNumbersCurr 7 5" xfId="49076"/>
    <cellStyle name="YelNumbersCurr 7 5 2" xfId="49077"/>
    <cellStyle name="YelNumbersCurr 7 5 2 2" xfId="49078"/>
    <cellStyle name="YelNumbersCurr 7 5 3" xfId="49079"/>
    <cellStyle name="YelNumbersCurr 7 5 4" xfId="49080"/>
    <cellStyle name="YelNumbersCurr 7 6" xfId="49081"/>
    <cellStyle name="YelNumbersCurr 7 6 2" xfId="49082"/>
    <cellStyle name="YelNumbersCurr 7 7" xfId="49083"/>
    <cellStyle name="YelNumbersCurr 7 8" xfId="49084"/>
    <cellStyle name="YelNumbersCurr 7 9" xfId="49085"/>
    <cellStyle name="YelNumbersCurr 8" xfId="49086"/>
    <cellStyle name="YelNumbersCurr 8 10" xfId="49087"/>
    <cellStyle name="YelNumbersCurr 8 11" xfId="49088"/>
    <cellStyle name="YelNumbersCurr 8 12" xfId="49089"/>
    <cellStyle name="YelNumbersCurr 8 13" xfId="49090"/>
    <cellStyle name="YelNumbersCurr 8 14" xfId="49091"/>
    <cellStyle name="YelNumbersCurr 8 15" xfId="49092"/>
    <cellStyle name="YelNumbersCurr 8 16" xfId="49093"/>
    <cellStyle name="YelNumbersCurr 8 17" xfId="49094"/>
    <cellStyle name="YelNumbersCurr 8 18" xfId="49095"/>
    <cellStyle name="YelNumbersCurr 8 19" xfId="49096"/>
    <cellStyle name="YelNumbersCurr 8 2" xfId="49097"/>
    <cellStyle name="YelNumbersCurr 8 2 10" xfId="49098"/>
    <cellStyle name="YelNumbersCurr 8 2 11" xfId="49099"/>
    <cellStyle name="YelNumbersCurr 8 2 12" xfId="49100"/>
    <cellStyle name="YelNumbersCurr 8 2 13" xfId="49101"/>
    <cellStyle name="YelNumbersCurr 8 2 14" xfId="49102"/>
    <cellStyle name="YelNumbersCurr 8 2 15" xfId="49103"/>
    <cellStyle name="YelNumbersCurr 8 2 16" xfId="49104"/>
    <cellStyle name="YelNumbersCurr 8 2 17" xfId="49105"/>
    <cellStyle name="YelNumbersCurr 8 2 18" xfId="49106"/>
    <cellStyle name="YelNumbersCurr 8 2 2" xfId="49107"/>
    <cellStyle name="YelNumbersCurr 8 2 2 2" xfId="49108"/>
    <cellStyle name="YelNumbersCurr 8 2 2 2 2" xfId="49109"/>
    <cellStyle name="YelNumbersCurr 8 2 2 3" xfId="49110"/>
    <cellStyle name="YelNumbersCurr 8 2 2 4" xfId="49111"/>
    <cellStyle name="YelNumbersCurr 8 2 3" xfId="49112"/>
    <cellStyle name="YelNumbersCurr 8 2 3 2" xfId="49113"/>
    <cellStyle name="YelNumbersCurr 8 2 3 3" xfId="49114"/>
    <cellStyle name="YelNumbersCurr 8 2 4" xfId="49115"/>
    <cellStyle name="YelNumbersCurr 8 2 4 2" xfId="49116"/>
    <cellStyle name="YelNumbersCurr 8 2 5" xfId="49117"/>
    <cellStyle name="YelNumbersCurr 8 2 6" xfId="49118"/>
    <cellStyle name="YelNumbersCurr 8 2 7" xfId="49119"/>
    <cellStyle name="YelNumbersCurr 8 2 8" xfId="49120"/>
    <cellStyle name="YelNumbersCurr 8 2 9" xfId="49121"/>
    <cellStyle name="YelNumbersCurr 8 3" xfId="49122"/>
    <cellStyle name="YelNumbersCurr 8 3 10" xfId="49123"/>
    <cellStyle name="YelNumbersCurr 8 3 11" xfId="49124"/>
    <cellStyle name="YelNumbersCurr 8 3 12" xfId="49125"/>
    <cellStyle name="YelNumbersCurr 8 3 13" xfId="49126"/>
    <cellStyle name="YelNumbersCurr 8 3 14" xfId="49127"/>
    <cellStyle name="YelNumbersCurr 8 3 15" xfId="49128"/>
    <cellStyle name="YelNumbersCurr 8 3 16" xfId="49129"/>
    <cellStyle name="YelNumbersCurr 8 3 17" xfId="49130"/>
    <cellStyle name="YelNumbersCurr 8 3 18" xfId="49131"/>
    <cellStyle name="YelNumbersCurr 8 3 2" xfId="49132"/>
    <cellStyle name="YelNumbersCurr 8 3 2 2" xfId="49133"/>
    <cellStyle name="YelNumbersCurr 8 3 2 2 2" xfId="49134"/>
    <cellStyle name="YelNumbersCurr 8 3 2 3" xfId="49135"/>
    <cellStyle name="YelNumbersCurr 8 3 2 4" xfId="49136"/>
    <cellStyle name="YelNumbersCurr 8 3 3" xfId="49137"/>
    <cellStyle name="YelNumbersCurr 8 3 3 2" xfId="49138"/>
    <cellStyle name="YelNumbersCurr 8 3 3 3" xfId="49139"/>
    <cellStyle name="YelNumbersCurr 8 3 4" xfId="49140"/>
    <cellStyle name="YelNumbersCurr 8 3 4 2" xfId="49141"/>
    <cellStyle name="YelNumbersCurr 8 3 5" xfId="49142"/>
    <cellStyle name="YelNumbersCurr 8 3 6" xfId="49143"/>
    <cellStyle name="YelNumbersCurr 8 3 7" xfId="49144"/>
    <cellStyle name="YelNumbersCurr 8 3 8" xfId="49145"/>
    <cellStyle name="YelNumbersCurr 8 3 9" xfId="49146"/>
    <cellStyle name="YelNumbersCurr 8 4" xfId="49147"/>
    <cellStyle name="YelNumbersCurr 8 4 2" xfId="49148"/>
    <cellStyle name="YelNumbersCurr 8 4 2 2" xfId="49149"/>
    <cellStyle name="YelNumbersCurr 8 4 2 3" xfId="49150"/>
    <cellStyle name="YelNumbersCurr 8 4 3" xfId="49151"/>
    <cellStyle name="YelNumbersCurr 8 4 3 2" xfId="49152"/>
    <cellStyle name="YelNumbersCurr 8 4 4" xfId="49153"/>
    <cellStyle name="YelNumbersCurr 8 4 5" xfId="49154"/>
    <cellStyle name="YelNumbersCurr 8 5" xfId="49155"/>
    <cellStyle name="YelNumbersCurr 8 5 2" xfId="49156"/>
    <cellStyle name="YelNumbersCurr 8 5 2 2" xfId="49157"/>
    <cellStyle name="YelNumbersCurr 8 5 3" xfId="49158"/>
    <cellStyle name="YelNumbersCurr 8 5 4" xfId="49159"/>
    <cellStyle name="YelNumbersCurr 8 6" xfId="49160"/>
    <cellStyle name="YelNumbersCurr 8 6 2" xfId="49161"/>
    <cellStyle name="YelNumbersCurr 8 7" xfId="49162"/>
    <cellStyle name="YelNumbersCurr 8 8" xfId="49163"/>
    <cellStyle name="YelNumbersCurr 8 9" xfId="49164"/>
    <cellStyle name="YelNumbersCurr 9" xfId="49165"/>
    <cellStyle name="YelNumbersCurr 9 10" xfId="49166"/>
    <cellStyle name="YelNumbersCurr 9 11" xfId="49167"/>
    <cellStyle name="YelNumbersCurr 9 12" xfId="49168"/>
    <cellStyle name="YelNumbersCurr 9 13" xfId="49169"/>
    <cellStyle name="YelNumbersCurr 9 14" xfId="49170"/>
    <cellStyle name="YelNumbersCurr 9 15" xfId="49171"/>
    <cellStyle name="YelNumbersCurr 9 16" xfId="49172"/>
    <cellStyle name="YelNumbersCurr 9 17" xfId="49173"/>
    <cellStyle name="YelNumbersCurr 9 18" xfId="49174"/>
    <cellStyle name="YelNumbersCurr 9 19" xfId="49175"/>
    <cellStyle name="YelNumbersCurr 9 2" xfId="49176"/>
    <cellStyle name="YelNumbersCurr 9 2 10" xfId="49177"/>
    <cellStyle name="YelNumbersCurr 9 2 11" xfId="49178"/>
    <cellStyle name="YelNumbersCurr 9 2 12" xfId="49179"/>
    <cellStyle name="YelNumbersCurr 9 2 13" xfId="49180"/>
    <cellStyle name="YelNumbersCurr 9 2 14" xfId="49181"/>
    <cellStyle name="YelNumbersCurr 9 2 15" xfId="49182"/>
    <cellStyle name="YelNumbersCurr 9 2 16" xfId="49183"/>
    <cellStyle name="YelNumbersCurr 9 2 17" xfId="49184"/>
    <cellStyle name="YelNumbersCurr 9 2 18" xfId="49185"/>
    <cellStyle name="YelNumbersCurr 9 2 2" xfId="49186"/>
    <cellStyle name="YelNumbersCurr 9 2 2 2" xfId="49187"/>
    <cellStyle name="YelNumbersCurr 9 2 2 2 2" xfId="49188"/>
    <cellStyle name="YelNumbersCurr 9 2 2 3" xfId="49189"/>
    <cellStyle name="YelNumbersCurr 9 2 2 4" xfId="49190"/>
    <cellStyle name="YelNumbersCurr 9 2 3" xfId="49191"/>
    <cellStyle name="YelNumbersCurr 9 2 3 2" xfId="49192"/>
    <cellStyle name="YelNumbersCurr 9 2 3 3" xfId="49193"/>
    <cellStyle name="YelNumbersCurr 9 2 4" xfId="49194"/>
    <cellStyle name="YelNumbersCurr 9 2 4 2" xfId="49195"/>
    <cellStyle name="YelNumbersCurr 9 2 5" xfId="49196"/>
    <cellStyle name="YelNumbersCurr 9 2 6" xfId="49197"/>
    <cellStyle name="YelNumbersCurr 9 2 7" xfId="49198"/>
    <cellStyle name="YelNumbersCurr 9 2 8" xfId="49199"/>
    <cellStyle name="YelNumbersCurr 9 2 9" xfId="49200"/>
    <cellStyle name="YelNumbersCurr 9 20" xfId="49201"/>
    <cellStyle name="YelNumbersCurr 9 3" xfId="49202"/>
    <cellStyle name="YelNumbersCurr 9 3 10" xfId="49203"/>
    <cellStyle name="YelNumbersCurr 9 3 11" xfId="49204"/>
    <cellStyle name="YelNumbersCurr 9 3 12" xfId="49205"/>
    <cellStyle name="YelNumbersCurr 9 3 13" xfId="49206"/>
    <cellStyle name="YelNumbersCurr 9 3 14" xfId="49207"/>
    <cellStyle name="YelNumbersCurr 9 3 15" xfId="49208"/>
    <cellStyle name="YelNumbersCurr 9 3 16" xfId="49209"/>
    <cellStyle name="YelNumbersCurr 9 3 17" xfId="49210"/>
    <cellStyle name="YelNumbersCurr 9 3 18" xfId="49211"/>
    <cellStyle name="YelNumbersCurr 9 3 2" xfId="49212"/>
    <cellStyle name="YelNumbersCurr 9 3 2 2" xfId="49213"/>
    <cellStyle name="YelNumbersCurr 9 3 2 2 2" xfId="49214"/>
    <cellStyle name="YelNumbersCurr 9 3 2 3" xfId="49215"/>
    <cellStyle name="YelNumbersCurr 9 3 2 4" xfId="49216"/>
    <cellStyle name="YelNumbersCurr 9 3 3" xfId="49217"/>
    <cellStyle name="YelNumbersCurr 9 3 3 2" xfId="49218"/>
    <cellStyle name="YelNumbersCurr 9 3 3 3" xfId="49219"/>
    <cellStyle name="YelNumbersCurr 9 3 4" xfId="49220"/>
    <cellStyle name="YelNumbersCurr 9 3 4 2" xfId="49221"/>
    <cellStyle name="YelNumbersCurr 9 3 5" xfId="49222"/>
    <cellStyle name="YelNumbersCurr 9 3 6" xfId="49223"/>
    <cellStyle name="YelNumbersCurr 9 3 7" xfId="49224"/>
    <cellStyle name="YelNumbersCurr 9 3 8" xfId="49225"/>
    <cellStyle name="YelNumbersCurr 9 3 9" xfId="49226"/>
    <cellStyle name="YelNumbersCurr 9 4" xfId="49227"/>
    <cellStyle name="YelNumbersCurr 9 4 2" xfId="49228"/>
    <cellStyle name="YelNumbersCurr 9 4 2 2" xfId="49229"/>
    <cellStyle name="YelNumbersCurr 9 4 2 3" xfId="49230"/>
    <cellStyle name="YelNumbersCurr 9 4 3" xfId="49231"/>
    <cellStyle name="YelNumbersCurr 9 4 3 2" xfId="49232"/>
    <cellStyle name="YelNumbersCurr 9 4 4" xfId="49233"/>
    <cellStyle name="YelNumbersCurr 9 4 5" xfId="49234"/>
    <cellStyle name="YelNumbersCurr 9 5" xfId="49235"/>
    <cellStyle name="YelNumbersCurr 9 5 2" xfId="49236"/>
    <cellStyle name="YelNumbersCurr 9 5 2 2" xfId="49237"/>
    <cellStyle name="YelNumbersCurr 9 5 3" xfId="49238"/>
    <cellStyle name="YelNumbersCurr 9 5 4" xfId="49239"/>
    <cellStyle name="YelNumbersCurr 9 6" xfId="49240"/>
    <cellStyle name="YelNumbersCurr 9 6 2" xfId="49241"/>
    <cellStyle name="YelNumbersCurr 9 7" xfId="49242"/>
    <cellStyle name="YelNumbersCurr 9 8" xfId="49243"/>
    <cellStyle name="YelNumbersCurr 9 9" xfId="49244"/>
    <cellStyle name="Yen" xfId="49245"/>
    <cellStyle name="Yen 2" xfId="49246"/>
    <cellStyle name="Акцент1 10" xfId="49247"/>
    <cellStyle name="Акцент1 10 2" xfId="49248"/>
    <cellStyle name="Акцент1 10 3" xfId="49249"/>
    <cellStyle name="Акцент1 11" xfId="49250"/>
    <cellStyle name="Акцент1 11 2" xfId="49251"/>
    <cellStyle name="Акцент1 11 3" xfId="49252"/>
    <cellStyle name="Акцент1 12" xfId="49253"/>
    <cellStyle name="Акцент1 12 2" xfId="49254"/>
    <cellStyle name="Акцент1 12 3" xfId="49255"/>
    <cellStyle name="Акцент1 13" xfId="49256"/>
    <cellStyle name="Акцент1 14" xfId="49257"/>
    <cellStyle name="Акцент1 14 2" xfId="49258"/>
    <cellStyle name="Акцент1 14 3" xfId="49259"/>
    <cellStyle name="Акцент1 14 3 2" xfId="49260"/>
    <cellStyle name="Акцент1 14 4" xfId="49261"/>
    <cellStyle name="Акцент1 14 5" xfId="49262"/>
    <cellStyle name="Акцент1 14 6" xfId="49263"/>
    <cellStyle name="Акцент1 15" xfId="49264"/>
    <cellStyle name="Акцент1 16" xfId="49265"/>
    <cellStyle name="Акцент1 16 2" xfId="49266"/>
    <cellStyle name="Акцент1 17" xfId="49267"/>
    <cellStyle name="Акцент1 2" xfId="49268"/>
    <cellStyle name="Акцент1 2 2" xfId="49269"/>
    <cellStyle name="Акцент1 2 3" xfId="49270"/>
    <cellStyle name="Акцент1 3" xfId="49271"/>
    <cellStyle name="Акцент1 3 2" xfId="49272"/>
    <cellStyle name="Акцент1 3 3" xfId="49273"/>
    <cellStyle name="Акцент1 4" xfId="49274"/>
    <cellStyle name="Акцент1 4 2" xfId="49275"/>
    <cellStyle name="Акцент1 4 3" xfId="49276"/>
    <cellStyle name="Акцент1 5" xfId="49277"/>
    <cellStyle name="Акцент1 5 2" xfId="49278"/>
    <cellStyle name="Акцент1 5 3" xfId="49279"/>
    <cellStyle name="Акцент1 6" xfId="49280"/>
    <cellStyle name="Акцент1 6 2" xfId="49281"/>
    <cellStyle name="Акцент1 6 3" xfId="49282"/>
    <cellStyle name="Акцент1 7" xfId="49283"/>
    <cellStyle name="Акцент1 7 2" xfId="49284"/>
    <cellStyle name="Акцент1 7 3" xfId="49285"/>
    <cellStyle name="Акцент1 8" xfId="49286"/>
    <cellStyle name="Акцент1 8 2" xfId="49287"/>
    <cellStyle name="Акцент1 8 3" xfId="49288"/>
    <cellStyle name="Акцент1 9" xfId="49289"/>
    <cellStyle name="Акцент1 9 2" xfId="49290"/>
    <cellStyle name="Акцент1 9 3" xfId="49291"/>
    <cellStyle name="Акцент2 10" xfId="49292"/>
    <cellStyle name="Акцент2 10 2" xfId="49293"/>
    <cellStyle name="Акцент2 10 3" xfId="49294"/>
    <cellStyle name="Акцент2 11" xfId="49295"/>
    <cellStyle name="Акцент2 11 2" xfId="49296"/>
    <cellStyle name="Акцент2 11 3" xfId="49297"/>
    <cellStyle name="Акцент2 12" xfId="49298"/>
    <cellStyle name="Акцент2 12 2" xfId="49299"/>
    <cellStyle name="Акцент2 12 3" xfId="49300"/>
    <cellStyle name="Акцент2 13" xfId="49301"/>
    <cellStyle name="Акцент2 14" xfId="49302"/>
    <cellStyle name="Акцент2 2" xfId="49303"/>
    <cellStyle name="Акцент2 2 2" xfId="49304"/>
    <cellStyle name="Акцент2 2 3" xfId="49305"/>
    <cellStyle name="Акцент2 2 4" xfId="49306"/>
    <cellStyle name="Акцент2 3" xfId="49307"/>
    <cellStyle name="Акцент2 3 2" xfId="49308"/>
    <cellStyle name="Акцент2 3 3" xfId="49309"/>
    <cellStyle name="Акцент2 4" xfId="49310"/>
    <cellStyle name="Акцент2 4 2" xfId="49311"/>
    <cellStyle name="Акцент2 4 3" xfId="49312"/>
    <cellStyle name="Акцент2 5" xfId="49313"/>
    <cellStyle name="Акцент2 5 2" xfId="49314"/>
    <cellStyle name="Акцент2 5 3" xfId="49315"/>
    <cellStyle name="Акцент2 6" xfId="49316"/>
    <cellStyle name="Акцент2 6 2" xfId="49317"/>
    <cellStyle name="Акцент2 6 3" xfId="49318"/>
    <cellStyle name="Акцент2 7" xfId="49319"/>
    <cellStyle name="Акцент2 7 2" xfId="49320"/>
    <cellStyle name="Акцент2 7 3" xfId="49321"/>
    <cellStyle name="Акцент2 8" xfId="49322"/>
    <cellStyle name="Акцент2 8 2" xfId="49323"/>
    <cellStyle name="Акцент2 8 3" xfId="49324"/>
    <cellStyle name="Акцент2 9" xfId="49325"/>
    <cellStyle name="Акцент2 9 2" xfId="49326"/>
    <cellStyle name="Акцент2 9 3" xfId="49327"/>
    <cellStyle name="Акцент3 10" xfId="49328"/>
    <cellStyle name="Акцент3 10 2" xfId="49329"/>
    <cellStyle name="Акцент3 10 3" xfId="49330"/>
    <cellStyle name="Акцент3 11" xfId="49331"/>
    <cellStyle name="Акцент3 11 2" xfId="49332"/>
    <cellStyle name="Акцент3 11 3" xfId="49333"/>
    <cellStyle name="Акцент3 12" xfId="49334"/>
    <cellStyle name="Акцент3 12 2" xfId="49335"/>
    <cellStyle name="Акцент3 12 3" xfId="49336"/>
    <cellStyle name="Акцент3 13" xfId="49337"/>
    <cellStyle name="Акцент3 14" xfId="49338"/>
    <cellStyle name="Акцент3 2" xfId="49339"/>
    <cellStyle name="Акцент3 2 2" xfId="49340"/>
    <cellStyle name="Акцент3 2 3" xfId="49341"/>
    <cellStyle name="Акцент3 2 4" xfId="49342"/>
    <cellStyle name="Акцент3 3" xfId="49343"/>
    <cellStyle name="Акцент3 3 2" xfId="49344"/>
    <cellStyle name="Акцент3 3 3" xfId="49345"/>
    <cellStyle name="Акцент3 4" xfId="49346"/>
    <cellStyle name="Акцент3 4 2" xfId="49347"/>
    <cellStyle name="Акцент3 4 3" xfId="49348"/>
    <cellStyle name="Акцент3 5" xfId="49349"/>
    <cellStyle name="Акцент3 5 2" xfId="49350"/>
    <cellStyle name="Акцент3 5 3" xfId="49351"/>
    <cellStyle name="Акцент3 6" xfId="49352"/>
    <cellStyle name="Акцент3 6 2" xfId="49353"/>
    <cellStyle name="Акцент3 6 3" xfId="49354"/>
    <cellStyle name="Акцент3 7" xfId="49355"/>
    <cellStyle name="Акцент3 7 2" xfId="49356"/>
    <cellStyle name="Акцент3 7 3" xfId="49357"/>
    <cellStyle name="Акцент3 8" xfId="49358"/>
    <cellStyle name="Акцент3 8 2" xfId="49359"/>
    <cellStyle name="Акцент3 8 3" xfId="49360"/>
    <cellStyle name="Акцент3 9" xfId="49361"/>
    <cellStyle name="Акцент3 9 2" xfId="49362"/>
    <cellStyle name="Акцент3 9 3" xfId="49363"/>
    <cellStyle name="Акцент4 10" xfId="49364"/>
    <cellStyle name="Акцент4 10 2" xfId="49365"/>
    <cellStyle name="Акцент4 10 3" xfId="49366"/>
    <cellStyle name="Акцент4 11" xfId="49367"/>
    <cellStyle name="Акцент4 11 2" xfId="49368"/>
    <cellStyle name="Акцент4 11 3" xfId="49369"/>
    <cellStyle name="Акцент4 12" xfId="49370"/>
    <cellStyle name="Акцент4 12 2" xfId="49371"/>
    <cellStyle name="Акцент4 12 3" xfId="49372"/>
    <cellStyle name="Акцент4 13" xfId="49373"/>
    <cellStyle name="Акцент4 14" xfId="49374"/>
    <cellStyle name="Акцент4 14 2" xfId="49375"/>
    <cellStyle name="Акцент4 14 3" xfId="49376"/>
    <cellStyle name="Акцент4 14 3 2" xfId="49377"/>
    <cellStyle name="Акцент4 14 4" xfId="49378"/>
    <cellStyle name="Акцент4 14 5" xfId="49379"/>
    <cellStyle name="Акцент4 14 6" xfId="49380"/>
    <cellStyle name="Акцент4 15" xfId="49381"/>
    <cellStyle name="Акцент4 16" xfId="49382"/>
    <cellStyle name="Акцент4 16 2" xfId="49383"/>
    <cellStyle name="Акцент4 17" xfId="49384"/>
    <cellStyle name="Акцент4 2" xfId="49385"/>
    <cellStyle name="Акцент4 2 2" xfId="49386"/>
    <cellStyle name="Акцент4 2 3" xfId="49387"/>
    <cellStyle name="Акцент4 3" xfId="49388"/>
    <cellStyle name="Акцент4 3 2" xfId="49389"/>
    <cellStyle name="Акцент4 3 3" xfId="49390"/>
    <cellStyle name="Акцент4 4" xfId="49391"/>
    <cellStyle name="Акцент4 4 2" xfId="49392"/>
    <cellStyle name="Акцент4 4 3" xfId="49393"/>
    <cellStyle name="Акцент4 5" xfId="49394"/>
    <cellStyle name="Акцент4 5 2" xfId="49395"/>
    <cellStyle name="Акцент4 5 3" xfId="49396"/>
    <cellStyle name="Акцент4 6" xfId="49397"/>
    <cellStyle name="Акцент4 6 2" xfId="49398"/>
    <cellStyle name="Акцент4 6 3" xfId="49399"/>
    <cellStyle name="Акцент4 7" xfId="49400"/>
    <cellStyle name="Акцент4 7 2" xfId="49401"/>
    <cellStyle name="Акцент4 7 3" xfId="49402"/>
    <cellStyle name="Акцент4 8" xfId="49403"/>
    <cellStyle name="Акцент4 8 2" xfId="49404"/>
    <cellStyle name="Акцент4 8 3" xfId="49405"/>
    <cellStyle name="Акцент4 9" xfId="49406"/>
    <cellStyle name="Акцент4 9 2" xfId="49407"/>
    <cellStyle name="Акцент4 9 3" xfId="49408"/>
    <cellStyle name="Акцент5 10" xfId="49409"/>
    <cellStyle name="Акцент5 10 2" xfId="49410"/>
    <cellStyle name="Акцент5 10 3" xfId="49411"/>
    <cellStyle name="Акцент5 11" xfId="49412"/>
    <cellStyle name="Акцент5 11 2" xfId="49413"/>
    <cellStyle name="Акцент5 11 3" xfId="49414"/>
    <cellStyle name="Акцент5 12" xfId="49415"/>
    <cellStyle name="Акцент5 12 2" xfId="49416"/>
    <cellStyle name="Акцент5 12 3" xfId="49417"/>
    <cellStyle name="Акцент5 13" xfId="49418"/>
    <cellStyle name="Акцент5 14" xfId="49419"/>
    <cellStyle name="Акцент5 2" xfId="49420"/>
    <cellStyle name="Акцент5 2 2" xfId="49421"/>
    <cellStyle name="Акцент5 2 3" xfId="49422"/>
    <cellStyle name="Акцент5 2 4" xfId="49423"/>
    <cellStyle name="Акцент5 3" xfId="49424"/>
    <cellStyle name="Акцент5 3 2" xfId="49425"/>
    <cellStyle name="Акцент5 3 3" xfId="49426"/>
    <cellStyle name="Акцент5 4" xfId="49427"/>
    <cellStyle name="Акцент5 4 2" xfId="49428"/>
    <cellStyle name="Акцент5 4 3" xfId="49429"/>
    <cellStyle name="Акцент5 5" xfId="49430"/>
    <cellStyle name="Акцент5 5 2" xfId="49431"/>
    <cellStyle name="Акцент5 5 3" xfId="49432"/>
    <cellStyle name="Акцент5 6" xfId="49433"/>
    <cellStyle name="Акцент5 6 2" xfId="49434"/>
    <cellStyle name="Акцент5 6 3" xfId="49435"/>
    <cellStyle name="Акцент5 7" xfId="49436"/>
    <cellStyle name="Акцент5 7 2" xfId="49437"/>
    <cellStyle name="Акцент5 7 3" xfId="49438"/>
    <cellStyle name="Акцент5 8" xfId="49439"/>
    <cellStyle name="Акцент5 8 2" xfId="49440"/>
    <cellStyle name="Акцент5 8 3" xfId="49441"/>
    <cellStyle name="Акцент5 9" xfId="49442"/>
    <cellStyle name="Акцент5 9 2" xfId="49443"/>
    <cellStyle name="Акцент5 9 3" xfId="49444"/>
    <cellStyle name="Акцент6 10" xfId="49445"/>
    <cellStyle name="Акцент6 10 2" xfId="49446"/>
    <cellStyle name="Акцент6 10 3" xfId="49447"/>
    <cellStyle name="Акцент6 11" xfId="49448"/>
    <cellStyle name="Акцент6 11 2" xfId="49449"/>
    <cellStyle name="Акцент6 11 3" xfId="49450"/>
    <cellStyle name="Акцент6 12" xfId="49451"/>
    <cellStyle name="Акцент6 12 2" xfId="49452"/>
    <cellStyle name="Акцент6 12 3" xfId="49453"/>
    <cellStyle name="Акцент6 13" xfId="49454"/>
    <cellStyle name="Акцент6 14" xfId="49455"/>
    <cellStyle name="Акцент6 2" xfId="49456"/>
    <cellStyle name="Акцент6 2 2" xfId="49457"/>
    <cellStyle name="Акцент6 2 3" xfId="49458"/>
    <cellStyle name="Акцент6 2 4" xfId="49459"/>
    <cellStyle name="Акцент6 3" xfId="49460"/>
    <cellStyle name="Акцент6 3 2" xfId="49461"/>
    <cellStyle name="Акцент6 3 3" xfId="49462"/>
    <cellStyle name="Акцент6 4" xfId="49463"/>
    <cellStyle name="Акцент6 4 2" xfId="49464"/>
    <cellStyle name="Акцент6 4 3" xfId="49465"/>
    <cellStyle name="Акцент6 5" xfId="49466"/>
    <cellStyle name="Акцент6 5 2" xfId="49467"/>
    <cellStyle name="Акцент6 5 3" xfId="49468"/>
    <cellStyle name="Акцент6 6" xfId="49469"/>
    <cellStyle name="Акцент6 6 2" xfId="49470"/>
    <cellStyle name="Акцент6 6 3" xfId="49471"/>
    <cellStyle name="Акцент6 7" xfId="49472"/>
    <cellStyle name="Акцент6 7 2" xfId="49473"/>
    <cellStyle name="Акцент6 7 3" xfId="49474"/>
    <cellStyle name="Акцент6 8" xfId="49475"/>
    <cellStyle name="Акцент6 8 2" xfId="49476"/>
    <cellStyle name="Акцент6 8 3" xfId="49477"/>
    <cellStyle name="Акцент6 9" xfId="49478"/>
    <cellStyle name="Акцент6 9 2" xfId="49479"/>
    <cellStyle name="Акцент6 9 3" xfId="49480"/>
    <cellStyle name="Беззащитный" xfId="49481"/>
    <cellStyle name="Беззащитный 2" xfId="49482"/>
    <cellStyle name="Беззащитный 3" xfId="49483"/>
    <cellStyle name="вагоны" xfId="49484"/>
    <cellStyle name="Ввод  10" xfId="49485"/>
    <cellStyle name="Ввод  10 2" xfId="49486"/>
    <cellStyle name="Ввод  10 3" xfId="49487"/>
    <cellStyle name="Ввод  11" xfId="49488"/>
    <cellStyle name="Ввод  11 2" xfId="49489"/>
    <cellStyle name="Ввод  11 3" xfId="49490"/>
    <cellStyle name="Ввод  12" xfId="49491"/>
    <cellStyle name="Ввод  12 2" xfId="49492"/>
    <cellStyle name="Ввод  12 3" xfId="49493"/>
    <cellStyle name="Ввод  13" xfId="49494"/>
    <cellStyle name="Ввод  14" xfId="49495"/>
    <cellStyle name="Ввод  14 2" xfId="49496"/>
    <cellStyle name="Ввод  14 3" xfId="49497"/>
    <cellStyle name="Ввод  14 3 2" xfId="49498"/>
    <cellStyle name="Ввод  14 4" xfId="49499"/>
    <cellStyle name="Ввод  14 5" xfId="49500"/>
    <cellStyle name="Ввод  14 6" xfId="49501"/>
    <cellStyle name="Ввод  15" xfId="49502"/>
    <cellStyle name="Ввод  16" xfId="49503"/>
    <cellStyle name="Ввод  16 2" xfId="49504"/>
    <cellStyle name="Ввод  17" xfId="49505"/>
    <cellStyle name="Ввод  2" xfId="49506"/>
    <cellStyle name="Ввод  2 2" xfId="49507"/>
    <cellStyle name="Ввод  2 3" xfId="49508"/>
    <cellStyle name="Ввод  3" xfId="49509"/>
    <cellStyle name="Ввод  3 2" xfId="49510"/>
    <cellStyle name="Ввод  3 3" xfId="49511"/>
    <cellStyle name="Ввод  4" xfId="49512"/>
    <cellStyle name="Ввод  4 2" xfId="49513"/>
    <cellStyle name="Ввод  4 3" xfId="49514"/>
    <cellStyle name="Ввод  5" xfId="49515"/>
    <cellStyle name="Ввод  5 2" xfId="49516"/>
    <cellStyle name="Ввод  5 3" xfId="49517"/>
    <cellStyle name="Ввод  6" xfId="49518"/>
    <cellStyle name="Ввод  6 2" xfId="49519"/>
    <cellStyle name="Ввод  6 3" xfId="49520"/>
    <cellStyle name="Ввод  7" xfId="49521"/>
    <cellStyle name="Ввод  7 2" xfId="49522"/>
    <cellStyle name="Ввод  7 3" xfId="49523"/>
    <cellStyle name="Ввод  8" xfId="49524"/>
    <cellStyle name="Ввод  8 2" xfId="49525"/>
    <cellStyle name="Ввод  8 3" xfId="49526"/>
    <cellStyle name="Ввод  9" xfId="49527"/>
    <cellStyle name="Ввод  9 2" xfId="49528"/>
    <cellStyle name="Ввод  9 3" xfId="49529"/>
    <cellStyle name="Вывод 10" xfId="49530"/>
    <cellStyle name="Вывод 10 2" xfId="49531"/>
    <cellStyle name="Вывод 10 3" xfId="49532"/>
    <cellStyle name="Вывод 11" xfId="49533"/>
    <cellStyle name="Вывод 11 2" xfId="49534"/>
    <cellStyle name="Вывод 11 3" xfId="49535"/>
    <cellStyle name="Вывод 12" xfId="49536"/>
    <cellStyle name="Вывод 12 2" xfId="49537"/>
    <cellStyle name="Вывод 12 3" xfId="49538"/>
    <cellStyle name="Вывод 13" xfId="49539"/>
    <cellStyle name="Вывод 14" xfId="49540"/>
    <cellStyle name="Вывод 14 2" xfId="49541"/>
    <cellStyle name="Вывод 14 3" xfId="49542"/>
    <cellStyle name="Вывод 14 3 2" xfId="49543"/>
    <cellStyle name="Вывод 14 4" xfId="49544"/>
    <cellStyle name="Вывод 14 5" xfId="49545"/>
    <cellStyle name="Вывод 14 6" xfId="49546"/>
    <cellStyle name="Вывод 15" xfId="49547"/>
    <cellStyle name="Вывод 16" xfId="49548"/>
    <cellStyle name="Вывод 16 2" xfId="49549"/>
    <cellStyle name="Вывод 17" xfId="49550"/>
    <cellStyle name="Вывод 2" xfId="49551"/>
    <cellStyle name="Вывод 2 2" xfId="49552"/>
    <cellStyle name="Вывод 2 3" xfId="49553"/>
    <cellStyle name="Вывод 3" xfId="49554"/>
    <cellStyle name="Вывод 3 2" xfId="49555"/>
    <cellStyle name="Вывод 3 3" xfId="49556"/>
    <cellStyle name="Вывод 4" xfId="49557"/>
    <cellStyle name="Вывод 4 2" xfId="49558"/>
    <cellStyle name="Вывод 4 3" xfId="49559"/>
    <cellStyle name="Вывод 5" xfId="49560"/>
    <cellStyle name="Вывод 5 2" xfId="49561"/>
    <cellStyle name="Вывод 5 3" xfId="49562"/>
    <cellStyle name="Вывод 6" xfId="49563"/>
    <cellStyle name="Вывод 6 2" xfId="49564"/>
    <cellStyle name="Вывод 6 3" xfId="49565"/>
    <cellStyle name="Вывод 7" xfId="49566"/>
    <cellStyle name="Вывод 7 2" xfId="49567"/>
    <cellStyle name="Вывод 7 3" xfId="49568"/>
    <cellStyle name="Вывод 8" xfId="49569"/>
    <cellStyle name="Вывод 8 2" xfId="49570"/>
    <cellStyle name="Вывод 8 3" xfId="49571"/>
    <cellStyle name="Вывод 9" xfId="49572"/>
    <cellStyle name="Вывод 9 2" xfId="49573"/>
    <cellStyle name="Вывод 9 3" xfId="49574"/>
    <cellStyle name="Вычисление 10" xfId="49575"/>
    <cellStyle name="Вычисление 10 2" xfId="49576"/>
    <cellStyle name="Вычисление 10 3" xfId="49577"/>
    <cellStyle name="Вычисление 11" xfId="49578"/>
    <cellStyle name="Вычисление 11 2" xfId="49579"/>
    <cellStyle name="Вычисление 11 3" xfId="49580"/>
    <cellStyle name="Вычисление 12" xfId="49581"/>
    <cellStyle name="Вычисление 12 2" xfId="49582"/>
    <cellStyle name="Вычисление 12 3" xfId="49583"/>
    <cellStyle name="Вычисление 13" xfId="49584"/>
    <cellStyle name="Вычисление 14" xfId="49585"/>
    <cellStyle name="Вычисление 14 2" xfId="49586"/>
    <cellStyle name="Вычисление 14 3" xfId="49587"/>
    <cellStyle name="Вычисление 14 3 2" xfId="49588"/>
    <cellStyle name="Вычисление 14 4" xfId="49589"/>
    <cellStyle name="Вычисление 14 5" xfId="49590"/>
    <cellStyle name="Вычисление 14 6" xfId="49591"/>
    <cellStyle name="Вычисление 15" xfId="49592"/>
    <cellStyle name="Вычисление 16" xfId="49593"/>
    <cellStyle name="Вычисление 16 2" xfId="49594"/>
    <cellStyle name="Вычисление 17" xfId="49595"/>
    <cellStyle name="Вычисление 2" xfId="49596"/>
    <cellStyle name="Вычисление 2 2" xfId="49597"/>
    <cellStyle name="Вычисление 2 3" xfId="49598"/>
    <cellStyle name="Вычисление 3" xfId="49599"/>
    <cellStyle name="Вычисление 3 2" xfId="49600"/>
    <cellStyle name="Вычисление 3 3" xfId="49601"/>
    <cellStyle name="Вычисление 4" xfId="49602"/>
    <cellStyle name="Вычисление 4 2" xfId="49603"/>
    <cellStyle name="Вычисление 4 3" xfId="49604"/>
    <cellStyle name="Вычисление 5" xfId="49605"/>
    <cellStyle name="Вычисление 5 2" xfId="49606"/>
    <cellStyle name="Вычисление 5 3" xfId="49607"/>
    <cellStyle name="Вычисление 6" xfId="49608"/>
    <cellStyle name="Вычисление 6 2" xfId="49609"/>
    <cellStyle name="Вычисление 6 3" xfId="49610"/>
    <cellStyle name="Вычисление 7" xfId="49611"/>
    <cellStyle name="Вычисление 7 2" xfId="49612"/>
    <cellStyle name="Вычисление 7 3" xfId="49613"/>
    <cellStyle name="Вычисление 8" xfId="49614"/>
    <cellStyle name="Вычисление 8 2" xfId="49615"/>
    <cellStyle name="Вычисление 8 3" xfId="49616"/>
    <cellStyle name="Вычисление 9" xfId="49617"/>
    <cellStyle name="Вычисление 9 2" xfId="49618"/>
    <cellStyle name="Вычисление 9 3" xfId="49619"/>
    <cellStyle name="Гиперссылка 2" xfId="49620"/>
    <cellStyle name="Гиперссылка 2 2" xfId="49621"/>
    <cellStyle name="Гиперссылка 2 2 2" xfId="49622"/>
    <cellStyle name="Гиперссылка 2 3" xfId="49623"/>
    <cellStyle name="Гиперссылка 2 4" xfId="49624"/>
    <cellStyle name="Гиперссылка 2 5" xfId="49625"/>
    <cellStyle name="Гиперссылка 3" xfId="49626"/>
    <cellStyle name="Гиперссылка 3 2" xfId="49627"/>
    <cellStyle name="Гиперссылка 3 3" xfId="49628"/>
    <cellStyle name="Гиперссылка 4" xfId="49629"/>
    <cellStyle name="Гиперссылка 4 2" xfId="49630"/>
    <cellStyle name="Гиперссылка 5" xfId="49631"/>
    <cellStyle name="Гиперссылка 5 2" xfId="49632"/>
    <cellStyle name="Гиперссылка 6" xfId="49633"/>
    <cellStyle name="Гиперссылка 6 2" xfId="49634"/>
    <cellStyle name="Гиперссылка 7" xfId="49635"/>
    <cellStyle name="Гиперссылка 7 2" xfId="49636"/>
    <cellStyle name="Гиперссылка 8" xfId="49637"/>
    <cellStyle name="Гиперссылка 9" xfId="49638"/>
    <cellStyle name="Дата" xfId="49639"/>
    <cellStyle name="Дата 2" xfId="49640"/>
    <cellStyle name="Дата UTL" xfId="49641"/>
    <cellStyle name="Дата UTL 2" xfId="49642"/>
    <cellStyle name="Дата UTL 3" xfId="49643"/>
    <cellStyle name="Денежный" xfId="49644" builtinId="4"/>
    <cellStyle name="Денежный (0)" xfId="49645"/>
    <cellStyle name="Денежный 10" xfId="49646"/>
    <cellStyle name="Денежный 11" xfId="49647"/>
    <cellStyle name="Денежный 12" xfId="49648"/>
    <cellStyle name="Денежный 2" xfId="49649"/>
    <cellStyle name="Денежный 2 2" xfId="49650"/>
    <cellStyle name="Денежный 2 2 2" xfId="49651"/>
    <cellStyle name="Денежный 2 3" xfId="49652"/>
    <cellStyle name="Денежный 2 4" xfId="49653"/>
    <cellStyle name="Денежный 3" xfId="49654"/>
    <cellStyle name="Денежный 3 2" xfId="49655"/>
    <cellStyle name="Денежный 4" xfId="49656"/>
    <cellStyle name="Денежный 5" xfId="49657"/>
    <cellStyle name="Денежный 6" xfId="49658"/>
    <cellStyle name="Денежный 6 2" xfId="49659"/>
    <cellStyle name="Денежный 7" xfId="49660"/>
    <cellStyle name="Денежный 8" xfId="49661"/>
    <cellStyle name="Денежный 9" xfId="49662"/>
    <cellStyle name="ДЮё¶ [0]_±вЕё" xfId="49663"/>
    <cellStyle name="ДЮё¶_±вЕё" xfId="49664"/>
    <cellStyle name="ЕлИ­ [0]_±вЕё" xfId="49665"/>
    <cellStyle name="ЕлИ­_±вЕё" xfId="49666"/>
    <cellStyle name="ефиду" xfId="49667"/>
    <cellStyle name="Заг" xfId="49668"/>
    <cellStyle name="Заг 10" xfId="49669"/>
    <cellStyle name="Заг 10 10" xfId="49670"/>
    <cellStyle name="Заг 10 11" xfId="49671"/>
    <cellStyle name="Заг 10 12" xfId="49672"/>
    <cellStyle name="Заг 10 13" xfId="49673"/>
    <cellStyle name="Заг 10 14" xfId="49674"/>
    <cellStyle name="Заг 10 15" xfId="49675"/>
    <cellStyle name="Заг 10 16" xfId="49676"/>
    <cellStyle name="Заг 10 17" xfId="49677"/>
    <cellStyle name="Заг 10 18" xfId="49678"/>
    <cellStyle name="Заг 10 19" xfId="49679"/>
    <cellStyle name="Заг 10 2" xfId="49680"/>
    <cellStyle name="Заг 10 2 10" xfId="49681"/>
    <cellStyle name="Заг 10 2 11" xfId="49682"/>
    <cellStyle name="Заг 10 2 12" xfId="49683"/>
    <cellStyle name="Заг 10 2 13" xfId="49684"/>
    <cellStyle name="Заг 10 2 14" xfId="49685"/>
    <cellStyle name="Заг 10 2 15" xfId="49686"/>
    <cellStyle name="Заг 10 2 16" xfId="49687"/>
    <cellStyle name="Заг 10 2 17" xfId="49688"/>
    <cellStyle name="Заг 10 2 18" xfId="49689"/>
    <cellStyle name="Заг 10 2 2" xfId="49690"/>
    <cellStyle name="Заг 10 2 2 2" xfId="49691"/>
    <cellStyle name="Заг 10 2 2 2 2" xfId="49692"/>
    <cellStyle name="Заг 10 2 2 3" xfId="49693"/>
    <cellStyle name="Заг 10 2 2 4" xfId="49694"/>
    <cellStyle name="Заг 10 2 3" xfId="49695"/>
    <cellStyle name="Заг 10 2 3 2" xfId="49696"/>
    <cellStyle name="Заг 10 2 3 3" xfId="49697"/>
    <cellStyle name="Заг 10 2 4" xfId="49698"/>
    <cellStyle name="Заг 10 2 4 2" xfId="49699"/>
    <cellStyle name="Заг 10 2 5" xfId="49700"/>
    <cellStyle name="Заг 10 2 6" xfId="49701"/>
    <cellStyle name="Заг 10 2 7" xfId="49702"/>
    <cellStyle name="Заг 10 2 8" xfId="49703"/>
    <cellStyle name="Заг 10 2 9" xfId="49704"/>
    <cellStyle name="Заг 10 20" xfId="49705"/>
    <cellStyle name="Заг 10 3" xfId="49706"/>
    <cellStyle name="Заг 10 3 10" xfId="49707"/>
    <cellStyle name="Заг 10 3 11" xfId="49708"/>
    <cellStyle name="Заг 10 3 12" xfId="49709"/>
    <cellStyle name="Заг 10 3 13" xfId="49710"/>
    <cellStyle name="Заг 10 3 14" xfId="49711"/>
    <cellStyle name="Заг 10 3 15" xfId="49712"/>
    <cellStyle name="Заг 10 3 16" xfId="49713"/>
    <cellStyle name="Заг 10 3 17" xfId="49714"/>
    <cellStyle name="Заг 10 3 18" xfId="49715"/>
    <cellStyle name="Заг 10 3 2" xfId="49716"/>
    <cellStyle name="Заг 10 3 2 2" xfId="49717"/>
    <cellStyle name="Заг 10 3 2 2 2" xfId="49718"/>
    <cellStyle name="Заг 10 3 2 3" xfId="49719"/>
    <cellStyle name="Заг 10 3 2 4" xfId="49720"/>
    <cellStyle name="Заг 10 3 3" xfId="49721"/>
    <cellStyle name="Заг 10 3 3 2" xfId="49722"/>
    <cellStyle name="Заг 10 3 3 3" xfId="49723"/>
    <cellStyle name="Заг 10 3 4" xfId="49724"/>
    <cellStyle name="Заг 10 3 4 2" xfId="49725"/>
    <cellStyle name="Заг 10 3 5" xfId="49726"/>
    <cellStyle name="Заг 10 3 6" xfId="49727"/>
    <cellStyle name="Заг 10 3 7" xfId="49728"/>
    <cellStyle name="Заг 10 3 8" xfId="49729"/>
    <cellStyle name="Заг 10 3 9" xfId="49730"/>
    <cellStyle name="Заг 10 4" xfId="49731"/>
    <cellStyle name="Заг 10 4 2" xfId="49732"/>
    <cellStyle name="Заг 10 4 2 2" xfId="49733"/>
    <cellStyle name="Заг 10 4 2 3" xfId="49734"/>
    <cellStyle name="Заг 10 4 3" xfId="49735"/>
    <cellStyle name="Заг 10 4 3 2" xfId="49736"/>
    <cellStyle name="Заг 10 4 4" xfId="49737"/>
    <cellStyle name="Заг 10 4 5" xfId="49738"/>
    <cellStyle name="Заг 10 5" xfId="49739"/>
    <cellStyle name="Заг 10 5 2" xfId="49740"/>
    <cellStyle name="Заг 10 5 2 2" xfId="49741"/>
    <cellStyle name="Заг 10 5 3" xfId="49742"/>
    <cellStyle name="Заг 10 5 4" xfId="49743"/>
    <cellStyle name="Заг 10 6" xfId="49744"/>
    <cellStyle name="Заг 10 6 2" xfId="49745"/>
    <cellStyle name="Заг 10 7" xfId="49746"/>
    <cellStyle name="Заг 10 8" xfId="49747"/>
    <cellStyle name="Заг 10 9" xfId="49748"/>
    <cellStyle name="Заг 11" xfId="49749"/>
    <cellStyle name="Заг 11 10" xfId="49750"/>
    <cellStyle name="Заг 11 11" xfId="49751"/>
    <cellStyle name="Заг 11 12" xfId="49752"/>
    <cellStyle name="Заг 11 13" xfId="49753"/>
    <cellStyle name="Заг 11 14" xfId="49754"/>
    <cellStyle name="Заг 11 15" xfId="49755"/>
    <cellStyle name="Заг 11 16" xfId="49756"/>
    <cellStyle name="Заг 11 17" xfId="49757"/>
    <cellStyle name="Заг 11 2" xfId="49758"/>
    <cellStyle name="Заг 11 2 2" xfId="49759"/>
    <cellStyle name="Заг 11 2 2 2" xfId="49760"/>
    <cellStyle name="Заг 11 2 3" xfId="49761"/>
    <cellStyle name="Заг 11 2 4" xfId="49762"/>
    <cellStyle name="Заг 11 3" xfId="49763"/>
    <cellStyle name="Заг 11 3 2" xfId="49764"/>
    <cellStyle name="Заг 11 4" xfId="49765"/>
    <cellStyle name="Заг 11 5" xfId="49766"/>
    <cellStyle name="Заг 11 6" xfId="49767"/>
    <cellStyle name="Заг 11 7" xfId="49768"/>
    <cellStyle name="Заг 11 8" xfId="49769"/>
    <cellStyle name="Заг 11 9" xfId="49770"/>
    <cellStyle name="Заг 12" xfId="49771"/>
    <cellStyle name="Заг 12 2" xfId="49772"/>
    <cellStyle name="Заг 12 2 2" xfId="49773"/>
    <cellStyle name="Заг 12 2 2 2" xfId="49774"/>
    <cellStyle name="Заг 12 2 3" xfId="49775"/>
    <cellStyle name="Заг 12 2 4" xfId="49776"/>
    <cellStyle name="Заг 12 3" xfId="49777"/>
    <cellStyle name="Заг 12 3 2" xfId="49778"/>
    <cellStyle name="Заг 12 3 3" xfId="49779"/>
    <cellStyle name="Заг 12 4" xfId="49780"/>
    <cellStyle name="Заг 12 4 2" xfId="49781"/>
    <cellStyle name="Заг 12 5" xfId="49782"/>
    <cellStyle name="Заг 12 6" xfId="49783"/>
    <cellStyle name="Заг 13" xfId="49784"/>
    <cellStyle name="Заг 13 2" xfId="49785"/>
    <cellStyle name="Заг 13 2 2" xfId="49786"/>
    <cellStyle name="Заг 13 3" xfId="49787"/>
    <cellStyle name="Заг 13 4" xfId="49788"/>
    <cellStyle name="Заг 14" xfId="49789"/>
    <cellStyle name="Заг 15" xfId="49790"/>
    <cellStyle name="Заг 16" xfId="49791"/>
    <cellStyle name="Заг 17" xfId="49792"/>
    <cellStyle name="Заг 18" xfId="49793"/>
    <cellStyle name="Заг 19" xfId="49794"/>
    <cellStyle name="Заг 2" xfId="49795"/>
    <cellStyle name="Заг 2 10" xfId="49796"/>
    <cellStyle name="Заг 2 11" xfId="49797"/>
    <cellStyle name="Заг 2 12" xfId="49798"/>
    <cellStyle name="Заг 2 13" xfId="49799"/>
    <cellStyle name="Заг 2 14" xfId="49800"/>
    <cellStyle name="Заг 2 15" xfId="49801"/>
    <cellStyle name="Заг 2 16" xfId="49802"/>
    <cellStyle name="Заг 2 17" xfId="49803"/>
    <cellStyle name="Заг 2 18" xfId="49804"/>
    <cellStyle name="Заг 2 19" xfId="49805"/>
    <cellStyle name="Заг 2 2" xfId="49806"/>
    <cellStyle name="Заг 2 2 10" xfId="49807"/>
    <cellStyle name="Заг 2 2 11" xfId="49808"/>
    <cellStyle name="Заг 2 2 12" xfId="49809"/>
    <cellStyle name="Заг 2 2 13" xfId="49810"/>
    <cellStyle name="Заг 2 2 14" xfId="49811"/>
    <cellStyle name="Заг 2 2 15" xfId="49812"/>
    <cellStyle name="Заг 2 2 16" xfId="49813"/>
    <cellStyle name="Заг 2 2 17" xfId="49814"/>
    <cellStyle name="Заг 2 2 18" xfId="49815"/>
    <cellStyle name="Заг 2 2 19" xfId="49816"/>
    <cellStyle name="Заг 2 2 2" xfId="49817"/>
    <cellStyle name="Заг 2 2 2 10" xfId="49818"/>
    <cellStyle name="Заг 2 2 2 11" xfId="49819"/>
    <cellStyle name="Заг 2 2 2 12" xfId="49820"/>
    <cellStyle name="Заг 2 2 2 13" xfId="49821"/>
    <cellStyle name="Заг 2 2 2 14" xfId="49822"/>
    <cellStyle name="Заг 2 2 2 15" xfId="49823"/>
    <cellStyle name="Заг 2 2 2 16" xfId="49824"/>
    <cellStyle name="Заг 2 2 2 17" xfId="49825"/>
    <cellStyle name="Заг 2 2 2 18" xfId="49826"/>
    <cellStyle name="Заг 2 2 2 2" xfId="49827"/>
    <cellStyle name="Заг 2 2 2 2 2" xfId="49828"/>
    <cellStyle name="Заг 2 2 2 2 2 2" xfId="49829"/>
    <cellStyle name="Заг 2 2 2 2 3" xfId="49830"/>
    <cellStyle name="Заг 2 2 2 2 4" xfId="49831"/>
    <cellStyle name="Заг 2 2 2 3" xfId="49832"/>
    <cellStyle name="Заг 2 2 2 3 2" xfId="49833"/>
    <cellStyle name="Заг 2 2 2 3 3" xfId="49834"/>
    <cellStyle name="Заг 2 2 2 4" xfId="49835"/>
    <cellStyle name="Заг 2 2 2 4 2" xfId="49836"/>
    <cellStyle name="Заг 2 2 2 5" xfId="49837"/>
    <cellStyle name="Заг 2 2 2 6" xfId="49838"/>
    <cellStyle name="Заг 2 2 2 7" xfId="49839"/>
    <cellStyle name="Заг 2 2 2 8" xfId="49840"/>
    <cellStyle name="Заг 2 2 2 9" xfId="49841"/>
    <cellStyle name="Заг 2 2 3" xfId="49842"/>
    <cellStyle name="Заг 2 2 3 10" xfId="49843"/>
    <cellStyle name="Заг 2 2 3 11" xfId="49844"/>
    <cellStyle name="Заг 2 2 3 12" xfId="49845"/>
    <cellStyle name="Заг 2 2 3 13" xfId="49846"/>
    <cellStyle name="Заг 2 2 3 14" xfId="49847"/>
    <cellStyle name="Заг 2 2 3 15" xfId="49848"/>
    <cellStyle name="Заг 2 2 3 16" xfId="49849"/>
    <cellStyle name="Заг 2 2 3 17" xfId="49850"/>
    <cellStyle name="Заг 2 2 3 18" xfId="49851"/>
    <cellStyle name="Заг 2 2 3 2" xfId="49852"/>
    <cellStyle name="Заг 2 2 3 2 2" xfId="49853"/>
    <cellStyle name="Заг 2 2 3 2 2 2" xfId="49854"/>
    <cellStyle name="Заг 2 2 3 2 3" xfId="49855"/>
    <cellStyle name="Заг 2 2 3 2 4" xfId="49856"/>
    <cellStyle name="Заг 2 2 3 3" xfId="49857"/>
    <cellStyle name="Заг 2 2 3 3 2" xfId="49858"/>
    <cellStyle name="Заг 2 2 3 3 3" xfId="49859"/>
    <cellStyle name="Заг 2 2 3 4" xfId="49860"/>
    <cellStyle name="Заг 2 2 3 4 2" xfId="49861"/>
    <cellStyle name="Заг 2 2 3 5" xfId="49862"/>
    <cellStyle name="Заг 2 2 3 6" xfId="49863"/>
    <cellStyle name="Заг 2 2 3 7" xfId="49864"/>
    <cellStyle name="Заг 2 2 3 8" xfId="49865"/>
    <cellStyle name="Заг 2 2 3 9" xfId="49866"/>
    <cellStyle name="Заг 2 2 4" xfId="49867"/>
    <cellStyle name="Заг 2 2 4 2" xfId="49868"/>
    <cellStyle name="Заг 2 2 4 2 2" xfId="49869"/>
    <cellStyle name="Заг 2 2 4 2 3" xfId="49870"/>
    <cellStyle name="Заг 2 2 4 3" xfId="49871"/>
    <cellStyle name="Заг 2 2 4 3 2" xfId="49872"/>
    <cellStyle name="Заг 2 2 4 4" xfId="49873"/>
    <cellStyle name="Заг 2 2 4 5" xfId="49874"/>
    <cellStyle name="Заг 2 2 5" xfId="49875"/>
    <cellStyle name="Заг 2 2 5 2" xfId="49876"/>
    <cellStyle name="Заг 2 2 5 2 2" xfId="49877"/>
    <cellStyle name="Заг 2 2 5 3" xfId="49878"/>
    <cellStyle name="Заг 2 2 5 4" xfId="49879"/>
    <cellStyle name="Заг 2 2 6" xfId="49880"/>
    <cellStyle name="Заг 2 2 6 2" xfId="49881"/>
    <cellStyle name="Заг 2 2 7" xfId="49882"/>
    <cellStyle name="Заг 2 2 8" xfId="49883"/>
    <cellStyle name="Заг 2 2 9" xfId="49884"/>
    <cellStyle name="Заг 2 20" xfId="49885"/>
    <cellStyle name="Заг 2 21" xfId="49886"/>
    <cellStyle name="Заг 2 22" xfId="49887"/>
    <cellStyle name="Заг 2 23" xfId="49888"/>
    <cellStyle name="Заг 2 24" xfId="49889"/>
    <cellStyle name="Заг 2 3" xfId="49890"/>
    <cellStyle name="Заг 2 3 10" xfId="49891"/>
    <cellStyle name="Заг 2 3 11" xfId="49892"/>
    <cellStyle name="Заг 2 3 12" xfId="49893"/>
    <cellStyle name="Заг 2 3 13" xfId="49894"/>
    <cellStyle name="Заг 2 3 14" xfId="49895"/>
    <cellStyle name="Заг 2 3 15" xfId="49896"/>
    <cellStyle name="Заг 2 3 16" xfId="49897"/>
    <cellStyle name="Заг 2 3 17" xfId="49898"/>
    <cellStyle name="Заг 2 3 18" xfId="49899"/>
    <cellStyle name="Заг 2 3 19" xfId="49900"/>
    <cellStyle name="Заг 2 3 2" xfId="49901"/>
    <cellStyle name="Заг 2 3 2 10" xfId="49902"/>
    <cellStyle name="Заг 2 3 2 11" xfId="49903"/>
    <cellStyle name="Заг 2 3 2 12" xfId="49904"/>
    <cellStyle name="Заг 2 3 2 13" xfId="49905"/>
    <cellStyle name="Заг 2 3 2 14" xfId="49906"/>
    <cellStyle name="Заг 2 3 2 15" xfId="49907"/>
    <cellStyle name="Заг 2 3 2 16" xfId="49908"/>
    <cellStyle name="Заг 2 3 2 17" xfId="49909"/>
    <cellStyle name="Заг 2 3 2 18" xfId="49910"/>
    <cellStyle name="Заг 2 3 2 2" xfId="49911"/>
    <cellStyle name="Заг 2 3 2 2 2" xfId="49912"/>
    <cellStyle name="Заг 2 3 2 2 2 2" xfId="49913"/>
    <cellStyle name="Заг 2 3 2 2 3" xfId="49914"/>
    <cellStyle name="Заг 2 3 2 2 4" xfId="49915"/>
    <cellStyle name="Заг 2 3 2 3" xfId="49916"/>
    <cellStyle name="Заг 2 3 2 3 2" xfId="49917"/>
    <cellStyle name="Заг 2 3 2 3 3" xfId="49918"/>
    <cellStyle name="Заг 2 3 2 4" xfId="49919"/>
    <cellStyle name="Заг 2 3 2 4 2" xfId="49920"/>
    <cellStyle name="Заг 2 3 2 5" xfId="49921"/>
    <cellStyle name="Заг 2 3 2 6" xfId="49922"/>
    <cellStyle name="Заг 2 3 2 7" xfId="49923"/>
    <cellStyle name="Заг 2 3 2 8" xfId="49924"/>
    <cellStyle name="Заг 2 3 2 9" xfId="49925"/>
    <cellStyle name="Заг 2 3 20" xfId="49926"/>
    <cellStyle name="Заг 2 3 21" xfId="49927"/>
    <cellStyle name="Заг 2 3 3" xfId="49928"/>
    <cellStyle name="Заг 2 3 3 10" xfId="49929"/>
    <cellStyle name="Заг 2 3 3 11" xfId="49930"/>
    <cellStyle name="Заг 2 3 3 12" xfId="49931"/>
    <cellStyle name="Заг 2 3 3 13" xfId="49932"/>
    <cellStyle name="Заг 2 3 3 14" xfId="49933"/>
    <cellStyle name="Заг 2 3 3 15" xfId="49934"/>
    <cellStyle name="Заг 2 3 3 16" xfId="49935"/>
    <cellStyle name="Заг 2 3 3 17" xfId="49936"/>
    <cellStyle name="Заг 2 3 3 18" xfId="49937"/>
    <cellStyle name="Заг 2 3 3 2" xfId="49938"/>
    <cellStyle name="Заг 2 3 3 2 2" xfId="49939"/>
    <cellStyle name="Заг 2 3 3 2 2 2" xfId="49940"/>
    <cellStyle name="Заг 2 3 3 2 3" xfId="49941"/>
    <cellStyle name="Заг 2 3 3 2 4" xfId="49942"/>
    <cellStyle name="Заг 2 3 3 3" xfId="49943"/>
    <cellStyle name="Заг 2 3 3 3 2" xfId="49944"/>
    <cellStyle name="Заг 2 3 3 3 3" xfId="49945"/>
    <cellStyle name="Заг 2 3 3 4" xfId="49946"/>
    <cellStyle name="Заг 2 3 3 4 2" xfId="49947"/>
    <cellStyle name="Заг 2 3 3 5" xfId="49948"/>
    <cellStyle name="Заг 2 3 3 6" xfId="49949"/>
    <cellStyle name="Заг 2 3 3 7" xfId="49950"/>
    <cellStyle name="Заг 2 3 3 8" xfId="49951"/>
    <cellStyle name="Заг 2 3 3 9" xfId="49952"/>
    <cellStyle name="Заг 2 3 4" xfId="49953"/>
    <cellStyle name="Заг 2 3 4 2" xfId="49954"/>
    <cellStyle name="Заг 2 3 4 2 2" xfId="49955"/>
    <cellStyle name="Заг 2 3 4 2 3" xfId="49956"/>
    <cellStyle name="Заг 2 3 4 3" xfId="49957"/>
    <cellStyle name="Заг 2 3 4 3 2" xfId="49958"/>
    <cellStyle name="Заг 2 3 4 4" xfId="49959"/>
    <cellStyle name="Заг 2 3 4 5" xfId="49960"/>
    <cellStyle name="Заг 2 3 5" xfId="49961"/>
    <cellStyle name="Заг 2 3 5 2" xfId="49962"/>
    <cellStyle name="Заг 2 3 5 2 2" xfId="49963"/>
    <cellStyle name="Заг 2 3 5 3" xfId="49964"/>
    <cellStyle name="Заг 2 3 5 4" xfId="49965"/>
    <cellStyle name="Заг 2 3 6" xfId="49966"/>
    <cellStyle name="Заг 2 3 6 2" xfId="49967"/>
    <cellStyle name="Заг 2 3 7" xfId="49968"/>
    <cellStyle name="Заг 2 3 8" xfId="49969"/>
    <cellStyle name="Заг 2 3 9" xfId="49970"/>
    <cellStyle name="Заг 2 4" xfId="49971"/>
    <cellStyle name="Заг 2 4 10" xfId="49972"/>
    <cellStyle name="Заг 2 4 11" xfId="49973"/>
    <cellStyle name="Заг 2 4 12" xfId="49974"/>
    <cellStyle name="Заг 2 4 13" xfId="49975"/>
    <cellStyle name="Заг 2 4 14" xfId="49976"/>
    <cellStyle name="Заг 2 4 15" xfId="49977"/>
    <cellStyle name="Заг 2 4 16" xfId="49978"/>
    <cellStyle name="Заг 2 4 17" xfId="49979"/>
    <cellStyle name="Заг 2 4 18" xfId="49980"/>
    <cellStyle name="Заг 2 4 19" xfId="49981"/>
    <cellStyle name="Заг 2 4 2" xfId="49982"/>
    <cellStyle name="Заг 2 4 2 10" xfId="49983"/>
    <cellStyle name="Заг 2 4 2 11" xfId="49984"/>
    <cellStyle name="Заг 2 4 2 12" xfId="49985"/>
    <cellStyle name="Заг 2 4 2 13" xfId="49986"/>
    <cellStyle name="Заг 2 4 2 14" xfId="49987"/>
    <cellStyle name="Заг 2 4 2 15" xfId="49988"/>
    <cellStyle name="Заг 2 4 2 16" xfId="49989"/>
    <cellStyle name="Заг 2 4 2 17" xfId="49990"/>
    <cellStyle name="Заг 2 4 2 18" xfId="49991"/>
    <cellStyle name="Заг 2 4 2 2" xfId="49992"/>
    <cellStyle name="Заг 2 4 2 2 2" xfId="49993"/>
    <cellStyle name="Заг 2 4 2 2 2 2" xfId="49994"/>
    <cellStyle name="Заг 2 4 2 2 3" xfId="49995"/>
    <cellStyle name="Заг 2 4 2 2 4" xfId="49996"/>
    <cellStyle name="Заг 2 4 2 3" xfId="49997"/>
    <cellStyle name="Заг 2 4 2 3 2" xfId="49998"/>
    <cellStyle name="Заг 2 4 2 3 3" xfId="49999"/>
    <cellStyle name="Заг 2 4 2 4" xfId="50000"/>
    <cellStyle name="Заг 2 4 2 4 2" xfId="50001"/>
    <cellStyle name="Заг 2 4 2 5" xfId="50002"/>
    <cellStyle name="Заг 2 4 2 6" xfId="50003"/>
    <cellStyle name="Заг 2 4 2 7" xfId="50004"/>
    <cellStyle name="Заг 2 4 2 8" xfId="50005"/>
    <cellStyle name="Заг 2 4 2 9" xfId="50006"/>
    <cellStyle name="Заг 2 4 20" xfId="50007"/>
    <cellStyle name="Заг 2 4 21" xfId="50008"/>
    <cellStyle name="Заг 2 4 3" xfId="50009"/>
    <cellStyle name="Заг 2 4 3 10" xfId="50010"/>
    <cellStyle name="Заг 2 4 3 11" xfId="50011"/>
    <cellStyle name="Заг 2 4 3 12" xfId="50012"/>
    <cellStyle name="Заг 2 4 3 13" xfId="50013"/>
    <cellStyle name="Заг 2 4 3 14" xfId="50014"/>
    <cellStyle name="Заг 2 4 3 15" xfId="50015"/>
    <cellStyle name="Заг 2 4 3 16" xfId="50016"/>
    <cellStyle name="Заг 2 4 3 17" xfId="50017"/>
    <cellStyle name="Заг 2 4 3 18" xfId="50018"/>
    <cellStyle name="Заг 2 4 3 2" xfId="50019"/>
    <cellStyle name="Заг 2 4 3 2 2" xfId="50020"/>
    <cellStyle name="Заг 2 4 3 2 2 2" xfId="50021"/>
    <cellStyle name="Заг 2 4 3 2 3" xfId="50022"/>
    <cellStyle name="Заг 2 4 3 2 4" xfId="50023"/>
    <cellStyle name="Заг 2 4 3 3" xfId="50024"/>
    <cellStyle name="Заг 2 4 3 3 2" xfId="50025"/>
    <cellStyle name="Заг 2 4 3 3 3" xfId="50026"/>
    <cellStyle name="Заг 2 4 3 4" xfId="50027"/>
    <cellStyle name="Заг 2 4 3 4 2" xfId="50028"/>
    <cellStyle name="Заг 2 4 3 5" xfId="50029"/>
    <cellStyle name="Заг 2 4 3 6" xfId="50030"/>
    <cellStyle name="Заг 2 4 3 7" xfId="50031"/>
    <cellStyle name="Заг 2 4 3 8" xfId="50032"/>
    <cellStyle name="Заг 2 4 3 9" xfId="50033"/>
    <cellStyle name="Заг 2 4 4" xfId="50034"/>
    <cellStyle name="Заг 2 4 4 2" xfId="50035"/>
    <cellStyle name="Заг 2 4 4 2 2" xfId="50036"/>
    <cellStyle name="Заг 2 4 4 2 3" xfId="50037"/>
    <cellStyle name="Заг 2 4 4 3" xfId="50038"/>
    <cellStyle name="Заг 2 4 4 3 2" xfId="50039"/>
    <cellStyle name="Заг 2 4 4 4" xfId="50040"/>
    <cellStyle name="Заг 2 4 4 5" xfId="50041"/>
    <cellStyle name="Заг 2 4 5" xfId="50042"/>
    <cellStyle name="Заг 2 4 5 2" xfId="50043"/>
    <cellStyle name="Заг 2 4 5 2 2" xfId="50044"/>
    <cellStyle name="Заг 2 4 5 3" xfId="50045"/>
    <cellStyle name="Заг 2 4 5 4" xfId="50046"/>
    <cellStyle name="Заг 2 4 6" xfId="50047"/>
    <cellStyle name="Заг 2 4 6 2" xfId="50048"/>
    <cellStyle name="Заг 2 4 7" xfId="50049"/>
    <cellStyle name="Заг 2 4 8" xfId="50050"/>
    <cellStyle name="Заг 2 4 9" xfId="50051"/>
    <cellStyle name="Заг 2 5" xfId="50052"/>
    <cellStyle name="Заг 2 5 10" xfId="50053"/>
    <cellStyle name="Заг 2 5 11" xfId="50054"/>
    <cellStyle name="Заг 2 5 12" xfId="50055"/>
    <cellStyle name="Заг 2 5 13" xfId="50056"/>
    <cellStyle name="Заг 2 5 14" xfId="50057"/>
    <cellStyle name="Заг 2 5 15" xfId="50058"/>
    <cellStyle name="Заг 2 5 16" xfId="50059"/>
    <cellStyle name="Заг 2 5 17" xfId="50060"/>
    <cellStyle name="Заг 2 5 18" xfId="50061"/>
    <cellStyle name="Заг 2 5 19" xfId="50062"/>
    <cellStyle name="Заг 2 5 2" xfId="50063"/>
    <cellStyle name="Заг 2 5 2 10" xfId="50064"/>
    <cellStyle name="Заг 2 5 2 11" xfId="50065"/>
    <cellStyle name="Заг 2 5 2 12" xfId="50066"/>
    <cellStyle name="Заг 2 5 2 13" xfId="50067"/>
    <cellStyle name="Заг 2 5 2 14" xfId="50068"/>
    <cellStyle name="Заг 2 5 2 15" xfId="50069"/>
    <cellStyle name="Заг 2 5 2 16" xfId="50070"/>
    <cellStyle name="Заг 2 5 2 17" xfId="50071"/>
    <cellStyle name="Заг 2 5 2 18" xfId="50072"/>
    <cellStyle name="Заг 2 5 2 2" xfId="50073"/>
    <cellStyle name="Заг 2 5 2 2 2" xfId="50074"/>
    <cellStyle name="Заг 2 5 2 2 2 2" xfId="50075"/>
    <cellStyle name="Заг 2 5 2 2 3" xfId="50076"/>
    <cellStyle name="Заг 2 5 2 2 4" xfId="50077"/>
    <cellStyle name="Заг 2 5 2 3" xfId="50078"/>
    <cellStyle name="Заг 2 5 2 3 2" xfId="50079"/>
    <cellStyle name="Заг 2 5 2 3 3" xfId="50080"/>
    <cellStyle name="Заг 2 5 2 4" xfId="50081"/>
    <cellStyle name="Заг 2 5 2 4 2" xfId="50082"/>
    <cellStyle name="Заг 2 5 2 5" xfId="50083"/>
    <cellStyle name="Заг 2 5 2 6" xfId="50084"/>
    <cellStyle name="Заг 2 5 2 7" xfId="50085"/>
    <cellStyle name="Заг 2 5 2 8" xfId="50086"/>
    <cellStyle name="Заг 2 5 2 9" xfId="50087"/>
    <cellStyle name="Заг 2 5 3" xfId="50088"/>
    <cellStyle name="Заг 2 5 3 10" xfId="50089"/>
    <cellStyle name="Заг 2 5 3 11" xfId="50090"/>
    <cellStyle name="Заг 2 5 3 12" xfId="50091"/>
    <cellStyle name="Заг 2 5 3 13" xfId="50092"/>
    <cellStyle name="Заг 2 5 3 14" xfId="50093"/>
    <cellStyle name="Заг 2 5 3 15" xfId="50094"/>
    <cellStyle name="Заг 2 5 3 16" xfId="50095"/>
    <cellStyle name="Заг 2 5 3 17" xfId="50096"/>
    <cellStyle name="Заг 2 5 3 18" xfId="50097"/>
    <cellStyle name="Заг 2 5 3 2" xfId="50098"/>
    <cellStyle name="Заг 2 5 3 2 2" xfId="50099"/>
    <cellStyle name="Заг 2 5 3 2 2 2" xfId="50100"/>
    <cellStyle name="Заг 2 5 3 2 3" xfId="50101"/>
    <cellStyle name="Заг 2 5 3 2 4" xfId="50102"/>
    <cellStyle name="Заг 2 5 3 3" xfId="50103"/>
    <cellStyle name="Заг 2 5 3 3 2" xfId="50104"/>
    <cellStyle name="Заг 2 5 3 3 3" xfId="50105"/>
    <cellStyle name="Заг 2 5 3 4" xfId="50106"/>
    <cellStyle name="Заг 2 5 3 4 2" xfId="50107"/>
    <cellStyle name="Заг 2 5 3 5" xfId="50108"/>
    <cellStyle name="Заг 2 5 3 6" xfId="50109"/>
    <cellStyle name="Заг 2 5 3 7" xfId="50110"/>
    <cellStyle name="Заг 2 5 3 8" xfId="50111"/>
    <cellStyle name="Заг 2 5 3 9" xfId="50112"/>
    <cellStyle name="Заг 2 5 4" xfId="50113"/>
    <cellStyle name="Заг 2 5 4 2" xfId="50114"/>
    <cellStyle name="Заг 2 5 4 2 2" xfId="50115"/>
    <cellStyle name="Заг 2 5 4 2 3" xfId="50116"/>
    <cellStyle name="Заг 2 5 4 3" xfId="50117"/>
    <cellStyle name="Заг 2 5 4 3 2" xfId="50118"/>
    <cellStyle name="Заг 2 5 4 4" xfId="50119"/>
    <cellStyle name="Заг 2 5 4 5" xfId="50120"/>
    <cellStyle name="Заг 2 5 5" xfId="50121"/>
    <cellStyle name="Заг 2 5 5 2" xfId="50122"/>
    <cellStyle name="Заг 2 5 5 2 2" xfId="50123"/>
    <cellStyle name="Заг 2 5 5 3" xfId="50124"/>
    <cellStyle name="Заг 2 5 5 4" xfId="50125"/>
    <cellStyle name="Заг 2 5 6" xfId="50126"/>
    <cellStyle name="Заг 2 5 6 2" xfId="50127"/>
    <cellStyle name="Заг 2 5 7" xfId="50128"/>
    <cellStyle name="Заг 2 5 8" xfId="50129"/>
    <cellStyle name="Заг 2 5 9" xfId="50130"/>
    <cellStyle name="Заг 2 6" xfId="50131"/>
    <cellStyle name="Заг 2 6 10" xfId="50132"/>
    <cellStyle name="Заг 2 6 11" xfId="50133"/>
    <cellStyle name="Заг 2 6 12" xfId="50134"/>
    <cellStyle name="Заг 2 6 13" xfId="50135"/>
    <cellStyle name="Заг 2 6 14" xfId="50136"/>
    <cellStyle name="Заг 2 6 15" xfId="50137"/>
    <cellStyle name="Заг 2 6 16" xfId="50138"/>
    <cellStyle name="Заг 2 6 17" xfId="50139"/>
    <cellStyle name="Заг 2 6 18" xfId="50140"/>
    <cellStyle name="Заг 2 6 19" xfId="50141"/>
    <cellStyle name="Заг 2 6 2" xfId="50142"/>
    <cellStyle name="Заг 2 6 2 10" xfId="50143"/>
    <cellStyle name="Заг 2 6 2 11" xfId="50144"/>
    <cellStyle name="Заг 2 6 2 12" xfId="50145"/>
    <cellStyle name="Заг 2 6 2 13" xfId="50146"/>
    <cellStyle name="Заг 2 6 2 14" xfId="50147"/>
    <cellStyle name="Заг 2 6 2 15" xfId="50148"/>
    <cellStyle name="Заг 2 6 2 16" xfId="50149"/>
    <cellStyle name="Заг 2 6 2 17" xfId="50150"/>
    <cellStyle name="Заг 2 6 2 18" xfId="50151"/>
    <cellStyle name="Заг 2 6 2 2" xfId="50152"/>
    <cellStyle name="Заг 2 6 2 2 2" xfId="50153"/>
    <cellStyle name="Заг 2 6 2 2 2 2" xfId="50154"/>
    <cellStyle name="Заг 2 6 2 2 3" xfId="50155"/>
    <cellStyle name="Заг 2 6 2 2 4" xfId="50156"/>
    <cellStyle name="Заг 2 6 2 3" xfId="50157"/>
    <cellStyle name="Заг 2 6 2 3 2" xfId="50158"/>
    <cellStyle name="Заг 2 6 2 3 3" xfId="50159"/>
    <cellStyle name="Заг 2 6 2 4" xfId="50160"/>
    <cellStyle name="Заг 2 6 2 4 2" xfId="50161"/>
    <cellStyle name="Заг 2 6 2 5" xfId="50162"/>
    <cellStyle name="Заг 2 6 2 6" xfId="50163"/>
    <cellStyle name="Заг 2 6 2 7" xfId="50164"/>
    <cellStyle name="Заг 2 6 2 8" xfId="50165"/>
    <cellStyle name="Заг 2 6 2 9" xfId="50166"/>
    <cellStyle name="Заг 2 6 20" xfId="50167"/>
    <cellStyle name="Заг 2 6 3" xfId="50168"/>
    <cellStyle name="Заг 2 6 3 10" xfId="50169"/>
    <cellStyle name="Заг 2 6 3 11" xfId="50170"/>
    <cellStyle name="Заг 2 6 3 12" xfId="50171"/>
    <cellStyle name="Заг 2 6 3 13" xfId="50172"/>
    <cellStyle name="Заг 2 6 3 14" xfId="50173"/>
    <cellStyle name="Заг 2 6 3 15" xfId="50174"/>
    <cellStyle name="Заг 2 6 3 16" xfId="50175"/>
    <cellStyle name="Заг 2 6 3 17" xfId="50176"/>
    <cellStyle name="Заг 2 6 3 18" xfId="50177"/>
    <cellStyle name="Заг 2 6 3 2" xfId="50178"/>
    <cellStyle name="Заг 2 6 3 2 2" xfId="50179"/>
    <cellStyle name="Заг 2 6 3 2 2 2" xfId="50180"/>
    <cellStyle name="Заг 2 6 3 2 3" xfId="50181"/>
    <cellStyle name="Заг 2 6 3 2 4" xfId="50182"/>
    <cellStyle name="Заг 2 6 3 3" xfId="50183"/>
    <cellStyle name="Заг 2 6 3 3 2" xfId="50184"/>
    <cellStyle name="Заг 2 6 3 3 3" xfId="50185"/>
    <cellStyle name="Заг 2 6 3 4" xfId="50186"/>
    <cellStyle name="Заг 2 6 3 4 2" xfId="50187"/>
    <cellStyle name="Заг 2 6 3 5" xfId="50188"/>
    <cellStyle name="Заг 2 6 3 6" xfId="50189"/>
    <cellStyle name="Заг 2 6 3 7" xfId="50190"/>
    <cellStyle name="Заг 2 6 3 8" xfId="50191"/>
    <cellStyle name="Заг 2 6 3 9" xfId="50192"/>
    <cellStyle name="Заг 2 6 4" xfId="50193"/>
    <cellStyle name="Заг 2 6 4 2" xfId="50194"/>
    <cellStyle name="Заг 2 6 4 2 2" xfId="50195"/>
    <cellStyle name="Заг 2 6 4 2 3" xfId="50196"/>
    <cellStyle name="Заг 2 6 4 3" xfId="50197"/>
    <cellStyle name="Заг 2 6 4 3 2" xfId="50198"/>
    <cellStyle name="Заг 2 6 4 4" xfId="50199"/>
    <cellStyle name="Заг 2 6 4 5" xfId="50200"/>
    <cellStyle name="Заг 2 6 5" xfId="50201"/>
    <cellStyle name="Заг 2 6 5 2" xfId="50202"/>
    <cellStyle name="Заг 2 6 5 2 2" xfId="50203"/>
    <cellStyle name="Заг 2 6 5 3" xfId="50204"/>
    <cellStyle name="Заг 2 6 5 4" xfId="50205"/>
    <cellStyle name="Заг 2 6 6" xfId="50206"/>
    <cellStyle name="Заг 2 6 6 2" xfId="50207"/>
    <cellStyle name="Заг 2 6 7" xfId="50208"/>
    <cellStyle name="Заг 2 6 8" xfId="50209"/>
    <cellStyle name="Заг 2 6 9" xfId="50210"/>
    <cellStyle name="Заг 2 7" xfId="50211"/>
    <cellStyle name="Заг 2 7 10" xfId="50212"/>
    <cellStyle name="Заг 2 7 11" xfId="50213"/>
    <cellStyle name="Заг 2 7 12" xfId="50214"/>
    <cellStyle name="Заг 2 7 13" xfId="50215"/>
    <cellStyle name="Заг 2 7 14" xfId="50216"/>
    <cellStyle name="Заг 2 7 15" xfId="50217"/>
    <cellStyle name="Заг 2 7 16" xfId="50218"/>
    <cellStyle name="Заг 2 7 17" xfId="50219"/>
    <cellStyle name="Заг 2 7 2" xfId="50220"/>
    <cellStyle name="Заг 2 7 2 2" xfId="50221"/>
    <cellStyle name="Заг 2 7 2 2 2" xfId="50222"/>
    <cellStyle name="Заг 2 7 2 3" xfId="50223"/>
    <cellStyle name="Заг 2 7 2 4" xfId="50224"/>
    <cellStyle name="Заг 2 7 3" xfId="50225"/>
    <cellStyle name="Заг 2 7 3 2" xfId="50226"/>
    <cellStyle name="Заг 2 7 4" xfId="50227"/>
    <cellStyle name="Заг 2 7 5" xfId="50228"/>
    <cellStyle name="Заг 2 7 6" xfId="50229"/>
    <cellStyle name="Заг 2 7 7" xfId="50230"/>
    <cellStyle name="Заг 2 7 8" xfId="50231"/>
    <cellStyle name="Заг 2 7 9" xfId="50232"/>
    <cellStyle name="Заг 2 8" xfId="50233"/>
    <cellStyle name="Заг 2 8 2" xfId="50234"/>
    <cellStyle name="Заг 2 8 2 2" xfId="50235"/>
    <cellStyle name="Заг 2 8 2 2 2" xfId="50236"/>
    <cellStyle name="Заг 2 8 2 3" xfId="50237"/>
    <cellStyle name="Заг 2 8 2 4" xfId="50238"/>
    <cellStyle name="Заг 2 8 3" xfId="50239"/>
    <cellStyle name="Заг 2 8 3 2" xfId="50240"/>
    <cellStyle name="Заг 2 8 3 3" xfId="50241"/>
    <cellStyle name="Заг 2 8 4" xfId="50242"/>
    <cellStyle name="Заг 2 8 4 2" xfId="50243"/>
    <cellStyle name="Заг 2 8 5" xfId="50244"/>
    <cellStyle name="Заг 2 8 6" xfId="50245"/>
    <cellStyle name="Заг 2 9" xfId="50246"/>
    <cellStyle name="Заг 2 9 2" xfId="50247"/>
    <cellStyle name="Заг 2 9 2 2" xfId="50248"/>
    <cellStyle name="Заг 2 9 3" xfId="50249"/>
    <cellStyle name="Заг 2 9 4" xfId="50250"/>
    <cellStyle name="Заг 20" xfId="50251"/>
    <cellStyle name="Заг 21" xfId="50252"/>
    <cellStyle name="Заг 22" xfId="50253"/>
    <cellStyle name="Заг 23" xfId="50254"/>
    <cellStyle name="Заг 24" xfId="50255"/>
    <cellStyle name="Заг 25" xfId="50256"/>
    <cellStyle name="Заг 26" xfId="50257"/>
    <cellStyle name="Заг 27" xfId="50258"/>
    <cellStyle name="Заг 28" xfId="50259"/>
    <cellStyle name="Заг 3" xfId="50260"/>
    <cellStyle name="Заг 3 10" xfId="50261"/>
    <cellStyle name="Заг 3 11" xfId="50262"/>
    <cellStyle name="Заг 3 12" xfId="50263"/>
    <cellStyle name="Заг 3 13" xfId="50264"/>
    <cellStyle name="Заг 3 14" xfId="50265"/>
    <cellStyle name="Заг 3 15" xfId="50266"/>
    <cellStyle name="Заг 3 16" xfId="50267"/>
    <cellStyle name="Заг 3 17" xfId="50268"/>
    <cellStyle name="Заг 3 18" xfId="50269"/>
    <cellStyle name="Заг 3 19" xfId="50270"/>
    <cellStyle name="Заг 3 2" xfId="50271"/>
    <cellStyle name="Заг 3 2 10" xfId="50272"/>
    <cellStyle name="Заг 3 2 11" xfId="50273"/>
    <cellStyle name="Заг 3 2 12" xfId="50274"/>
    <cellStyle name="Заг 3 2 13" xfId="50275"/>
    <cellStyle name="Заг 3 2 14" xfId="50276"/>
    <cellStyle name="Заг 3 2 15" xfId="50277"/>
    <cellStyle name="Заг 3 2 16" xfId="50278"/>
    <cellStyle name="Заг 3 2 17" xfId="50279"/>
    <cellStyle name="Заг 3 2 18" xfId="50280"/>
    <cellStyle name="Заг 3 2 19" xfId="50281"/>
    <cellStyle name="Заг 3 2 2" xfId="50282"/>
    <cellStyle name="Заг 3 2 2 10" xfId="50283"/>
    <cellStyle name="Заг 3 2 2 11" xfId="50284"/>
    <cellStyle name="Заг 3 2 2 12" xfId="50285"/>
    <cellStyle name="Заг 3 2 2 13" xfId="50286"/>
    <cellStyle name="Заг 3 2 2 14" xfId="50287"/>
    <cellStyle name="Заг 3 2 2 15" xfId="50288"/>
    <cellStyle name="Заг 3 2 2 16" xfId="50289"/>
    <cellStyle name="Заг 3 2 2 17" xfId="50290"/>
    <cellStyle name="Заг 3 2 2 18" xfId="50291"/>
    <cellStyle name="Заг 3 2 2 2" xfId="50292"/>
    <cellStyle name="Заг 3 2 2 2 2" xfId="50293"/>
    <cellStyle name="Заг 3 2 2 2 2 2" xfId="50294"/>
    <cellStyle name="Заг 3 2 2 2 3" xfId="50295"/>
    <cellStyle name="Заг 3 2 2 2 4" xfId="50296"/>
    <cellStyle name="Заг 3 2 2 3" xfId="50297"/>
    <cellStyle name="Заг 3 2 2 3 2" xfId="50298"/>
    <cellStyle name="Заг 3 2 2 3 3" xfId="50299"/>
    <cellStyle name="Заг 3 2 2 4" xfId="50300"/>
    <cellStyle name="Заг 3 2 2 4 2" xfId="50301"/>
    <cellStyle name="Заг 3 2 2 5" xfId="50302"/>
    <cellStyle name="Заг 3 2 2 6" xfId="50303"/>
    <cellStyle name="Заг 3 2 2 7" xfId="50304"/>
    <cellStyle name="Заг 3 2 2 8" xfId="50305"/>
    <cellStyle name="Заг 3 2 2 9" xfId="50306"/>
    <cellStyle name="Заг 3 2 3" xfId="50307"/>
    <cellStyle name="Заг 3 2 3 10" xfId="50308"/>
    <cellStyle name="Заг 3 2 3 11" xfId="50309"/>
    <cellStyle name="Заг 3 2 3 12" xfId="50310"/>
    <cellStyle name="Заг 3 2 3 13" xfId="50311"/>
    <cellStyle name="Заг 3 2 3 14" xfId="50312"/>
    <cellStyle name="Заг 3 2 3 15" xfId="50313"/>
    <cellStyle name="Заг 3 2 3 16" xfId="50314"/>
    <cellStyle name="Заг 3 2 3 17" xfId="50315"/>
    <cellStyle name="Заг 3 2 3 18" xfId="50316"/>
    <cellStyle name="Заг 3 2 3 2" xfId="50317"/>
    <cellStyle name="Заг 3 2 3 2 2" xfId="50318"/>
    <cellStyle name="Заг 3 2 3 2 2 2" xfId="50319"/>
    <cellStyle name="Заг 3 2 3 2 3" xfId="50320"/>
    <cellStyle name="Заг 3 2 3 2 4" xfId="50321"/>
    <cellStyle name="Заг 3 2 3 3" xfId="50322"/>
    <cellStyle name="Заг 3 2 3 3 2" xfId="50323"/>
    <cellStyle name="Заг 3 2 3 3 3" xfId="50324"/>
    <cellStyle name="Заг 3 2 3 4" xfId="50325"/>
    <cellStyle name="Заг 3 2 3 4 2" xfId="50326"/>
    <cellStyle name="Заг 3 2 3 5" xfId="50327"/>
    <cellStyle name="Заг 3 2 3 6" xfId="50328"/>
    <cellStyle name="Заг 3 2 3 7" xfId="50329"/>
    <cellStyle name="Заг 3 2 3 8" xfId="50330"/>
    <cellStyle name="Заг 3 2 3 9" xfId="50331"/>
    <cellStyle name="Заг 3 2 4" xfId="50332"/>
    <cellStyle name="Заг 3 2 4 2" xfId="50333"/>
    <cellStyle name="Заг 3 2 4 2 2" xfId="50334"/>
    <cellStyle name="Заг 3 2 4 2 3" xfId="50335"/>
    <cellStyle name="Заг 3 2 4 3" xfId="50336"/>
    <cellStyle name="Заг 3 2 4 3 2" xfId="50337"/>
    <cellStyle name="Заг 3 2 4 4" xfId="50338"/>
    <cellStyle name="Заг 3 2 4 5" xfId="50339"/>
    <cellStyle name="Заг 3 2 5" xfId="50340"/>
    <cellStyle name="Заг 3 2 5 2" xfId="50341"/>
    <cellStyle name="Заг 3 2 5 2 2" xfId="50342"/>
    <cellStyle name="Заг 3 2 5 3" xfId="50343"/>
    <cellStyle name="Заг 3 2 5 4" xfId="50344"/>
    <cellStyle name="Заг 3 2 6" xfId="50345"/>
    <cellStyle name="Заг 3 2 6 2" xfId="50346"/>
    <cellStyle name="Заг 3 2 7" xfId="50347"/>
    <cellStyle name="Заг 3 2 8" xfId="50348"/>
    <cellStyle name="Заг 3 2 9" xfId="50349"/>
    <cellStyle name="Заг 3 20" xfId="50350"/>
    <cellStyle name="Заг 3 21" xfId="50351"/>
    <cellStyle name="Заг 3 22" xfId="50352"/>
    <cellStyle name="Заг 3 23" xfId="50353"/>
    <cellStyle name="Заг 3 24" xfId="50354"/>
    <cellStyle name="Заг 3 3" xfId="50355"/>
    <cellStyle name="Заг 3 3 10" xfId="50356"/>
    <cellStyle name="Заг 3 3 11" xfId="50357"/>
    <cellStyle name="Заг 3 3 12" xfId="50358"/>
    <cellStyle name="Заг 3 3 13" xfId="50359"/>
    <cellStyle name="Заг 3 3 14" xfId="50360"/>
    <cellStyle name="Заг 3 3 15" xfId="50361"/>
    <cellStyle name="Заг 3 3 16" xfId="50362"/>
    <cellStyle name="Заг 3 3 17" xfId="50363"/>
    <cellStyle name="Заг 3 3 18" xfId="50364"/>
    <cellStyle name="Заг 3 3 19" xfId="50365"/>
    <cellStyle name="Заг 3 3 2" xfId="50366"/>
    <cellStyle name="Заг 3 3 2 10" xfId="50367"/>
    <cellStyle name="Заг 3 3 2 11" xfId="50368"/>
    <cellStyle name="Заг 3 3 2 12" xfId="50369"/>
    <cellStyle name="Заг 3 3 2 13" xfId="50370"/>
    <cellStyle name="Заг 3 3 2 14" xfId="50371"/>
    <cellStyle name="Заг 3 3 2 15" xfId="50372"/>
    <cellStyle name="Заг 3 3 2 16" xfId="50373"/>
    <cellStyle name="Заг 3 3 2 17" xfId="50374"/>
    <cellStyle name="Заг 3 3 2 18" xfId="50375"/>
    <cellStyle name="Заг 3 3 2 2" xfId="50376"/>
    <cellStyle name="Заг 3 3 2 2 2" xfId="50377"/>
    <cellStyle name="Заг 3 3 2 2 2 2" xfId="50378"/>
    <cellStyle name="Заг 3 3 2 2 3" xfId="50379"/>
    <cellStyle name="Заг 3 3 2 2 4" xfId="50380"/>
    <cellStyle name="Заг 3 3 2 3" xfId="50381"/>
    <cellStyle name="Заг 3 3 2 3 2" xfId="50382"/>
    <cellStyle name="Заг 3 3 2 3 3" xfId="50383"/>
    <cellStyle name="Заг 3 3 2 4" xfId="50384"/>
    <cellStyle name="Заг 3 3 2 4 2" xfId="50385"/>
    <cellStyle name="Заг 3 3 2 5" xfId="50386"/>
    <cellStyle name="Заг 3 3 2 6" xfId="50387"/>
    <cellStyle name="Заг 3 3 2 7" xfId="50388"/>
    <cellStyle name="Заг 3 3 2 8" xfId="50389"/>
    <cellStyle name="Заг 3 3 2 9" xfId="50390"/>
    <cellStyle name="Заг 3 3 20" xfId="50391"/>
    <cellStyle name="Заг 3 3 21" xfId="50392"/>
    <cellStyle name="Заг 3 3 3" xfId="50393"/>
    <cellStyle name="Заг 3 3 3 10" xfId="50394"/>
    <cellStyle name="Заг 3 3 3 11" xfId="50395"/>
    <cellStyle name="Заг 3 3 3 12" xfId="50396"/>
    <cellStyle name="Заг 3 3 3 13" xfId="50397"/>
    <cellStyle name="Заг 3 3 3 14" xfId="50398"/>
    <cellStyle name="Заг 3 3 3 15" xfId="50399"/>
    <cellStyle name="Заг 3 3 3 16" xfId="50400"/>
    <cellStyle name="Заг 3 3 3 17" xfId="50401"/>
    <cellStyle name="Заг 3 3 3 18" xfId="50402"/>
    <cellStyle name="Заг 3 3 3 2" xfId="50403"/>
    <cellStyle name="Заг 3 3 3 2 2" xfId="50404"/>
    <cellStyle name="Заг 3 3 3 2 2 2" xfId="50405"/>
    <cellStyle name="Заг 3 3 3 2 3" xfId="50406"/>
    <cellStyle name="Заг 3 3 3 2 4" xfId="50407"/>
    <cellStyle name="Заг 3 3 3 3" xfId="50408"/>
    <cellStyle name="Заг 3 3 3 3 2" xfId="50409"/>
    <cellStyle name="Заг 3 3 3 3 3" xfId="50410"/>
    <cellStyle name="Заг 3 3 3 4" xfId="50411"/>
    <cellStyle name="Заг 3 3 3 4 2" xfId="50412"/>
    <cellStyle name="Заг 3 3 3 5" xfId="50413"/>
    <cellStyle name="Заг 3 3 3 6" xfId="50414"/>
    <cellStyle name="Заг 3 3 3 7" xfId="50415"/>
    <cellStyle name="Заг 3 3 3 8" xfId="50416"/>
    <cellStyle name="Заг 3 3 3 9" xfId="50417"/>
    <cellStyle name="Заг 3 3 4" xfId="50418"/>
    <cellStyle name="Заг 3 3 4 2" xfId="50419"/>
    <cellStyle name="Заг 3 3 4 2 2" xfId="50420"/>
    <cellStyle name="Заг 3 3 4 2 3" xfId="50421"/>
    <cellStyle name="Заг 3 3 4 3" xfId="50422"/>
    <cellStyle name="Заг 3 3 4 3 2" xfId="50423"/>
    <cellStyle name="Заг 3 3 4 4" xfId="50424"/>
    <cellStyle name="Заг 3 3 4 5" xfId="50425"/>
    <cellStyle name="Заг 3 3 5" xfId="50426"/>
    <cellStyle name="Заг 3 3 5 2" xfId="50427"/>
    <cellStyle name="Заг 3 3 5 2 2" xfId="50428"/>
    <cellStyle name="Заг 3 3 5 3" xfId="50429"/>
    <cellStyle name="Заг 3 3 5 4" xfId="50430"/>
    <cellStyle name="Заг 3 3 6" xfId="50431"/>
    <cellStyle name="Заг 3 3 6 2" xfId="50432"/>
    <cellStyle name="Заг 3 3 7" xfId="50433"/>
    <cellStyle name="Заг 3 3 8" xfId="50434"/>
    <cellStyle name="Заг 3 3 9" xfId="50435"/>
    <cellStyle name="Заг 3 4" xfId="50436"/>
    <cellStyle name="Заг 3 4 10" xfId="50437"/>
    <cellStyle name="Заг 3 4 11" xfId="50438"/>
    <cellStyle name="Заг 3 4 12" xfId="50439"/>
    <cellStyle name="Заг 3 4 13" xfId="50440"/>
    <cellStyle name="Заг 3 4 14" xfId="50441"/>
    <cellStyle name="Заг 3 4 15" xfId="50442"/>
    <cellStyle name="Заг 3 4 16" xfId="50443"/>
    <cellStyle name="Заг 3 4 17" xfId="50444"/>
    <cellStyle name="Заг 3 4 18" xfId="50445"/>
    <cellStyle name="Заг 3 4 19" xfId="50446"/>
    <cellStyle name="Заг 3 4 2" xfId="50447"/>
    <cellStyle name="Заг 3 4 2 10" xfId="50448"/>
    <cellStyle name="Заг 3 4 2 11" xfId="50449"/>
    <cellStyle name="Заг 3 4 2 12" xfId="50450"/>
    <cellStyle name="Заг 3 4 2 13" xfId="50451"/>
    <cellStyle name="Заг 3 4 2 14" xfId="50452"/>
    <cellStyle name="Заг 3 4 2 15" xfId="50453"/>
    <cellStyle name="Заг 3 4 2 16" xfId="50454"/>
    <cellStyle name="Заг 3 4 2 17" xfId="50455"/>
    <cellStyle name="Заг 3 4 2 18" xfId="50456"/>
    <cellStyle name="Заг 3 4 2 2" xfId="50457"/>
    <cellStyle name="Заг 3 4 2 2 2" xfId="50458"/>
    <cellStyle name="Заг 3 4 2 2 2 2" xfId="50459"/>
    <cellStyle name="Заг 3 4 2 2 3" xfId="50460"/>
    <cellStyle name="Заг 3 4 2 2 4" xfId="50461"/>
    <cellStyle name="Заг 3 4 2 3" xfId="50462"/>
    <cellStyle name="Заг 3 4 2 3 2" xfId="50463"/>
    <cellStyle name="Заг 3 4 2 3 3" xfId="50464"/>
    <cellStyle name="Заг 3 4 2 4" xfId="50465"/>
    <cellStyle name="Заг 3 4 2 4 2" xfId="50466"/>
    <cellStyle name="Заг 3 4 2 5" xfId="50467"/>
    <cellStyle name="Заг 3 4 2 6" xfId="50468"/>
    <cellStyle name="Заг 3 4 2 7" xfId="50469"/>
    <cellStyle name="Заг 3 4 2 8" xfId="50470"/>
    <cellStyle name="Заг 3 4 2 9" xfId="50471"/>
    <cellStyle name="Заг 3 4 20" xfId="50472"/>
    <cellStyle name="Заг 3 4 21" xfId="50473"/>
    <cellStyle name="Заг 3 4 3" xfId="50474"/>
    <cellStyle name="Заг 3 4 3 10" xfId="50475"/>
    <cellStyle name="Заг 3 4 3 11" xfId="50476"/>
    <cellStyle name="Заг 3 4 3 12" xfId="50477"/>
    <cellStyle name="Заг 3 4 3 13" xfId="50478"/>
    <cellStyle name="Заг 3 4 3 14" xfId="50479"/>
    <cellStyle name="Заг 3 4 3 15" xfId="50480"/>
    <cellStyle name="Заг 3 4 3 16" xfId="50481"/>
    <cellStyle name="Заг 3 4 3 17" xfId="50482"/>
    <cellStyle name="Заг 3 4 3 18" xfId="50483"/>
    <cellStyle name="Заг 3 4 3 2" xfId="50484"/>
    <cellStyle name="Заг 3 4 3 2 2" xfId="50485"/>
    <cellStyle name="Заг 3 4 3 2 2 2" xfId="50486"/>
    <cellStyle name="Заг 3 4 3 2 3" xfId="50487"/>
    <cellStyle name="Заг 3 4 3 2 4" xfId="50488"/>
    <cellStyle name="Заг 3 4 3 3" xfId="50489"/>
    <cellStyle name="Заг 3 4 3 3 2" xfId="50490"/>
    <cellStyle name="Заг 3 4 3 3 3" xfId="50491"/>
    <cellStyle name="Заг 3 4 3 4" xfId="50492"/>
    <cellStyle name="Заг 3 4 3 4 2" xfId="50493"/>
    <cellStyle name="Заг 3 4 3 5" xfId="50494"/>
    <cellStyle name="Заг 3 4 3 6" xfId="50495"/>
    <cellStyle name="Заг 3 4 3 7" xfId="50496"/>
    <cellStyle name="Заг 3 4 3 8" xfId="50497"/>
    <cellStyle name="Заг 3 4 3 9" xfId="50498"/>
    <cellStyle name="Заг 3 4 4" xfId="50499"/>
    <cellStyle name="Заг 3 4 4 2" xfId="50500"/>
    <cellStyle name="Заг 3 4 4 2 2" xfId="50501"/>
    <cellStyle name="Заг 3 4 4 2 3" xfId="50502"/>
    <cellStyle name="Заг 3 4 4 3" xfId="50503"/>
    <cellStyle name="Заг 3 4 4 3 2" xfId="50504"/>
    <cellStyle name="Заг 3 4 4 4" xfId="50505"/>
    <cellStyle name="Заг 3 4 4 5" xfId="50506"/>
    <cellStyle name="Заг 3 4 5" xfId="50507"/>
    <cellStyle name="Заг 3 4 5 2" xfId="50508"/>
    <cellStyle name="Заг 3 4 5 2 2" xfId="50509"/>
    <cellStyle name="Заг 3 4 5 3" xfId="50510"/>
    <cellStyle name="Заг 3 4 5 4" xfId="50511"/>
    <cellStyle name="Заг 3 4 6" xfId="50512"/>
    <cellStyle name="Заг 3 4 6 2" xfId="50513"/>
    <cellStyle name="Заг 3 4 7" xfId="50514"/>
    <cellStyle name="Заг 3 4 8" xfId="50515"/>
    <cellStyle name="Заг 3 4 9" xfId="50516"/>
    <cellStyle name="Заг 3 5" xfId="50517"/>
    <cellStyle name="Заг 3 5 10" xfId="50518"/>
    <cellStyle name="Заг 3 5 11" xfId="50519"/>
    <cellStyle name="Заг 3 5 12" xfId="50520"/>
    <cellStyle name="Заг 3 5 13" xfId="50521"/>
    <cellStyle name="Заг 3 5 14" xfId="50522"/>
    <cellStyle name="Заг 3 5 15" xfId="50523"/>
    <cellStyle name="Заг 3 5 16" xfId="50524"/>
    <cellStyle name="Заг 3 5 17" xfId="50525"/>
    <cellStyle name="Заг 3 5 18" xfId="50526"/>
    <cellStyle name="Заг 3 5 19" xfId="50527"/>
    <cellStyle name="Заг 3 5 2" xfId="50528"/>
    <cellStyle name="Заг 3 5 2 10" xfId="50529"/>
    <cellStyle name="Заг 3 5 2 11" xfId="50530"/>
    <cellStyle name="Заг 3 5 2 12" xfId="50531"/>
    <cellStyle name="Заг 3 5 2 13" xfId="50532"/>
    <cellStyle name="Заг 3 5 2 14" xfId="50533"/>
    <cellStyle name="Заг 3 5 2 15" xfId="50534"/>
    <cellStyle name="Заг 3 5 2 16" xfId="50535"/>
    <cellStyle name="Заг 3 5 2 17" xfId="50536"/>
    <cellStyle name="Заг 3 5 2 18" xfId="50537"/>
    <cellStyle name="Заг 3 5 2 2" xfId="50538"/>
    <cellStyle name="Заг 3 5 2 2 2" xfId="50539"/>
    <cellStyle name="Заг 3 5 2 2 2 2" xfId="50540"/>
    <cellStyle name="Заг 3 5 2 2 3" xfId="50541"/>
    <cellStyle name="Заг 3 5 2 2 4" xfId="50542"/>
    <cellStyle name="Заг 3 5 2 3" xfId="50543"/>
    <cellStyle name="Заг 3 5 2 3 2" xfId="50544"/>
    <cellStyle name="Заг 3 5 2 3 3" xfId="50545"/>
    <cellStyle name="Заг 3 5 2 4" xfId="50546"/>
    <cellStyle name="Заг 3 5 2 4 2" xfId="50547"/>
    <cellStyle name="Заг 3 5 2 5" xfId="50548"/>
    <cellStyle name="Заг 3 5 2 6" xfId="50549"/>
    <cellStyle name="Заг 3 5 2 7" xfId="50550"/>
    <cellStyle name="Заг 3 5 2 8" xfId="50551"/>
    <cellStyle name="Заг 3 5 2 9" xfId="50552"/>
    <cellStyle name="Заг 3 5 3" xfId="50553"/>
    <cellStyle name="Заг 3 5 3 10" xfId="50554"/>
    <cellStyle name="Заг 3 5 3 11" xfId="50555"/>
    <cellStyle name="Заг 3 5 3 12" xfId="50556"/>
    <cellStyle name="Заг 3 5 3 13" xfId="50557"/>
    <cellStyle name="Заг 3 5 3 14" xfId="50558"/>
    <cellStyle name="Заг 3 5 3 15" xfId="50559"/>
    <cellStyle name="Заг 3 5 3 16" xfId="50560"/>
    <cellStyle name="Заг 3 5 3 17" xfId="50561"/>
    <cellStyle name="Заг 3 5 3 18" xfId="50562"/>
    <cellStyle name="Заг 3 5 3 2" xfId="50563"/>
    <cellStyle name="Заг 3 5 3 2 2" xfId="50564"/>
    <cellStyle name="Заг 3 5 3 2 2 2" xfId="50565"/>
    <cellStyle name="Заг 3 5 3 2 3" xfId="50566"/>
    <cellStyle name="Заг 3 5 3 2 4" xfId="50567"/>
    <cellStyle name="Заг 3 5 3 3" xfId="50568"/>
    <cellStyle name="Заг 3 5 3 3 2" xfId="50569"/>
    <cellStyle name="Заг 3 5 3 3 3" xfId="50570"/>
    <cellStyle name="Заг 3 5 3 4" xfId="50571"/>
    <cellStyle name="Заг 3 5 3 4 2" xfId="50572"/>
    <cellStyle name="Заг 3 5 3 5" xfId="50573"/>
    <cellStyle name="Заг 3 5 3 6" xfId="50574"/>
    <cellStyle name="Заг 3 5 3 7" xfId="50575"/>
    <cellStyle name="Заг 3 5 3 8" xfId="50576"/>
    <cellStyle name="Заг 3 5 3 9" xfId="50577"/>
    <cellStyle name="Заг 3 5 4" xfId="50578"/>
    <cellStyle name="Заг 3 5 4 2" xfId="50579"/>
    <cellStyle name="Заг 3 5 4 2 2" xfId="50580"/>
    <cellStyle name="Заг 3 5 4 2 3" xfId="50581"/>
    <cellStyle name="Заг 3 5 4 3" xfId="50582"/>
    <cellStyle name="Заг 3 5 4 3 2" xfId="50583"/>
    <cellStyle name="Заг 3 5 4 4" xfId="50584"/>
    <cellStyle name="Заг 3 5 4 5" xfId="50585"/>
    <cellStyle name="Заг 3 5 5" xfId="50586"/>
    <cellStyle name="Заг 3 5 5 2" xfId="50587"/>
    <cellStyle name="Заг 3 5 5 2 2" xfId="50588"/>
    <cellStyle name="Заг 3 5 5 3" xfId="50589"/>
    <cellStyle name="Заг 3 5 5 4" xfId="50590"/>
    <cellStyle name="Заг 3 5 6" xfId="50591"/>
    <cellStyle name="Заг 3 5 6 2" xfId="50592"/>
    <cellStyle name="Заг 3 5 7" xfId="50593"/>
    <cellStyle name="Заг 3 5 8" xfId="50594"/>
    <cellStyle name="Заг 3 5 9" xfId="50595"/>
    <cellStyle name="Заг 3 6" xfId="50596"/>
    <cellStyle name="Заг 3 6 10" xfId="50597"/>
    <cellStyle name="Заг 3 6 11" xfId="50598"/>
    <cellStyle name="Заг 3 6 12" xfId="50599"/>
    <cellStyle name="Заг 3 6 13" xfId="50600"/>
    <cellStyle name="Заг 3 6 14" xfId="50601"/>
    <cellStyle name="Заг 3 6 15" xfId="50602"/>
    <cellStyle name="Заг 3 6 16" xfId="50603"/>
    <cellStyle name="Заг 3 6 17" xfId="50604"/>
    <cellStyle name="Заг 3 6 18" xfId="50605"/>
    <cellStyle name="Заг 3 6 19" xfId="50606"/>
    <cellStyle name="Заг 3 6 2" xfId="50607"/>
    <cellStyle name="Заг 3 6 2 10" xfId="50608"/>
    <cellStyle name="Заг 3 6 2 11" xfId="50609"/>
    <cellStyle name="Заг 3 6 2 12" xfId="50610"/>
    <cellStyle name="Заг 3 6 2 13" xfId="50611"/>
    <cellStyle name="Заг 3 6 2 14" xfId="50612"/>
    <cellStyle name="Заг 3 6 2 15" xfId="50613"/>
    <cellStyle name="Заг 3 6 2 16" xfId="50614"/>
    <cellStyle name="Заг 3 6 2 17" xfId="50615"/>
    <cellStyle name="Заг 3 6 2 18" xfId="50616"/>
    <cellStyle name="Заг 3 6 2 2" xfId="50617"/>
    <cellStyle name="Заг 3 6 2 2 2" xfId="50618"/>
    <cellStyle name="Заг 3 6 2 2 2 2" xfId="50619"/>
    <cellStyle name="Заг 3 6 2 2 3" xfId="50620"/>
    <cellStyle name="Заг 3 6 2 2 4" xfId="50621"/>
    <cellStyle name="Заг 3 6 2 3" xfId="50622"/>
    <cellStyle name="Заг 3 6 2 3 2" xfId="50623"/>
    <cellStyle name="Заг 3 6 2 3 3" xfId="50624"/>
    <cellStyle name="Заг 3 6 2 4" xfId="50625"/>
    <cellStyle name="Заг 3 6 2 4 2" xfId="50626"/>
    <cellStyle name="Заг 3 6 2 5" xfId="50627"/>
    <cellStyle name="Заг 3 6 2 6" xfId="50628"/>
    <cellStyle name="Заг 3 6 2 7" xfId="50629"/>
    <cellStyle name="Заг 3 6 2 8" xfId="50630"/>
    <cellStyle name="Заг 3 6 2 9" xfId="50631"/>
    <cellStyle name="Заг 3 6 20" xfId="50632"/>
    <cellStyle name="Заг 3 6 3" xfId="50633"/>
    <cellStyle name="Заг 3 6 3 10" xfId="50634"/>
    <cellStyle name="Заг 3 6 3 11" xfId="50635"/>
    <cellStyle name="Заг 3 6 3 12" xfId="50636"/>
    <cellStyle name="Заг 3 6 3 13" xfId="50637"/>
    <cellStyle name="Заг 3 6 3 14" xfId="50638"/>
    <cellStyle name="Заг 3 6 3 15" xfId="50639"/>
    <cellStyle name="Заг 3 6 3 16" xfId="50640"/>
    <cellStyle name="Заг 3 6 3 17" xfId="50641"/>
    <cellStyle name="Заг 3 6 3 18" xfId="50642"/>
    <cellStyle name="Заг 3 6 3 2" xfId="50643"/>
    <cellStyle name="Заг 3 6 3 2 2" xfId="50644"/>
    <cellStyle name="Заг 3 6 3 2 2 2" xfId="50645"/>
    <cellStyle name="Заг 3 6 3 2 3" xfId="50646"/>
    <cellStyle name="Заг 3 6 3 2 4" xfId="50647"/>
    <cellStyle name="Заг 3 6 3 3" xfId="50648"/>
    <cellStyle name="Заг 3 6 3 3 2" xfId="50649"/>
    <cellStyle name="Заг 3 6 3 3 3" xfId="50650"/>
    <cellStyle name="Заг 3 6 3 4" xfId="50651"/>
    <cellStyle name="Заг 3 6 3 4 2" xfId="50652"/>
    <cellStyle name="Заг 3 6 3 5" xfId="50653"/>
    <cellStyle name="Заг 3 6 3 6" xfId="50654"/>
    <cellStyle name="Заг 3 6 3 7" xfId="50655"/>
    <cellStyle name="Заг 3 6 3 8" xfId="50656"/>
    <cellStyle name="Заг 3 6 3 9" xfId="50657"/>
    <cellStyle name="Заг 3 6 4" xfId="50658"/>
    <cellStyle name="Заг 3 6 4 2" xfId="50659"/>
    <cellStyle name="Заг 3 6 4 2 2" xfId="50660"/>
    <cellStyle name="Заг 3 6 4 2 3" xfId="50661"/>
    <cellStyle name="Заг 3 6 4 3" xfId="50662"/>
    <cellStyle name="Заг 3 6 4 3 2" xfId="50663"/>
    <cellStyle name="Заг 3 6 4 4" xfId="50664"/>
    <cellStyle name="Заг 3 6 4 5" xfId="50665"/>
    <cellStyle name="Заг 3 6 5" xfId="50666"/>
    <cellStyle name="Заг 3 6 5 2" xfId="50667"/>
    <cellStyle name="Заг 3 6 5 2 2" xfId="50668"/>
    <cellStyle name="Заг 3 6 5 3" xfId="50669"/>
    <cellStyle name="Заг 3 6 5 4" xfId="50670"/>
    <cellStyle name="Заг 3 6 6" xfId="50671"/>
    <cellStyle name="Заг 3 6 6 2" xfId="50672"/>
    <cellStyle name="Заг 3 6 7" xfId="50673"/>
    <cellStyle name="Заг 3 6 8" xfId="50674"/>
    <cellStyle name="Заг 3 6 9" xfId="50675"/>
    <cellStyle name="Заг 3 7" xfId="50676"/>
    <cellStyle name="Заг 3 7 10" xfId="50677"/>
    <cellStyle name="Заг 3 7 11" xfId="50678"/>
    <cellStyle name="Заг 3 7 12" xfId="50679"/>
    <cellStyle name="Заг 3 7 13" xfId="50680"/>
    <cellStyle name="Заг 3 7 14" xfId="50681"/>
    <cellStyle name="Заг 3 7 15" xfId="50682"/>
    <cellStyle name="Заг 3 7 16" xfId="50683"/>
    <cellStyle name="Заг 3 7 17" xfId="50684"/>
    <cellStyle name="Заг 3 7 2" xfId="50685"/>
    <cellStyle name="Заг 3 7 2 2" xfId="50686"/>
    <cellStyle name="Заг 3 7 2 2 2" xfId="50687"/>
    <cellStyle name="Заг 3 7 2 3" xfId="50688"/>
    <cellStyle name="Заг 3 7 2 4" xfId="50689"/>
    <cellStyle name="Заг 3 7 3" xfId="50690"/>
    <cellStyle name="Заг 3 7 3 2" xfId="50691"/>
    <cellStyle name="Заг 3 7 4" xfId="50692"/>
    <cellStyle name="Заг 3 7 5" xfId="50693"/>
    <cellStyle name="Заг 3 7 6" xfId="50694"/>
    <cellStyle name="Заг 3 7 7" xfId="50695"/>
    <cellStyle name="Заг 3 7 8" xfId="50696"/>
    <cellStyle name="Заг 3 7 9" xfId="50697"/>
    <cellStyle name="Заг 3 8" xfId="50698"/>
    <cellStyle name="Заг 3 8 2" xfId="50699"/>
    <cellStyle name="Заг 3 8 2 2" xfId="50700"/>
    <cellStyle name="Заг 3 8 2 2 2" xfId="50701"/>
    <cellStyle name="Заг 3 8 2 3" xfId="50702"/>
    <cellStyle name="Заг 3 8 2 4" xfId="50703"/>
    <cellStyle name="Заг 3 8 3" xfId="50704"/>
    <cellStyle name="Заг 3 8 3 2" xfId="50705"/>
    <cellStyle name="Заг 3 8 3 3" xfId="50706"/>
    <cellStyle name="Заг 3 8 4" xfId="50707"/>
    <cellStyle name="Заг 3 8 4 2" xfId="50708"/>
    <cellStyle name="Заг 3 8 5" xfId="50709"/>
    <cellStyle name="Заг 3 8 6" xfId="50710"/>
    <cellStyle name="Заг 3 9" xfId="50711"/>
    <cellStyle name="Заг 3 9 2" xfId="50712"/>
    <cellStyle name="Заг 3 9 2 2" xfId="50713"/>
    <cellStyle name="Заг 3 9 3" xfId="50714"/>
    <cellStyle name="Заг 3 9 4" xfId="50715"/>
    <cellStyle name="Заг 4" xfId="50716"/>
    <cellStyle name="Заг 4 10" xfId="50717"/>
    <cellStyle name="Заг 4 11" xfId="50718"/>
    <cellStyle name="Заг 4 12" xfId="50719"/>
    <cellStyle name="Заг 4 13" xfId="50720"/>
    <cellStyle name="Заг 4 14" xfId="50721"/>
    <cellStyle name="Заг 4 15" xfId="50722"/>
    <cellStyle name="Заг 4 16" xfId="50723"/>
    <cellStyle name="Заг 4 17" xfId="50724"/>
    <cellStyle name="Заг 4 18" xfId="50725"/>
    <cellStyle name="Заг 4 19" xfId="50726"/>
    <cellStyle name="Заг 4 2" xfId="50727"/>
    <cellStyle name="Заг 4 2 10" xfId="50728"/>
    <cellStyle name="Заг 4 2 11" xfId="50729"/>
    <cellStyle name="Заг 4 2 12" xfId="50730"/>
    <cellStyle name="Заг 4 2 13" xfId="50731"/>
    <cellStyle name="Заг 4 2 14" xfId="50732"/>
    <cellStyle name="Заг 4 2 15" xfId="50733"/>
    <cellStyle name="Заг 4 2 16" xfId="50734"/>
    <cellStyle name="Заг 4 2 17" xfId="50735"/>
    <cellStyle name="Заг 4 2 18" xfId="50736"/>
    <cellStyle name="Заг 4 2 19" xfId="50737"/>
    <cellStyle name="Заг 4 2 2" xfId="50738"/>
    <cellStyle name="Заг 4 2 2 10" xfId="50739"/>
    <cellStyle name="Заг 4 2 2 11" xfId="50740"/>
    <cellStyle name="Заг 4 2 2 12" xfId="50741"/>
    <cellStyle name="Заг 4 2 2 13" xfId="50742"/>
    <cellStyle name="Заг 4 2 2 14" xfId="50743"/>
    <cellStyle name="Заг 4 2 2 15" xfId="50744"/>
    <cellStyle name="Заг 4 2 2 16" xfId="50745"/>
    <cellStyle name="Заг 4 2 2 17" xfId="50746"/>
    <cellStyle name="Заг 4 2 2 18" xfId="50747"/>
    <cellStyle name="Заг 4 2 2 2" xfId="50748"/>
    <cellStyle name="Заг 4 2 2 2 2" xfId="50749"/>
    <cellStyle name="Заг 4 2 2 2 2 2" xfId="50750"/>
    <cellStyle name="Заг 4 2 2 2 3" xfId="50751"/>
    <cellStyle name="Заг 4 2 2 2 4" xfId="50752"/>
    <cellStyle name="Заг 4 2 2 3" xfId="50753"/>
    <cellStyle name="Заг 4 2 2 3 2" xfId="50754"/>
    <cellStyle name="Заг 4 2 2 3 3" xfId="50755"/>
    <cellStyle name="Заг 4 2 2 4" xfId="50756"/>
    <cellStyle name="Заг 4 2 2 4 2" xfId="50757"/>
    <cellStyle name="Заг 4 2 2 5" xfId="50758"/>
    <cellStyle name="Заг 4 2 2 6" xfId="50759"/>
    <cellStyle name="Заг 4 2 2 7" xfId="50760"/>
    <cellStyle name="Заг 4 2 2 8" xfId="50761"/>
    <cellStyle name="Заг 4 2 2 9" xfId="50762"/>
    <cellStyle name="Заг 4 2 3" xfId="50763"/>
    <cellStyle name="Заг 4 2 3 10" xfId="50764"/>
    <cellStyle name="Заг 4 2 3 11" xfId="50765"/>
    <cellStyle name="Заг 4 2 3 12" xfId="50766"/>
    <cellStyle name="Заг 4 2 3 13" xfId="50767"/>
    <cellStyle name="Заг 4 2 3 14" xfId="50768"/>
    <cellStyle name="Заг 4 2 3 15" xfId="50769"/>
    <cellStyle name="Заг 4 2 3 16" xfId="50770"/>
    <cellStyle name="Заг 4 2 3 17" xfId="50771"/>
    <cellStyle name="Заг 4 2 3 18" xfId="50772"/>
    <cellStyle name="Заг 4 2 3 2" xfId="50773"/>
    <cellStyle name="Заг 4 2 3 2 2" xfId="50774"/>
    <cellStyle name="Заг 4 2 3 2 2 2" xfId="50775"/>
    <cellStyle name="Заг 4 2 3 2 3" xfId="50776"/>
    <cellStyle name="Заг 4 2 3 2 4" xfId="50777"/>
    <cellStyle name="Заг 4 2 3 3" xfId="50778"/>
    <cellStyle name="Заг 4 2 3 3 2" xfId="50779"/>
    <cellStyle name="Заг 4 2 3 3 3" xfId="50780"/>
    <cellStyle name="Заг 4 2 3 4" xfId="50781"/>
    <cellStyle name="Заг 4 2 3 4 2" xfId="50782"/>
    <cellStyle name="Заг 4 2 3 5" xfId="50783"/>
    <cellStyle name="Заг 4 2 3 6" xfId="50784"/>
    <cellStyle name="Заг 4 2 3 7" xfId="50785"/>
    <cellStyle name="Заг 4 2 3 8" xfId="50786"/>
    <cellStyle name="Заг 4 2 3 9" xfId="50787"/>
    <cellStyle name="Заг 4 2 4" xfId="50788"/>
    <cellStyle name="Заг 4 2 4 2" xfId="50789"/>
    <cellStyle name="Заг 4 2 4 2 2" xfId="50790"/>
    <cellStyle name="Заг 4 2 4 2 3" xfId="50791"/>
    <cellStyle name="Заг 4 2 4 3" xfId="50792"/>
    <cellStyle name="Заг 4 2 4 3 2" xfId="50793"/>
    <cellStyle name="Заг 4 2 4 4" xfId="50794"/>
    <cellStyle name="Заг 4 2 4 5" xfId="50795"/>
    <cellStyle name="Заг 4 2 5" xfId="50796"/>
    <cellStyle name="Заг 4 2 5 2" xfId="50797"/>
    <cellStyle name="Заг 4 2 5 2 2" xfId="50798"/>
    <cellStyle name="Заг 4 2 5 3" xfId="50799"/>
    <cellStyle name="Заг 4 2 5 4" xfId="50800"/>
    <cellStyle name="Заг 4 2 6" xfId="50801"/>
    <cellStyle name="Заг 4 2 6 2" xfId="50802"/>
    <cellStyle name="Заг 4 2 7" xfId="50803"/>
    <cellStyle name="Заг 4 2 8" xfId="50804"/>
    <cellStyle name="Заг 4 2 9" xfId="50805"/>
    <cellStyle name="Заг 4 20" xfId="50806"/>
    <cellStyle name="Заг 4 21" xfId="50807"/>
    <cellStyle name="Заг 4 22" xfId="50808"/>
    <cellStyle name="Заг 4 23" xfId="50809"/>
    <cellStyle name="Заг 4 24" xfId="50810"/>
    <cellStyle name="Заг 4 3" xfId="50811"/>
    <cellStyle name="Заг 4 3 10" xfId="50812"/>
    <cellStyle name="Заг 4 3 11" xfId="50813"/>
    <cellStyle name="Заг 4 3 12" xfId="50814"/>
    <cellStyle name="Заг 4 3 13" xfId="50815"/>
    <cellStyle name="Заг 4 3 14" xfId="50816"/>
    <cellStyle name="Заг 4 3 15" xfId="50817"/>
    <cellStyle name="Заг 4 3 16" xfId="50818"/>
    <cellStyle name="Заг 4 3 17" xfId="50819"/>
    <cellStyle name="Заг 4 3 18" xfId="50820"/>
    <cellStyle name="Заг 4 3 19" xfId="50821"/>
    <cellStyle name="Заг 4 3 2" xfId="50822"/>
    <cellStyle name="Заг 4 3 2 10" xfId="50823"/>
    <cellStyle name="Заг 4 3 2 11" xfId="50824"/>
    <cellStyle name="Заг 4 3 2 12" xfId="50825"/>
    <cellStyle name="Заг 4 3 2 13" xfId="50826"/>
    <cellStyle name="Заг 4 3 2 14" xfId="50827"/>
    <cellStyle name="Заг 4 3 2 15" xfId="50828"/>
    <cellStyle name="Заг 4 3 2 16" xfId="50829"/>
    <cellStyle name="Заг 4 3 2 17" xfId="50830"/>
    <cellStyle name="Заг 4 3 2 18" xfId="50831"/>
    <cellStyle name="Заг 4 3 2 2" xfId="50832"/>
    <cellStyle name="Заг 4 3 2 2 2" xfId="50833"/>
    <cellStyle name="Заг 4 3 2 2 2 2" xfId="50834"/>
    <cellStyle name="Заг 4 3 2 2 3" xfId="50835"/>
    <cellStyle name="Заг 4 3 2 2 4" xfId="50836"/>
    <cellStyle name="Заг 4 3 2 3" xfId="50837"/>
    <cellStyle name="Заг 4 3 2 3 2" xfId="50838"/>
    <cellStyle name="Заг 4 3 2 3 3" xfId="50839"/>
    <cellStyle name="Заг 4 3 2 4" xfId="50840"/>
    <cellStyle name="Заг 4 3 2 4 2" xfId="50841"/>
    <cellStyle name="Заг 4 3 2 5" xfId="50842"/>
    <cellStyle name="Заг 4 3 2 6" xfId="50843"/>
    <cellStyle name="Заг 4 3 2 7" xfId="50844"/>
    <cellStyle name="Заг 4 3 2 8" xfId="50845"/>
    <cellStyle name="Заг 4 3 2 9" xfId="50846"/>
    <cellStyle name="Заг 4 3 20" xfId="50847"/>
    <cellStyle name="Заг 4 3 21" xfId="50848"/>
    <cellStyle name="Заг 4 3 3" xfId="50849"/>
    <cellStyle name="Заг 4 3 3 10" xfId="50850"/>
    <cellStyle name="Заг 4 3 3 11" xfId="50851"/>
    <cellStyle name="Заг 4 3 3 12" xfId="50852"/>
    <cellStyle name="Заг 4 3 3 13" xfId="50853"/>
    <cellStyle name="Заг 4 3 3 14" xfId="50854"/>
    <cellStyle name="Заг 4 3 3 15" xfId="50855"/>
    <cellStyle name="Заг 4 3 3 16" xfId="50856"/>
    <cellStyle name="Заг 4 3 3 17" xfId="50857"/>
    <cellStyle name="Заг 4 3 3 18" xfId="50858"/>
    <cellStyle name="Заг 4 3 3 2" xfId="50859"/>
    <cellStyle name="Заг 4 3 3 2 2" xfId="50860"/>
    <cellStyle name="Заг 4 3 3 2 2 2" xfId="50861"/>
    <cellStyle name="Заг 4 3 3 2 3" xfId="50862"/>
    <cellStyle name="Заг 4 3 3 2 4" xfId="50863"/>
    <cellStyle name="Заг 4 3 3 3" xfId="50864"/>
    <cellStyle name="Заг 4 3 3 3 2" xfId="50865"/>
    <cellStyle name="Заг 4 3 3 3 3" xfId="50866"/>
    <cellStyle name="Заг 4 3 3 4" xfId="50867"/>
    <cellStyle name="Заг 4 3 3 4 2" xfId="50868"/>
    <cellStyle name="Заг 4 3 3 5" xfId="50869"/>
    <cellStyle name="Заг 4 3 3 6" xfId="50870"/>
    <cellStyle name="Заг 4 3 3 7" xfId="50871"/>
    <cellStyle name="Заг 4 3 3 8" xfId="50872"/>
    <cellStyle name="Заг 4 3 3 9" xfId="50873"/>
    <cellStyle name="Заг 4 3 4" xfId="50874"/>
    <cellStyle name="Заг 4 3 4 2" xfId="50875"/>
    <cellStyle name="Заг 4 3 4 2 2" xfId="50876"/>
    <cellStyle name="Заг 4 3 4 2 3" xfId="50877"/>
    <cellStyle name="Заг 4 3 4 3" xfId="50878"/>
    <cellStyle name="Заг 4 3 4 3 2" xfId="50879"/>
    <cellStyle name="Заг 4 3 4 4" xfId="50880"/>
    <cellStyle name="Заг 4 3 4 5" xfId="50881"/>
    <cellStyle name="Заг 4 3 5" xfId="50882"/>
    <cellStyle name="Заг 4 3 5 2" xfId="50883"/>
    <cellStyle name="Заг 4 3 5 2 2" xfId="50884"/>
    <cellStyle name="Заг 4 3 5 3" xfId="50885"/>
    <cellStyle name="Заг 4 3 5 4" xfId="50886"/>
    <cellStyle name="Заг 4 3 6" xfId="50887"/>
    <cellStyle name="Заг 4 3 6 2" xfId="50888"/>
    <cellStyle name="Заг 4 3 7" xfId="50889"/>
    <cellStyle name="Заг 4 3 8" xfId="50890"/>
    <cellStyle name="Заг 4 3 9" xfId="50891"/>
    <cellStyle name="Заг 4 4" xfId="50892"/>
    <cellStyle name="Заг 4 4 10" xfId="50893"/>
    <cellStyle name="Заг 4 4 11" xfId="50894"/>
    <cellStyle name="Заг 4 4 12" xfId="50895"/>
    <cellStyle name="Заг 4 4 13" xfId="50896"/>
    <cellStyle name="Заг 4 4 14" xfId="50897"/>
    <cellStyle name="Заг 4 4 15" xfId="50898"/>
    <cellStyle name="Заг 4 4 16" xfId="50899"/>
    <cellStyle name="Заг 4 4 17" xfId="50900"/>
    <cellStyle name="Заг 4 4 18" xfId="50901"/>
    <cellStyle name="Заг 4 4 19" xfId="50902"/>
    <cellStyle name="Заг 4 4 2" xfId="50903"/>
    <cellStyle name="Заг 4 4 2 10" xfId="50904"/>
    <cellStyle name="Заг 4 4 2 11" xfId="50905"/>
    <cellStyle name="Заг 4 4 2 12" xfId="50906"/>
    <cellStyle name="Заг 4 4 2 13" xfId="50907"/>
    <cellStyle name="Заг 4 4 2 14" xfId="50908"/>
    <cellStyle name="Заг 4 4 2 15" xfId="50909"/>
    <cellStyle name="Заг 4 4 2 16" xfId="50910"/>
    <cellStyle name="Заг 4 4 2 17" xfId="50911"/>
    <cellStyle name="Заг 4 4 2 18" xfId="50912"/>
    <cellStyle name="Заг 4 4 2 2" xfId="50913"/>
    <cellStyle name="Заг 4 4 2 2 2" xfId="50914"/>
    <cellStyle name="Заг 4 4 2 2 2 2" xfId="50915"/>
    <cellStyle name="Заг 4 4 2 2 3" xfId="50916"/>
    <cellStyle name="Заг 4 4 2 2 4" xfId="50917"/>
    <cellStyle name="Заг 4 4 2 3" xfId="50918"/>
    <cellStyle name="Заг 4 4 2 3 2" xfId="50919"/>
    <cellStyle name="Заг 4 4 2 3 3" xfId="50920"/>
    <cellStyle name="Заг 4 4 2 4" xfId="50921"/>
    <cellStyle name="Заг 4 4 2 4 2" xfId="50922"/>
    <cellStyle name="Заг 4 4 2 5" xfId="50923"/>
    <cellStyle name="Заг 4 4 2 6" xfId="50924"/>
    <cellStyle name="Заг 4 4 2 7" xfId="50925"/>
    <cellStyle name="Заг 4 4 2 8" xfId="50926"/>
    <cellStyle name="Заг 4 4 2 9" xfId="50927"/>
    <cellStyle name="Заг 4 4 20" xfId="50928"/>
    <cellStyle name="Заг 4 4 21" xfId="50929"/>
    <cellStyle name="Заг 4 4 3" xfId="50930"/>
    <cellStyle name="Заг 4 4 3 10" xfId="50931"/>
    <cellStyle name="Заг 4 4 3 11" xfId="50932"/>
    <cellStyle name="Заг 4 4 3 12" xfId="50933"/>
    <cellStyle name="Заг 4 4 3 13" xfId="50934"/>
    <cellStyle name="Заг 4 4 3 14" xfId="50935"/>
    <cellStyle name="Заг 4 4 3 15" xfId="50936"/>
    <cellStyle name="Заг 4 4 3 16" xfId="50937"/>
    <cellStyle name="Заг 4 4 3 17" xfId="50938"/>
    <cellStyle name="Заг 4 4 3 18" xfId="50939"/>
    <cellStyle name="Заг 4 4 3 2" xfId="50940"/>
    <cellStyle name="Заг 4 4 3 2 2" xfId="50941"/>
    <cellStyle name="Заг 4 4 3 2 2 2" xfId="50942"/>
    <cellStyle name="Заг 4 4 3 2 3" xfId="50943"/>
    <cellStyle name="Заг 4 4 3 2 4" xfId="50944"/>
    <cellStyle name="Заг 4 4 3 3" xfId="50945"/>
    <cellStyle name="Заг 4 4 3 3 2" xfId="50946"/>
    <cellStyle name="Заг 4 4 3 3 3" xfId="50947"/>
    <cellStyle name="Заг 4 4 3 4" xfId="50948"/>
    <cellStyle name="Заг 4 4 3 4 2" xfId="50949"/>
    <cellStyle name="Заг 4 4 3 5" xfId="50950"/>
    <cellStyle name="Заг 4 4 3 6" xfId="50951"/>
    <cellStyle name="Заг 4 4 3 7" xfId="50952"/>
    <cellStyle name="Заг 4 4 3 8" xfId="50953"/>
    <cellStyle name="Заг 4 4 3 9" xfId="50954"/>
    <cellStyle name="Заг 4 4 4" xfId="50955"/>
    <cellStyle name="Заг 4 4 4 2" xfId="50956"/>
    <cellStyle name="Заг 4 4 4 2 2" xfId="50957"/>
    <cellStyle name="Заг 4 4 4 2 3" xfId="50958"/>
    <cellStyle name="Заг 4 4 4 3" xfId="50959"/>
    <cellStyle name="Заг 4 4 4 3 2" xfId="50960"/>
    <cellStyle name="Заг 4 4 4 4" xfId="50961"/>
    <cellStyle name="Заг 4 4 4 5" xfId="50962"/>
    <cellStyle name="Заг 4 4 5" xfId="50963"/>
    <cellStyle name="Заг 4 4 5 2" xfId="50964"/>
    <cellStyle name="Заг 4 4 5 2 2" xfId="50965"/>
    <cellStyle name="Заг 4 4 5 3" xfId="50966"/>
    <cellStyle name="Заг 4 4 5 4" xfId="50967"/>
    <cellStyle name="Заг 4 4 6" xfId="50968"/>
    <cellStyle name="Заг 4 4 6 2" xfId="50969"/>
    <cellStyle name="Заг 4 4 7" xfId="50970"/>
    <cellStyle name="Заг 4 4 8" xfId="50971"/>
    <cellStyle name="Заг 4 4 9" xfId="50972"/>
    <cellStyle name="Заг 4 5" xfId="50973"/>
    <cellStyle name="Заг 4 5 10" xfId="50974"/>
    <cellStyle name="Заг 4 5 11" xfId="50975"/>
    <cellStyle name="Заг 4 5 12" xfId="50976"/>
    <cellStyle name="Заг 4 5 13" xfId="50977"/>
    <cellStyle name="Заг 4 5 14" xfId="50978"/>
    <cellStyle name="Заг 4 5 15" xfId="50979"/>
    <cellStyle name="Заг 4 5 16" xfId="50980"/>
    <cellStyle name="Заг 4 5 17" xfId="50981"/>
    <cellStyle name="Заг 4 5 18" xfId="50982"/>
    <cellStyle name="Заг 4 5 19" xfId="50983"/>
    <cellStyle name="Заг 4 5 2" xfId="50984"/>
    <cellStyle name="Заг 4 5 2 10" xfId="50985"/>
    <cellStyle name="Заг 4 5 2 11" xfId="50986"/>
    <cellStyle name="Заг 4 5 2 12" xfId="50987"/>
    <cellStyle name="Заг 4 5 2 13" xfId="50988"/>
    <cellStyle name="Заг 4 5 2 14" xfId="50989"/>
    <cellStyle name="Заг 4 5 2 15" xfId="50990"/>
    <cellStyle name="Заг 4 5 2 16" xfId="50991"/>
    <cellStyle name="Заг 4 5 2 17" xfId="50992"/>
    <cellStyle name="Заг 4 5 2 18" xfId="50993"/>
    <cellStyle name="Заг 4 5 2 2" xfId="50994"/>
    <cellStyle name="Заг 4 5 2 2 2" xfId="50995"/>
    <cellStyle name="Заг 4 5 2 2 2 2" xfId="50996"/>
    <cellStyle name="Заг 4 5 2 2 3" xfId="50997"/>
    <cellStyle name="Заг 4 5 2 2 4" xfId="50998"/>
    <cellStyle name="Заг 4 5 2 3" xfId="50999"/>
    <cellStyle name="Заг 4 5 2 3 2" xfId="51000"/>
    <cellStyle name="Заг 4 5 2 3 3" xfId="51001"/>
    <cellStyle name="Заг 4 5 2 4" xfId="51002"/>
    <cellStyle name="Заг 4 5 2 4 2" xfId="51003"/>
    <cellStyle name="Заг 4 5 2 5" xfId="51004"/>
    <cellStyle name="Заг 4 5 2 6" xfId="51005"/>
    <cellStyle name="Заг 4 5 2 7" xfId="51006"/>
    <cellStyle name="Заг 4 5 2 8" xfId="51007"/>
    <cellStyle name="Заг 4 5 2 9" xfId="51008"/>
    <cellStyle name="Заг 4 5 3" xfId="51009"/>
    <cellStyle name="Заг 4 5 3 10" xfId="51010"/>
    <cellStyle name="Заг 4 5 3 11" xfId="51011"/>
    <cellStyle name="Заг 4 5 3 12" xfId="51012"/>
    <cellStyle name="Заг 4 5 3 13" xfId="51013"/>
    <cellStyle name="Заг 4 5 3 14" xfId="51014"/>
    <cellStyle name="Заг 4 5 3 15" xfId="51015"/>
    <cellStyle name="Заг 4 5 3 16" xfId="51016"/>
    <cellStyle name="Заг 4 5 3 17" xfId="51017"/>
    <cellStyle name="Заг 4 5 3 18" xfId="51018"/>
    <cellStyle name="Заг 4 5 3 2" xfId="51019"/>
    <cellStyle name="Заг 4 5 3 2 2" xfId="51020"/>
    <cellStyle name="Заг 4 5 3 2 2 2" xfId="51021"/>
    <cellStyle name="Заг 4 5 3 2 3" xfId="51022"/>
    <cellStyle name="Заг 4 5 3 2 4" xfId="51023"/>
    <cellStyle name="Заг 4 5 3 3" xfId="51024"/>
    <cellStyle name="Заг 4 5 3 3 2" xfId="51025"/>
    <cellStyle name="Заг 4 5 3 3 3" xfId="51026"/>
    <cellStyle name="Заг 4 5 3 4" xfId="51027"/>
    <cellStyle name="Заг 4 5 3 4 2" xfId="51028"/>
    <cellStyle name="Заг 4 5 3 5" xfId="51029"/>
    <cellStyle name="Заг 4 5 3 6" xfId="51030"/>
    <cellStyle name="Заг 4 5 3 7" xfId="51031"/>
    <cellStyle name="Заг 4 5 3 8" xfId="51032"/>
    <cellStyle name="Заг 4 5 3 9" xfId="51033"/>
    <cellStyle name="Заг 4 5 4" xfId="51034"/>
    <cellStyle name="Заг 4 5 4 2" xfId="51035"/>
    <cellStyle name="Заг 4 5 4 2 2" xfId="51036"/>
    <cellStyle name="Заг 4 5 4 2 3" xfId="51037"/>
    <cellStyle name="Заг 4 5 4 3" xfId="51038"/>
    <cellStyle name="Заг 4 5 4 3 2" xfId="51039"/>
    <cellStyle name="Заг 4 5 4 4" xfId="51040"/>
    <cellStyle name="Заг 4 5 4 5" xfId="51041"/>
    <cellStyle name="Заг 4 5 5" xfId="51042"/>
    <cellStyle name="Заг 4 5 5 2" xfId="51043"/>
    <cellStyle name="Заг 4 5 5 2 2" xfId="51044"/>
    <cellStyle name="Заг 4 5 5 3" xfId="51045"/>
    <cellStyle name="Заг 4 5 5 4" xfId="51046"/>
    <cellStyle name="Заг 4 5 6" xfId="51047"/>
    <cellStyle name="Заг 4 5 6 2" xfId="51048"/>
    <cellStyle name="Заг 4 5 7" xfId="51049"/>
    <cellStyle name="Заг 4 5 8" xfId="51050"/>
    <cellStyle name="Заг 4 5 9" xfId="51051"/>
    <cellStyle name="Заг 4 6" xfId="51052"/>
    <cellStyle name="Заг 4 6 10" xfId="51053"/>
    <cellStyle name="Заг 4 6 11" xfId="51054"/>
    <cellStyle name="Заг 4 6 12" xfId="51055"/>
    <cellStyle name="Заг 4 6 13" xfId="51056"/>
    <cellStyle name="Заг 4 6 14" xfId="51057"/>
    <cellStyle name="Заг 4 6 15" xfId="51058"/>
    <cellStyle name="Заг 4 6 16" xfId="51059"/>
    <cellStyle name="Заг 4 6 17" xfId="51060"/>
    <cellStyle name="Заг 4 6 18" xfId="51061"/>
    <cellStyle name="Заг 4 6 19" xfId="51062"/>
    <cellStyle name="Заг 4 6 2" xfId="51063"/>
    <cellStyle name="Заг 4 6 2 10" xfId="51064"/>
    <cellStyle name="Заг 4 6 2 11" xfId="51065"/>
    <cellStyle name="Заг 4 6 2 12" xfId="51066"/>
    <cellStyle name="Заг 4 6 2 13" xfId="51067"/>
    <cellStyle name="Заг 4 6 2 14" xfId="51068"/>
    <cellStyle name="Заг 4 6 2 15" xfId="51069"/>
    <cellStyle name="Заг 4 6 2 16" xfId="51070"/>
    <cellStyle name="Заг 4 6 2 17" xfId="51071"/>
    <cellStyle name="Заг 4 6 2 18" xfId="51072"/>
    <cellStyle name="Заг 4 6 2 2" xfId="51073"/>
    <cellStyle name="Заг 4 6 2 2 2" xfId="51074"/>
    <cellStyle name="Заг 4 6 2 2 2 2" xfId="51075"/>
    <cellStyle name="Заг 4 6 2 2 3" xfId="51076"/>
    <cellStyle name="Заг 4 6 2 2 4" xfId="51077"/>
    <cellStyle name="Заг 4 6 2 3" xfId="51078"/>
    <cellStyle name="Заг 4 6 2 3 2" xfId="51079"/>
    <cellStyle name="Заг 4 6 2 3 3" xfId="51080"/>
    <cellStyle name="Заг 4 6 2 4" xfId="51081"/>
    <cellStyle name="Заг 4 6 2 4 2" xfId="51082"/>
    <cellStyle name="Заг 4 6 2 5" xfId="51083"/>
    <cellStyle name="Заг 4 6 2 6" xfId="51084"/>
    <cellStyle name="Заг 4 6 2 7" xfId="51085"/>
    <cellStyle name="Заг 4 6 2 8" xfId="51086"/>
    <cellStyle name="Заг 4 6 2 9" xfId="51087"/>
    <cellStyle name="Заг 4 6 20" xfId="51088"/>
    <cellStyle name="Заг 4 6 3" xfId="51089"/>
    <cellStyle name="Заг 4 6 3 10" xfId="51090"/>
    <cellStyle name="Заг 4 6 3 11" xfId="51091"/>
    <cellStyle name="Заг 4 6 3 12" xfId="51092"/>
    <cellStyle name="Заг 4 6 3 13" xfId="51093"/>
    <cellStyle name="Заг 4 6 3 14" xfId="51094"/>
    <cellStyle name="Заг 4 6 3 15" xfId="51095"/>
    <cellStyle name="Заг 4 6 3 16" xfId="51096"/>
    <cellStyle name="Заг 4 6 3 17" xfId="51097"/>
    <cellStyle name="Заг 4 6 3 18" xfId="51098"/>
    <cellStyle name="Заг 4 6 3 2" xfId="51099"/>
    <cellStyle name="Заг 4 6 3 2 2" xfId="51100"/>
    <cellStyle name="Заг 4 6 3 2 2 2" xfId="51101"/>
    <cellStyle name="Заг 4 6 3 2 3" xfId="51102"/>
    <cellStyle name="Заг 4 6 3 2 4" xfId="51103"/>
    <cellStyle name="Заг 4 6 3 3" xfId="51104"/>
    <cellStyle name="Заг 4 6 3 3 2" xfId="51105"/>
    <cellStyle name="Заг 4 6 3 3 3" xfId="51106"/>
    <cellStyle name="Заг 4 6 3 4" xfId="51107"/>
    <cellStyle name="Заг 4 6 3 4 2" xfId="51108"/>
    <cellStyle name="Заг 4 6 3 5" xfId="51109"/>
    <cellStyle name="Заг 4 6 3 6" xfId="51110"/>
    <cellStyle name="Заг 4 6 3 7" xfId="51111"/>
    <cellStyle name="Заг 4 6 3 8" xfId="51112"/>
    <cellStyle name="Заг 4 6 3 9" xfId="51113"/>
    <cellStyle name="Заг 4 6 4" xfId="51114"/>
    <cellStyle name="Заг 4 6 4 2" xfId="51115"/>
    <cellStyle name="Заг 4 6 4 2 2" xfId="51116"/>
    <cellStyle name="Заг 4 6 4 2 3" xfId="51117"/>
    <cellStyle name="Заг 4 6 4 3" xfId="51118"/>
    <cellStyle name="Заг 4 6 4 3 2" xfId="51119"/>
    <cellStyle name="Заг 4 6 4 4" xfId="51120"/>
    <cellStyle name="Заг 4 6 4 5" xfId="51121"/>
    <cellStyle name="Заг 4 6 5" xfId="51122"/>
    <cellStyle name="Заг 4 6 5 2" xfId="51123"/>
    <cellStyle name="Заг 4 6 5 2 2" xfId="51124"/>
    <cellStyle name="Заг 4 6 5 3" xfId="51125"/>
    <cellStyle name="Заг 4 6 5 4" xfId="51126"/>
    <cellStyle name="Заг 4 6 6" xfId="51127"/>
    <cellStyle name="Заг 4 6 6 2" xfId="51128"/>
    <cellStyle name="Заг 4 6 7" xfId="51129"/>
    <cellStyle name="Заг 4 6 8" xfId="51130"/>
    <cellStyle name="Заг 4 6 9" xfId="51131"/>
    <cellStyle name="Заг 4 7" xfId="51132"/>
    <cellStyle name="Заг 4 7 10" xfId="51133"/>
    <cellStyle name="Заг 4 7 11" xfId="51134"/>
    <cellStyle name="Заг 4 7 12" xfId="51135"/>
    <cellStyle name="Заг 4 7 13" xfId="51136"/>
    <cellStyle name="Заг 4 7 14" xfId="51137"/>
    <cellStyle name="Заг 4 7 15" xfId="51138"/>
    <cellStyle name="Заг 4 7 16" xfId="51139"/>
    <cellStyle name="Заг 4 7 17" xfId="51140"/>
    <cellStyle name="Заг 4 7 2" xfId="51141"/>
    <cellStyle name="Заг 4 7 2 2" xfId="51142"/>
    <cellStyle name="Заг 4 7 2 2 2" xfId="51143"/>
    <cellStyle name="Заг 4 7 2 3" xfId="51144"/>
    <cellStyle name="Заг 4 7 2 4" xfId="51145"/>
    <cellStyle name="Заг 4 7 3" xfId="51146"/>
    <cellStyle name="Заг 4 7 3 2" xfId="51147"/>
    <cellStyle name="Заг 4 7 4" xfId="51148"/>
    <cellStyle name="Заг 4 7 5" xfId="51149"/>
    <cellStyle name="Заг 4 7 6" xfId="51150"/>
    <cellStyle name="Заг 4 7 7" xfId="51151"/>
    <cellStyle name="Заг 4 7 8" xfId="51152"/>
    <cellStyle name="Заг 4 7 9" xfId="51153"/>
    <cellStyle name="Заг 4 8" xfId="51154"/>
    <cellStyle name="Заг 4 8 2" xfId="51155"/>
    <cellStyle name="Заг 4 8 2 2" xfId="51156"/>
    <cellStyle name="Заг 4 8 2 2 2" xfId="51157"/>
    <cellStyle name="Заг 4 8 2 3" xfId="51158"/>
    <cellStyle name="Заг 4 8 2 4" xfId="51159"/>
    <cellStyle name="Заг 4 8 3" xfId="51160"/>
    <cellStyle name="Заг 4 8 3 2" xfId="51161"/>
    <cellStyle name="Заг 4 8 3 3" xfId="51162"/>
    <cellStyle name="Заг 4 8 4" xfId="51163"/>
    <cellStyle name="Заг 4 8 4 2" xfId="51164"/>
    <cellStyle name="Заг 4 8 5" xfId="51165"/>
    <cellStyle name="Заг 4 8 6" xfId="51166"/>
    <cellStyle name="Заг 4 9" xfId="51167"/>
    <cellStyle name="Заг 4 9 2" xfId="51168"/>
    <cellStyle name="Заг 4 9 2 2" xfId="51169"/>
    <cellStyle name="Заг 4 9 3" xfId="51170"/>
    <cellStyle name="Заг 4 9 4" xfId="51171"/>
    <cellStyle name="Заг 5" xfId="51172"/>
    <cellStyle name="Заг 5 10" xfId="51173"/>
    <cellStyle name="Заг 5 11" xfId="51174"/>
    <cellStyle name="Заг 5 12" xfId="51175"/>
    <cellStyle name="Заг 5 13" xfId="51176"/>
    <cellStyle name="Заг 5 14" xfId="51177"/>
    <cellStyle name="Заг 5 15" xfId="51178"/>
    <cellStyle name="Заг 5 16" xfId="51179"/>
    <cellStyle name="Заг 5 17" xfId="51180"/>
    <cellStyle name="Заг 5 18" xfId="51181"/>
    <cellStyle name="Заг 5 19" xfId="51182"/>
    <cellStyle name="Заг 5 2" xfId="51183"/>
    <cellStyle name="Заг 5 2 10" xfId="51184"/>
    <cellStyle name="Заг 5 2 11" xfId="51185"/>
    <cellStyle name="Заг 5 2 12" xfId="51186"/>
    <cellStyle name="Заг 5 2 13" xfId="51187"/>
    <cellStyle name="Заг 5 2 14" xfId="51188"/>
    <cellStyle name="Заг 5 2 15" xfId="51189"/>
    <cellStyle name="Заг 5 2 16" xfId="51190"/>
    <cellStyle name="Заг 5 2 17" xfId="51191"/>
    <cellStyle name="Заг 5 2 18" xfId="51192"/>
    <cellStyle name="Заг 5 2 19" xfId="51193"/>
    <cellStyle name="Заг 5 2 2" xfId="51194"/>
    <cellStyle name="Заг 5 2 2 10" xfId="51195"/>
    <cellStyle name="Заг 5 2 2 11" xfId="51196"/>
    <cellStyle name="Заг 5 2 2 12" xfId="51197"/>
    <cellStyle name="Заг 5 2 2 13" xfId="51198"/>
    <cellStyle name="Заг 5 2 2 14" xfId="51199"/>
    <cellStyle name="Заг 5 2 2 15" xfId="51200"/>
    <cellStyle name="Заг 5 2 2 16" xfId="51201"/>
    <cellStyle name="Заг 5 2 2 17" xfId="51202"/>
    <cellStyle name="Заг 5 2 2 18" xfId="51203"/>
    <cellStyle name="Заг 5 2 2 2" xfId="51204"/>
    <cellStyle name="Заг 5 2 2 2 2" xfId="51205"/>
    <cellStyle name="Заг 5 2 2 2 2 2" xfId="51206"/>
    <cellStyle name="Заг 5 2 2 2 3" xfId="51207"/>
    <cellStyle name="Заг 5 2 2 2 4" xfId="51208"/>
    <cellStyle name="Заг 5 2 2 3" xfId="51209"/>
    <cellStyle name="Заг 5 2 2 3 2" xfId="51210"/>
    <cellStyle name="Заг 5 2 2 3 3" xfId="51211"/>
    <cellStyle name="Заг 5 2 2 4" xfId="51212"/>
    <cellStyle name="Заг 5 2 2 4 2" xfId="51213"/>
    <cellStyle name="Заг 5 2 2 5" xfId="51214"/>
    <cellStyle name="Заг 5 2 2 6" xfId="51215"/>
    <cellStyle name="Заг 5 2 2 7" xfId="51216"/>
    <cellStyle name="Заг 5 2 2 8" xfId="51217"/>
    <cellStyle name="Заг 5 2 2 9" xfId="51218"/>
    <cellStyle name="Заг 5 2 3" xfId="51219"/>
    <cellStyle name="Заг 5 2 3 10" xfId="51220"/>
    <cellStyle name="Заг 5 2 3 11" xfId="51221"/>
    <cellStyle name="Заг 5 2 3 12" xfId="51222"/>
    <cellStyle name="Заг 5 2 3 13" xfId="51223"/>
    <cellStyle name="Заг 5 2 3 14" xfId="51224"/>
    <cellStyle name="Заг 5 2 3 15" xfId="51225"/>
    <cellStyle name="Заг 5 2 3 16" xfId="51226"/>
    <cellStyle name="Заг 5 2 3 17" xfId="51227"/>
    <cellStyle name="Заг 5 2 3 18" xfId="51228"/>
    <cellStyle name="Заг 5 2 3 2" xfId="51229"/>
    <cellStyle name="Заг 5 2 3 2 2" xfId="51230"/>
    <cellStyle name="Заг 5 2 3 2 2 2" xfId="51231"/>
    <cellStyle name="Заг 5 2 3 2 3" xfId="51232"/>
    <cellStyle name="Заг 5 2 3 2 4" xfId="51233"/>
    <cellStyle name="Заг 5 2 3 3" xfId="51234"/>
    <cellStyle name="Заг 5 2 3 3 2" xfId="51235"/>
    <cellStyle name="Заг 5 2 3 3 3" xfId="51236"/>
    <cellStyle name="Заг 5 2 3 4" xfId="51237"/>
    <cellStyle name="Заг 5 2 3 4 2" xfId="51238"/>
    <cellStyle name="Заг 5 2 3 5" xfId="51239"/>
    <cellStyle name="Заг 5 2 3 6" xfId="51240"/>
    <cellStyle name="Заг 5 2 3 7" xfId="51241"/>
    <cellStyle name="Заг 5 2 3 8" xfId="51242"/>
    <cellStyle name="Заг 5 2 3 9" xfId="51243"/>
    <cellStyle name="Заг 5 2 4" xfId="51244"/>
    <cellStyle name="Заг 5 2 4 2" xfId="51245"/>
    <cellStyle name="Заг 5 2 4 2 2" xfId="51246"/>
    <cellStyle name="Заг 5 2 4 2 3" xfId="51247"/>
    <cellStyle name="Заг 5 2 4 3" xfId="51248"/>
    <cellStyle name="Заг 5 2 4 3 2" xfId="51249"/>
    <cellStyle name="Заг 5 2 4 4" xfId="51250"/>
    <cellStyle name="Заг 5 2 4 5" xfId="51251"/>
    <cellStyle name="Заг 5 2 5" xfId="51252"/>
    <cellStyle name="Заг 5 2 5 2" xfId="51253"/>
    <cellStyle name="Заг 5 2 5 2 2" xfId="51254"/>
    <cellStyle name="Заг 5 2 5 3" xfId="51255"/>
    <cellStyle name="Заг 5 2 5 4" xfId="51256"/>
    <cellStyle name="Заг 5 2 6" xfId="51257"/>
    <cellStyle name="Заг 5 2 6 2" xfId="51258"/>
    <cellStyle name="Заг 5 2 7" xfId="51259"/>
    <cellStyle name="Заг 5 2 8" xfId="51260"/>
    <cellStyle name="Заг 5 2 9" xfId="51261"/>
    <cellStyle name="Заг 5 20" xfId="51262"/>
    <cellStyle name="Заг 5 21" xfId="51263"/>
    <cellStyle name="Заг 5 22" xfId="51264"/>
    <cellStyle name="Заг 5 23" xfId="51265"/>
    <cellStyle name="Заг 5 24" xfId="51266"/>
    <cellStyle name="Заг 5 3" xfId="51267"/>
    <cellStyle name="Заг 5 3 10" xfId="51268"/>
    <cellStyle name="Заг 5 3 11" xfId="51269"/>
    <cellStyle name="Заг 5 3 12" xfId="51270"/>
    <cellStyle name="Заг 5 3 13" xfId="51271"/>
    <cellStyle name="Заг 5 3 14" xfId="51272"/>
    <cellStyle name="Заг 5 3 15" xfId="51273"/>
    <cellStyle name="Заг 5 3 16" xfId="51274"/>
    <cellStyle name="Заг 5 3 17" xfId="51275"/>
    <cellStyle name="Заг 5 3 18" xfId="51276"/>
    <cellStyle name="Заг 5 3 19" xfId="51277"/>
    <cellStyle name="Заг 5 3 2" xfId="51278"/>
    <cellStyle name="Заг 5 3 2 10" xfId="51279"/>
    <cellStyle name="Заг 5 3 2 11" xfId="51280"/>
    <cellStyle name="Заг 5 3 2 12" xfId="51281"/>
    <cellStyle name="Заг 5 3 2 13" xfId="51282"/>
    <cellStyle name="Заг 5 3 2 14" xfId="51283"/>
    <cellStyle name="Заг 5 3 2 15" xfId="51284"/>
    <cellStyle name="Заг 5 3 2 16" xfId="51285"/>
    <cellStyle name="Заг 5 3 2 17" xfId="51286"/>
    <cellStyle name="Заг 5 3 2 18" xfId="51287"/>
    <cellStyle name="Заг 5 3 2 2" xfId="51288"/>
    <cellStyle name="Заг 5 3 2 2 2" xfId="51289"/>
    <cellStyle name="Заг 5 3 2 2 2 2" xfId="51290"/>
    <cellStyle name="Заг 5 3 2 2 3" xfId="51291"/>
    <cellStyle name="Заг 5 3 2 2 4" xfId="51292"/>
    <cellStyle name="Заг 5 3 2 3" xfId="51293"/>
    <cellStyle name="Заг 5 3 2 3 2" xfId="51294"/>
    <cellStyle name="Заг 5 3 2 3 3" xfId="51295"/>
    <cellStyle name="Заг 5 3 2 4" xfId="51296"/>
    <cellStyle name="Заг 5 3 2 4 2" xfId="51297"/>
    <cellStyle name="Заг 5 3 2 5" xfId="51298"/>
    <cellStyle name="Заг 5 3 2 6" xfId="51299"/>
    <cellStyle name="Заг 5 3 2 7" xfId="51300"/>
    <cellStyle name="Заг 5 3 2 8" xfId="51301"/>
    <cellStyle name="Заг 5 3 2 9" xfId="51302"/>
    <cellStyle name="Заг 5 3 20" xfId="51303"/>
    <cellStyle name="Заг 5 3 21" xfId="51304"/>
    <cellStyle name="Заг 5 3 3" xfId="51305"/>
    <cellStyle name="Заг 5 3 3 10" xfId="51306"/>
    <cellStyle name="Заг 5 3 3 11" xfId="51307"/>
    <cellStyle name="Заг 5 3 3 12" xfId="51308"/>
    <cellStyle name="Заг 5 3 3 13" xfId="51309"/>
    <cellStyle name="Заг 5 3 3 14" xfId="51310"/>
    <cellStyle name="Заг 5 3 3 15" xfId="51311"/>
    <cellStyle name="Заг 5 3 3 16" xfId="51312"/>
    <cellStyle name="Заг 5 3 3 17" xfId="51313"/>
    <cellStyle name="Заг 5 3 3 18" xfId="51314"/>
    <cellStyle name="Заг 5 3 3 2" xfId="51315"/>
    <cellStyle name="Заг 5 3 3 2 2" xfId="51316"/>
    <cellStyle name="Заг 5 3 3 2 2 2" xfId="51317"/>
    <cellStyle name="Заг 5 3 3 2 3" xfId="51318"/>
    <cellStyle name="Заг 5 3 3 2 4" xfId="51319"/>
    <cellStyle name="Заг 5 3 3 3" xfId="51320"/>
    <cellStyle name="Заг 5 3 3 3 2" xfId="51321"/>
    <cellStyle name="Заг 5 3 3 3 3" xfId="51322"/>
    <cellStyle name="Заг 5 3 3 4" xfId="51323"/>
    <cellStyle name="Заг 5 3 3 4 2" xfId="51324"/>
    <cellStyle name="Заг 5 3 3 5" xfId="51325"/>
    <cellStyle name="Заг 5 3 3 6" xfId="51326"/>
    <cellStyle name="Заг 5 3 3 7" xfId="51327"/>
    <cellStyle name="Заг 5 3 3 8" xfId="51328"/>
    <cellStyle name="Заг 5 3 3 9" xfId="51329"/>
    <cellStyle name="Заг 5 3 4" xfId="51330"/>
    <cellStyle name="Заг 5 3 4 2" xfId="51331"/>
    <cellStyle name="Заг 5 3 4 2 2" xfId="51332"/>
    <cellStyle name="Заг 5 3 4 2 3" xfId="51333"/>
    <cellStyle name="Заг 5 3 4 3" xfId="51334"/>
    <cellStyle name="Заг 5 3 4 3 2" xfId="51335"/>
    <cellStyle name="Заг 5 3 4 4" xfId="51336"/>
    <cellStyle name="Заг 5 3 4 5" xfId="51337"/>
    <cellStyle name="Заг 5 3 5" xfId="51338"/>
    <cellStyle name="Заг 5 3 5 2" xfId="51339"/>
    <cellStyle name="Заг 5 3 5 2 2" xfId="51340"/>
    <cellStyle name="Заг 5 3 5 3" xfId="51341"/>
    <cellStyle name="Заг 5 3 5 4" xfId="51342"/>
    <cellStyle name="Заг 5 3 6" xfId="51343"/>
    <cellStyle name="Заг 5 3 6 2" xfId="51344"/>
    <cellStyle name="Заг 5 3 7" xfId="51345"/>
    <cellStyle name="Заг 5 3 8" xfId="51346"/>
    <cellStyle name="Заг 5 3 9" xfId="51347"/>
    <cellStyle name="Заг 5 4" xfId="51348"/>
    <cellStyle name="Заг 5 4 10" xfId="51349"/>
    <cellStyle name="Заг 5 4 11" xfId="51350"/>
    <cellStyle name="Заг 5 4 12" xfId="51351"/>
    <cellStyle name="Заг 5 4 13" xfId="51352"/>
    <cellStyle name="Заг 5 4 14" xfId="51353"/>
    <cellStyle name="Заг 5 4 15" xfId="51354"/>
    <cellStyle name="Заг 5 4 16" xfId="51355"/>
    <cellStyle name="Заг 5 4 17" xfId="51356"/>
    <cellStyle name="Заг 5 4 18" xfId="51357"/>
    <cellStyle name="Заг 5 4 19" xfId="51358"/>
    <cellStyle name="Заг 5 4 2" xfId="51359"/>
    <cellStyle name="Заг 5 4 2 10" xfId="51360"/>
    <cellStyle name="Заг 5 4 2 11" xfId="51361"/>
    <cellStyle name="Заг 5 4 2 12" xfId="51362"/>
    <cellStyle name="Заг 5 4 2 13" xfId="51363"/>
    <cellStyle name="Заг 5 4 2 14" xfId="51364"/>
    <cellStyle name="Заг 5 4 2 15" xfId="51365"/>
    <cellStyle name="Заг 5 4 2 16" xfId="51366"/>
    <cellStyle name="Заг 5 4 2 17" xfId="51367"/>
    <cellStyle name="Заг 5 4 2 18" xfId="51368"/>
    <cellStyle name="Заг 5 4 2 2" xfId="51369"/>
    <cellStyle name="Заг 5 4 2 2 2" xfId="51370"/>
    <cellStyle name="Заг 5 4 2 2 2 2" xfId="51371"/>
    <cellStyle name="Заг 5 4 2 2 3" xfId="51372"/>
    <cellStyle name="Заг 5 4 2 2 4" xfId="51373"/>
    <cellStyle name="Заг 5 4 2 3" xfId="51374"/>
    <cellStyle name="Заг 5 4 2 3 2" xfId="51375"/>
    <cellStyle name="Заг 5 4 2 3 3" xfId="51376"/>
    <cellStyle name="Заг 5 4 2 4" xfId="51377"/>
    <cellStyle name="Заг 5 4 2 4 2" xfId="51378"/>
    <cellStyle name="Заг 5 4 2 5" xfId="51379"/>
    <cellStyle name="Заг 5 4 2 6" xfId="51380"/>
    <cellStyle name="Заг 5 4 2 7" xfId="51381"/>
    <cellStyle name="Заг 5 4 2 8" xfId="51382"/>
    <cellStyle name="Заг 5 4 2 9" xfId="51383"/>
    <cellStyle name="Заг 5 4 20" xfId="51384"/>
    <cellStyle name="Заг 5 4 21" xfId="51385"/>
    <cellStyle name="Заг 5 4 3" xfId="51386"/>
    <cellStyle name="Заг 5 4 3 10" xfId="51387"/>
    <cellStyle name="Заг 5 4 3 11" xfId="51388"/>
    <cellStyle name="Заг 5 4 3 12" xfId="51389"/>
    <cellStyle name="Заг 5 4 3 13" xfId="51390"/>
    <cellStyle name="Заг 5 4 3 14" xfId="51391"/>
    <cellStyle name="Заг 5 4 3 15" xfId="51392"/>
    <cellStyle name="Заг 5 4 3 16" xfId="51393"/>
    <cellStyle name="Заг 5 4 3 17" xfId="51394"/>
    <cellStyle name="Заг 5 4 3 18" xfId="51395"/>
    <cellStyle name="Заг 5 4 3 2" xfId="51396"/>
    <cellStyle name="Заг 5 4 3 2 2" xfId="51397"/>
    <cellStyle name="Заг 5 4 3 2 2 2" xfId="51398"/>
    <cellStyle name="Заг 5 4 3 2 3" xfId="51399"/>
    <cellStyle name="Заг 5 4 3 2 4" xfId="51400"/>
    <cellStyle name="Заг 5 4 3 3" xfId="51401"/>
    <cellStyle name="Заг 5 4 3 3 2" xfId="51402"/>
    <cellStyle name="Заг 5 4 3 3 3" xfId="51403"/>
    <cellStyle name="Заг 5 4 3 4" xfId="51404"/>
    <cellStyle name="Заг 5 4 3 4 2" xfId="51405"/>
    <cellStyle name="Заг 5 4 3 5" xfId="51406"/>
    <cellStyle name="Заг 5 4 3 6" xfId="51407"/>
    <cellStyle name="Заг 5 4 3 7" xfId="51408"/>
    <cellStyle name="Заг 5 4 3 8" xfId="51409"/>
    <cellStyle name="Заг 5 4 3 9" xfId="51410"/>
    <cellStyle name="Заг 5 4 4" xfId="51411"/>
    <cellStyle name="Заг 5 4 4 2" xfId="51412"/>
    <cellStyle name="Заг 5 4 4 2 2" xfId="51413"/>
    <cellStyle name="Заг 5 4 4 2 3" xfId="51414"/>
    <cellStyle name="Заг 5 4 4 3" xfId="51415"/>
    <cellStyle name="Заг 5 4 4 3 2" xfId="51416"/>
    <cellStyle name="Заг 5 4 4 4" xfId="51417"/>
    <cellStyle name="Заг 5 4 4 5" xfId="51418"/>
    <cellStyle name="Заг 5 4 5" xfId="51419"/>
    <cellStyle name="Заг 5 4 5 2" xfId="51420"/>
    <cellStyle name="Заг 5 4 5 2 2" xfId="51421"/>
    <cellStyle name="Заг 5 4 5 3" xfId="51422"/>
    <cellStyle name="Заг 5 4 5 4" xfId="51423"/>
    <cellStyle name="Заг 5 4 6" xfId="51424"/>
    <cellStyle name="Заг 5 4 6 2" xfId="51425"/>
    <cellStyle name="Заг 5 4 7" xfId="51426"/>
    <cellStyle name="Заг 5 4 8" xfId="51427"/>
    <cellStyle name="Заг 5 4 9" xfId="51428"/>
    <cellStyle name="Заг 5 5" xfId="51429"/>
    <cellStyle name="Заг 5 5 10" xfId="51430"/>
    <cellStyle name="Заг 5 5 11" xfId="51431"/>
    <cellStyle name="Заг 5 5 12" xfId="51432"/>
    <cellStyle name="Заг 5 5 13" xfId="51433"/>
    <cellStyle name="Заг 5 5 14" xfId="51434"/>
    <cellStyle name="Заг 5 5 15" xfId="51435"/>
    <cellStyle name="Заг 5 5 16" xfId="51436"/>
    <cellStyle name="Заг 5 5 17" xfId="51437"/>
    <cellStyle name="Заг 5 5 18" xfId="51438"/>
    <cellStyle name="Заг 5 5 19" xfId="51439"/>
    <cellStyle name="Заг 5 5 2" xfId="51440"/>
    <cellStyle name="Заг 5 5 2 10" xfId="51441"/>
    <cellStyle name="Заг 5 5 2 11" xfId="51442"/>
    <cellStyle name="Заг 5 5 2 12" xfId="51443"/>
    <cellStyle name="Заг 5 5 2 13" xfId="51444"/>
    <cellStyle name="Заг 5 5 2 14" xfId="51445"/>
    <cellStyle name="Заг 5 5 2 15" xfId="51446"/>
    <cellStyle name="Заг 5 5 2 16" xfId="51447"/>
    <cellStyle name="Заг 5 5 2 17" xfId="51448"/>
    <cellStyle name="Заг 5 5 2 18" xfId="51449"/>
    <cellStyle name="Заг 5 5 2 2" xfId="51450"/>
    <cellStyle name="Заг 5 5 2 2 2" xfId="51451"/>
    <cellStyle name="Заг 5 5 2 2 2 2" xfId="51452"/>
    <cellStyle name="Заг 5 5 2 2 3" xfId="51453"/>
    <cellStyle name="Заг 5 5 2 2 4" xfId="51454"/>
    <cellStyle name="Заг 5 5 2 3" xfId="51455"/>
    <cellStyle name="Заг 5 5 2 3 2" xfId="51456"/>
    <cellStyle name="Заг 5 5 2 3 3" xfId="51457"/>
    <cellStyle name="Заг 5 5 2 4" xfId="51458"/>
    <cellStyle name="Заг 5 5 2 4 2" xfId="51459"/>
    <cellStyle name="Заг 5 5 2 5" xfId="51460"/>
    <cellStyle name="Заг 5 5 2 6" xfId="51461"/>
    <cellStyle name="Заг 5 5 2 7" xfId="51462"/>
    <cellStyle name="Заг 5 5 2 8" xfId="51463"/>
    <cellStyle name="Заг 5 5 2 9" xfId="51464"/>
    <cellStyle name="Заг 5 5 3" xfId="51465"/>
    <cellStyle name="Заг 5 5 3 10" xfId="51466"/>
    <cellStyle name="Заг 5 5 3 11" xfId="51467"/>
    <cellStyle name="Заг 5 5 3 12" xfId="51468"/>
    <cellStyle name="Заг 5 5 3 13" xfId="51469"/>
    <cellStyle name="Заг 5 5 3 14" xfId="51470"/>
    <cellStyle name="Заг 5 5 3 15" xfId="51471"/>
    <cellStyle name="Заг 5 5 3 16" xfId="51472"/>
    <cellStyle name="Заг 5 5 3 17" xfId="51473"/>
    <cellStyle name="Заг 5 5 3 18" xfId="51474"/>
    <cellStyle name="Заг 5 5 3 2" xfId="51475"/>
    <cellStyle name="Заг 5 5 3 2 2" xfId="51476"/>
    <cellStyle name="Заг 5 5 3 2 2 2" xfId="51477"/>
    <cellStyle name="Заг 5 5 3 2 3" xfId="51478"/>
    <cellStyle name="Заг 5 5 3 2 4" xfId="51479"/>
    <cellStyle name="Заг 5 5 3 3" xfId="51480"/>
    <cellStyle name="Заг 5 5 3 3 2" xfId="51481"/>
    <cellStyle name="Заг 5 5 3 3 3" xfId="51482"/>
    <cellStyle name="Заг 5 5 3 4" xfId="51483"/>
    <cellStyle name="Заг 5 5 3 4 2" xfId="51484"/>
    <cellStyle name="Заг 5 5 3 5" xfId="51485"/>
    <cellStyle name="Заг 5 5 3 6" xfId="51486"/>
    <cellStyle name="Заг 5 5 3 7" xfId="51487"/>
    <cellStyle name="Заг 5 5 3 8" xfId="51488"/>
    <cellStyle name="Заг 5 5 3 9" xfId="51489"/>
    <cellStyle name="Заг 5 5 4" xfId="51490"/>
    <cellStyle name="Заг 5 5 4 2" xfId="51491"/>
    <cellStyle name="Заг 5 5 4 2 2" xfId="51492"/>
    <cellStyle name="Заг 5 5 4 2 3" xfId="51493"/>
    <cellStyle name="Заг 5 5 4 3" xfId="51494"/>
    <cellStyle name="Заг 5 5 4 3 2" xfId="51495"/>
    <cellStyle name="Заг 5 5 4 4" xfId="51496"/>
    <cellStyle name="Заг 5 5 4 5" xfId="51497"/>
    <cellStyle name="Заг 5 5 5" xfId="51498"/>
    <cellStyle name="Заг 5 5 5 2" xfId="51499"/>
    <cellStyle name="Заг 5 5 5 2 2" xfId="51500"/>
    <cellStyle name="Заг 5 5 5 3" xfId="51501"/>
    <cellStyle name="Заг 5 5 5 4" xfId="51502"/>
    <cellStyle name="Заг 5 5 6" xfId="51503"/>
    <cellStyle name="Заг 5 5 6 2" xfId="51504"/>
    <cellStyle name="Заг 5 5 7" xfId="51505"/>
    <cellStyle name="Заг 5 5 8" xfId="51506"/>
    <cellStyle name="Заг 5 5 9" xfId="51507"/>
    <cellStyle name="Заг 5 6" xfId="51508"/>
    <cellStyle name="Заг 5 6 10" xfId="51509"/>
    <cellStyle name="Заг 5 6 11" xfId="51510"/>
    <cellStyle name="Заг 5 6 12" xfId="51511"/>
    <cellStyle name="Заг 5 6 13" xfId="51512"/>
    <cellStyle name="Заг 5 6 14" xfId="51513"/>
    <cellStyle name="Заг 5 6 15" xfId="51514"/>
    <cellStyle name="Заг 5 6 16" xfId="51515"/>
    <cellStyle name="Заг 5 6 17" xfId="51516"/>
    <cellStyle name="Заг 5 6 18" xfId="51517"/>
    <cellStyle name="Заг 5 6 19" xfId="51518"/>
    <cellStyle name="Заг 5 6 2" xfId="51519"/>
    <cellStyle name="Заг 5 6 2 10" xfId="51520"/>
    <cellStyle name="Заг 5 6 2 11" xfId="51521"/>
    <cellStyle name="Заг 5 6 2 12" xfId="51522"/>
    <cellStyle name="Заг 5 6 2 13" xfId="51523"/>
    <cellStyle name="Заг 5 6 2 14" xfId="51524"/>
    <cellStyle name="Заг 5 6 2 15" xfId="51525"/>
    <cellStyle name="Заг 5 6 2 16" xfId="51526"/>
    <cellStyle name="Заг 5 6 2 17" xfId="51527"/>
    <cellStyle name="Заг 5 6 2 18" xfId="51528"/>
    <cellStyle name="Заг 5 6 2 2" xfId="51529"/>
    <cellStyle name="Заг 5 6 2 2 2" xfId="51530"/>
    <cellStyle name="Заг 5 6 2 2 2 2" xfId="51531"/>
    <cellStyle name="Заг 5 6 2 2 3" xfId="51532"/>
    <cellStyle name="Заг 5 6 2 2 4" xfId="51533"/>
    <cellStyle name="Заг 5 6 2 3" xfId="51534"/>
    <cellStyle name="Заг 5 6 2 3 2" xfId="51535"/>
    <cellStyle name="Заг 5 6 2 3 3" xfId="51536"/>
    <cellStyle name="Заг 5 6 2 4" xfId="51537"/>
    <cellStyle name="Заг 5 6 2 4 2" xfId="51538"/>
    <cellStyle name="Заг 5 6 2 5" xfId="51539"/>
    <cellStyle name="Заг 5 6 2 6" xfId="51540"/>
    <cellStyle name="Заг 5 6 2 7" xfId="51541"/>
    <cellStyle name="Заг 5 6 2 8" xfId="51542"/>
    <cellStyle name="Заг 5 6 2 9" xfId="51543"/>
    <cellStyle name="Заг 5 6 20" xfId="51544"/>
    <cellStyle name="Заг 5 6 3" xfId="51545"/>
    <cellStyle name="Заг 5 6 3 10" xfId="51546"/>
    <cellStyle name="Заг 5 6 3 11" xfId="51547"/>
    <cellStyle name="Заг 5 6 3 12" xfId="51548"/>
    <cellStyle name="Заг 5 6 3 13" xfId="51549"/>
    <cellStyle name="Заг 5 6 3 14" xfId="51550"/>
    <cellStyle name="Заг 5 6 3 15" xfId="51551"/>
    <cellStyle name="Заг 5 6 3 16" xfId="51552"/>
    <cellStyle name="Заг 5 6 3 17" xfId="51553"/>
    <cellStyle name="Заг 5 6 3 18" xfId="51554"/>
    <cellStyle name="Заг 5 6 3 2" xfId="51555"/>
    <cellStyle name="Заг 5 6 3 2 2" xfId="51556"/>
    <cellStyle name="Заг 5 6 3 2 2 2" xfId="51557"/>
    <cellStyle name="Заг 5 6 3 2 3" xfId="51558"/>
    <cellStyle name="Заг 5 6 3 2 4" xfId="51559"/>
    <cellStyle name="Заг 5 6 3 3" xfId="51560"/>
    <cellStyle name="Заг 5 6 3 3 2" xfId="51561"/>
    <cellStyle name="Заг 5 6 3 3 3" xfId="51562"/>
    <cellStyle name="Заг 5 6 3 4" xfId="51563"/>
    <cellStyle name="Заг 5 6 3 4 2" xfId="51564"/>
    <cellStyle name="Заг 5 6 3 5" xfId="51565"/>
    <cellStyle name="Заг 5 6 3 6" xfId="51566"/>
    <cellStyle name="Заг 5 6 3 7" xfId="51567"/>
    <cellStyle name="Заг 5 6 3 8" xfId="51568"/>
    <cellStyle name="Заг 5 6 3 9" xfId="51569"/>
    <cellStyle name="Заг 5 6 4" xfId="51570"/>
    <cellStyle name="Заг 5 6 4 2" xfId="51571"/>
    <cellStyle name="Заг 5 6 4 2 2" xfId="51572"/>
    <cellStyle name="Заг 5 6 4 2 3" xfId="51573"/>
    <cellStyle name="Заг 5 6 4 3" xfId="51574"/>
    <cellStyle name="Заг 5 6 4 3 2" xfId="51575"/>
    <cellStyle name="Заг 5 6 4 4" xfId="51576"/>
    <cellStyle name="Заг 5 6 4 5" xfId="51577"/>
    <cellStyle name="Заг 5 6 5" xfId="51578"/>
    <cellStyle name="Заг 5 6 5 2" xfId="51579"/>
    <cellStyle name="Заг 5 6 5 2 2" xfId="51580"/>
    <cellStyle name="Заг 5 6 5 3" xfId="51581"/>
    <cellStyle name="Заг 5 6 5 4" xfId="51582"/>
    <cellStyle name="Заг 5 6 6" xfId="51583"/>
    <cellStyle name="Заг 5 6 6 2" xfId="51584"/>
    <cellStyle name="Заг 5 6 7" xfId="51585"/>
    <cellStyle name="Заг 5 6 8" xfId="51586"/>
    <cellStyle name="Заг 5 6 9" xfId="51587"/>
    <cellStyle name="Заг 5 7" xfId="51588"/>
    <cellStyle name="Заг 5 7 10" xfId="51589"/>
    <cellStyle name="Заг 5 7 11" xfId="51590"/>
    <cellStyle name="Заг 5 7 12" xfId="51591"/>
    <cellStyle name="Заг 5 7 13" xfId="51592"/>
    <cellStyle name="Заг 5 7 14" xfId="51593"/>
    <cellStyle name="Заг 5 7 15" xfId="51594"/>
    <cellStyle name="Заг 5 7 16" xfId="51595"/>
    <cellStyle name="Заг 5 7 17" xfId="51596"/>
    <cellStyle name="Заг 5 7 2" xfId="51597"/>
    <cellStyle name="Заг 5 7 2 2" xfId="51598"/>
    <cellStyle name="Заг 5 7 2 2 2" xfId="51599"/>
    <cellStyle name="Заг 5 7 2 3" xfId="51600"/>
    <cellStyle name="Заг 5 7 2 4" xfId="51601"/>
    <cellStyle name="Заг 5 7 3" xfId="51602"/>
    <cellStyle name="Заг 5 7 3 2" xfId="51603"/>
    <cellStyle name="Заг 5 7 4" xfId="51604"/>
    <cellStyle name="Заг 5 7 5" xfId="51605"/>
    <cellStyle name="Заг 5 7 6" xfId="51606"/>
    <cellStyle name="Заг 5 7 7" xfId="51607"/>
    <cellStyle name="Заг 5 7 8" xfId="51608"/>
    <cellStyle name="Заг 5 7 9" xfId="51609"/>
    <cellStyle name="Заг 5 8" xfId="51610"/>
    <cellStyle name="Заг 5 8 2" xfId="51611"/>
    <cellStyle name="Заг 5 8 2 2" xfId="51612"/>
    <cellStyle name="Заг 5 8 2 2 2" xfId="51613"/>
    <cellStyle name="Заг 5 8 2 3" xfId="51614"/>
    <cellStyle name="Заг 5 8 2 4" xfId="51615"/>
    <cellStyle name="Заг 5 8 3" xfId="51616"/>
    <cellStyle name="Заг 5 8 3 2" xfId="51617"/>
    <cellStyle name="Заг 5 8 3 3" xfId="51618"/>
    <cellStyle name="Заг 5 8 4" xfId="51619"/>
    <cellStyle name="Заг 5 8 4 2" xfId="51620"/>
    <cellStyle name="Заг 5 8 5" xfId="51621"/>
    <cellStyle name="Заг 5 8 6" xfId="51622"/>
    <cellStyle name="Заг 5 9" xfId="51623"/>
    <cellStyle name="Заг 5 9 2" xfId="51624"/>
    <cellStyle name="Заг 5 9 2 2" xfId="51625"/>
    <cellStyle name="Заг 5 9 3" xfId="51626"/>
    <cellStyle name="Заг 5 9 4" xfId="51627"/>
    <cellStyle name="Заг 6" xfId="51628"/>
    <cellStyle name="Заг 6 10" xfId="51629"/>
    <cellStyle name="Заг 6 11" xfId="51630"/>
    <cellStyle name="Заг 6 12" xfId="51631"/>
    <cellStyle name="Заг 6 13" xfId="51632"/>
    <cellStyle name="Заг 6 14" xfId="51633"/>
    <cellStyle name="Заг 6 15" xfId="51634"/>
    <cellStyle name="Заг 6 16" xfId="51635"/>
    <cellStyle name="Заг 6 17" xfId="51636"/>
    <cellStyle name="Заг 6 18" xfId="51637"/>
    <cellStyle name="Заг 6 19" xfId="51638"/>
    <cellStyle name="Заг 6 2" xfId="51639"/>
    <cellStyle name="Заг 6 2 10" xfId="51640"/>
    <cellStyle name="Заг 6 2 11" xfId="51641"/>
    <cellStyle name="Заг 6 2 12" xfId="51642"/>
    <cellStyle name="Заг 6 2 13" xfId="51643"/>
    <cellStyle name="Заг 6 2 14" xfId="51644"/>
    <cellStyle name="Заг 6 2 15" xfId="51645"/>
    <cellStyle name="Заг 6 2 16" xfId="51646"/>
    <cellStyle name="Заг 6 2 17" xfId="51647"/>
    <cellStyle name="Заг 6 2 18" xfId="51648"/>
    <cellStyle name="Заг 6 2 2" xfId="51649"/>
    <cellStyle name="Заг 6 2 2 2" xfId="51650"/>
    <cellStyle name="Заг 6 2 2 2 2" xfId="51651"/>
    <cellStyle name="Заг 6 2 2 3" xfId="51652"/>
    <cellStyle name="Заг 6 2 2 4" xfId="51653"/>
    <cellStyle name="Заг 6 2 3" xfId="51654"/>
    <cellStyle name="Заг 6 2 3 2" xfId="51655"/>
    <cellStyle name="Заг 6 2 3 3" xfId="51656"/>
    <cellStyle name="Заг 6 2 4" xfId="51657"/>
    <cellStyle name="Заг 6 2 4 2" xfId="51658"/>
    <cellStyle name="Заг 6 2 5" xfId="51659"/>
    <cellStyle name="Заг 6 2 6" xfId="51660"/>
    <cellStyle name="Заг 6 2 7" xfId="51661"/>
    <cellStyle name="Заг 6 2 8" xfId="51662"/>
    <cellStyle name="Заг 6 2 9" xfId="51663"/>
    <cellStyle name="Заг 6 3" xfId="51664"/>
    <cellStyle name="Заг 6 3 10" xfId="51665"/>
    <cellStyle name="Заг 6 3 11" xfId="51666"/>
    <cellStyle name="Заг 6 3 12" xfId="51667"/>
    <cellStyle name="Заг 6 3 13" xfId="51668"/>
    <cellStyle name="Заг 6 3 14" xfId="51669"/>
    <cellStyle name="Заг 6 3 15" xfId="51670"/>
    <cellStyle name="Заг 6 3 16" xfId="51671"/>
    <cellStyle name="Заг 6 3 17" xfId="51672"/>
    <cellStyle name="Заг 6 3 18" xfId="51673"/>
    <cellStyle name="Заг 6 3 2" xfId="51674"/>
    <cellStyle name="Заг 6 3 2 2" xfId="51675"/>
    <cellStyle name="Заг 6 3 2 2 2" xfId="51676"/>
    <cellStyle name="Заг 6 3 2 3" xfId="51677"/>
    <cellStyle name="Заг 6 3 2 4" xfId="51678"/>
    <cellStyle name="Заг 6 3 3" xfId="51679"/>
    <cellStyle name="Заг 6 3 3 2" xfId="51680"/>
    <cellStyle name="Заг 6 3 3 3" xfId="51681"/>
    <cellStyle name="Заг 6 3 4" xfId="51682"/>
    <cellStyle name="Заг 6 3 4 2" xfId="51683"/>
    <cellStyle name="Заг 6 3 5" xfId="51684"/>
    <cellStyle name="Заг 6 3 6" xfId="51685"/>
    <cellStyle name="Заг 6 3 7" xfId="51686"/>
    <cellStyle name="Заг 6 3 8" xfId="51687"/>
    <cellStyle name="Заг 6 3 9" xfId="51688"/>
    <cellStyle name="Заг 6 4" xfId="51689"/>
    <cellStyle name="Заг 6 4 2" xfId="51690"/>
    <cellStyle name="Заг 6 4 2 2" xfId="51691"/>
    <cellStyle name="Заг 6 4 2 3" xfId="51692"/>
    <cellStyle name="Заг 6 4 3" xfId="51693"/>
    <cellStyle name="Заг 6 4 3 2" xfId="51694"/>
    <cellStyle name="Заг 6 4 4" xfId="51695"/>
    <cellStyle name="Заг 6 4 5" xfId="51696"/>
    <cellStyle name="Заг 6 5" xfId="51697"/>
    <cellStyle name="Заг 6 5 2" xfId="51698"/>
    <cellStyle name="Заг 6 5 2 2" xfId="51699"/>
    <cellStyle name="Заг 6 5 3" xfId="51700"/>
    <cellStyle name="Заг 6 5 4" xfId="51701"/>
    <cellStyle name="Заг 6 6" xfId="51702"/>
    <cellStyle name="Заг 6 6 2" xfId="51703"/>
    <cellStyle name="Заг 6 7" xfId="51704"/>
    <cellStyle name="Заг 6 8" xfId="51705"/>
    <cellStyle name="Заг 6 9" xfId="51706"/>
    <cellStyle name="Заг 7" xfId="51707"/>
    <cellStyle name="Заг 7 10" xfId="51708"/>
    <cellStyle name="Заг 7 11" xfId="51709"/>
    <cellStyle name="Заг 7 12" xfId="51710"/>
    <cellStyle name="Заг 7 13" xfId="51711"/>
    <cellStyle name="Заг 7 14" xfId="51712"/>
    <cellStyle name="Заг 7 15" xfId="51713"/>
    <cellStyle name="Заг 7 16" xfId="51714"/>
    <cellStyle name="Заг 7 17" xfId="51715"/>
    <cellStyle name="Заг 7 18" xfId="51716"/>
    <cellStyle name="Заг 7 19" xfId="51717"/>
    <cellStyle name="Заг 7 2" xfId="51718"/>
    <cellStyle name="Заг 7 2 10" xfId="51719"/>
    <cellStyle name="Заг 7 2 11" xfId="51720"/>
    <cellStyle name="Заг 7 2 12" xfId="51721"/>
    <cellStyle name="Заг 7 2 13" xfId="51722"/>
    <cellStyle name="Заг 7 2 14" xfId="51723"/>
    <cellStyle name="Заг 7 2 15" xfId="51724"/>
    <cellStyle name="Заг 7 2 16" xfId="51725"/>
    <cellStyle name="Заг 7 2 17" xfId="51726"/>
    <cellStyle name="Заг 7 2 18" xfId="51727"/>
    <cellStyle name="Заг 7 2 2" xfId="51728"/>
    <cellStyle name="Заг 7 2 2 2" xfId="51729"/>
    <cellStyle name="Заг 7 2 2 2 2" xfId="51730"/>
    <cellStyle name="Заг 7 2 2 3" xfId="51731"/>
    <cellStyle name="Заг 7 2 2 4" xfId="51732"/>
    <cellStyle name="Заг 7 2 3" xfId="51733"/>
    <cellStyle name="Заг 7 2 3 2" xfId="51734"/>
    <cellStyle name="Заг 7 2 3 3" xfId="51735"/>
    <cellStyle name="Заг 7 2 4" xfId="51736"/>
    <cellStyle name="Заг 7 2 4 2" xfId="51737"/>
    <cellStyle name="Заг 7 2 5" xfId="51738"/>
    <cellStyle name="Заг 7 2 6" xfId="51739"/>
    <cellStyle name="Заг 7 2 7" xfId="51740"/>
    <cellStyle name="Заг 7 2 8" xfId="51741"/>
    <cellStyle name="Заг 7 2 9" xfId="51742"/>
    <cellStyle name="Заг 7 20" xfId="51743"/>
    <cellStyle name="Заг 7 21" xfId="51744"/>
    <cellStyle name="Заг 7 3" xfId="51745"/>
    <cellStyle name="Заг 7 3 10" xfId="51746"/>
    <cellStyle name="Заг 7 3 11" xfId="51747"/>
    <cellStyle name="Заг 7 3 12" xfId="51748"/>
    <cellStyle name="Заг 7 3 13" xfId="51749"/>
    <cellStyle name="Заг 7 3 14" xfId="51750"/>
    <cellStyle name="Заг 7 3 15" xfId="51751"/>
    <cellStyle name="Заг 7 3 16" xfId="51752"/>
    <cellStyle name="Заг 7 3 17" xfId="51753"/>
    <cellStyle name="Заг 7 3 18" xfId="51754"/>
    <cellStyle name="Заг 7 3 2" xfId="51755"/>
    <cellStyle name="Заг 7 3 2 2" xfId="51756"/>
    <cellStyle name="Заг 7 3 2 2 2" xfId="51757"/>
    <cellStyle name="Заг 7 3 2 3" xfId="51758"/>
    <cellStyle name="Заг 7 3 2 4" xfId="51759"/>
    <cellStyle name="Заг 7 3 3" xfId="51760"/>
    <cellStyle name="Заг 7 3 3 2" xfId="51761"/>
    <cellStyle name="Заг 7 3 3 3" xfId="51762"/>
    <cellStyle name="Заг 7 3 4" xfId="51763"/>
    <cellStyle name="Заг 7 3 4 2" xfId="51764"/>
    <cellStyle name="Заг 7 3 5" xfId="51765"/>
    <cellStyle name="Заг 7 3 6" xfId="51766"/>
    <cellStyle name="Заг 7 3 7" xfId="51767"/>
    <cellStyle name="Заг 7 3 8" xfId="51768"/>
    <cellStyle name="Заг 7 3 9" xfId="51769"/>
    <cellStyle name="Заг 7 4" xfId="51770"/>
    <cellStyle name="Заг 7 4 2" xfId="51771"/>
    <cellStyle name="Заг 7 4 2 2" xfId="51772"/>
    <cellStyle name="Заг 7 4 2 3" xfId="51773"/>
    <cellStyle name="Заг 7 4 3" xfId="51774"/>
    <cellStyle name="Заг 7 4 3 2" xfId="51775"/>
    <cellStyle name="Заг 7 4 4" xfId="51776"/>
    <cellStyle name="Заг 7 4 5" xfId="51777"/>
    <cellStyle name="Заг 7 5" xfId="51778"/>
    <cellStyle name="Заг 7 5 2" xfId="51779"/>
    <cellStyle name="Заг 7 5 2 2" xfId="51780"/>
    <cellStyle name="Заг 7 5 3" xfId="51781"/>
    <cellStyle name="Заг 7 5 4" xfId="51782"/>
    <cellStyle name="Заг 7 6" xfId="51783"/>
    <cellStyle name="Заг 7 6 2" xfId="51784"/>
    <cellStyle name="Заг 7 7" xfId="51785"/>
    <cellStyle name="Заг 7 8" xfId="51786"/>
    <cellStyle name="Заг 7 9" xfId="51787"/>
    <cellStyle name="Заг 8" xfId="51788"/>
    <cellStyle name="Заг 8 10" xfId="51789"/>
    <cellStyle name="Заг 8 11" xfId="51790"/>
    <cellStyle name="Заг 8 12" xfId="51791"/>
    <cellStyle name="Заг 8 13" xfId="51792"/>
    <cellStyle name="Заг 8 14" xfId="51793"/>
    <cellStyle name="Заг 8 15" xfId="51794"/>
    <cellStyle name="Заг 8 16" xfId="51795"/>
    <cellStyle name="Заг 8 17" xfId="51796"/>
    <cellStyle name="Заг 8 18" xfId="51797"/>
    <cellStyle name="Заг 8 19" xfId="51798"/>
    <cellStyle name="Заг 8 2" xfId="51799"/>
    <cellStyle name="Заг 8 2 10" xfId="51800"/>
    <cellStyle name="Заг 8 2 11" xfId="51801"/>
    <cellStyle name="Заг 8 2 12" xfId="51802"/>
    <cellStyle name="Заг 8 2 13" xfId="51803"/>
    <cellStyle name="Заг 8 2 14" xfId="51804"/>
    <cellStyle name="Заг 8 2 15" xfId="51805"/>
    <cellStyle name="Заг 8 2 16" xfId="51806"/>
    <cellStyle name="Заг 8 2 17" xfId="51807"/>
    <cellStyle name="Заг 8 2 18" xfId="51808"/>
    <cellStyle name="Заг 8 2 2" xfId="51809"/>
    <cellStyle name="Заг 8 2 2 2" xfId="51810"/>
    <cellStyle name="Заг 8 2 2 2 2" xfId="51811"/>
    <cellStyle name="Заг 8 2 2 3" xfId="51812"/>
    <cellStyle name="Заг 8 2 2 4" xfId="51813"/>
    <cellStyle name="Заг 8 2 3" xfId="51814"/>
    <cellStyle name="Заг 8 2 3 2" xfId="51815"/>
    <cellStyle name="Заг 8 2 3 3" xfId="51816"/>
    <cellStyle name="Заг 8 2 4" xfId="51817"/>
    <cellStyle name="Заг 8 2 4 2" xfId="51818"/>
    <cellStyle name="Заг 8 2 5" xfId="51819"/>
    <cellStyle name="Заг 8 2 6" xfId="51820"/>
    <cellStyle name="Заг 8 2 7" xfId="51821"/>
    <cellStyle name="Заг 8 2 8" xfId="51822"/>
    <cellStyle name="Заг 8 2 9" xfId="51823"/>
    <cellStyle name="Заг 8 20" xfId="51824"/>
    <cellStyle name="Заг 8 21" xfId="51825"/>
    <cellStyle name="Заг 8 3" xfId="51826"/>
    <cellStyle name="Заг 8 3 10" xfId="51827"/>
    <cellStyle name="Заг 8 3 11" xfId="51828"/>
    <cellStyle name="Заг 8 3 12" xfId="51829"/>
    <cellStyle name="Заг 8 3 13" xfId="51830"/>
    <cellStyle name="Заг 8 3 14" xfId="51831"/>
    <cellStyle name="Заг 8 3 15" xfId="51832"/>
    <cellStyle name="Заг 8 3 16" xfId="51833"/>
    <cellStyle name="Заг 8 3 17" xfId="51834"/>
    <cellStyle name="Заг 8 3 18" xfId="51835"/>
    <cellStyle name="Заг 8 3 2" xfId="51836"/>
    <cellStyle name="Заг 8 3 2 2" xfId="51837"/>
    <cellStyle name="Заг 8 3 2 2 2" xfId="51838"/>
    <cellStyle name="Заг 8 3 2 3" xfId="51839"/>
    <cellStyle name="Заг 8 3 2 4" xfId="51840"/>
    <cellStyle name="Заг 8 3 3" xfId="51841"/>
    <cellStyle name="Заг 8 3 3 2" xfId="51842"/>
    <cellStyle name="Заг 8 3 3 3" xfId="51843"/>
    <cellStyle name="Заг 8 3 4" xfId="51844"/>
    <cellStyle name="Заг 8 3 4 2" xfId="51845"/>
    <cellStyle name="Заг 8 3 5" xfId="51846"/>
    <cellStyle name="Заг 8 3 6" xfId="51847"/>
    <cellStyle name="Заг 8 3 7" xfId="51848"/>
    <cellStyle name="Заг 8 3 8" xfId="51849"/>
    <cellStyle name="Заг 8 3 9" xfId="51850"/>
    <cellStyle name="Заг 8 4" xfId="51851"/>
    <cellStyle name="Заг 8 4 2" xfId="51852"/>
    <cellStyle name="Заг 8 4 2 2" xfId="51853"/>
    <cellStyle name="Заг 8 4 2 3" xfId="51854"/>
    <cellStyle name="Заг 8 4 3" xfId="51855"/>
    <cellStyle name="Заг 8 4 3 2" xfId="51856"/>
    <cellStyle name="Заг 8 4 4" xfId="51857"/>
    <cellStyle name="Заг 8 4 5" xfId="51858"/>
    <cellStyle name="Заг 8 5" xfId="51859"/>
    <cellStyle name="Заг 8 5 2" xfId="51860"/>
    <cellStyle name="Заг 8 5 2 2" xfId="51861"/>
    <cellStyle name="Заг 8 5 3" xfId="51862"/>
    <cellStyle name="Заг 8 5 4" xfId="51863"/>
    <cellStyle name="Заг 8 6" xfId="51864"/>
    <cellStyle name="Заг 8 6 2" xfId="51865"/>
    <cellStyle name="Заг 8 7" xfId="51866"/>
    <cellStyle name="Заг 8 8" xfId="51867"/>
    <cellStyle name="Заг 8 9" xfId="51868"/>
    <cellStyle name="Заг 9" xfId="51869"/>
    <cellStyle name="Заг 9 10" xfId="51870"/>
    <cellStyle name="Заг 9 11" xfId="51871"/>
    <cellStyle name="Заг 9 12" xfId="51872"/>
    <cellStyle name="Заг 9 13" xfId="51873"/>
    <cellStyle name="Заг 9 14" xfId="51874"/>
    <cellStyle name="Заг 9 15" xfId="51875"/>
    <cellStyle name="Заг 9 16" xfId="51876"/>
    <cellStyle name="Заг 9 17" xfId="51877"/>
    <cellStyle name="Заг 9 18" xfId="51878"/>
    <cellStyle name="Заг 9 19" xfId="51879"/>
    <cellStyle name="Заг 9 2" xfId="51880"/>
    <cellStyle name="Заг 9 2 10" xfId="51881"/>
    <cellStyle name="Заг 9 2 11" xfId="51882"/>
    <cellStyle name="Заг 9 2 12" xfId="51883"/>
    <cellStyle name="Заг 9 2 13" xfId="51884"/>
    <cellStyle name="Заг 9 2 14" xfId="51885"/>
    <cellStyle name="Заг 9 2 15" xfId="51886"/>
    <cellStyle name="Заг 9 2 16" xfId="51887"/>
    <cellStyle name="Заг 9 2 17" xfId="51888"/>
    <cellStyle name="Заг 9 2 18" xfId="51889"/>
    <cellStyle name="Заг 9 2 2" xfId="51890"/>
    <cellStyle name="Заг 9 2 2 2" xfId="51891"/>
    <cellStyle name="Заг 9 2 2 2 2" xfId="51892"/>
    <cellStyle name="Заг 9 2 2 3" xfId="51893"/>
    <cellStyle name="Заг 9 2 2 4" xfId="51894"/>
    <cellStyle name="Заг 9 2 3" xfId="51895"/>
    <cellStyle name="Заг 9 2 3 2" xfId="51896"/>
    <cellStyle name="Заг 9 2 3 3" xfId="51897"/>
    <cellStyle name="Заг 9 2 4" xfId="51898"/>
    <cellStyle name="Заг 9 2 4 2" xfId="51899"/>
    <cellStyle name="Заг 9 2 5" xfId="51900"/>
    <cellStyle name="Заг 9 2 6" xfId="51901"/>
    <cellStyle name="Заг 9 2 7" xfId="51902"/>
    <cellStyle name="Заг 9 2 8" xfId="51903"/>
    <cellStyle name="Заг 9 2 9" xfId="51904"/>
    <cellStyle name="Заг 9 3" xfId="51905"/>
    <cellStyle name="Заг 9 3 10" xfId="51906"/>
    <cellStyle name="Заг 9 3 11" xfId="51907"/>
    <cellStyle name="Заг 9 3 12" xfId="51908"/>
    <cellStyle name="Заг 9 3 13" xfId="51909"/>
    <cellStyle name="Заг 9 3 14" xfId="51910"/>
    <cellStyle name="Заг 9 3 15" xfId="51911"/>
    <cellStyle name="Заг 9 3 16" xfId="51912"/>
    <cellStyle name="Заг 9 3 17" xfId="51913"/>
    <cellStyle name="Заг 9 3 18" xfId="51914"/>
    <cellStyle name="Заг 9 3 2" xfId="51915"/>
    <cellStyle name="Заг 9 3 2 2" xfId="51916"/>
    <cellStyle name="Заг 9 3 2 2 2" xfId="51917"/>
    <cellStyle name="Заг 9 3 2 3" xfId="51918"/>
    <cellStyle name="Заг 9 3 2 4" xfId="51919"/>
    <cellStyle name="Заг 9 3 3" xfId="51920"/>
    <cellStyle name="Заг 9 3 3 2" xfId="51921"/>
    <cellStyle name="Заг 9 3 3 3" xfId="51922"/>
    <cellStyle name="Заг 9 3 4" xfId="51923"/>
    <cellStyle name="Заг 9 3 4 2" xfId="51924"/>
    <cellStyle name="Заг 9 3 5" xfId="51925"/>
    <cellStyle name="Заг 9 3 6" xfId="51926"/>
    <cellStyle name="Заг 9 3 7" xfId="51927"/>
    <cellStyle name="Заг 9 3 8" xfId="51928"/>
    <cellStyle name="Заг 9 3 9" xfId="51929"/>
    <cellStyle name="Заг 9 4" xfId="51930"/>
    <cellStyle name="Заг 9 4 2" xfId="51931"/>
    <cellStyle name="Заг 9 4 2 2" xfId="51932"/>
    <cellStyle name="Заг 9 4 2 3" xfId="51933"/>
    <cellStyle name="Заг 9 4 3" xfId="51934"/>
    <cellStyle name="Заг 9 4 3 2" xfId="51935"/>
    <cellStyle name="Заг 9 4 4" xfId="51936"/>
    <cellStyle name="Заг 9 4 5" xfId="51937"/>
    <cellStyle name="Заг 9 5" xfId="51938"/>
    <cellStyle name="Заг 9 5 2" xfId="51939"/>
    <cellStyle name="Заг 9 5 2 2" xfId="51940"/>
    <cellStyle name="Заг 9 5 3" xfId="51941"/>
    <cellStyle name="Заг 9 5 4" xfId="51942"/>
    <cellStyle name="Заг 9 6" xfId="51943"/>
    <cellStyle name="Заг 9 6 2" xfId="51944"/>
    <cellStyle name="Заг 9 7" xfId="51945"/>
    <cellStyle name="Заг 9 8" xfId="51946"/>
    <cellStyle name="Заг 9 9" xfId="51947"/>
    <cellStyle name="заголовок" xfId="51948"/>
    <cellStyle name="Заголовок 1 10" xfId="51949"/>
    <cellStyle name="Заголовок 1 10 2" xfId="51950"/>
    <cellStyle name="Заголовок 1 10 3" xfId="51951"/>
    <cellStyle name="Заголовок 1 11" xfId="51952"/>
    <cellStyle name="Заголовок 1 11 2" xfId="51953"/>
    <cellStyle name="Заголовок 1 11 3" xfId="51954"/>
    <cellStyle name="Заголовок 1 12" xfId="51955"/>
    <cellStyle name="Заголовок 1 12 2" xfId="51956"/>
    <cellStyle name="Заголовок 1 12 3" xfId="51957"/>
    <cellStyle name="Заголовок 1 13" xfId="51958"/>
    <cellStyle name="Заголовок 1 14" xfId="51959"/>
    <cellStyle name="Заголовок 1 14 2" xfId="51960"/>
    <cellStyle name="Заголовок 1 14 2 2" xfId="51961"/>
    <cellStyle name="Заголовок 1 14 2 2 2" xfId="51962"/>
    <cellStyle name="Заголовок 1 14 2 2 3" xfId="51963"/>
    <cellStyle name="Заголовок 1 14 2 3" xfId="51964"/>
    <cellStyle name="Заголовок 1 14 2 4" xfId="51965"/>
    <cellStyle name="Заголовок 1 14 3" xfId="51966"/>
    <cellStyle name="Заголовок 1 14 4" xfId="51967"/>
    <cellStyle name="Заголовок 1 14 4 2" xfId="51968"/>
    <cellStyle name="Заголовок 1 14 4 3" xfId="51969"/>
    <cellStyle name="Заголовок 1 14 5" xfId="51970"/>
    <cellStyle name="Заголовок 1 14 5 2" xfId="51971"/>
    <cellStyle name="Заголовок 1 14 6" xfId="51972"/>
    <cellStyle name="Заголовок 1 14 6 2" xfId="51973"/>
    <cellStyle name="Заголовок 1 14 7" xfId="51974"/>
    <cellStyle name="Заголовок 1 14 7 2" xfId="51975"/>
    <cellStyle name="Заголовок 1 14 7 2 2" xfId="51976"/>
    <cellStyle name="Заголовок 1 14 7 3" xfId="51977"/>
    <cellStyle name="Заголовок 1 14 7 3 2" xfId="51978"/>
    <cellStyle name="Заголовок 1 14 7 4" xfId="51979"/>
    <cellStyle name="Заголовок 1 14 7 4 2" xfId="51980"/>
    <cellStyle name="Заголовок 1 14 7 5" xfId="51981"/>
    <cellStyle name="Заголовок 1 15" xfId="51982"/>
    <cellStyle name="Заголовок 1 15 2" xfId="51983"/>
    <cellStyle name="Заголовок 1 15 2 2" xfId="51984"/>
    <cellStyle name="Заголовок 1 16" xfId="51985"/>
    <cellStyle name="Заголовок 1 16 2" xfId="51986"/>
    <cellStyle name="Заголовок 1 16 2 2" xfId="51987"/>
    <cellStyle name="Заголовок 1 16 3" xfId="51988"/>
    <cellStyle name="Заголовок 1 17" xfId="51989"/>
    <cellStyle name="Заголовок 1 17 2" xfId="51990"/>
    <cellStyle name="Заголовок 1 2" xfId="51991"/>
    <cellStyle name="Заголовок 1 2 2" xfId="51992"/>
    <cellStyle name="Заголовок 1 2 3" xfId="51993"/>
    <cellStyle name="Заголовок 1 3" xfId="51994"/>
    <cellStyle name="Заголовок 1 3 2" xfId="51995"/>
    <cellStyle name="Заголовок 1 3 3" xfId="51996"/>
    <cellStyle name="Заголовок 1 4" xfId="51997"/>
    <cellStyle name="Заголовок 1 4 2" xfId="51998"/>
    <cellStyle name="Заголовок 1 4 3" xfId="51999"/>
    <cellStyle name="Заголовок 1 5" xfId="52000"/>
    <cellStyle name="Заголовок 1 5 2" xfId="52001"/>
    <cellStyle name="Заголовок 1 5 3" xfId="52002"/>
    <cellStyle name="Заголовок 1 6" xfId="52003"/>
    <cellStyle name="Заголовок 1 6 2" xfId="52004"/>
    <cellStyle name="Заголовок 1 6 3" xfId="52005"/>
    <cellStyle name="Заголовок 1 7" xfId="52006"/>
    <cellStyle name="Заголовок 1 7 2" xfId="52007"/>
    <cellStyle name="Заголовок 1 7 3" xfId="52008"/>
    <cellStyle name="Заголовок 1 8" xfId="52009"/>
    <cellStyle name="Заголовок 1 8 2" xfId="52010"/>
    <cellStyle name="Заголовок 1 8 3" xfId="52011"/>
    <cellStyle name="Заголовок 1 9" xfId="52012"/>
    <cellStyle name="Заголовок 1 9 2" xfId="52013"/>
    <cellStyle name="Заголовок 1 9 3" xfId="52014"/>
    <cellStyle name="Заголовок 2 10" xfId="52015"/>
    <cellStyle name="Заголовок 2 10 2" xfId="52016"/>
    <cellStyle name="Заголовок 2 10 3" xfId="52017"/>
    <cellStyle name="Заголовок 2 11" xfId="52018"/>
    <cellStyle name="Заголовок 2 11 2" xfId="52019"/>
    <cellStyle name="Заголовок 2 11 3" xfId="52020"/>
    <cellStyle name="Заголовок 2 12" xfId="52021"/>
    <cellStyle name="Заголовок 2 12 2" xfId="52022"/>
    <cellStyle name="Заголовок 2 12 3" xfId="52023"/>
    <cellStyle name="Заголовок 2 13" xfId="52024"/>
    <cellStyle name="Заголовок 2 14" xfId="52025"/>
    <cellStyle name="Заголовок 2 14 2" xfId="52026"/>
    <cellStyle name="Заголовок 2 14 2 2" xfId="52027"/>
    <cellStyle name="Заголовок 2 14 3" xfId="52028"/>
    <cellStyle name="Заголовок 2 14 3 2" xfId="52029"/>
    <cellStyle name="Заголовок 2 14 3 2 2" xfId="52030"/>
    <cellStyle name="Заголовок 2 14 3 3" xfId="52031"/>
    <cellStyle name="Заголовок 2 14 4" xfId="52032"/>
    <cellStyle name="Заголовок 2 14 4 2" xfId="52033"/>
    <cellStyle name="Заголовок 2 14 5" xfId="52034"/>
    <cellStyle name="Заголовок 2 14 5 2" xfId="52035"/>
    <cellStyle name="Заголовок 2 14 6" xfId="52036"/>
    <cellStyle name="Заголовок 2 14 6 2" xfId="52037"/>
    <cellStyle name="Заголовок 2 14 7" xfId="52038"/>
    <cellStyle name="Заголовок 2 15" xfId="52039"/>
    <cellStyle name="Заголовок 2 15 2" xfId="52040"/>
    <cellStyle name="Заголовок 2 16" xfId="52041"/>
    <cellStyle name="Заголовок 2 16 2" xfId="52042"/>
    <cellStyle name="Заголовок 2 16 2 2" xfId="52043"/>
    <cellStyle name="Заголовок 2 16 3" xfId="52044"/>
    <cellStyle name="Заголовок 2 17" xfId="52045"/>
    <cellStyle name="Заголовок 2 17 2" xfId="52046"/>
    <cellStyle name="Заголовок 2 2" xfId="52047"/>
    <cellStyle name="Заголовок 2 2 2" xfId="52048"/>
    <cellStyle name="Заголовок 2 2 3" xfId="52049"/>
    <cellStyle name="Заголовок 2 3" xfId="52050"/>
    <cellStyle name="Заголовок 2 3 2" xfId="52051"/>
    <cellStyle name="Заголовок 2 3 3" xfId="52052"/>
    <cellStyle name="Заголовок 2 4" xfId="52053"/>
    <cellStyle name="Заголовок 2 4 2" xfId="52054"/>
    <cellStyle name="Заголовок 2 4 3" xfId="52055"/>
    <cellStyle name="Заголовок 2 5" xfId="52056"/>
    <cellStyle name="Заголовок 2 5 2" xfId="52057"/>
    <cellStyle name="Заголовок 2 5 3" xfId="52058"/>
    <cellStyle name="Заголовок 2 6" xfId="52059"/>
    <cellStyle name="Заголовок 2 6 2" xfId="52060"/>
    <cellStyle name="Заголовок 2 6 3" xfId="52061"/>
    <cellStyle name="Заголовок 2 7" xfId="52062"/>
    <cellStyle name="Заголовок 2 7 2" xfId="52063"/>
    <cellStyle name="Заголовок 2 7 3" xfId="52064"/>
    <cellStyle name="Заголовок 2 8" xfId="52065"/>
    <cellStyle name="Заголовок 2 8 2" xfId="52066"/>
    <cellStyle name="Заголовок 2 8 3" xfId="52067"/>
    <cellStyle name="Заголовок 2 9" xfId="52068"/>
    <cellStyle name="Заголовок 2 9 2" xfId="52069"/>
    <cellStyle name="Заголовок 2 9 3" xfId="52070"/>
    <cellStyle name="Заголовок 3 10" xfId="52071"/>
    <cellStyle name="Заголовок 3 10 2" xfId="52072"/>
    <cellStyle name="Заголовок 3 10 3" xfId="52073"/>
    <cellStyle name="Заголовок 3 11" xfId="52074"/>
    <cellStyle name="Заголовок 3 11 2" xfId="52075"/>
    <cellStyle name="Заголовок 3 11 3" xfId="52076"/>
    <cellStyle name="Заголовок 3 12" xfId="52077"/>
    <cellStyle name="Заголовок 3 12 2" xfId="52078"/>
    <cellStyle name="Заголовок 3 12 3" xfId="52079"/>
    <cellStyle name="Заголовок 3 13" xfId="52080"/>
    <cellStyle name="Заголовок 3 14" xfId="52081"/>
    <cellStyle name="Заголовок 3 14 2" xfId="52082"/>
    <cellStyle name="Заголовок 3 14 2 2" xfId="52083"/>
    <cellStyle name="Заголовок 3 14 2 2 2" xfId="52084"/>
    <cellStyle name="Заголовок 3 14 2 2 3" xfId="52085"/>
    <cellStyle name="Заголовок 3 14 2 3" xfId="52086"/>
    <cellStyle name="Заголовок 3 14 2 4" xfId="52087"/>
    <cellStyle name="Заголовок 3 14 3" xfId="52088"/>
    <cellStyle name="Заголовок 3 14 4" xfId="52089"/>
    <cellStyle name="Заголовок 3 14 4 2" xfId="52090"/>
    <cellStyle name="Заголовок 3 14 4 3" xfId="52091"/>
    <cellStyle name="Заголовок 3 14 5" xfId="52092"/>
    <cellStyle name="Заголовок 3 14 5 2" xfId="52093"/>
    <cellStyle name="Заголовок 3 14 6" xfId="52094"/>
    <cellStyle name="Заголовок 3 14 6 2" xfId="52095"/>
    <cellStyle name="Заголовок 3 14 7" xfId="52096"/>
    <cellStyle name="Заголовок 3 14 7 2" xfId="52097"/>
    <cellStyle name="Заголовок 3 14 7 2 2" xfId="52098"/>
    <cellStyle name="Заголовок 3 14 7 3" xfId="52099"/>
    <cellStyle name="Заголовок 3 14 7 3 2" xfId="52100"/>
    <cellStyle name="Заголовок 3 14 7 4" xfId="52101"/>
    <cellStyle name="Заголовок 3 14 7 4 2" xfId="52102"/>
    <cellStyle name="Заголовок 3 14 7 5" xfId="52103"/>
    <cellStyle name="Заголовок 3 15" xfId="52104"/>
    <cellStyle name="Заголовок 3 15 2" xfId="52105"/>
    <cellStyle name="Заголовок 3 15 2 2" xfId="52106"/>
    <cellStyle name="Заголовок 3 16" xfId="52107"/>
    <cellStyle name="Заголовок 3 16 2" xfId="52108"/>
    <cellStyle name="Заголовок 3 16 2 2" xfId="52109"/>
    <cellStyle name="Заголовок 3 16 3" xfId="52110"/>
    <cellStyle name="Заголовок 3 17" xfId="52111"/>
    <cellStyle name="Заголовок 3 17 2" xfId="52112"/>
    <cellStyle name="Заголовок 3 2" xfId="52113"/>
    <cellStyle name="Заголовок 3 2 2" xfId="52114"/>
    <cellStyle name="Заголовок 3 2 3" xfId="52115"/>
    <cellStyle name="Заголовок 3 3" xfId="52116"/>
    <cellStyle name="Заголовок 3 3 2" xfId="52117"/>
    <cellStyle name="Заголовок 3 3 3" xfId="52118"/>
    <cellStyle name="Заголовок 3 4" xfId="52119"/>
    <cellStyle name="Заголовок 3 4 2" xfId="52120"/>
    <cellStyle name="Заголовок 3 4 3" xfId="52121"/>
    <cellStyle name="Заголовок 3 5" xfId="52122"/>
    <cellStyle name="Заголовок 3 5 2" xfId="52123"/>
    <cellStyle name="Заголовок 3 5 3" xfId="52124"/>
    <cellStyle name="Заголовок 3 6" xfId="52125"/>
    <cellStyle name="Заголовок 3 6 2" xfId="52126"/>
    <cellStyle name="Заголовок 3 6 3" xfId="52127"/>
    <cellStyle name="Заголовок 3 7" xfId="52128"/>
    <cellStyle name="Заголовок 3 7 2" xfId="52129"/>
    <cellStyle name="Заголовок 3 7 3" xfId="52130"/>
    <cellStyle name="Заголовок 3 8" xfId="52131"/>
    <cellStyle name="Заголовок 3 8 2" xfId="52132"/>
    <cellStyle name="Заголовок 3 8 3" xfId="52133"/>
    <cellStyle name="Заголовок 3 9" xfId="52134"/>
    <cellStyle name="Заголовок 3 9 2" xfId="52135"/>
    <cellStyle name="Заголовок 3 9 3" xfId="52136"/>
    <cellStyle name="Заголовок 4 10" xfId="52137"/>
    <cellStyle name="Заголовок 4 10 2" xfId="52138"/>
    <cellStyle name="Заголовок 4 10 3" xfId="52139"/>
    <cellStyle name="Заголовок 4 11" xfId="52140"/>
    <cellStyle name="Заголовок 4 11 2" xfId="52141"/>
    <cellStyle name="Заголовок 4 11 3" xfId="52142"/>
    <cellStyle name="Заголовок 4 12" xfId="52143"/>
    <cellStyle name="Заголовок 4 12 2" xfId="52144"/>
    <cellStyle name="Заголовок 4 12 3" xfId="52145"/>
    <cellStyle name="Заголовок 4 13" xfId="52146"/>
    <cellStyle name="Заголовок 4 14" xfId="52147"/>
    <cellStyle name="Заголовок 4 14 2" xfId="52148"/>
    <cellStyle name="Заголовок 4 14 2 2" xfId="52149"/>
    <cellStyle name="Заголовок 4 14 2 2 2" xfId="52150"/>
    <cellStyle name="Заголовок 4 14 2 2 3" xfId="52151"/>
    <cellStyle name="Заголовок 4 14 2 3" xfId="52152"/>
    <cellStyle name="Заголовок 4 14 2 4" xfId="52153"/>
    <cellStyle name="Заголовок 4 14 3" xfId="52154"/>
    <cellStyle name="Заголовок 4 14 4" xfId="52155"/>
    <cellStyle name="Заголовок 4 14 4 2" xfId="52156"/>
    <cellStyle name="Заголовок 4 14 4 3" xfId="52157"/>
    <cellStyle name="Заголовок 4 14 5" xfId="52158"/>
    <cellStyle name="Заголовок 4 14 5 2" xfId="52159"/>
    <cellStyle name="Заголовок 4 14 6" xfId="52160"/>
    <cellStyle name="Заголовок 4 14 6 2" xfId="52161"/>
    <cellStyle name="Заголовок 4 14 7" xfId="52162"/>
    <cellStyle name="Заголовок 4 14 7 2" xfId="52163"/>
    <cellStyle name="Заголовок 4 14 7 2 2" xfId="52164"/>
    <cellStyle name="Заголовок 4 14 7 3" xfId="52165"/>
    <cellStyle name="Заголовок 4 14 7 3 2" xfId="52166"/>
    <cellStyle name="Заголовок 4 14 7 4" xfId="52167"/>
    <cellStyle name="Заголовок 4 14 7 4 2" xfId="52168"/>
    <cellStyle name="Заголовок 4 14 7 5" xfId="52169"/>
    <cellStyle name="Заголовок 4 15" xfId="52170"/>
    <cellStyle name="Заголовок 4 15 2" xfId="52171"/>
    <cellStyle name="Заголовок 4 15 2 2" xfId="52172"/>
    <cellStyle name="Заголовок 4 16" xfId="52173"/>
    <cellStyle name="Заголовок 4 16 2" xfId="52174"/>
    <cellStyle name="Заголовок 4 16 2 2" xfId="52175"/>
    <cellStyle name="Заголовок 4 16 3" xfId="52176"/>
    <cellStyle name="Заголовок 4 17" xfId="52177"/>
    <cellStyle name="Заголовок 4 17 2" xfId="52178"/>
    <cellStyle name="Заголовок 4 2" xfId="52179"/>
    <cellStyle name="Заголовок 4 2 2" xfId="52180"/>
    <cellStyle name="Заголовок 4 2 3" xfId="52181"/>
    <cellStyle name="Заголовок 4 3" xfId="52182"/>
    <cellStyle name="Заголовок 4 3 2" xfId="52183"/>
    <cellStyle name="Заголовок 4 3 3" xfId="52184"/>
    <cellStyle name="Заголовок 4 4" xfId="52185"/>
    <cellStyle name="Заголовок 4 4 2" xfId="52186"/>
    <cellStyle name="Заголовок 4 4 3" xfId="52187"/>
    <cellStyle name="Заголовок 4 5" xfId="52188"/>
    <cellStyle name="Заголовок 4 5 2" xfId="52189"/>
    <cellStyle name="Заголовок 4 5 3" xfId="52190"/>
    <cellStyle name="Заголовок 4 6" xfId="52191"/>
    <cellStyle name="Заголовок 4 6 2" xfId="52192"/>
    <cellStyle name="Заголовок 4 6 3" xfId="52193"/>
    <cellStyle name="Заголовок 4 7" xfId="52194"/>
    <cellStyle name="Заголовок 4 7 2" xfId="52195"/>
    <cellStyle name="Заголовок 4 7 3" xfId="52196"/>
    <cellStyle name="Заголовок 4 8" xfId="52197"/>
    <cellStyle name="Заголовок 4 8 2" xfId="52198"/>
    <cellStyle name="Заголовок 4 8 3" xfId="52199"/>
    <cellStyle name="Заголовок 4 9" xfId="52200"/>
    <cellStyle name="Заголовок 4 9 2" xfId="52201"/>
    <cellStyle name="Заголовок 4 9 3" xfId="52202"/>
    <cellStyle name="заголовок 5" xfId="52203"/>
    <cellStyle name="заголовок 5 2" xfId="52204"/>
    <cellStyle name="заголовок 6" xfId="52205"/>
    <cellStyle name="Заголовок сводной таблицы" xfId="52206"/>
    <cellStyle name="Заголовок таблицы" xfId="52207"/>
    <cellStyle name="Заголовок таблицы 2" xfId="52208"/>
    <cellStyle name="Заголовок таблицы 2 2" xfId="52209"/>
    <cellStyle name="Заголовок таблицы 3" xfId="52210"/>
    <cellStyle name="Заголовок таблицы 3 2" xfId="52211"/>
    <cellStyle name="Заголовок таблицы 4" xfId="52212"/>
    <cellStyle name="Заголовок таблицы 4 2" xfId="52213"/>
    <cellStyle name="Заголовок1" xfId="52214"/>
    <cellStyle name="Заголовок1 2" xfId="52215"/>
    <cellStyle name="Заголовок1 3" xfId="52216"/>
    <cellStyle name="Заголовок1 4" xfId="52217"/>
    <cellStyle name="Заголовок1 5" xfId="52218"/>
    <cellStyle name="Заголовок2" xfId="52219"/>
    <cellStyle name="Заголовок2 2" xfId="52220"/>
    <cellStyle name="Заголовок2 3" xfId="52221"/>
    <cellStyle name="Заголовок2 4" xfId="52222"/>
    <cellStyle name="Заголовок2 5" xfId="52223"/>
    <cellStyle name="ЗаголовокСтолбца" xfId="52224"/>
    <cellStyle name="ЗаголовокСтолбца 2" xfId="52225"/>
    <cellStyle name="ЗаголовокСтолбца 3" xfId="52226"/>
    <cellStyle name="ЗаголовокСтолбца 4" xfId="52227"/>
    <cellStyle name="Защитный" xfId="52228"/>
    <cellStyle name="Защитный 2" xfId="52229"/>
    <cellStyle name="ЗҐБШ_±ё№МВчАМ" xfId="52230"/>
    <cellStyle name="Значение" xfId="52231"/>
    <cellStyle name="Значение 10" xfId="52232"/>
    <cellStyle name="Значение 11" xfId="52233"/>
    <cellStyle name="Значение 12" xfId="52234"/>
    <cellStyle name="Значение 13" xfId="52235"/>
    <cellStyle name="Значение 14" xfId="52236"/>
    <cellStyle name="Значение 15" xfId="52237"/>
    <cellStyle name="Значение 16" xfId="52238"/>
    <cellStyle name="Значение 17" xfId="52239"/>
    <cellStyle name="Значение 18" xfId="52240"/>
    <cellStyle name="Значение 19" xfId="52241"/>
    <cellStyle name="Значение 2" xfId="52242"/>
    <cellStyle name="Значение 2 10" xfId="52243"/>
    <cellStyle name="Значение 2 11" xfId="52244"/>
    <cellStyle name="Значение 2 12" xfId="52245"/>
    <cellStyle name="Значение 2 13" xfId="52246"/>
    <cellStyle name="Значение 2 14" xfId="52247"/>
    <cellStyle name="Значение 2 15" xfId="52248"/>
    <cellStyle name="Значение 2 16" xfId="52249"/>
    <cellStyle name="Значение 2 17" xfId="52250"/>
    <cellStyle name="Значение 2 18" xfId="52251"/>
    <cellStyle name="Значение 2 19" xfId="52252"/>
    <cellStyle name="Значение 2 2" xfId="52253"/>
    <cellStyle name="Значение 2 2 10" xfId="52254"/>
    <cellStyle name="Значение 2 2 11" xfId="52255"/>
    <cellStyle name="Значение 2 2 12" xfId="52256"/>
    <cellStyle name="Значение 2 2 13" xfId="52257"/>
    <cellStyle name="Значение 2 2 14" xfId="52258"/>
    <cellStyle name="Значение 2 2 15" xfId="52259"/>
    <cellStyle name="Значение 2 2 16" xfId="52260"/>
    <cellStyle name="Значение 2 2 17" xfId="52261"/>
    <cellStyle name="Значение 2 2 18" xfId="52262"/>
    <cellStyle name="Значение 2 2 2" xfId="52263"/>
    <cellStyle name="Значение 2 2 2 2" xfId="52264"/>
    <cellStyle name="Значение 2 2 2 2 2" xfId="52265"/>
    <cellStyle name="Значение 2 2 2 3" xfId="52266"/>
    <cellStyle name="Значение 2 2 2 4" xfId="52267"/>
    <cellStyle name="Значение 2 2 3" xfId="52268"/>
    <cellStyle name="Значение 2 2 3 2" xfId="52269"/>
    <cellStyle name="Значение 2 2 3 3" xfId="52270"/>
    <cellStyle name="Значение 2 2 4" xfId="52271"/>
    <cellStyle name="Значение 2 2 4 2" xfId="52272"/>
    <cellStyle name="Значение 2 2 5" xfId="52273"/>
    <cellStyle name="Значение 2 2 6" xfId="52274"/>
    <cellStyle name="Значение 2 2 7" xfId="52275"/>
    <cellStyle name="Значение 2 2 8" xfId="52276"/>
    <cellStyle name="Значение 2 2 9" xfId="52277"/>
    <cellStyle name="Значение 2 3" xfId="52278"/>
    <cellStyle name="Значение 2 3 10" xfId="52279"/>
    <cellStyle name="Значение 2 3 11" xfId="52280"/>
    <cellStyle name="Значение 2 3 12" xfId="52281"/>
    <cellStyle name="Значение 2 3 13" xfId="52282"/>
    <cellStyle name="Значение 2 3 14" xfId="52283"/>
    <cellStyle name="Значение 2 3 15" xfId="52284"/>
    <cellStyle name="Значение 2 3 16" xfId="52285"/>
    <cellStyle name="Значение 2 3 17" xfId="52286"/>
    <cellStyle name="Значение 2 3 18" xfId="52287"/>
    <cellStyle name="Значение 2 3 2" xfId="52288"/>
    <cellStyle name="Значение 2 3 2 2" xfId="52289"/>
    <cellStyle name="Значение 2 3 2 2 2" xfId="52290"/>
    <cellStyle name="Значение 2 3 2 3" xfId="52291"/>
    <cellStyle name="Значение 2 3 2 4" xfId="52292"/>
    <cellStyle name="Значение 2 3 3" xfId="52293"/>
    <cellStyle name="Значение 2 3 3 2" xfId="52294"/>
    <cellStyle name="Значение 2 3 3 3" xfId="52295"/>
    <cellStyle name="Значение 2 3 4" xfId="52296"/>
    <cellStyle name="Значение 2 3 4 2" xfId="52297"/>
    <cellStyle name="Значение 2 3 5" xfId="52298"/>
    <cellStyle name="Значение 2 3 6" xfId="52299"/>
    <cellStyle name="Значение 2 3 7" xfId="52300"/>
    <cellStyle name="Значение 2 3 8" xfId="52301"/>
    <cellStyle name="Значение 2 3 9" xfId="52302"/>
    <cellStyle name="Значение 2 4" xfId="52303"/>
    <cellStyle name="Значение 2 4 2" xfId="52304"/>
    <cellStyle name="Значение 2 4 2 2" xfId="52305"/>
    <cellStyle name="Значение 2 4 2 3" xfId="52306"/>
    <cellStyle name="Значение 2 4 3" xfId="52307"/>
    <cellStyle name="Значение 2 4 3 2" xfId="52308"/>
    <cellStyle name="Значение 2 4 4" xfId="52309"/>
    <cellStyle name="Значение 2 4 5" xfId="52310"/>
    <cellStyle name="Значение 2 5" xfId="52311"/>
    <cellStyle name="Значение 2 5 2" xfId="52312"/>
    <cellStyle name="Значение 2 5 2 2" xfId="52313"/>
    <cellStyle name="Значение 2 5 3" xfId="52314"/>
    <cellStyle name="Значение 2 5 4" xfId="52315"/>
    <cellStyle name="Значение 2 6" xfId="52316"/>
    <cellStyle name="Значение 2 6 2" xfId="52317"/>
    <cellStyle name="Значение 2 7" xfId="52318"/>
    <cellStyle name="Значение 2 8" xfId="52319"/>
    <cellStyle name="Значение 2 9" xfId="52320"/>
    <cellStyle name="Значение 20" xfId="52321"/>
    <cellStyle name="Значение 21" xfId="52322"/>
    <cellStyle name="Значение 22" xfId="52323"/>
    <cellStyle name="Значение 23" xfId="52324"/>
    <cellStyle name="Значение 24" xfId="52325"/>
    <cellStyle name="Значение 25" xfId="52326"/>
    <cellStyle name="Значение 3" xfId="52327"/>
    <cellStyle name="Значение 3 10" xfId="52328"/>
    <cellStyle name="Значение 3 11" xfId="52329"/>
    <cellStyle name="Значение 3 12" xfId="52330"/>
    <cellStyle name="Значение 3 13" xfId="52331"/>
    <cellStyle name="Значение 3 14" xfId="52332"/>
    <cellStyle name="Значение 3 15" xfId="52333"/>
    <cellStyle name="Значение 3 16" xfId="52334"/>
    <cellStyle name="Значение 3 17" xfId="52335"/>
    <cellStyle name="Значение 3 18" xfId="52336"/>
    <cellStyle name="Значение 3 19" xfId="52337"/>
    <cellStyle name="Значение 3 2" xfId="52338"/>
    <cellStyle name="Значение 3 2 10" xfId="52339"/>
    <cellStyle name="Значение 3 2 11" xfId="52340"/>
    <cellStyle name="Значение 3 2 12" xfId="52341"/>
    <cellStyle name="Значение 3 2 13" xfId="52342"/>
    <cellStyle name="Значение 3 2 14" xfId="52343"/>
    <cellStyle name="Значение 3 2 15" xfId="52344"/>
    <cellStyle name="Значение 3 2 16" xfId="52345"/>
    <cellStyle name="Значение 3 2 17" xfId="52346"/>
    <cellStyle name="Значение 3 2 18" xfId="52347"/>
    <cellStyle name="Значение 3 2 2" xfId="52348"/>
    <cellStyle name="Значение 3 2 2 2" xfId="52349"/>
    <cellStyle name="Значение 3 2 2 2 2" xfId="52350"/>
    <cellStyle name="Значение 3 2 2 3" xfId="52351"/>
    <cellStyle name="Значение 3 2 2 4" xfId="52352"/>
    <cellStyle name="Значение 3 2 3" xfId="52353"/>
    <cellStyle name="Значение 3 2 3 2" xfId="52354"/>
    <cellStyle name="Значение 3 2 3 3" xfId="52355"/>
    <cellStyle name="Значение 3 2 4" xfId="52356"/>
    <cellStyle name="Значение 3 2 4 2" xfId="52357"/>
    <cellStyle name="Значение 3 2 5" xfId="52358"/>
    <cellStyle name="Значение 3 2 6" xfId="52359"/>
    <cellStyle name="Значение 3 2 7" xfId="52360"/>
    <cellStyle name="Значение 3 2 8" xfId="52361"/>
    <cellStyle name="Значение 3 2 9" xfId="52362"/>
    <cellStyle name="Значение 3 20" xfId="52363"/>
    <cellStyle name="Значение 3 21" xfId="52364"/>
    <cellStyle name="Значение 3 3" xfId="52365"/>
    <cellStyle name="Значение 3 3 10" xfId="52366"/>
    <cellStyle name="Значение 3 3 11" xfId="52367"/>
    <cellStyle name="Значение 3 3 12" xfId="52368"/>
    <cellStyle name="Значение 3 3 13" xfId="52369"/>
    <cellStyle name="Значение 3 3 14" xfId="52370"/>
    <cellStyle name="Значение 3 3 15" xfId="52371"/>
    <cellStyle name="Значение 3 3 16" xfId="52372"/>
    <cellStyle name="Значение 3 3 17" xfId="52373"/>
    <cellStyle name="Значение 3 3 18" xfId="52374"/>
    <cellStyle name="Значение 3 3 2" xfId="52375"/>
    <cellStyle name="Значение 3 3 2 2" xfId="52376"/>
    <cellStyle name="Значение 3 3 2 2 2" xfId="52377"/>
    <cellStyle name="Значение 3 3 2 3" xfId="52378"/>
    <cellStyle name="Значение 3 3 2 4" xfId="52379"/>
    <cellStyle name="Значение 3 3 3" xfId="52380"/>
    <cellStyle name="Значение 3 3 3 2" xfId="52381"/>
    <cellStyle name="Значение 3 3 3 3" xfId="52382"/>
    <cellStyle name="Значение 3 3 4" xfId="52383"/>
    <cellStyle name="Значение 3 3 4 2" xfId="52384"/>
    <cellStyle name="Значение 3 3 5" xfId="52385"/>
    <cellStyle name="Значение 3 3 6" xfId="52386"/>
    <cellStyle name="Значение 3 3 7" xfId="52387"/>
    <cellStyle name="Значение 3 3 8" xfId="52388"/>
    <cellStyle name="Значение 3 3 9" xfId="52389"/>
    <cellStyle name="Значение 3 4" xfId="52390"/>
    <cellStyle name="Значение 3 4 2" xfId="52391"/>
    <cellStyle name="Значение 3 4 2 2" xfId="52392"/>
    <cellStyle name="Значение 3 4 2 3" xfId="52393"/>
    <cellStyle name="Значение 3 4 3" xfId="52394"/>
    <cellStyle name="Значение 3 4 3 2" xfId="52395"/>
    <cellStyle name="Значение 3 4 4" xfId="52396"/>
    <cellStyle name="Значение 3 4 5" xfId="52397"/>
    <cellStyle name="Значение 3 5" xfId="52398"/>
    <cellStyle name="Значение 3 5 2" xfId="52399"/>
    <cellStyle name="Значение 3 5 2 2" xfId="52400"/>
    <cellStyle name="Значение 3 5 3" xfId="52401"/>
    <cellStyle name="Значение 3 5 4" xfId="52402"/>
    <cellStyle name="Значение 3 6" xfId="52403"/>
    <cellStyle name="Значение 3 6 2" xfId="52404"/>
    <cellStyle name="Значение 3 7" xfId="52405"/>
    <cellStyle name="Значение 3 8" xfId="52406"/>
    <cellStyle name="Значение 3 9" xfId="52407"/>
    <cellStyle name="Значение 4" xfId="52408"/>
    <cellStyle name="Значение 4 10" xfId="52409"/>
    <cellStyle name="Значение 4 11" xfId="52410"/>
    <cellStyle name="Значение 4 12" xfId="52411"/>
    <cellStyle name="Значение 4 13" xfId="52412"/>
    <cellStyle name="Значение 4 14" xfId="52413"/>
    <cellStyle name="Значение 4 15" xfId="52414"/>
    <cellStyle name="Значение 4 16" xfId="52415"/>
    <cellStyle name="Значение 4 17" xfId="52416"/>
    <cellStyle name="Значение 4 18" xfId="52417"/>
    <cellStyle name="Значение 4 19" xfId="52418"/>
    <cellStyle name="Значение 4 2" xfId="52419"/>
    <cellStyle name="Значение 4 2 10" xfId="52420"/>
    <cellStyle name="Значение 4 2 11" xfId="52421"/>
    <cellStyle name="Значение 4 2 12" xfId="52422"/>
    <cellStyle name="Значение 4 2 13" xfId="52423"/>
    <cellStyle name="Значение 4 2 14" xfId="52424"/>
    <cellStyle name="Значение 4 2 15" xfId="52425"/>
    <cellStyle name="Значение 4 2 16" xfId="52426"/>
    <cellStyle name="Значение 4 2 17" xfId="52427"/>
    <cellStyle name="Значение 4 2 18" xfId="52428"/>
    <cellStyle name="Значение 4 2 2" xfId="52429"/>
    <cellStyle name="Значение 4 2 2 2" xfId="52430"/>
    <cellStyle name="Значение 4 2 2 2 2" xfId="52431"/>
    <cellStyle name="Значение 4 2 2 3" xfId="52432"/>
    <cellStyle name="Значение 4 2 2 4" xfId="52433"/>
    <cellStyle name="Значение 4 2 3" xfId="52434"/>
    <cellStyle name="Значение 4 2 3 2" xfId="52435"/>
    <cellStyle name="Значение 4 2 3 3" xfId="52436"/>
    <cellStyle name="Значение 4 2 4" xfId="52437"/>
    <cellStyle name="Значение 4 2 4 2" xfId="52438"/>
    <cellStyle name="Значение 4 2 5" xfId="52439"/>
    <cellStyle name="Значение 4 2 6" xfId="52440"/>
    <cellStyle name="Значение 4 2 7" xfId="52441"/>
    <cellStyle name="Значение 4 2 8" xfId="52442"/>
    <cellStyle name="Значение 4 2 9" xfId="52443"/>
    <cellStyle name="Значение 4 20" xfId="52444"/>
    <cellStyle name="Значение 4 21" xfId="52445"/>
    <cellStyle name="Значение 4 3" xfId="52446"/>
    <cellStyle name="Значение 4 3 10" xfId="52447"/>
    <cellStyle name="Значение 4 3 11" xfId="52448"/>
    <cellStyle name="Значение 4 3 12" xfId="52449"/>
    <cellStyle name="Значение 4 3 13" xfId="52450"/>
    <cellStyle name="Значение 4 3 14" xfId="52451"/>
    <cellStyle name="Значение 4 3 15" xfId="52452"/>
    <cellStyle name="Значение 4 3 16" xfId="52453"/>
    <cellStyle name="Значение 4 3 17" xfId="52454"/>
    <cellStyle name="Значение 4 3 18" xfId="52455"/>
    <cellStyle name="Значение 4 3 2" xfId="52456"/>
    <cellStyle name="Значение 4 3 2 2" xfId="52457"/>
    <cellStyle name="Значение 4 3 2 2 2" xfId="52458"/>
    <cellStyle name="Значение 4 3 2 3" xfId="52459"/>
    <cellStyle name="Значение 4 3 2 4" xfId="52460"/>
    <cellStyle name="Значение 4 3 3" xfId="52461"/>
    <cellStyle name="Значение 4 3 3 2" xfId="52462"/>
    <cellStyle name="Значение 4 3 3 3" xfId="52463"/>
    <cellStyle name="Значение 4 3 4" xfId="52464"/>
    <cellStyle name="Значение 4 3 4 2" xfId="52465"/>
    <cellStyle name="Значение 4 3 5" xfId="52466"/>
    <cellStyle name="Значение 4 3 6" xfId="52467"/>
    <cellStyle name="Значение 4 3 7" xfId="52468"/>
    <cellStyle name="Значение 4 3 8" xfId="52469"/>
    <cellStyle name="Значение 4 3 9" xfId="52470"/>
    <cellStyle name="Значение 4 4" xfId="52471"/>
    <cellStyle name="Значение 4 4 2" xfId="52472"/>
    <cellStyle name="Значение 4 4 2 2" xfId="52473"/>
    <cellStyle name="Значение 4 4 2 3" xfId="52474"/>
    <cellStyle name="Значение 4 4 3" xfId="52475"/>
    <cellStyle name="Значение 4 4 3 2" xfId="52476"/>
    <cellStyle name="Значение 4 4 4" xfId="52477"/>
    <cellStyle name="Значение 4 4 5" xfId="52478"/>
    <cellStyle name="Значение 4 5" xfId="52479"/>
    <cellStyle name="Значение 4 5 2" xfId="52480"/>
    <cellStyle name="Значение 4 5 2 2" xfId="52481"/>
    <cellStyle name="Значение 4 5 3" xfId="52482"/>
    <cellStyle name="Значение 4 5 4" xfId="52483"/>
    <cellStyle name="Значение 4 6" xfId="52484"/>
    <cellStyle name="Значение 4 6 2" xfId="52485"/>
    <cellStyle name="Значение 4 7" xfId="52486"/>
    <cellStyle name="Значение 4 8" xfId="52487"/>
    <cellStyle name="Значение 4 9" xfId="52488"/>
    <cellStyle name="Значение 5" xfId="52489"/>
    <cellStyle name="Значение 5 10" xfId="52490"/>
    <cellStyle name="Значение 5 11" xfId="52491"/>
    <cellStyle name="Значение 5 12" xfId="52492"/>
    <cellStyle name="Значение 5 13" xfId="52493"/>
    <cellStyle name="Значение 5 14" xfId="52494"/>
    <cellStyle name="Значение 5 15" xfId="52495"/>
    <cellStyle name="Значение 5 16" xfId="52496"/>
    <cellStyle name="Значение 5 17" xfId="52497"/>
    <cellStyle name="Значение 5 18" xfId="52498"/>
    <cellStyle name="Значение 5 19" xfId="52499"/>
    <cellStyle name="Значение 5 2" xfId="52500"/>
    <cellStyle name="Значение 5 2 10" xfId="52501"/>
    <cellStyle name="Значение 5 2 11" xfId="52502"/>
    <cellStyle name="Значение 5 2 12" xfId="52503"/>
    <cellStyle name="Значение 5 2 13" xfId="52504"/>
    <cellStyle name="Значение 5 2 14" xfId="52505"/>
    <cellStyle name="Значение 5 2 15" xfId="52506"/>
    <cellStyle name="Значение 5 2 16" xfId="52507"/>
    <cellStyle name="Значение 5 2 17" xfId="52508"/>
    <cellStyle name="Значение 5 2 18" xfId="52509"/>
    <cellStyle name="Значение 5 2 2" xfId="52510"/>
    <cellStyle name="Значение 5 2 2 2" xfId="52511"/>
    <cellStyle name="Значение 5 2 2 2 2" xfId="52512"/>
    <cellStyle name="Значение 5 2 2 3" xfId="52513"/>
    <cellStyle name="Значение 5 2 2 4" xfId="52514"/>
    <cellStyle name="Значение 5 2 3" xfId="52515"/>
    <cellStyle name="Значение 5 2 3 2" xfId="52516"/>
    <cellStyle name="Значение 5 2 3 3" xfId="52517"/>
    <cellStyle name="Значение 5 2 4" xfId="52518"/>
    <cellStyle name="Значение 5 2 4 2" xfId="52519"/>
    <cellStyle name="Значение 5 2 5" xfId="52520"/>
    <cellStyle name="Значение 5 2 6" xfId="52521"/>
    <cellStyle name="Значение 5 2 7" xfId="52522"/>
    <cellStyle name="Значение 5 2 8" xfId="52523"/>
    <cellStyle name="Значение 5 2 9" xfId="52524"/>
    <cellStyle name="Значение 5 3" xfId="52525"/>
    <cellStyle name="Значение 5 3 10" xfId="52526"/>
    <cellStyle name="Значение 5 3 11" xfId="52527"/>
    <cellStyle name="Значение 5 3 12" xfId="52528"/>
    <cellStyle name="Значение 5 3 13" xfId="52529"/>
    <cellStyle name="Значение 5 3 14" xfId="52530"/>
    <cellStyle name="Значение 5 3 15" xfId="52531"/>
    <cellStyle name="Значение 5 3 16" xfId="52532"/>
    <cellStyle name="Значение 5 3 17" xfId="52533"/>
    <cellStyle name="Значение 5 3 18" xfId="52534"/>
    <cellStyle name="Значение 5 3 2" xfId="52535"/>
    <cellStyle name="Значение 5 3 2 2" xfId="52536"/>
    <cellStyle name="Значение 5 3 2 2 2" xfId="52537"/>
    <cellStyle name="Значение 5 3 2 3" xfId="52538"/>
    <cellStyle name="Значение 5 3 2 4" xfId="52539"/>
    <cellStyle name="Значение 5 3 3" xfId="52540"/>
    <cellStyle name="Значение 5 3 3 2" xfId="52541"/>
    <cellStyle name="Значение 5 3 3 3" xfId="52542"/>
    <cellStyle name="Значение 5 3 4" xfId="52543"/>
    <cellStyle name="Значение 5 3 4 2" xfId="52544"/>
    <cellStyle name="Значение 5 3 5" xfId="52545"/>
    <cellStyle name="Значение 5 3 6" xfId="52546"/>
    <cellStyle name="Значение 5 3 7" xfId="52547"/>
    <cellStyle name="Значение 5 3 8" xfId="52548"/>
    <cellStyle name="Значение 5 3 9" xfId="52549"/>
    <cellStyle name="Значение 5 4" xfId="52550"/>
    <cellStyle name="Значение 5 4 2" xfId="52551"/>
    <cellStyle name="Значение 5 4 2 2" xfId="52552"/>
    <cellStyle name="Значение 5 4 2 3" xfId="52553"/>
    <cellStyle name="Значение 5 4 3" xfId="52554"/>
    <cellStyle name="Значение 5 4 3 2" xfId="52555"/>
    <cellStyle name="Значение 5 4 4" xfId="52556"/>
    <cellStyle name="Значение 5 4 5" xfId="52557"/>
    <cellStyle name="Значение 5 5" xfId="52558"/>
    <cellStyle name="Значение 5 5 2" xfId="52559"/>
    <cellStyle name="Значение 5 5 2 2" xfId="52560"/>
    <cellStyle name="Значение 5 5 3" xfId="52561"/>
    <cellStyle name="Значение 5 5 4" xfId="52562"/>
    <cellStyle name="Значение 5 6" xfId="52563"/>
    <cellStyle name="Значение 5 6 2" xfId="52564"/>
    <cellStyle name="Значение 5 7" xfId="52565"/>
    <cellStyle name="Значение 5 8" xfId="52566"/>
    <cellStyle name="Значение 5 9" xfId="52567"/>
    <cellStyle name="Значение 6" xfId="52568"/>
    <cellStyle name="Значение 6 10" xfId="52569"/>
    <cellStyle name="Значение 6 11" xfId="52570"/>
    <cellStyle name="Значение 6 12" xfId="52571"/>
    <cellStyle name="Значение 6 13" xfId="52572"/>
    <cellStyle name="Значение 6 14" xfId="52573"/>
    <cellStyle name="Значение 6 15" xfId="52574"/>
    <cellStyle name="Значение 6 16" xfId="52575"/>
    <cellStyle name="Значение 6 17" xfId="52576"/>
    <cellStyle name="Значение 6 18" xfId="52577"/>
    <cellStyle name="Значение 6 19" xfId="52578"/>
    <cellStyle name="Значение 6 2" xfId="52579"/>
    <cellStyle name="Значение 6 2 10" xfId="52580"/>
    <cellStyle name="Значение 6 2 11" xfId="52581"/>
    <cellStyle name="Значение 6 2 12" xfId="52582"/>
    <cellStyle name="Значение 6 2 13" xfId="52583"/>
    <cellStyle name="Значение 6 2 14" xfId="52584"/>
    <cellStyle name="Значение 6 2 15" xfId="52585"/>
    <cellStyle name="Значение 6 2 16" xfId="52586"/>
    <cellStyle name="Значение 6 2 17" xfId="52587"/>
    <cellStyle name="Значение 6 2 18" xfId="52588"/>
    <cellStyle name="Значение 6 2 2" xfId="52589"/>
    <cellStyle name="Значение 6 2 2 2" xfId="52590"/>
    <cellStyle name="Значение 6 2 2 2 2" xfId="52591"/>
    <cellStyle name="Значение 6 2 2 3" xfId="52592"/>
    <cellStyle name="Значение 6 2 2 4" xfId="52593"/>
    <cellStyle name="Значение 6 2 3" xfId="52594"/>
    <cellStyle name="Значение 6 2 3 2" xfId="52595"/>
    <cellStyle name="Значение 6 2 3 3" xfId="52596"/>
    <cellStyle name="Значение 6 2 4" xfId="52597"/>
    <cellStyle name="Значение 6 2 4 2" xfId="52598"/>
    <cellStyle name="Значение 6 2 5" xfId="52599"/>
    <cellStyle name="Значение 6 2 6" xfId="52600"/>
    <cellStyle name="Значение 6 2 7" xfId="52601"/>
    <cellStyle name="Значение 6 2 8" xfId="52602"/>
    <cellStyle name="Значение 6 2 9" xfId="52603"/>
    <cellStyle name="Значение 6 20" xfId="52604"/>
    <cellStyle name="Значение 6 3" xfId="52605"/>
    <cellStyle name="Значение 6 3 10" xfId="52606"/>
    <cellStyle name="Значение 6 3 11" xfId="52607"/>
    <cellStyle name="Значение 6 3 12" xfId="52608"/>
    <cellStyle name="Значение 6 3 13" xfId="52609"/>
    <cellStyle name="Значение 6 3 14" xfId="52610"/>
    <cellStyle name="Значение 6 3 15" xfId="52611"/>
    <cellStyle name="Значение 6 3 16" xfId="52612"/>
    <cellStyle name="Значение 6 3 17" xfId="52613"/>
    <cellStyle name="Значение 6 3 18" xfId="52614"/>
    <cellStyle name="Значение 6 3 2" xfId="52615"/>
    <cellStyle name="Значение 6 3 2 2" xfId="52616"/>
    <cellStyle name="Значение 6 3 2 2 2" xfId="52617"/>
    <cellStyle name="Значение 6 3 2 3" xfId="52618"/>
    <cellStyle name="Значение 6 3 2 4" xfId="52619"/>
    <cellStyle name="Значение 6 3 3" xfId="52620"/>
    <cellStyle name="Значение 6 3 3 2" xfId="52621"/>
    <cellStyle name="Значение 6 3 3 3" xfId="52622"/>
    <cellStyle name="Значение 6 3 4" xfId="52623"/>
    <cellStyle name="Значение 6 3 4 2" xfId="52624"/>
    <cellStyle name="Значение 6 3 5" xfId="52625"/>
    <cellStyle name="Значение 6 3 6" xfId="52626"/>
    <cellStyle name="Значение 6 3 7" xfId="52627"/>
    <cellStyle name="Значение 6 3 8" xfId="52628"/>
    <cellStyle name="Значение 6 3 9" xfId="52629"/>
    <cellStyle name="Значение 6 4" xfId="52630"/>
    <cellStyle name="Значение 6 4 2" xfId="52631"/>
    <cellStyle name="Значение 6 4 2 2" xfId="52632"/>
    <cellStyle name="Значение 6 4 2 3" xfId="52633"/>
    <cellStyle name="Значение 6 4 3" xfId="52634"/>
    <cellStyle name="Значение 6 4 3 2" xfId="52635"/>
    <cellStyle name="Значение 6 4 4" xfId="52636"/>
    <cellStyle name="Значение 6 4 5" xfId="52637"/>
    <cellStyle name="Значение 6 5" xfId="52638"/>
    <cellStyle name="Значение 6 5 2" xfId="52639"/>
    <cellStyle name="Значение 6 5 2 2" xfId="52640"/>
    <cellStyle name="Значение 6 5 3" xfId="52641"/>
    <cellStyle name="Значение 6 5 4" xfId="52642"/>
    <cellStyle name="Значение 6 6" xfId="52643"/>
    <cellStyle name="Значение 6 6 2" xfId="52644"/>
    <cellStyle name="Значение 6 7" xfId="52645"/>
    <cellStyle name="Значение 6 8" xfId="52646"/>
    <cellStyle name="Значение 6 9" xfId="52647"/>
    <cellStyle name="Значение 7" xfId="52648"/>
    <cellStyle name="Значение 7 10" xfId="52649"/>
    <cellStyle name="Значение 7 11" xfId="52650"/>
    <cellStyle name="Значение 7 12" xfId="52651"/>
    <cellStyle name="Значение 7 13" xfId="52652"/>
    <cellStyle name="Значение 7 14" xfId="52653"/>
    <cellStyle name="Значение 7 15" xfId="52654"/>
    <cellStyle name="Значение 7 16" xfId="52655"/>
    <cellStyle name="Значение 7 17" xfId="52656"/>
    <cellStyle name="Значение 7 2" xfId="52657"/>
    <cellStyle name="Значение 7 2 2" xfId="52658"/>
    <cellStyle name="Значение 7 2 2 2" xfId="52659"/>
    <cellStyle name="Значение 7 2 3" xfId="52660"/>
    <cellStyle name="Значение 7 2 4" xfId="52661"/>
    <cellStyle name="Значение 7 3" xfId="52662"/>
    <cellStyle name="Значение 7 3 2" xfId="52663"/>
    <cellStyle name="Значение 7 4" xfId="52664"/>
    <cellStyle name="Значение 7 5" xfId="52665"/>
    <cellStyle name="Значение 7 6" xfId="52666"/>
    <cellStyle name="Значение 7 7" xfId="52667"/>
    <cellStyle name="Значение 7 8" xfId="52668"/>
    <cellStyle name="Значение 7 9" xfId="52669"/>
    <cellStyle name="Значение 8" xfId="52670"/>
    <cellStyle name="Значение 8 2" xfId="52671"/>
    <cellStyle name="Значение 8 2 2" xfId="52672"/>
    <cellStyle name="Значение 8 2 2 2" xfId="52673"/>
    <cellStyle name="Значение 8 2 3" xfId="52674"/>
    <cellStyle name="Значение 8 2 4" xfId="52675"/>
    <cellStyle name="Значение 8 3" xfId="52676"/>
    <cellStyle name="Значение 8 3 2" xfId="52677"/>
    <cellStyle name="Значение 8 3 3" xfId="52678"/>
    <cellStyle name="Значение 8 4" xfId="52679"/>
    <cellStyle name="Значение 8 4 2" xfId="52680"/>
    <cellStyle name="Значение 8 5" xfId="52681"/>
    <cellStyle name="Значение 8 6" xfId="52682"/>
    <cellStyle name="Значение 9" xfId="52683"/>
    <cellStyle name="Значение 9 2" xfId="52684"/>
    <cellStyle name="Значение 9 2 2" xfId="52685"/>
    <cellStyle name="Значение 9 3" xfId="52686"/>
    <cellStyle name="Значение 9 4" xfId="52687"/>
    <cellStyle name="Значение сводной таблицы" xfId="52688"/>
    <cellStyle name="зуксуте" xfId="52689"/>
    <cellStyle name="зуксуте 2" xfId="52690"/>
    <cellStyle name="зфпуруфвштп" xfId="52691"/>
    <cellStyle name="идгу" xfId="52692"/>
    <cellStyle name="идгу 2" xfId="52693"/>
    <cellStyle name="Итог 10" xfId="52695"/>
    <cellStyle name="Итог 10 2" xfId="52696"/>
    <cellStyle name="Итог 10 3" xfId="52697"/>
    <cellStyle name="Итог 11" xfId="52698"/>
    <cellStyle name="Итог 11 2" xfId="52699"/>
    <cellStyle name="Итог 11 3" xfId="52700"/>
    <cellStyle name="Итог 12" xfId="52701"/>
    <cellStyle name="Итог 12 2" xfId="52702"/>
    <cellStyle name="Итог 12 3" xfId="52703"/>
    <cellStyle name="Итог 13" xfId="52704"/>
    <cellStyle name="Итог 14" xfId="52705"/>
    <cellStyle name="Итог 14 2" xfId="52706"/>
    <cellStyle name="Итог 14 3" xfId="52707"/>
    <cellStyle name="Итог 14 3 2" xfId="52708"/>
    <cellStyle name="Итог 14 4" xfId="52709"/>
    <cellStyle name="Итог 14 5" xfId="52710"/>
    <cellStyle name="Итог 14 6" xfId="52711"/>
    <cellStyle name="Итог 15" xfId="52712"/>
    <cellStyle name="Итог 16" xfId="52713"/>
    <cellStyle name="Итог 16 2" xfId="52714"/>
    <cellStyle name="Итог 17" xfId="52715"/>
    <cellStyle name="Итог 2" xfId="52716"/>
    <cellStyle name="Итог 2 2" xfId="52717"/>
    <cellStyle name="Итог 2 3" xfId="52718"/>
    <cellStyle name="Итог 3" xfId="52719"/>
    <cellStyle name="Итог 3 2" xfId="52720"/>
    <cellStyle name="Итог 3 3" xfId="52721"/>
    <cellStyle name="Итог 4" xfId="52722"/>
    <cellStyle name="Итог 4 2" xfId="52723"/>
    <cellStyle name="Итог 4 3" xfId="52724"/>
    <cellStyle name="Итог 5" xfId="52725"/>
    <cellStyle name="Итог 5 2" xfId="52726"/>
    <cellStyle name="Итог 5 3" xfId="52727"/>
    <cellStyle name="Итог 6" xfId="52728"/>
    <cellStyle name="Итог 6 2" xfId="52729"/>
    <cellStyle name="Итог 6 3" xfId="52730"/>
    <cellStyle name="Итог 7" xfId="52731"/>
    <cellStyle name="Итог 7 2" xfId="52732"/>
    <cellStyle name="Итог 7 3" xfId="52733"/>
    <cellStyle name="Итог 8" xfId="52734"/>
    <cellStyle name="Итог 8 2" xfId="52735"/>
    <cellStyle name="Итог 8 3" xfId="52736"/>
    <cellStyle name="Итог 9" xfId="52737"/>
    <cellStyle name="Итог 9 2" xfId="52738"/>
    <cellStyle name="Итог 9 3" xfId="52739"/>
    <cellStyle name="Итоги" xfId="52740"/>
    <cellStyle name="Итоги 2" xfId="52741"/>
    <cellStyle name="Итоги 2 2" xfId="52742"/>
    <cellStyle name="Итоги 3" xfId="52743"/>
    <cellStyle name="Итоги 4" xfId="52744"/>
    <cellStyle name="Итого" xfId="52745"/>
    <cellStyle name="Итого 2" xfId="52746"/>
    <cellStyle name="Итого 2 2" xfId="52747"/>
    <cellStyle name="Итого 3" xfId="52748"/>
    <cellStyle name="Итого 3 2" xfId="52749"/>
    <cellStyle name="Итого 4" xfId="52750"/>
    <cellStyle name="Итого 5" xfId="52751"/>
    <cellStyle name="йешеду" xfId="52694"/>
    <cellStyle name="Категория сводной таблицы" xfId="52752"/>
    <cellStyle name="Код строки" xfId="52753"/>
    <cellStyle name="Код строки 10" xfId="52754"/>
    <cellStyle name="Код строки 11" xfId="52755"/>
    <cellStyle name="Код строки 12" xfId="52756"/>
    <cellStyle name="Код строки 13" xfId="52757"/>
    <cellStyle name="Код строки 14" xfId="52758"/>
    <cellStyle name="Код строки 15" xfId="52759"/>
    <cellStyle name="Код строки 16" xfId="52760"/>
    <cellStyle name="Код строки 17" xfId="52761"/>
    <cellStyle name="Код строки 18" xfId="52762"/>
    <cellStyle name="Код строки 19" xfId="52763"/>
    <cellStyle name="Код строки 2" xfId="52764"/>
    <cellStyle name="Код строки 2 10" xfId="52765"/>
    <cellStyle name="Код строки 2 11" xfId="52766"/>
    <cellStyle name="Код строки 2 12" xfId="52767"/>
    <cellStyle name="Код строки 2 13" xfId="52768"/>
    <cellStyle name="Код строки 2 14" xfId="52769"/>
    <cellStyle name="Код строки 2 15" xfId="52770"/>
    <cellStyle name="Код строки 2 16" xfId="52771"/>
    <cellStyle name="Код строки 2 17" xfId="52772"/>
    <cellStyle name="Код строки 2 18" xfId="52773"/>
    <cellStyle name="Код строки 2 19" xfId="52774"/>
    <cellStyle name="Код строки 2 2" xfId="52775"/>
    <cellStyle name="Код строки 2 2 10" xfId="52776"/>
    <cellStyle name="Код строки 2 2 11" xfId="52777"/>
    <cellStyle name="Код строки 2 2 12" xfId="52778"/>
    <cellStyle name="Код строки 2 2 13" xfId="52779"/>
    <cellStyle name="Код строки 2 2 14" xfId="52780"/>
    <cellStyle name="Код строки 2 2 15" xfId="52781"/>
    <cellStyle name="Код строки 2 2 16" xfId="52782"/>
    <cellStyle name="Код строки 2 2 17" xfId="52783"/>
    <cellStyle name="Код строки 2 2 18" xfId="52784"/>
    <cellStyle name="Код строки 2 2 2" xfId="52785"/>
    <cellStyle name="Код строки 2 2 2 2" xfId="52786"/>
    <cellStyle name="Код строки 2 2 2 2 2" xfId="52787"/>
    <cellStyle name="Код строки 2 2 2 3" xfId="52788"/>
    <cellStyle name="Код строки 2 2 2 4" xfId="52789"/>
    <cellStyle name="Код строки 2 2 3" xfId="52790"/>
    <cellStyle name="Код строки 2 2 3 2" xfId="52791"/>
    <cellStyle name="Код строки 2 2 3 3" xfId="52792"/>
    <cellStyle name="Код строки 2 2 4" xfId="52793"/>
    <cellStyle name="Код строки 2 2 4 2" xfId="52794"/>
    <cellStyle name="Код строки 2 2 5" xfId="52795"/>
    <cellStyle name="Код строки 2 2 6" xfId="52796"/>
    <cellStyle name="Код строки 2 2 7" xfId="52797"/>
    <cellStyle name="Код строки 2 2 8" xfId="52798"/>
    <cellStyle name="Код строки 2 2 9" xfId="52799"/>
    <cellStyle name="Код строки 2 20" xfId="52800"/>
    <cellStyle name="Код строки 2 21" xfId="52801"/>
    <cellStyle name="Код строки 2 3" xfId="52802"/>
    <cellStyle name="Код строки 2 3 10" xfId="52803"/>
    <cellStyle name="Код строки 2 3 11" xfId="52804"/>
    <cellStyle name="Код строки 2 3 12" xfId="52805"/>
    <cellStyle name="Код строки 2 3 13" xfId="52806"/>
    <cellStyle name="Код строки 2 3 14" xfId="52807"/>
    <cellStyle name="Код строки 2 3 15" xfId="52808"/>
    <cellStyle name="Код строки 2 3 16" xfId="52809"/>
    <cellStyle name="Код строки 2 3 17" xfId="52810"/>
    <cellStyle name="Код строки 2 3 18" xfId="52811"/>
    <cellStyle name="Код строки 2 3 2" xfId="52812"/>
    <cellStyle name="Код строки 2 3 2 2" xfId="52813"/>
    <cellStyle name="Код строки 2 3 2 2 2" xfId="52814"/>
    <cellStyle name="Код строки 2 3 2 3" xfId="52815"/>
    <cellStyle name="Код строки 2 3 2 4" xfId="52816"/>
    <cellStyle name="Код строки 2 3 3" xfId="52817"/>
    <cellStyle name="Код строки 2 3 3 2" xfId="52818"/>
    <cellStyle name="Код строки 2 3 3 3" xfId="52819"/>
    <cellStyle name="Код строки 2 3 4" xfId="52820"/>
    <cellStyle name="Код строки 2 3 4 2" xfId="52821"/>
    <cellStyle name="Код строки 2 3 5" xfId="52822"/>
    <cellStyle name="Код строки 2 3 6" xfId="52823"/>
    <cellStyle name="Код строки 2 3 7" xfId="52824"/>
    <cellStyle name="Код строки 2 3 8" xfId="52825"/>
    <cellStyle name="Код строки 2 3 9" xfId="52826"/>
    <cellStyle name="Код строки 2 4" xfId="52827"/>
    <cellStyle name="Код строки 2 4 2" xfId="52828"/>
    <cellStyle name="Код строки 2 4 2 2" xfId="52829"/>
    <cellStyle name="Код строки 2 4 2 3" xfId="52830"/>
    <cellStyle name="Код строки 2 4 3" xfId="52831"/>
    <cellStyle name="Код строки 2 4 3 2" xfId="52832"/>
    <cellStyle name="Код строки 2 4 4" xfId="52833"/>
    <cellStyle name="Код строки 2 4 5" xfId="52834"/>
    <cellStyle name="Код строки 2 5" xfId="52835"/>
    <cellStyle name="Код строки 2 5 2" xfId="52836"/>
    <cellStyle name="Код строки 2 5 2 2" xfId="52837"/>
    <cellStyle name="Код строки 2 5 3" xfId="52838"/>
    <cellStyle name="Код строки 2 5 4" xfId="52839"/>
    <cellStyle name="Код строки 2 6" xfId="52840"/>
    <cellStyle name="Код строки 2 6 2" xfId="52841"/>
    <cellStyle name="Код строки 2 7" xfId="52842"/>
    <cellStyle name="Код строки 2 8" xfId="52843"/>
    <cellStyle name="Код строки 2 9" xfId="52844"/>
    <cellStyle name="Код строки 20" xfId="52845"/>
    <cellStyle name="Код строки 21" xfId="52846"/>
    <cellStyle name="Код строки 22" xfId="52847"/>
    <cellStyle name="Код строки 23" xfId="52848"/>
    <cellStyle name="Код строки 24" xfId="52849"/>
    <cellStyle name="Код строки 25" xfId="52850"/>
    <cellStyle name="Код строки 3" xfId="52851"/>
    <cellStyle name="Код строки 3 10" xfId="52852"/>
    <cellStyle name="Код строки 3 11" xfId="52853"/>
    <cellStyle name="Код строки 3 12" xfId="52854"/>
    <cellStyle name="Код строки 3 13" xfId="52855"/>
    <cellStyle name="Код строки 3 14" xfId="52856"/>
    <cellStyle name="Код строки 3 15" xfId="52857"/>
    <cellStyle name="Код строки 3 16" xfId="52858"/>
    <cellStyle name="Код строки 3 17" xfId="52859"/>
    <cellStyle name="Код строки 3 18" xfId="52860"/>
    <cellStyle name="Код строки 3 19" xfId="52861"/>
    <cellStyle name="Код строки 3 2" xfId="52862"/>
    <cellStyle name="Код строки 3 2 10" xfId="52863"/>
    <cellStyle name="Код строки 3 2 11" xfId="52864"/>
    <cellStyle name="Код строки 3 2 12" xfId="52865"/>
    <cellStyle name="Код строки 3 2 13" xfId="52866"/>
    <cellStyle name="Код строки 3 2 14" xfId="52867"/>
    <cellStyle name="Код строки 3 2 15" xfId="52868"/>
    <cellStyle name="Код строки 3 2 16" xfId="52869"/>
    <cellStyle name="Код строки 3 2 17" xfId="52870"/>
    <cellStyle name="Код строки 3 2 18" xfId="52871"/>
    <cellStyle name="Код строки 3 2 2" xfId="52872"/>
    <cellStyle name="Код строки 3 2 2 2" xfId="52873"/>
    <cellStyle name="Код строки 3 2 2 2 2" xfId="52874"/>
    <cellStyle name="Код строки 3 2 2 3" xfId="52875"/>
    <cellStyle name="Код строки 3 2 2 4" xfId="52876"/>
    <cellStyle name="Код строки 3 2 3" xfId="52877"/>
    <cellStyle name="Код строки 3 2 3 2" xfId="52878"/>
    <cellStyle name="Код строки 3 2 3 3" xfId="52879"/>
    <cellStyle name="Код строки 3 2 4" xfId="52880"/>
    <cellStyle name="Код строки 3 2 4 2" xfId="52881"/>
    <cellStyle name="Код строки 3 2 5" xfId="52882"/>
    <cellStyle name="Код строки 3 2 6" xfId="52883"/>
    <cellStyle name="Код строки 3 2 7" xfId="52884"/>
    <cellStyle name="Код строки 3 2 8" xfId="52885"/>
    <cellStyle name="Код строки 3 2 9" xfId="52886"/>
    <cellStyle name="Код строки 3 20" xfId="52887"/>
    <cellStyle name="Код строки 3 21" xfId="52888"/>
    <cellStyle name="Код строки 3 3" xfId="52889"/>
    <cellStyle name="Код строки 3 3 10" xfId="52890"/>
    <cellStyle name="Код строки 3 3 11" xfId="52891"/>
    <cellStyle name="Код строки 3 3 12" xfId="52892"/>
    <cellStyle name="Код строки 3 3 13" xfId="52893"/>
    <cellStyle name="Код строки 3 3 14" xfId="52894"/>
    <cellStyle name="Код строки 3 3 15" xfId="52895"/>
    <cellStyle name="Код строки 3 3 16" xfId="52896"/>
    <cellStyle name="Код строки 3 3 17" xfId="52897"/>
    <cellStyle name="Код строки 3 3 18" xfId="52898"/>
    <cellStyle name="Код строки 3 3 2" xfId="52899"/>
    <cellStyle name="Код строки 3 3 2 2" xfId="52900"/>
    <cellStyle name="Код строки 3 3 2 2 2" xfId="52901"/>
    <cellStyle name="Код строки 3 3 2 3" xfId="52902"/>
    <cellStyle name="Код строки 3 3 2 4" xfId="52903"/>
    <cellStyle name="Код строки 3 3 3" xfId="52904"/>
    <cellStyle name="Код строки 3 3 3 2" xfId="52905"/>
    <cellStyle name="Код строки 3 3 3 3" xfId="52906"/>
    <cellStyle name="Код строки 3 3 4" xfId="52907"/>
    <cellStyle name="Код строки 3 3 4 2" xfId="52908"/>
    <cellStyle name="Код строки 3 3 5" xfId="52909"/>
    <cellStyle name="Код строки 3 3 6" xfId="52910"/>
    <cellStyle name="Код строки 3 3 7" xfId="52911"/>
    <cellStyle name="Код строки 3 3 8" xfId="52912"/>
    <cellStyle name="Код строки 3 3 9" xfId="52913"/>
    <cellStyle name="Код строки 3 4" xfId="52914"/>
    <cellStyle name="Код строки 3 4 2" xfId="52915"/>
    <cellStyle name="Код строки 3 4 2 2" xfId="52916"/>
    <cellStyle name="Код строки 3 4 2 3" xfId="52917"/>
    <cellStyle name="Код строки 3 4 3" xfId="52918"/>
    <cellStyle name="Код строки 3 4 3 2" xfId="52919"/>
    <cellStyle name="Код строки 3 4 4" xfId="52920"/>
    <cellStyle name="Код строки 3 4 5" xfId="52921"/>
    <cellStyle name="Код строки 3 5" xfId="52922"/>
    <cellStyle name="Код строки 3 5 2" xfId="52923"/>
    <cellStyle name="Код строки 3 5 2 2" xfId="52924"/>
    <cellStyle name="Код строки 3 5 3" xfId="52925"/>
    <cellStyle name="Код строки 3 5 4" xfId="52926"/>
    <cellStyle name="Код строки 3 6" xfId="52927"/>
    <cellStyle name="Код строки 3 6 2" xfId="52928"/>
    <cellStyle name="Код строки 3 7" xfId="52929"/>
    <cellStyle name="Код строки 3 8" xfId="52930"/>
    <cellStyle name="Код строки 3 9" xfId="52931"/>
    <cellStyle name="Код строки 4" xfId="52932"/>
    <cellStyle name="Код строки 4 10" xfId="52933"/>
    <cellStyle name="Код строки 4 11" xfId="52934"/>
    <cellStyle name="Код строки 4 12" xfId="52935"/>
    <cellStyle name="Код строки 4 13" xfId="52936"/>
    <cellStyle name="Код строки 4 14" xfId="52937"/>
    <cellStyle name="Код строки 4 15" xfId="52938"/>
    <cellStyle name="Код строки 4 16" xfId="52939"/>
    <cellStyle name="Код строки 4 17" xfId="52940"/>
    <cellStyle name="Код строки 4 18" xfId="52941"/>
    <cellStyle name="Код строки 4 19" xfId="52942"/>
    <cellStyle name="Код строки 4 2" xfId="52943"/>
    <cellStyle name="Код строки 4 2 10" xfId="52944"/>
    <cellStyle name="Код строки 4 2 11" xfId="52945"/>
    <cellStyle name="Код строки 4 2 12" xfId="52946"/>
    <cellStyle name="Код строки 4 2 13" xfId="52947"/>
    <cellStyle name="Код строки 4 2 14" xfId="52948"/>
    <cellStyle name="Код строки 4 2 15" xfId="52949"/>
    <cellStyle name="Код строки 4 2 16" xfId="52950"/>
    <cellStyle name="Код строки 4 2 17" xfId="52951"/>
    <cellStyle name="Код строки 4 2 18" xfId="52952"/>
    <cellStyle name="Код строки 4 2 2" xfId="52953"/>
    <cellStyle name="Код строки 4 2 2 2" xfId="52954"/>
    <cellStyle name="Код строки 4 2 2 2 2" xfId="52955"/>
    <cellStyle name="Код строки 4 2 2 3" xfId="52956"/>
    <cellStyle name="Код строки 4 2 2 4" xfId="52957"/>
    <cellStyle name="Код строки 4 2 3" xfId="52958"/>
    <cellStyle name="Код строки 4 2 3 2" xfId="52959"/>
    <cellStyle name="Код строки 4 2 3 3" xfId="52960"/>
    <cellStyle name="Код строки 4 2 4" xfId="52961"/>
    <cellStyle name="Код строки 4 2 4 2" xfId="52962"/>
    <cellStyle name="Код строки 4 2 5" xfId="52963"/>
    <cellStyle name="Код строки 4 2 6" xfId="52964"/>
    <cellStyle name="Код строки 4 2 7" xfId="52965"/>
    <cellStyle name="Код строки 4 2 8" xfId="52966"/>
    <cellStyle name="Код строки 4 2 9" xfId="52967"/>
    <cellStyle name="Код строки 4 20" xfId="52968"/>
    <cellStyle name="Код строки 4 21" xfId="52969"/>
    <cellStyle name="Код строки 4 3" xfId="52970"/>
    <cellStyle name="Код строки 4 3 10" xfId="52971"/>
    <cellStyle name="Код строки 4 3 11" xfId="52972"/>
    <cellStyle name="Код строки 4 3 12" xfId="52973"/>
    <cellStyle name="Код строки 4 3 13" xfId="52974"/>
    <cellStyle name="Код строки 4 3 14" xfId="52975"/>
    <cellStyle name="Код строки 4 3 15" xfId="52976"/>
    <cellStyle name="Код строки 4 3 16" xfId="52977"/>
    <cellStyle name="Код строки 4 3 17" xfId="52978"/>
    <cellStyle name="Код строки 4 3 18" xfId="52979"/>
    <cellStyle name="Код строки 4 3 2" xfId="52980"/>
    <cellStyle name="Код строки 4 3 2 2" xfId="52981"/>
    <cellStyle name="Код строки 4 3 2 2 2" xfId="52982"/>
    <cellStyle name="Код строки 4 3 2 3" xfId="52983"/>
    <cellStyle name="Код строки 4 3 2 4" xfId="52984"/>
    <cellStyle name="Код строки 4 3 3" xfId="52985"/>
    <cellStyle name="Код строки 4 3 3 2" xfId="52986"/>
    <cellStyle name="Код строки 4 3 3 3" xfId="52987"/>
    <cellStyle name="Код строки 4 3 4" xfId="52988"/>
    <cellStyle name="Код строки 4 3 4 2" xfId="52989"/>
    <cellStyle name="Код строки 4 3 5" xfId="52990"/>
    <cellStyle name="Код строки 4 3 6" xfId="52991"/>
    <cellStyle name="Код строки 4 3 7" xfId="52992"/>
    <cellStyle name="Код строки 4 3 8" xfId="52993"/>
    <cellStyle name="Код строки 4 3 9" xfId="52994"/>
    <cellStyle name="Код строки 4 4" xfId="52995"/>
    <cellStyle name="Код строки 4 4 2" xfId="52996"/>
    <cellStyle name="Код строки 4 4 2 2" xfId="52997"/>
    <cellStyle name="Код строки 4 4 2 3" xfId="52998"/>
    <cellStyle name="Код строки 4 4 3" xfId="52999"/>
    <cellStyle name="Код строки 4 4 3 2" xfId="53000"/>
    <cellStyle name="Код строки 4 4 4" xfId="53001"/>
    <cellStyle name="Код строки 4 4 5" xfId="53002"/>
    <cellStyle name="Код строки 4 5" xfId="53003"/>
    <cellStyle name="Код строки 4 5 2" xfId="53004"/>
    <cellStyle name="Код строки 4 5 2 2" xfId="53005"/>
    <cellStyle name="Код строки 4 5 3" xfId="53006"/>
    <cellStyle name="Код строки 4 5 4" xfId="53007"/>
    <cellStyle name="Код строки 4 6" xfId="53008"/>
    <cellStyle name="Код строки 4 6 2" xfId="53009"/>
    <cellStyle name="Код строки 4 7" xfId="53010"/>
    <cellStyle name="Код строки 4 8" xfId="53011"/>
    <cellStyle name="Код строки 4 9" xfId="53012"/>
    <cellStyle name="Код строки 5" xfId="53013"/>
    <cellStyle name="Код строки 5 10" xfId="53014"/>
    <cellStyle name="Код строки 5 11" xfId="53015"/>
    <cellStyle name="Код строки 5 12" xfId="53016"/>
    <cellStyle name="Код строки 5 13" xfId="53017"/>
    <cellStyle name="Код строки 5 14" xfId="53018"/>
    <cellStyle name="Код строки 5 15" xfId="53019"/>
    <cellStyle name="Код строки 5 16" xfId="53020"/>
    <cellStyle name="Код строки 5 17" xfId="53021"/>
    <cellStyle name="Код строки 5 18" xfId="53022"/>
    <cellStyle name="Код строки 5 19" xfId="53023"/>
    <cellStyle name="Код строки 5 2" xfId="53024"/>
    <cellStyle name="Код строки 5 2 10" xfId="53025"/>
    <cellStyle name="Код строки 5 2 11" xfId="53026"/>
    <cellStyle name="Код строки 5 2 12" xfId="53027"/>
    <cellStyle name="Код строки 5 2 13" xfId="53028"/>
    <cellStyle name="Код строки 5 2 14" xfId="53029"/>
    <cellStyle name="Код строки 5 2 15" xfId="53030"/>
    <cellStyle name="Код строки 5 2 16" xfId="53031"/>
    <cellStyle name="Код строки 5 2 17" xfId="53032"/>
    <cellStyle name="Код строки 5 2 18" xfId="53033"/>
    <cellStyle name="Код строки 5 2 2" xfId="53034"/>
    <cellStyle name="Код строки 5 2 2 2" xfId="53035"/>
    <cellStyle name="Код строки 5 2 2 2 2" xfId="53036"/>
    <cellStyle name="Код строки 5 2 2 3" xfId="53037"/>
    <cellStyle name="Код строки 5 2 2 4" xfId="53038"/>
    <cellStyle name="Код строки 5 2 3" xfId="53039"/>
    <cellStyle name="Код строки 5 2 3 2" xfId="53040"/>
    <cellStyle name="Код строки 5 2 3 3" xfId="53041"/>
    <cellStyle name="Код строки 5 2 4" xfId="53042"/>
    <cellStyle name="Код строки 5 2 4 2" xfId="53043"/>
    <cellStyle name="Код строки 5 2 5" xfId="53044"/>
    <cellStyle name="Код строки 5 2 6" xfId="53045"/>
    <cellStyle name="Код строки 5 2 7" xfId="53046"/>
    <cellStyle name="Код строки 5 2 8" xfId="53047"/>
    <cellStyle name="Код строки 5 2 9" xfId="53048"/>
    <cellStyle name="Код строки 5 3" xfId="53049"/>
    <cellStyle name="Код строки 5 3 10" xfId="53050"/>
    <cellStyle name="Код строки 5 3 11" xfId="53051"/>
    <cellStyle name="Код строки 5 3 12" xfId="53052"/>
    <cellStyle name="Код строки 5 3 13" xfId="53053"/>
    <cellStyle name="Код строки 5 3 14" xfId="53054"/>
    <cellStyle name="Код строки 5 3 15" xfId="53055"/>
    <cellStyle name="Код строки 5 3 16" xfId="53056"/>
    <cellStyle name="Код строки 5 3 17" xfId="53057"/>
    <cellStyle name="Код строки 5 3 18" xfId="53058"/>
    <cellStyle name="Код строки 5 3 2" xfId="53059"/>
    <cellStyle name="Код строки 5 3 2 2" xfId="53060"/>
    <cellStyle name="Код строки 5 3 2 2 2" xfId="53061"/>
    <cellStyle name="Код строки 5 3 2 3" xfId="53062"/>
    <cellStyle name="Код строки 5 3 2 4" xfId="53063"/>
    <cellStyle name="Код строки 5 3 3" xfId="53064"/>
    <cellStyle name="Код строки 5 3 3 2" xfId="53065"/>
    <cellStyle name="Код строки 5 3 3 3" xfId="53066"/>
    <cellStyle name="Код строки 5 3 4" xfId="53067"/>
    <cellStyle name="Код строки 5 3 4 2" xfId="53068"/>
    <cellStyle name="Код строки 5 3 5" xfId="53069"/>
    <cellStyle name="Код строки 5 3 6" xfId="53070"/>
    <cellStyle name="Код строки 5 3 7" xfId="53071"/>
    <cellStyle name="Код строки 5 3 8" xfId="53072"/>
    <cellStyle name="Код строки 5 3 9" xfId="53073"/>
    <cellStyle name="Код строки 5 4" xfId="53074"/>
    <cellStyle name="Код строки 5 4 2" xfId="53075"/>
    <cellStyle name="Код строки 5 4 2 2" xfId="53076"/>
    <cellStyle name="Код строки 5 4 2 3" xfId="53077"/>
    <cellStyle name="Код строки 5 4 3" xfId="53078"/>
    <cellStyle name="Код строки 5 4 3 2" xfId="53079"/>
    <cellStyle name="Код строки 5 4 4" xfId="53080"/>
    <cellStyle name="Код строки 5 4 5" xfId="53081"/>
    <cellStyle name="Код строки 5 5" xfId="53082"/>
    <cellStyle name="Код строки 5 5 2" xfId="53083"/>
    <cellStyle name="Код строки 5 5 2 2" xfId="53084"/>
    <cellStyle name="Код строки 5 5 3" xfId="53085"/>
    <cellStyle name="Код строки 5 5 4" xfId="53086"/>
    <cellStyle name="Код строки 5 6" xfId="53087"/>
    <cellStyle name="Код строки 5 6 2" xfId="53088"/>
    <cellStyle name="Код строки 5 7" xfId="53089"/>
    <cellStyle name="Код строки 5 8" xfId="53090"/>
    <cellStyle name="Код строки 5 9" xfId="53091"/>
    <cellStyle name="Код строки 6" xfId="53092"/>
    <cellStyle name="Код строки 6 10" xfId="53093"/>
    <cellStyle name="Код строки 6 11" xfId="53094"/>
    <cellStyle name="Код строки 6 12" xfId="53095"/>
    <cellStyle name="Код строки 6 13" xfId="53096"/>
    <cellStyle name="Код строки 6 14" xfId="53097"/>
    <cellStyle name="Код строки 6 15" xfId="53098"/>
    <cellStyle name="Код строки 6 16" xfId="53099"/>
    <cellStyle name="Код строки 6 17" xfId="53100"/>
    <cellStyle name="Код строки 6 18" xfId="53101"/>
    <cellStyle name="Код строки 6 19" xfId="53102"/>
    <cellStyle name="Код строки 6 2" xfId="53103"/>
    <cellStyle name="Код строки 6 2 10" xfId="53104"/>
    <cellStyle name="Код строки 6 2 11" xfId="53105"/>
    <cellStyle name="Код строки 6 2 12" xfId="53106"/>
    <cellStyle name="Код строки 6 2 13" xfId="53107"/>
    <cellStyle name="Код строки 6 2 14" xfId="53108"/>
    <cellStyle name="Код строки 6 2 15" xfId="53109"/>
    <cellStyle name="Код строки 6 2 16" xfId="53110"/>
    <cellStyle name="Код строки 6 2 17" xfId="53111"/>
    <cellStyle name="Код строки 6 2 18" xfId="53112"/>
    <cellStyle name="Код строки 6 2 2" xfId="53113"/>
    <cellStyle name="Код строки 6 2 2 2" xfId="53114"/>
    <cellStyle name="Код строки 6 2 2 2 2" xfId="53115"/>
    <cellStyle name="Код строки 6 2 2 3" xfId="53116"/>
    <cellStyle name="Код строки 6 2 2 4" xfId="53117"/>
    <cellStyle name="Код строки 6 2 3" xfId="53118"/>
    <cellStyle name="Код строки 6 2 3 2" xfId="53119"/>
    <cellStyle name="Код строки 6 2 3 3" xfId="53120"/>
    <cellStyle name="Код строки 6 2 4" xfId="53121"/>
    <cellStyle name="Код строки 6 2 4 2" xfId="53122"/>
    <cellStyle name="Код строки 6 2 5" xfId="53123"/>
    <cellStyle name="Код строки 6 2 6" xfId="53124"/>
    <cellStyle name="Код строки 6 2 7" xfId="53125"/>
    <cellStyle name="Код строки 6 2 8" xfId="53126"/>
    <cellStyle name="Код строки 6 2 9" xfId="53127"/>
    <cellStyle name="Код строки 6 20" xfId="53128"/>
    <cellStyle name="Код строки 6 3" xfId="53129"/>
    <cellStyle name="Код строки 6 3 10" xfId="53130"/>
    <cellStyle name="Код строки 6 3 11" xfId="53131"/>
    <cellStyle name="Код строки 6 3 12" xfId="53132"/>
    <cellStyle name="Код строки 6 3 13" xfId="53133"/>
    <cellStyle name="Код строки 6 3 14" xfId="53134"/>
    <cellStyle name="Код строки 6 3 15" xfId="53135"/>
    <cellStyle name="Код строки 6 3 16" xfId="53136"/>
    <cellStyle name="Код строки 6 3 17" xfId="53137"/>
    <cellStyle name="Код строки 6 3 18" xfId="53138"/>
    <cellStyle name="Код строки 6 3 2" xfId="53139"/>
    <cellStyle name="Код строки 6 3 2 2" xfId="53140"/>
    <cellStyle name="Код строки 6 3 2 2 2" xfId="53141"/>
    <cellStyle name="Код строки 6 3 2 3" xfId="53142"/>
    <cellStyle name="Код строки 6 3 2 4" xfId="53143"/>
    <cellStyle name="Код строки 6 3 3" xfId="53144"/>
    <cellStyle name="Код строки 6 3 3 2" xfId="53145"/>
    <cellStyle name="Код строки 6 3 3 3" xfId="53146"/>
    <cellStyle name="Код строки 6 3 4" xfId="53147"/>
    <cellStyle name="Код строки 6 3 4 2" xfId="53148"/>
    <cellStyle name="Код строки 6 3 5" xfId="53149"/>
    <cellStyle name="Код строки 6 3 6" xfId="53150"/>
    <cellStyle name="Код строки 6 3 7" xfId="53151"/>
    <cellStyle name="Код строки 6 3 8" xfId="53152"/>
    <cellStyle name="Код строки 6 3 9" xfId="53153"/>
    <cellStyle name="Код строки 6 4" xfId="53154"/>
    <cellStyle name="Код строки 6 4 2" xfId="53155"/>
    <cellStyle name="Код строки 6 4 2 2" xfId="53156"/>
    <cellStyle name="Код строки 6 4 2 3" xfId="53157"/>
    <cellStyle name="Код строки 6 4 3" xfId="53158"/>
    <cellStyle name="Код строки 6 4 3 2" xfId="53159"/>
    <cellStyle name="Код строки 6 4 4" xfId="53160"/>
    <cellStyle name="Код строки 6 4 5" xfId="53161"/>
    <cellStyle name="Код строки 6 5" xfId="53162"/>
    <cellStyle name="Код строки 6 5 2" xfId="53163"/>
    <cellStyle name="Код строки 6 5 2 2" xfId="53164"/>
    <cellStyle name="Код строки 6 5 3" xfId="53165"/>
    <cellStyle name="Код строки 6 5 4" xfId="53166"/>
    <cellStyle name="Код строки 6 6" xfId="53167"/>
    <cellStyle name="Код строки 6 6 2" xfId="53168"/>
    <cellStyle name="Код строки 6 7" xfId="53169"/>
    <cellStyle name="Код строки 6 8" xfId="53170"/>
    <cellStyle name="Код строки 6 9" xfId="53171"/>
    <cellStyle name="Код строки 7" xfId="53172"/>
    <cellStyle name="Код строки 7 10" xfId="53173"/>
    <cellStyle name="Код строки 7 11" xfId="53174"/>
    <cellStyle name="Код строки 7 12" xfId="53175"/>
    <cellStyle name="Код строки 7 13" xfId="53176"/>
    <cellStyle name="Код строки 7 14" xfId="53177"/>
    <cellStyle name="Код строки 7 15" xfId="53178"/>
    <cellStyle name="Код строки 7 16" xfId="53179"/>
    <cellStyle name="Код строки 7 17" xfId="53180"/>
    <cellStyle name="Код строки 7 2" xfId="53181"/>
    <cellStyle name="Код строки 7 2 2" xfId="53182"/>
    <cellStyle name="Код строки 7 2 2 2" xfId="53183"/>
    <cellStyle name="Код строки 7 2 3" xfId="53184"/>
    <cellStyle name="Код строки 7 2 4" xfId="53185"/>
    <cellStyle name="Код строки 7 3" xfId="53186"/>
    <cellStyle name="Код строки 7 3 2" xfId="53187"/>
    <cellStyle name="Код строки 7 4" xfId="53188"/>
    <cellStyle name="Код строки 7 5" xfId="53189"/>
    <cellStyle name="Код строки 7 6" xfId="53190"/>
    <cellStyle name="Код строки 7 7" xfId="53191"/>
    <cellStyle name="Код строки 7 8" xfId="53192"/>
    <cellStyle name="Код строки 7 9" xfId="53193"/>
    <cellStyle name="Код строки 8" xfId="53194"/>
    <cellStyle name="Код строки 8 2" xfId="53195"/>
    <cellStyle name="Код строки 8 2 2" xfId="53196"/>
    <cellStyle name="Код строки 8 2 2 2" xfId="53197"/>
    <cellStyle name="Код строки 8 2 3" xfId="53198"/>
    <cellStyle name="Код строки 8 2 4" xfId="53199"/>
    <cellStyle name="Код строки 8 3" xfId="53200"/>
    <cellStyle name="Код строки 8 3 2" xfId="53201"/>
    <cellStyle name="Код строки 8 3 3" xfId="53202"/>
    <cellStyle name="Код строки 8 4" xfId="53203"/>
    <cellStyle name="Код строки 8 4 2" xfId="53204"/>
    <cellStyle name="Код строки 8 5" xfId="53205"/>
    <cellStyle name="Код строки 8 6" xfId="53206"/>
    <cellStyle name="Код строки 9" xfId="53207"/>
    <cellStyle name="Код строки 9 2" xfId="53208"/>
    <cellStyle name="Код строки 9 2 2" xfId="53209"/>
    <cellStyle name="Код строки 9 3" xfId="53210"/>
    <cellStyle name="Код строки 9 4" xfId="53211"/>
    <cellStyle name="Контрагенты 4" xfId="53212"/>
    <cellStyle name="Контрагенты 4 10" xfId="53213"/>
    <cellStyle name="Контрагенты 4 11" xfId="53214"/>
    <cellStyle name="Контрагенты 4 12" xfId="53215"/>
    <cellStyle name="Контрагенты 4 13" xfId="53216"/>
    <cellStyle name="Контрагенты 4 14" xfId="53217"/>
    <cellStyle name="Контрагенты 4 15" xfId="53218"/>
    <cellStyle name="Контрагенты 4 16" xfId="53219"/>
    <cellStyle name="Контрагенты 4 17" xfId="53220"/>
    <cellStyle name="Контрагенты 4 18" xfId="53221"/>
    <cellStyle name="Контрагенты 4 19" xfId="53222"/>
    <cellStyle name="Контрагенты 4 2" xfId="53223"/>
    <cellStyle name="Контрагенты 4 2 10" xfId="53224"/>
    <cellStyle name="Контрагенты 4 2 11" xfId="53225"/>
    <cellStyle name="Контрагенты 4 2 12" xfId="53226"/>
    <cellStyle name="Контрагенты 4 2 13" xfId="53227"/>
    <cellStyle name="Контрагенты 4 2 14" xfId="53228"/>
    <cellStyle name="Контрагенты 4 2 15" xfId="53229"/>
    <cellStyle name="Контрагенты 4 2 16" xfId="53230"/>
    <cellStyle name="Контрагенты 4 2 17" xfId="53231"/>
    <cellStyle name="Контрагенты 4 2 18" xfId="53232"/>
    <cellStyle name="Контрагенты 4 2 19" xfId="53233"/>
    <cellStyle name="Контрагенты 4 2 2" xfId="53234"/>
    <cellStyle name="Контрагенты 4 2 2 10" xfId="53235"/>
    <cellStyle name="Контрагенты 4 2 2 11" xfId="53236"/>
    <cellStyle name="Контрагенты 4 2 2 12" xfId="53237"/>
    <cellStyle name="Контрагенты 4 2 2 13" xfId="53238"/>
    <cellStyle name="Контрагенты 4 2 2 14" xfId="53239"/>
    <cellStyle name="Контрагенты 4 2 2 15" xfId="53240"/>
    <cellStyle name="Контрагенты 4 2 2 16" xfId="53241"/>
    <cellStyle name="Контрагенты 4 2 2 17" xfId="53242"/>
    <cellStyle name="Контрагенты 4 2 2 18" xfId="53243"/>
    <cellStyle name="Контрагенты 4 2 2 2" xfId="53244"/>
    <cellStyle name="Контрагенты 4 2 2 2 2" xfId="53245"/>
    <cellStyle name="Контрагенты 4 2 2 2 2 2" xfId="53246"/>
    <cellStyle name="Контрагенты 4 2 2 2 3" xfId="53247"/>
    <cellStyle name="Контрагенты 4 2 2 2 4" xfId="53248"/>
    <cellStyle name="Контрагенты 4 2 2 3" xfId="53249"/>
    <cellStyle name="Контрагенты 4 2 2 3 2" xfId="53250"/>
    <cellStyle name="Контрагенты 4 2 2 3 3" xfId="53251"/>
    <cellStyle name="Контрагенты 4 2 2 4" xfId="53252"/>
    <cellStyle name="Контрагенты 4 2 2 4 2" xfId="53253"/>
    <cellStyle name="Контрагенты 4 2 2 5" xfId="53254"/>
    <cellStyle name="Контрагенты 4 2 2 6" xfId="53255"/>
    <cellStyle name="Контрагенты 4 2 2 7" xfId="53256"/>
    <cellStyle name="Контрагенты 4 2 2 8" xfId="53257"/>
    <cellStyle name="Контрагенты 4 2 2 9" xfId="53258"/>
    <cellStyle name="Контрагенты 4 2 20" xfId="53259"/>
    <cellStyle name="Контрагенты 4 2 21" xfId="53260"/>
    <cellStyle name="Контрагенты 4 2 3" xfId="53261"/>
    <cellStyle name="Контрагенты 4 2 3 10" xfId="53262"/>
    <cellStyle name="Контрагенты 4 2 3 11" xfId="53263"/>
    <cellStyle name="Контрагенты 4 2 3 12" xfId="53264"/>
    <cellStyle name="Контрагенты 4 2 3 13" xfId="53265"/>
    <cellStyle name="Контрагенты 4 2 3 14" xfId="53266"/>
    <cellStyle name="Контрагенты 4 2 3 15" xfId="53267"/>
    <cellStyle name="Контрагенты 4 2 3 16" xfId="53268"/>
    <cellStyle name="Контрагенты 4 2 3 17" xfId="53269"/>
    <cellStyle name="Контрагенты 4 2 3 18" xfId="53270"/>
    <cellStyle name="Контрагенты 4 2 3 2" xfId="53271"/>
    <cellStyle name="Контрагенты 4 2 3 2 2" xfId="53272"/>
    <cellStyle name="Контрагенты 4 2 3 2 2 2" xfId="53273"/>
    <cellStyle name="Контрагенты 4 2 3 2 3" xfId="53274"/>
    <cellStyle name="Контрагенты 4 2 3 2 4" xfId="53275"/>
    <cellStyle name="Контрагенты 4 2 3 3" xfId="53276"/>
    <cellStyle name="Контрагенты 4 2 3 3 2" xfId="53277"/>
    <cellStyle name="Контрагенты 4 2 3 3 3" xfId="53278"/>
    <cellStyle name="Контрагенты 4 2 3 4" xfId="53279"/>
    <cellStyle name="Контрагенты 4 2 3 4 2" xfId="53280"/>
    <cellStyle name="Контрагенты 4 2 3 5" xfId="53281"/>
    <cellStyle name="Контрагенты 4 2 3 6" xfId="53282"/>
    <cellStyle name="Контрагенты 4 2 3 7" xfId="53283"/>
    <cellStyle name="Контрагенты 4 2 3 8" xfId="53284"/>
    <cellStyle name="Контрагенты 4 2 3 9" xfId="53285"/>
    <cellStyle name="Контрагенты 4 2 4" xfId="53286"/>
    <cellStyle name="Контрагенты 4 2 4 2" xfId="53287"/>
    <cellStyle name="Контрагенты 4 2 4 2 2" xfId="53288"/>
    <cellStyle name="Контрагенты 4 2 4 2 3" xfId="53289"/>
    <cellStyle name="Контрагенты 4 2 4 3" xfId="53290"/>
    <cellStyle name="Контрагенты 4 2 4 3 2" xfId="53291"/>
    <cellStyle name="Контрагенты 4 2 4 4" xfId="53292"/>
    <cellStyle name="Контрагенты 4 2 4 5" xfId="53293"/>
    <cellStyle name="Контрагенты 4 2 5" xfId="53294"/>
    <cellStyle name="Контрагенты 4 2 5 2" xfId="53295"/>
    <cellStyle name="Контрагенты 4 2 5 2 2" xfId="53296"/>
    <cellStyle name="Контрагенты 4 2 5 3" xfId="53297"/>
    <cellStyle name="Контрагенты 4 2 5 4" xfId="53298"/>
    <cellStyle name="Контрагенты 4 2 6" xfId="53299"/>
    <cellStyle name="Контрагенты 4 2 6 2" xfId="53300"/>
    <cellStyle name="Контрагенты 4 2 7" xfId="53301"/>
    <cellStyle name="Контрагенты 4 2 8" xfId="53302"/>
    <cellStyle name="Контрагенты 4 2 9" xfId="53303"/>
    <cellStyle name="Контрагенты 4 20" xfId="53304"/>
    <cellStyle name="Контрагенты 4 21" xfId="53305"/>
    <cellStyle name="Контрагенты 4 22" xfId="53306"/>
    <cellStyle name="Контрагенты 4 23" xfId="53307"/>
    <cellStyle name="Контрагенты 4 24" xfId="53308"/>
    <cellStyle name="Контрагенты 4 25" xfId="53309"/>
    <cellStyle name="Контрагенты 4 3" xfId="53310"/>
    <cellStyle name="Контрагенты 4 3 10" xfId="53311"/>
    <cellStyle name="Контрагенты 4 3 11" xfId="53312"/>
    <cellStyle name="Контрагенты 4 3 12" xfId="53313"/>
    <cellStyle name="Контрагенты 4 3 13" xfId="53314"/>
    <cellStyle name="Контрагенты 4 3 14" xfId="53315"/>
    <cellStyle name="Контрагенты 4 3 15" xfId="53316"/>
    <cellStyle name="Контрагенты 4 3 16" xfId="53317"/>
    <cellStyle name="Контрагенты 4 3 17" xfId="53318"/>
    <cellStyle name="Контрагенты 4 3 18" xfId="53319"/>
    <cellStyle name="Контрагенты 4 3 19" xfId="53320"/>
    <cellStyle name="Контрагенты 4 3 2" xfId="53321"/>
    <cellStyle name="Контрагенты 4 3 2 10" xfId="53322"/>
    <cellStyle name="Контрагенты 4 3 2 11" xfId="53323"/>
    <cellStyle name="Контрагенты 4 3 2 12" xfId="53324"/>
    <cellStyle name="Контрагенты 4 3 2 13" xfId="53325"/>
    <cellStyle name="Контрагенты 4 3 2 14" xfId="53326"/>
    <cellStyle name="Контрагенты 4 3 2 15" xfId="53327"/>
    <cellStyle name="Контрагенты 4 3 2 16" xfId="53328"/>
    <cellStyle name="Контрагенты 4 3 2 17" xfId="53329"/>
    <cellStyle name="Контрагенты 4 3 2 18" xfId="53330"/>
    <cellStyle name="Контрагенты 4 3 2 2" xfId="53331"/>
    <cellStyle name="Контрагенты 4 3 2 2 2" xfId="53332"/>
    <cellStyle name="Контрагенты 4 3 2 2 2 2" xfId="53333"/>
    <cellStyle name="Контрагенты 4 3 2 2 3" xfId="53334"/>
    <cellStyle name="Контрагенты 4 3 2 2 4" xfId="53335"/>
    <cellStyle name="Контрагенты 4 3 2 3" xfId="53336"/>
    <cellStyle name="Контрагенты 4 3 2 3 2" xfId="53337"/>
    <cellStyle name="Контрагенты 4 3 2 3 3" xfId="53338"/>
    <cellStyle name="Контрагенты 4 3 2 4" xfId="53339"/>
    <cellStyle name="Контрагенты 4 3 2 4 2" xfId="53340"/>
    <cellStyle name="Контрагенты 4 3 2 5" xfId="53341"/>
    <cellStyle name="Контрагенты 4 3 2 6" xfId="53342"/>
    <cellStyle name="Контрагенты 4 3 2 7" xfId="53343"/>
    <cellStyle name="Контрагенты 4 3 2 8" xfId="53344"/>
    <cellStyle name="Контрагенты 4 3 2 9" xfId="53345"/>
    <cellStyle name="Контрагенты 4 3 20" xfId="53346"/>
    <cellStyle name="Контрагенты 4 3 21" xfId="53347"/>
    <cellStyle name="Контрагенты 4 3 3" xfId="53348"/>
    <cellStyle name="Контрагенты 4 3 3 10" xfId="53349"/>
    <cellStyle name="Контрагенты 4 3 3 11" xfId="53350"/>
    <cellStyle name="Контрагенты 4 3 3 12" xfId="53351"/>
    <cellStyle name="Контрагенты 4 3 3 13" xfId="53352"/>
    <cellStyle name="Контрагенты 4 3 3 14" xfId="53353"/>
    <cellStyle name="Контрагенты 4 3 3 15" xfId="53354"/>
    <cellStyle name="Контрагенты 4 3 3 16" xfId="53355"/>
    <cellStyle name="Контрагенты 4 3 3 17" xfId="53356"/>
    <cellStyle name="Контрагенты 4 3 3 18" xfId="53357"/>
    <cellStyle name="Контрагенты 4 3 3 2" xfId="53358"/>
    <cellStyle name="Контрагенты 4 3 3 2 2" xfId="53359"/>
    <cellStyle name="Контрагенты 4 3 3 2 2 2" xfId="53360"/>
    <cellStyle name="Контрагенты 4 3 3 2 3" xfId="53361"/>
    <cellStyle name="Контрагенты 4 3 3 2 4" xfId="53362"/>
    <cellStyle name="Контрагенты 4 3 3 3" xfId="53363"/>
    <cellStyle name="Контрагенты 4 3 3 3 2" xfId="53364"/>
    <cellStyle name="Контрагенты 4 3 3 3 3" xfId="53365"/>
    <cellStyle name="Контрагенты 4 3 3 4" xfId="53366"/>
    <cellStyle name="Контрагенты 4 3 3 4 2" xfId="53367"/>
    <cellStyle name="Контрагенты 4 3 3 5" xfId="53368"/>
    <cellStyle name="Контрагенты 4 3 3 6" xfId="53369"/>
    <cellStyle name="Контрагенты 4 3 3 7" xfId="53370"/>
    <cellStyle name="Контрагенты 4 3 3 8" xfId="53371"/>
    <cellStyle name="Контрагенты 4 3 3 9" xfId="53372"/>
    <cellStyle name="Контрагенты 4 3 4" xfId="53373"/>
    <cellStyle name="Контрагенты 4 3 4 2" xfId="53374"/>
    <cellStyle name="Контрагенты 4 3 4 2 2" xfId="53375"/>
    <cellStyle name="Контрагенты 4 3 4 2 3" xfId="53376"/>
    <cellStyle name="Контрагенты 4 3 4 3" xfId="53377"/>
    <cellStyle name="Контрагенты 4 3 4 3 2" xfId="53378"/>
    <cellStyle name="Контрагенты 4 3 4 4" xfId="53379"/>
    <cellStyle name="Контрагенты 4 3 4 5" xfId="53380"/>
    <cellStyle name="Контрагенты 4 3 5" xfId="53381"/>
    <cellStyle name="Контрагенты 4 3 5 2" xfId="53382"/>
    <cellStyle name="Контрагенты 4 3 5 2 2" xfId="53383"/>
    <cellStyle name="Контрагенты 4 3 5 3" xfId="53384"/>
    <cellStyle name="Контрагенты 4 3 5 4" xfId="53385"/>
    <cellStyle name="Контрагенты 4 3 6" xfId="53386"/>
    <cellStyle name="Контрагенты 4 3 6 2" xfId="53387"/>
    <cellStyle name="Контрагенты 4 3 7" xfId="53388"/>
    <cellStyle name="Контрагенты 4 3 8" xfId="53389"/>
    <cellStyle name="Контрагенты 4 3 9" xfId="53390"/>
    <cellStyle name="Контрагенты 4 4" xfId="53391"/>
    <cellStyle name="Контрагенты 4 4 10" xfId="53392"/>
    <cellStyle name="Контрагенты 4 4 11" xfId="53393"/>
    <cellStyle name="Контрагенты 4 4 12" xfId="53394"/>
    <cellStyle name="Контрагенты 4 4 13" xfId="53395"/>
    <cellStyle name="Контрагенты 4 4 14" xfId="53396"/>
    <cellStyle name="Контрагенты 4 4 15" xfId="53397"/>
    <cellStyle name="Контрагенты 4 4 16" xfId="53398"/>
    <cellStyle name="Контрагенты 4 4 17" xfId="53399"/>
    <cellStyle name="Контрагенты 4 4 18" xfId="53400"/>
    <cellStyle name="Контрагенты 4 4 19" xfId="53401"/>
    <cellStyle name="Контрагенты 4 4 2" xfId="53402"/>
    <cellStyle name="Контрагенты 4 4 2 10" xfId="53403"/>
    <cellStyle name="Контрагенты 4 4 2 11" xfId="53404"/>
    <cellStyle name="Контрагенты 4 4 2 12" xfId="53405"/>
    <cellStyle name="Контрагенты 4 4 2 13" xfId="53406"/>
    <cellStyle name="Контрагенты 4 4 2 14" xfId="53407"/>
    <cellStyle name="Контрагенты 4 4 2 15" xfId="53408"/>
    <cellStyle name="Контрагенты 4 4 2 16" xfId="53409"/>
    <cellStyle name="Контрагенты 4 4 2 17" xfId="53410"/>
    <cellStyle name="Контрагенты 4 4 2 18" xfId="53411"/>
    <cellStyle name="Контрагенты 4 4 2 2" xfId="53412"/>
    <cellStyle name="Контрагенты 4 4 2 2 2" xfId="53413"/>
    <cellStyle name="Контрагенты 4 4 2 2 2 2" xfId="53414"/>
    <cellStyle name="Контрагенты 4 4 2 2 3" xfId="53415"/>
    <cellStyle name="Контрагенты 4 4 2 2 4" xfId="53416"/>
    <cellStyle name="Контрагенты 4 4 2 3" xfId="53417"/>
    <cellStyle name="Контрагенты 4 4 2 3 2" xfId="53418"/>
    <cellStyle name="Контрагенты 4 4 2 3 3" xfId="53419"/>
    <cellStyle name="Контрагенты 4 4 2 4" xfId="53420"/>
    <cellStyle name="Контрагенты 4 4 2 4 2" xfId="53421"/>
    <cellStyle name="Контрагенты 4 4 2 5" xfId="53422"/>
    <cellStyle name="Контрагенты 4 4 2 6" xfId="53423"/>
    <cellStyle name="Контрагенты 4 4 2 7" xfId="53424"/>
    <cellStyle name="Контрагенты 4 4 2 8" xfId="53425"/>
    <cellStyle name="Контрагенты 4 4 2 9" xfId="53426"/>
    <cellStyle name="Контрагенты 4 4 20" xfId="53427"/>
    <cellStyle name="Контрагенты 4 4 21" xfId="53428"/>
    <cellStyle name="Контрагенты 4 4 3" xfId="53429"/>
    <cellStyle name="Контрагенты 4 4 3 10" xfId="53430"/>
    <cellStyle name="Контрагенты 4 4 3 11" xfId="53431"/>
    <cellStyle name="Контрагенты 4 4 3 12" xfId="53432"/>
    <cellStyle name="Контрагенты 4 4 3 13" xfId="53433"/>
    <cellStyle name="Контрагенты 4 4 3 14" xfId="53434"/>
    <cellStyle name="Контрагенты 4 4 3 15" xfId="53435"/>
    <cellStyle name="Контрагенты 4 4 3 16" xfId="53436"/>
    <cellStyle name="Контрагенты 4 4 3 17" xfId="53437"/>
    <cellStyle name="Контрагенты 4 4 3 18" xfId="53438"/>
    <cellStyle name="Контрагенты 4 4 3 2" xfId="53439"/>
    <cellStyle name="Контрагенты 4 4 3 2 2" xfId="53440"/>
    <cellStyle name="Контрагенты 4 4 3 2 2 2" xfId="53441"/>
    <cellStyle name="Контрагенты 4 4 3 2 3" xfId="53442"/>
    <cellStyle name="Контрагенты 4 4 3 2 4" xfId="53443"/>
    <cellStyle name="Контрагенты 4 4 3 3" xfId="53444"/>
    <cellStyle name="Контрагенты 4 4 3 3 2" xfId="53445"/>
    <cellStyle name="Контрагенты 4 4 3 3 3" xfId="53446"/>
    <cellStyle name="Контрагенты 4 4 3 4" xfId="53447"/>
    <cellStyle name="Контрагенты 4 4 3 4 2" xfId="53448"/>
    <cellStyle name="Контрагенты 4 4 3 5" xfId="53449"/>
    <cellStyle name="Контрагенты 4 4 3 6" xfId="53450"/>
    <cellStyle name="Контрагенты 4 4 3 7" xfId="53451"/>
    <cellStyle name="Контрагенты 4 4 3 8" xfId="53452"/>
    <cellStyle name="Контрагенты 4 4 3 9" xfId="53453"/>
    <cellStyle name="Контрагенты 4 4 4" xfId="53454"/>
    <cellStyle name="Контрагенты 4 4 4 2" xfId="53455"/>
    <cellStyle name="Контрагенты 4 4 4 2 2" xfId="53456"/>
    <cellStyle name="Контрагенты 4 4 4 2 3" xfId="53457"/>
    <cellStyle name="Контрагенты 4 4 4 3" xfId="53458"/>
    <cellStyle name="Контрагенты 4 4 4 3 2" xfId="53459"/>
    <cellStyle name="Контрагенты 4 4 4 4" xfId="53460"/>
    <cellStyle name="Контрагенты 4 4 4 5" xfId="53461"/>
    <cellStyle name="Контрагенты 4 4 5" xfId="53462"/>
    <cellStyle name="Контрагенты 4 4 5 2" xfId="53463"/>
    <cellStyle name="Контрагенты 4 4 5 2 2" xfId="53464"/>
    <cellStyle name="Контрагенты 4 4 5 3" xfId="53465"/>
    <cellStyle name="Контрагенты 4 4 5 4" xfId="53466"/>
    <cellStyle name="Контрагенты 4 4 6" xfId="53467"/>
    <cellStyle name="Контрагенты 4 4 6 2" xfId="53468"/>
    <cellStyle name="Контрагенты 4 4 7" xfId="53469"/>
    <cellStyle name="Контрагенты 4 4 8" xfId="53470"/>
    <cellStyle name="Контрагенты 4 4 9" xfId="53471"/>
    <cellStyle name="Контрагенты 4 5" xfId="53472"/>
    <cellStyle name="Контрагенты 4 5 10" xfId="53473"/>
    <cellStyle name="Контрагенты 4 5 11" xfId="53474"/>
    <cellStyle name="Контрагенты 4 5 12" xfId="53475"/>
    <cellStyle name="Контрагенты 4 5 13" xfId="53476"/>
    <cellStyle name="Контрагенты 4 5 14" xfId="53477"/>
    <cellStyle name="Контрагенты 4 5 15" xfId="53478"/>
    <cellStyle name="Контрагенты 4 5 16" xfId="53479"/>
    <cellStyle name="Контрагенты 4 5 17" xfId="53480"/>
    <cellStyle name="Контрагенты 4 5 18" xfId="53481"/>
    <cellStyle name="Контрагенты 4 5 19" xfId="53482"/>
    <cellStyle name="Контрагенты 4 5 2" xfId="53483"/>
    <cellStyle name="Контрагенты 4 5 2 10" xfId="53484"/>
    <cellStyle name="Контрагенты 4 5 2 11" xfId="53485"/>
    <cellStyle name="Контрагенты 4 5 2 12" xfId="53486"/>
    <cellStyle name="Контрагенты 4 5 2 13" xfId="53487"/>
    <cellStyle name="Контрагенты 4 5 2 14" xfId="53488"/>
    <cellStyle name="Контрагенты 4 5 2 15" xfId="53489"/>
    <cellStyle name="Контрагенты 4 5 2 16" xfId="53490"/>
    <cellStyle name="Контрагенты 4 5 2 17" xfId="53491"/>
    <cellStyle name="Контрагенты 4 5 2 18" xfId="53492"/>
    <cellStyle name="Контрагенты 4 5 2 2" xfId="53493"/>
    <cellStyle name="Контрагенты 4 5 2 2 2" xfId="53494"/>
    <cellStyle name="Контрагенты 4 5 2 2 2 2" xfId="53495"/>
    <cellStyle name="Контрагенты 4 5 2 2 3" xfId="53496"/>
    <cellStyle name="Контрагенты 4 5 2 2 4" xfId="53497"/>
    <cellStyle name="Контрагенты 4 5 2 3" xfId="53498"/>
    <cellStyle name="Контрагенты 4 5 2 3 2" xfId="53499"/>
    <cellStyle name="Контрагенты 4 5 2 3 3" xfId="53500"/>
    <cellStyle name="Контрагенты 4 5 2 4" xfId="53501"/>
    <cellStyle name="Контрагенты 4 5 2 4 2" xfId="53502"/>
    <cellStyle name="Контрагенты 4 5 2 5" xfId="53503"/>
    <cellStyle name="Контрагенты 4 5 2 6" xfId="53504"/>
    <cellStyle name="Контрагенты 4 5 2 7" xfId="53505"/>
    <cellStyle name="Контрагенты 4 5 2 8" xfId="53506"/>
    <cellStyle name="Контрагенты 4 5 2 9" xfId="53507"/>
    <cellStyle name="Контрагенты 4 5 3" xfId="53508"/>
    <cellStyle name="Контрагенты 4 5 3 10" xfId="53509"/>
    <cellStyle name="Контрагенты 4 5 3 11" xfId="53510"/>
    <cellStyle name="Контрагенты 4 5 3 12" xfId="53511"/>
    <cellStyle name="Контрагенты 4 5 3 13" xfId="53512"/>
    <cellStyle name="Контрагенты 4 5 3 14" xfId="53513"/>
    <cellStyle name="Контрагенты 4 5 3 15" xfId="53514"/>
    <cellStyle name="Контрагенты 4 5 3 16" xfId="53515"/>
    <cellStyle name="Контрагенты 4 5 3 17" xfId="53516"/>
    <cellStyle name="Контрагенты 4 5 3 18" xfId="53517"/>
    <cellStyle name="Контрагенты 4 5 3 2" xfId="53518"/>
    <cellStyle name="Контрагенты 4 5 3 2 2" xfId="53519"/>
    <cellStyle name="Контрагенты 4 5 3 2 2 2" xfId="53520"/>
    <cellStyle name="Контрагенты 4 5 3 2 3" xfId="53521"/>
    <cellStyle name="Контрагенты 4 5 3 2 4" xfId="53522"/>
    <cellStyle name="Контрагенты 4 5 3 3" xfId="53523"/>
    <cellStyle name="Контрагенты 4 5 3 3 2" xfId="53524"/>
    <cellStyle name="Контрагенты 4 5 3 3 3" xfId="53525"/>
    <cellStyle name="Контрагенты 4 5 3 4" xfId="53526"/>
    <cellStyle name="Контрагенты 4 5 3 4 2" xfId="53527"/>
    <cellStyle name="Контрагенты 4 5 3 5" xfId="53528"/>
    <cellStyle name="Контрагенты 4 5 3 6" xfId="53529"/>
    <cellStyle name="Контрагенты 4 5 3 7" xfId="53530"/>
    <cellStyle name="Контрагенты 4 5 3 8" xfId="53531"/>
    <cellStyle name="Контрагенты 4 5 3 9" xfId="53532"/>
    <cellStyle name="Контрагенты 4 5 4" xfId="53533"/>
    <cellStyle name="Контрагенты 4 5 4 2" xfId="53534"/>
    <cellStyle name="Контрагенты 4 5 4 2 2" xfId="53535"/>
    <cellStyle name="Контрагенты 4 5 4 2 3" xfId="53536"/>
    <cellStyle name="Контрагенты 4 5 4 3" xfId="53537"/>
    <cellStyle name="Контрагенты 4 5 4 3 2" xfId="53538"/>
    <cellStyle name="Контрагенты 4 5 4 4" xfId="53539"/>
    <cellStyle name="Контрагенты 4 5 4 5" xfId="53540"/>
    <cellStyle name="Контрагенты 4 5 5" xfId="53541"/>
    <cellStyle name="Контрагенты 4 5 5 2" xfId="53542"/>
    <cellStyle name="Контрагенты 4 5 5 2 2" xfId="53543"/>
    <cellStyle name="Контрагенты 4 5 5 3" xfId="53544"/>
    <cellStyle name="Контрагенты 4 5 5 4" xfId="53545"/>
    <cellStyle name="Контрагенты 4 5 6" xfId="53546"/>
    <cellStyle name="Контрагенты 4 5 6 2" xfId="53547"/>
    <cellStyle name="Контрагенты 4 5 7" xfId="53548"/>
    <cellStyle name="Контрагенты 4 5 8" xfId="53549"/>
    <cellStyle name="Контрагенты 4 5 9" xfId="53550"/>
    <cellStyle name="Контрагенты 4 6" xfId="53551"/>
    <cellStyle name="Контрагенты 4 6 10" xfId="53552"/>
    <cellStyle name="Контрагенты 4 6 11" xfId="53553"/>
    <cellStyle name="Контрагенты 4 6 12" xfId="53554"/>
    <cellStyle name="Контрагенты 4 6 13" xfId="53555"/>
    <cellStyle name="Контрагенты 4 6 14" xfId="53556"/>
    <cellStyle name="Контрагенты 4 6 15" xfId="53557"/>
    <cellStyle name="Контрагенты 4 6 16" xfId="53558"/>
    <cellStyle name="Контрагенты 4 6 17" xfId="53559"/>
    <cellStyle name="Контрагенты 4 6 18" xfId="53560"/>
    <cellStyle name="Контрагенты 4 6 19" xfId="53561"/>
    <cellStyle name="Контрагенты 4 6 2" xfId="53562"/>
    <cellStyle name="Контрагенты 4 6 2 10" xfId="53563"/>
    <cellStyle name="Контрагенты 4 6 2 11" xfId="53564"/>
    <cellStyle name="Контрагенты 4 6 2 12" xfId="53565"/>
    <cellStyle name="Контрагенты 4 6 2 13" xfId="53566"/>
    <cellStyle name="Контрагенты 4 6 2 14" xfId="53567"/>
    <cellStyle name="Контрагенты 4 6 2 15" xfId="53568"/>
    <cellStyle name="Контрагенты 4 6 2 16" xfId="53569"/>
    <cellStyle name="Контрагенты 4 6 2 17" xfId="53570"/>
    <cellStyle name="Контрагенты 4 6 2 18" xfId="53571"/>
    <cellStyle name="Контрагенты 4 6 2 2" xfId="53572"/>
    <cellStyle name="Контрагенты 4 6 2 2 2" xfId="53573"/>
    <cellStyle name="Контрагенты 4 6 2 2 2 2" xfId="53574"/>
    <cellStyle name="Контрагенты 4 6 2 2 3" xfId="53575"/>
    <cellStyle name="Контрагенты 4 6 2 2 4" xfId="53576"/>
    <cellStyle name="Контрагенты 4 6 2 3" xfId="53577"/>
    <cellStyle name="Контрагенты 4 6 2 3 2" xfId="53578"/>
    <cellStyle name="Контрагенты 4 6 2 3 3" xfId="53579"/>
    <cellStyle name="Контрагенты 4 6 2 4" xfId="53580"/>
    <cellStyle name="Контрагенты 4 6 2 4 2" xfId="53581"/>
    <cellStyle name="Контрагенты 4 6 2 5" xfId="53582"/>
    <cellStyle name="Контрагенты 4 6 2 6" xfId="53583"/>
    <cellStyle name="Контрагенты 4 6 2 7" xfId="53584"/>
    <cellStyle name="Контрагенты 4 6 2 8" xfId="53585"/>
    <cellStyle name="Контрагенты 4 6 2 9" xfId="53586"/>
    <cellStyle name="Контрагенты 4 6 20" xfId="53587"/>
    <cellStyle name="Контрагенты 4 6 3" xfId="53588"/>
    <cellStyle name="Контрагенты 4 6 3 10" xfId="53589"/>
    <cellStyle name="Контрагенты 4 6 3 11" xfId="53590"/>
    <cellStyle name="Контрагенты 4 6 3 12" xfId="53591"/>
    <cellStyle name="Контрагенты 4 6 3 13" xfId="53592"/>
    <cellStyle name="Контрагенты 4 6 3 14" xfId="53593"/>
    <cellStyle name="Контрагенты 4 6 3 15" xfId="53594"/>
    <cellStyle name="Контрагенты 4 6 3 16" xfId="53595"/>
    <cellStyle name="Контрагенты 4 6 3 17" xfId="53596"/>
    <cellStyle name="Контрагенты 4 6 3 18" xfId="53597"/>
    <cellStyle name="Контрагенты 4 6 3 2" xfId="53598"/>
    <cellStyle name="Контрагенты 4 6 3 2 2" xfId="53599"/>
    <cellStyle name="Контрагенты 4 6 3 2 2 2" xfId="53600"/>
    <cellStyle name="Контрагенты 4 6 3 2 3" xfId="53601"/>
    <cellStyle name="Контрагенты 4 6 3 2 4" xfId="53602"/>
    <cellStyle name="Контрагенты 4 6 3 3" xfId="53603"/>
    <cellStyle name="Контрагенты 4 6 3 3 2" xfId="53604"/>
    <cellStyle name="Контрагенты 4 6 3 3 3" xfId="53605"/>
    <cellStyle name="Контрагенты 4 6 3 4" xfId="53606"/>
    <cellStyle name="Контрагенты 4 6 3 4 2" xfId="53607"/>
    <cellStyle name="Контрагенты 4 6 3 5" xfId="53608"/>
    <cellStyle name="Контрагенты 4 6 3 6" xfId="53609"/>
    <cellStyle name="Контрагенты 4 6 3 7" xfId="53610"/>
    <cellStyle name="Контрагенты 4 6 3 8" xfId="53611"/>
    <cellStyle name="Контрагенты 4 6 3 9" xfId="53612"/>
    <cellStyle name="Контрагенты 4 6 4" xfId="53613"/>
    <cellStyle name="Контрагенты 4 6 4 2" xfId="53614"/>
    <cellStyle name="Контрагенты 4 6 4 2 2" xfId="53615"/>
    <cellStyle name="Контрагенты 4 6 4 2 3" xfId="53616"/>
    <cellStyle name="Контрагенты 4 6 4 3" xfId="53617"/>
    <cellStyle name="Контрагенты 4 6 4 3 2" xfId="53618"/>
    <cellStyle name="Контрагенты 4 6 4 4" xfId="53619"/>
    <cellStyle name="Контрагенты 4 6 4 5" xfId="53620"/>
    <cellStyle name="Контрагенты 4 6 5" xfId="53621"/>
    <cellStyle name="Контрагенты 4 6 5 2" xfId="53622"/>
    <cellStyle name="Контрагенты 4 6 5 2 2" xfId="53623"/>
    <cellStyle name="Контрагенты 4 6 5 3" xfId="53624"/>
    <cellStyle name="Контрагенты 4 6 5 4" xfId="53625"/>
    <cellStyle name="Контрагенты 4 6 6" xfId="53626"/>
    <cellStyle name="Контрагенты 4 6 6 2" xfId="53627"/>
    <cellStyle name="Контрагенты 4 6 7" xfId="53628"/>
    <cellStyle name="Контрагенты 4 6 8" xfId="53629"/>
    <cellStyle name="Контрагенты 4 6 9" xfId="53630"/>
    <cellStyle name="Контрагенты 4 7" xfId="53631"/>
    <cellStyle name="Контрагенты 4 7 10" xfId="53632"/>
    <cellStyle name="Контрагенты 4 7 11" xfId="53633"/>
    <cellStyle name="Контрагенты 4 7 12" xfId="53634"/>
    <cellStyle name="Контрагенты 4 7 13" xfId="53635"/>
    <cellStyle name="Контрагенты 4 7 14" xfId="53636"/>
    <cellStyle name="Контрагенты 4 7 15" xfId="53637"/>
    <cellStyle name="Контрагенты 4 7 16" xfId="53638"/>
    <cellStyle name="Контрагенты 4 7 17" xfId="53639"/>
    <cellStyle name="Контрагенты 4 7 2" xfId="53640"/>
    <cellStyle name="Контрагенты 4 7 2 2" xfId="53641"/>
    <cellStyle name="Контрагенты 4 7 2 2 2" xfId="53642"/>
    <cellStyle name="Контрагенты 4 7 2 3" xfId="53643"/>
    <cellStyle name="Контрагенты 4 7 2 4" xfId="53644"/>
    <cellStyle name="Контрагенты 4 7 3" xfId="53645"/>
    <cellStyle name="Контрагенты 4 7 3 2" xfId="53646"/>
    <cellStyle name="Контрагенты 4 7 4" xfId="53647"/>
    <cellStyle name="Контрагенты 4 7 5" xfId="53648"/>
    <cellStyle name="Контрагенты 4 7 6" xfId="53649"/>
    <cellStyle name="Контрагенты 4 7 7" xfId="53650"/>
    <cellStyle name="Контрагенты 4 7 8" xfId="53651"/>
    <cellStyle name="Контрагенты 4 7 9" xfId="53652"/>
    <cellStyle name="Контрагенты 4 8" xfId="53653"/>
    <cellStyle name="Контрагенты 4 8 2" xfId="53654"/>
    <cellStyle name="Контрагенты 4 8 2 2" xfId="53655"/>
    <cellStyle name="Контрагенты 4 8 2 2 2" xfId="53656"/>
    <cellStyle name="Контрагенты 4 8 2 3" xfId="53657"/>
    <cellStyle name="Контрагенты 4 8 2 4" xfId="53658"/>
    <cellStyle name="Контрагенты 4 8 3" xfId="53659"/>
    <cellStyle name="Контрагенты 4 8 3 2" xfId="53660"/>
    <cellStyle name="Контрагенты 4 8 3 3" xfId="53661"/>
    <cellStyle name="Контрагенты 4 8 4" xfId="53662"/>
    <cellStyle name="Контрагенты 4 8 4 2" xfId="53663"/>
    <cellStyle name="Контрагенты 4 8 5" xfId="53664"/>
    <cellStyle name="Контрагенты 4 8 6" xfId="53665"/>
    <cellStyle name="Контрагенты 4 9" xfId="53666"/>
    <cellStyle name="Контрагенты 4 9 2" xfId="53667"/>
    <cellStyle name="Контрагенты 4 9 2 2" xfId="53668"/>
    <cellStyle name="Контрагенты 4 9 3" xfId="53669"/>
    <cellStyle name="Контрагенты 4 9 4" xfId="53670"/>
    <cellStyle name="Контрольная ячейка 10" xfId="53671"/>
    <cellStyle name="Контрольная ячейка 10 2" xfId="53672"/>
    <cellStyle name="Контрольная ячейка 10 3" xfId="53673"/>
    <cellStyle name="Контрольная ячейка 11" xfId="53674"/>
    <cellStyle name="Контрольная ячейка 11 2" xfId="53675"/>
    <cellStyle name="Контрольная ячейка 11 3" xfId="53676"/>
    <cellStyle name="Контрольная ячейка 12" xfId="53677"/>
    <cellStyle name="Контрольная ячейка 12 2" xfId="53678"/>
    <cellStyle name="Контрольная ячейка 12 3" xfId="53679"/>
    <cellStyle name="Контрольная ячейка 13" xfId="53680"/>
    <cellStyle name="Контрольная ячейка 14" xfId="53681"/>
    <cellStyle name="Контрольная ячейка 2" xfId="53682"/>
    <cellStyle name="Контрольная ячейка 2 2" xfId="53683"/>
    <cellStyle name="Контрольная ячейка 2 3" xfId="53684"/>
    <cellStyle name="Контрольная ячейка 2 4" xfId="53685"/>
    <cellStyle name="Контрольная ячейка 3" xfId="53686"/>
    <cellStyle name="Контрольная ячейка 3 2" xfId="53687"/>
    <cellStyle name="Контрольная ячейка 3 3" xfId="53688"/>
    <cellStyle name="Контрольная ячейка 4" xfId="53689"/>
    <cellStyle name="Контрольная ячейка 4 2" xfId="53690"/>
    <cellStyle name="Контрольная ячейка 4 3" xfId="53691"/>
    <cellStyle name="Контрольная ячейка 5" xfId="53692"/>
    <cellStyle name="Контрольная ячейка 5 2" xfId="53693"/>
    <cellStyle name="Контрольная ячейка 5 3" xfId="53694"/>
    <cellStyle name="Контрольная ячейка 6" xfId="53695"/>
    <cellStyle name="Контрольная ячейка 6 2" xfId="53696"/>
    <cellStyle name="Контрольная ячейка 6 3" xfId="53697"/>
    <cellStyle name="Контрольная ячейка 7" xfId="53698"/>
    <cellStyle name="Контрольная ячейка 7 2" xfId="53699"/>
    <cellStyle name="Контрольная ячейка 7 3" xfId="53700"/>
    <cellStyle name="Контрольная ячейка 8" xfId="53701"/>
    <cellStyle name="Контрольная ячейка 8 2" xfId="53702"/>
    <cellStyle name="Контрольная ячейка 8 3" xfId="53703"/>
    <cellStyle name="Контрольная ячейка 9" xfId="53704"/>
    <cellStyle name="Контрольная ячейка 9 2" xfId="53705"/>
    <cellStyle name="Контрольная ячейка 9 3" xfId="53706"/>
    <cellStyle name="Личный" xfId="53707"/>
    <cellStyle name="Мбычный_Регламент 2000 проект1" xfId="53708"/>
    <cellStyle name="Мои наименования показателей" xfId="53714"/>
    <cellStyle name="Мои наименования показателей 2" xfId="53715"/>
    <cellStyle name="Мои наименования показателей 3" xfId="53716"/>
    <cellStyle name="Мой заголовок" xfId="53709"/>
    <cellStyle name="Мой заголовок 2" xfId="53710"/>
    <cellStyle name="Мой заголовок 3" xfId="53711"/>
    <cellStyle name="Мой заголовок листа" xfId="53712"/>
    <cellStyle name="Мой заголовок листа 2" xfId="53713"/>
    <cellStyle name="Название 10" xfId="53717"/>
    <cellStyle name="Название 10 2" xfId="53718"/>
    <cellStyle name="Название 10 3" xfId="53719"/>
    <cellStyle name="Название 11" xfId="53720"/>
    <cellStyle name="Название 11 2" xfId="53721"/>
    <cellStyle name="Название 11 3" xfId="53722"/>
    <cellStyle name="Название 12" xfId="53723"/>
    <cellStyle name="Название 12 2" xfId="53724"/>
    <cellStyle name="Название 12 3" xfId="53725"/>
    <cellStyle name="Название 13" xfId="53726"/>
    <cellStyle name="Название 14" xfId="53727"/>
    <cellStyle name="Название 14 2" xfId="53728"/>
    <cellStyle name="Название 14 2 2" xfId="53729"/>
    <cellStyle name="Название 14 2 2 2" xfId="53730"/>
    <cellStyle name="Название 14 2 2 3" xfId="53731"/>
    <cellStyle name="Название 14 2 3" xfId="53732"/>
    <cellStyle name="Название 14 2 4" xfId="53733"/>
    <cellStyle name="Название 14 3" xfId="53734"/>
    <cellStyle name="Название 14 4" xfId="53735"/>
    <cellStyle name="Название 14 4 2" xfId="53736"/>
    <cellStyle name="Название 14 4 3" xfId="53737"/>
    <cellStyle name="Название 14 5" xfId="53738"/>
    <cellStyle name="Название 14 5 2" xfId="53739"/>
    <cellStyle name="Название 14 6" xfId="53740"/>
    <cellStyle name="Название 14 6 2" xfId="53741"/>
    <cellStyle name="Название 14 7" xfId="53742"/>
    <cellStyle name="Название 14 7 2" xfId="53743"/>
    <cellStyle name="Название 14 7 2 2" xfId="53744"/>
    <cellStyle name="Название 14 7 3" xfId="53745"/>
    <cellStyle name="Название 14 7 3 2" xfId="53746"/>
    <cellStyle name="Название 14 7 4" xfId="53747"/>
    <cellStyle name="Название 14 7 4 2" xfId="53748"/>
    <cellStyle name="Название 14 7 5" xfId="53749"/>
    <cellStyle name="Название 15" xfId="53750"/>
    <cellStyle name="Название 15 2" xfId="53751"/>
    <cellStyle name="Название 15 2 2" xfId="53752"/>
    <cellStyle name="Название 16" xfId="53753"/>
    <cellStyle name="Название 16 2" xfId="53754"/>
    <cellStyle name="Название 16 2 2" xfId="53755"/>
    <cellStyle name="Название 16 3" xfId="53756"/>
    <cellStyle name="Название 17" xfId="53757"/>
    <cellStyle name="Название 17 2" xfId="53758"/>
    <cellStyle name="Название 2" xfId="53759"/>
    <cellStyle name="Название 2 2" xfId="53760"/>
    <cellStyle name="Название 2 3" xfId="53761"/>
    <cellStyle name="Название 3" xfId="53762"/>
    <cellStyle name="Название 3 2" xfId="53763"/>
    <cellStyle name="Название 3 3" xfId="53764"/>
    <cellStyle name="Название 4" xfId="53765"/>
    <cellStyle name="Название 4 2" xfId="53766"/>
    <cellStyle name="Название 4 3" xfId="53767"/>
    <cellStyle name="Название 5" xfId="53768"/>
    <cellStyle name="Название 5 2" xfId="53769"/>
    <cellStyle name="Название 5 3" xfId="53770"/>
    <cellStyle name="Название 6" xfId="53771"/>
    <cellStyle name="Название 6 2" xfId="53772"/>
    <cellStyle name="Название 6 3" xfId="53773"/>
    <cellStyle name="Название 7" xfId="53774"/>
    <cellStyle name="Название 7 2" xfId="53775"/>
    <cellStyle name="Название 7 3" xfId="53776"/>
    <cellStyle name="Название 8" xfId="53777"/>
    <cellStyle name="Название 8 2" xfId="53778"/>
    <cellStyle name="Название 8 3" xfId="53779"/>
    <cellStyle name="Название 9" xfId="53780"/>
    <cellStyle name="Название 9 2" xfId="53781"/>
    <cellStyle name="Название 9 3" xfId="53782"/>
    <cellStyle name="Название таблицы" xfId="53783"/>
    <cellStyle name="Название таблицы 2" xfId="53784"/>
    <cellStyle name="Название таблицы 2 2" xfId="53785"/>
    <cellStyle name="Нейтральный 10" xfId="53786"/>
    <cellStyle name="Нейтральный 10 2" xfId="53787"/>
    <cellStyle name="Нейтральный 10 3" xfId="53788"/>
    <cellStyle name="Нейтральный 11" xfId="53789"/>
    <cellStyle name="Нейтральный 11 2" xfId="53790"/>
    <cellStyle name="Нейтральный 11 3" xfId="53791"/>
    <cellStyle name="Нейтральный 12" xfId="53792"/>
    <cellStyle name="Нейтральный 12 2" xfId="53793"/>
    <cellStyle name="Нейтральный 12 3" xfId="53794"/>
    <cellStyle name="Нейтральный 13" xfId="53795"/>
    <cellStyle name="Нейтральный 14" xfId="53796"/>
    <cellStyle name="Нейтральный 2" xfId="53797"/>
    <cellStyle name="Нейтральный 2 2" xfId="53798"/>
    <cellStyle name="Нейтральный 2 3" xfId="53799"/>
    <cellStyle name="Нейтральный 2 4" xfId="53800"/>
    <cellStyle name="Нейтральный 3" xfId="53801"/>
    <cellStyle name="Нейтральный 3 2" xfId="53802"/>
    <cellStyle name="Нейтральный 3 3" xfId="53803"/>
    <cellStyle name="Нейтральный 4" xfId="53804"/>
    <cellStyle name="Нейтральный 4 2" xfId="53805"/>
    <cellStyle name="Нейтральный 4 3" xfId="53806"/>
    <cellStyle name="Нейтральный 5" xfId="53807"/>
    <cellStyle name="Нейтральный 5 2" xfId="53808"/>
    <cellStyle name="Нейтральный 5 3" xfId="53809"/>
    <cellStyle name="Нейтральный 6" xfId="53810"/>
    <cellStyle name="Нейтральный 6 2" xfId="53811"/>
    <cellStyle name="Нейтральный 6 3" xfId="53812"/>
    <cellStyle name="Нейтральный 7" xfId="53813"/>
    <cellStyle name="Нейтральный 7 2" xfId="53814"/>
    <cellStyle name="Нейтральный 7 3" xfId="53815"/>
    <cellStyle name="Нейтральный 8" xfId="53816"/>
    <cellStyle name="Нейтральный 8 2" xfId="53817"/>
    <cellStyle name="Нейтральный 8 3" xfId="53818"/>
    <cellStyle name="Нейтральный 9" xfId="53819"/>
    <cellStyle name="Нейтральный 9 2" xfId="53820"/>
    <cellStyle name="Нейтральный 9 3" xfId="53821"/>
    <cellStyle name="НЧисл" xfId="53822"/>
    <cellStyle name="НЧисл 2" xfId="53823"/>
    <cellStyle name="НЧисл 2 2" xfId="53824"/>
    <cellStyle name="НЧисл 2 2 2" xfId="53825"/>
    <cellStyle name="НЧисл 2 3" xfId="53826"/>
    <cellStyle name="НЧисл 2 4" xfId="53827"/>
    <cellStyle name="НЧисл 2 5" xfId="53828"/>
    <cellStyle name="НЧисл 3" xfId="53829"/>
    <cellStyle name="НЧисл 4" xfId="53830"/>
    <cellStyle name="НЧисл 5" xfId="53831"/>
    <cellStyle name="Обычный" xfId="0" builtinId="0"/>
    <cellStyle name="Обычный 10" xfId="53832"/>
    <cellStyle name="Обычный 10 2" xfId="53833"/>
    <cellStyle name="Обычный 10 2 2" xfId="53834"/>
    <cellStyle name="Обычный 10 2 3" xfId="53835"/>
    <cellStyle name="Обычный 10 3" xfId="53836"/>
    <cellStyle name="Обычный 10 3 2" xfId="53837"/>
    <cellStyle name="Обычный 10 3 3" xfId="53838"/>
    <cellStyle name="Обычный 10 4" xfId="53839"/>
    <cellStyle name="Обычный 100" xfId="53840"/>
    <cellStyle name="Обычный 101" xfId="53841"/>
    <cellStyle name="Обычный 102" xfId="53842"/>
    <cellStyle name="Обычный 103" xfId="53843"/>
    <cellStyle name="Обычный 104" xfId="53844"/>
    <cellStyle name="Обычный 11" xfId="53845"/>
    <cellStyle name="Обычный 11 2" xfId="53846"/>
    <cellStyle name="Обычный 12" xfId="53847"/>
    <cellStyle name="Обычный 12 2" xfId="53848"/>
    <cellStyle name="Обычный 12 2 2" xfId="53849"/>
    <cellStyle name="Обычный 12_Т-НахВТО-газ-28.09.12" xfId="53850"/>
    <cellStyle name="Обычный 13" xfId="53851"/>
    <cellStyle name="Обычный 13 2" xfId="53852"/>
    <cellStyle name="Обычный 14" xfId="53853"/>
    <cellStyle name="Обычный 14 2" xfId="53854"/>
    <cellStyle name="Обычный 15" xfId="53855"/>
    <cellStyle name="Обычный 15 2" xfId="53856"/>
    <cellStyle name="Обычный 15 3" xfId="53857"/>
    <cellStyle name="Обычный 16" xfId="53858"/>
    <cellStyle name="Обычный 16 2" xfId="53859"/>
    <cellStyle name="Обычный 16 2 2" xfId="53860"/>
    <cellStyle name="Обычный 17" xfId="53861"/>
    <cellStyle name="Обычный 17 2" xfId="53862"/>
    <cellStyle name="Обычный 17 2 2" xfId="53863"/>
    <cellStyle name="Обычный 17 3" xfId="53864"/>
    <cellStyle name="Обычный 18" xfId="53865"/>
    <cellStyle name="Обычный 19" xfId="53866"/>
    <cellStyle name="Обычный 19 2" xfId="53867"/>
    <cellStyle name="Обычный 19 2 2" xfId="53868"/>
    <cellStyle name="Обычный 19 3" xfId="53869"/>
    <cellStyle name="Обычный 19 3 2" xfId="53870"/>
    <cellStyle name="Обычный 19 4" xfId="53871"/>
    <cellStyle name="Обычный 19 4 2" xfId="53872"/>
    <cellStyle name="Обычный 19 4 2 2" xfId="53873"/>
    <cellStyle name="Обычный 19 4 3" xfId="53874"/>
    <cellStyle name="Обычный 19 5" xfId="53875"/>
    <cellStyle name="Обычный 19 5 2" xfId="53876"/>
    <cellStyle name="Обычный 19 6" xfId="53877"/>
    <cellStyle name="Обычный 19 6 2" xfId="53878"/>
    <cellStyle name="Обычный 19 7" xfId="53879"/>
    <cellStyle name="Обычный 19 8" xfId="53880"/>
    <cellStyle name="Обычный 19 9" xfId="53881"/>
    <cellStyle name="Обычный 2" xfId="53882"/>
    <cellStyle name="Обычный 2 10" xfId="53883"/>
    <cellStyle name="Обычный 2 10 2" xfId="53884"/>
    <cellStyle name="Обычный 2 10 3" xfId="53885"/>
    <cellStyle name="Обычный 2 11" xfId="53886"/>
    <cellStyle name="Обычный 2 11 2" xfId="53887"/>
    <cellStyle name="Обычный 2 11 3" xfId="53888"/>
    <cellStyle name="Обычный 2 11_Т-НахВТО-газ-28.09.12" xfId="53889"/>
    <cellStyle name="Обычный 2 12" xfId="53890"/>
    <cellStyle name="Обычный 2 12 2" xfId="53891"/>
    <cellStyle name="Обычный 2 12_Т-НахВТО-газ-28.09.12" xfId="53892"/>
    <cellStyle name="Обычный 2 13" xfId="53893"/>
    <cellStyle name="Обычный 2 14" xfId="53894"/>
    <cellStyle name="Обычный 2 14 2" xfId="53895"/>
    <cellStyle name="Обычный 2 14 3" xfId="53896"/>
    <cellStyle name="Обычный 2 14 4" xfId="53897"/>
    <cellStyle name="Обычный 2 15" xfId="53898"/>
    <cellStyle name="Обычный 2 16" xfId="53899"/>
    <cellStyle name="Обычный 2 17" xfId="53900"/>
    <cellStyle name="Обычный 2 18" xfId="53901"/>
    <cellStyle name="Обычный 2 2" xfId="53902"/>
    <cellStyle name="Обычный 2 2 10" xfId="53903"/>
    <cellStyle name="Обычный 2 2 2" xfId="53904"/>
    <cellStyle name="Обычный 2 2 3" xfId="53905"/>
    <cellStyle name="Обычный 2 2 3 2 2 2" xfId="53906"/>
    <cellStyle name="Обычный 2 2 4" xfId="53907"/>
    <cellStyle name="Обычный 2 2 5" xfId="53908"/>
    <cellStyle name="Обычный 2 2 6" xfId="53909"/>
    <cellStyle name="Обычный 2 2 7" xfId="53910"/>
    <cellStyle name="Обычный 2 2 8" xfId="53911"/>
    <cellStyle name="Обычный 2 2 9" xfId="53912"/>
    <cellStyle name="Обычный 2 3" xfId="53913"/>
    <cellStyle name="Обычный 2 3 2" xfId="53914"/>
    <cellStyle name="Обычный 2 3 2 2" xfId="53915"/>
    <cellStyle name="Обычный 2 3 2 3" xfId="53916"/>
    <cellStyle name="Обычный 2 3 3" xfId="53917"/>
    <cellStyle name="Обычный 2 3 4" xfId="53918"/>
    <cellStyle name="Обычный 2 3 5" xfId="53919"/>
    <cellStyle name="Обычный 2 4" xfId="53920"/>
    <cellStyle name="Обычный 2 4 2" xfId="53921"/>
    <cellStyle name="Обычный 2 4 2 2" xfId="53922"/>
    <cellStyle name="Обычный 2 4 2 3" xfId="53923"/>
    <cellStyle name="Обычный 2 4 2 4" xfId="53924"/>
    <cellStyle name="Обычный 2 4 3" xfId="53925"/>
    <cellStyle name="Обычный 2 4 4" xfId="53926"/>
    <cellStyle name="Обычный 2 4 5" xfId="53927"/>
    <cellStyle name="Обычный 2 5" xfId="53928"/>
    <cellStyle name="Обычный 2 5 2" xfId="53929"/>
    <cellStyle name="Обычный 2 5 2 2" xfId="53930"/>
    <cellStyle name="Обычный 2 5 2 3" xfId="53931"/>
    <cellStyle name="Обычный 2 5 2 4" xfId="53932"/>
    <cellStyle name="Обычный 2 5 3" xfId="53933"/>
    <cellStyle name="Обычный 2 5 4" xfId="53934"/>
    <cellStyle name="Обычный 2 6" xfId="53935"/>
    <cellStyle name="Обычный 2 6 2" xfId="53936"/>
    <cellStyle name="Обычный 2 6 3" xfId="53937"/>
    <cellStyle name="Обычный 2 6 4" xfId="53938"/>
    <cellStyle name="Обычный 2 7" xfId="53939"/>
    <cellStyle name="Обычный 2 7 2" xfId="53940"/>
    <cellStyle name="Обычный 2 7 3" xfId="53941"/>
    <cellStyle name="Обычный 2 7 4" xfId="53942"/>
    <cellStyle name="Обычный 2 8" xfId="53943"/>
    <cellStyle name="Обычный 2 8 2" xfId="53944"/>
    <cellStyle name="Обычный 2 8 2 2" xfId="53945"/>
    <cellStyle name="Обычный 2 8 2 3" xfId="53946"/>
    <cellStyle name="Обычный 2 8 3" xfId="53947"/>
    <cellStyle name="Обычный 2 8 4" xfId="53948"/>
    <cellStyle name="Обычный 2 9" xfId="53949"/>
    <cellStyle name="Обычный 2 9 2" xfId="53950"/>
    <cellStyle name="Обычный 2_Inputs" xfId="53951"/>
    <cellStyle name="Обычный 20" xfId="53952"/>
    <cellStyle name="Обычный 20 2" xfId="53953"/>
    <cellStyle name="Обычный 21" xfId="53954"/>
    <cellStyle name="Обычный 21 2" xfId="53955"/>
    <cellStyle name="Обычный 21 3" xfId="53956"/>
    <cellStyle name="Обычный 22" xfId="53957"/>
    <cellStyle name="Обычный 22 2" xfId="53958"/>
    <cellStyle name="Обычный 22 3" xfId="53959"/>
    <cellStyle name="Обычный 22 3 2" xfId="53960"/>
    <cellStyle name="Обычный 22 4" xfId="53961"/>
    <cellStyle name="Обычный 22 4 2" xfId="53962"/>
    <cellStyle name="Обычный 22 5" xfId="53963"/>
    <cellStyle name="Обычный 22 5 2" xfId="53964"/>
    <cellStyle name="Обычный 23" xfId="53965"/>
    <cellStyle name="Обычный 23 2" xfId="53966"/>
    <cellStyle name="Обычный 23 3" xfId="53967"/>
    <cellStyle name="Обычный 23 4" xfId="53968"/>
    <cellStyle name="Обычный 24" xfId="53969"/>
    <cellStyle name="Обычный 24 2" xfId="53970"/>
    <cellStyle name="Обычный 24 3" xfId="53971"/>
    <cellStyle name="Обычный 24 4" xfId="53972"/>
    <cellStyle name="Обычный 25" xfId="53973"/>
    <cellStyle name="Обычный 25 2" xfId="53974"/>
    <cellStyle name="Обычный 25 3" xfId="53975"/>
    <cellStyle name="Обычный 25 4" xfId="53976"/>
    <cellStyle name="Обычный 26" xfId="53977"/>
    <cellStyle name="Обычный 26 2" xfId="53978"/>
    <cellStyle name="Обычный 26 3" xfId="53979"/>
    <cellStyle name="Обычный 26 4" xfId="53980"/>
    <cellStyle name="Обычный 27" xfId="53981"/>
    <cellStyle name="Обычный 27 2" xfId="53982"/>
    <cellStyle name="Обычный 27 3" xfId="53983"/>
    <cellStyle name="Обычный 27 4" xfId="53984"/>
    <cellStyle name="Обычный 27 5" xfId="53985"/>
    <cellStyle name="Обычный 28" xfId="53986"/>
    <cellStyle name="Обычный 28 2" xfId="53987"/>
    <cellStyle name="Обычный 29" xfId="53988"/>
    <cellStyle name="Обычный 29 2" xfId="53989"/>
    <cellStyle name="Обычный 3" xfId="53990"/>
    <cellStyle name="Обычный 3 10" xfId="53991"/>
    <cellStyle name="Обычный 3 11" xfId="53992"/>
    <cellStyle name="Обычный 3 2" xfId="53993"/>
    <cellStyle name="Обычный 3 2 2" xfId="53994"/>
    <cellStyle name="Обычный 3 2 2 2" xfId="53995"/>
    <cellStyle name="Обычный 3 2 2 3" xfId="53996"/>
    <cellStyle name="Обычный 3 2 2 4" xfId="53997"/>
    <cellStyle name="Обычный 3 2 3" xfId="53998"/>
    <cellStyle name="Обычный 3 2 3 2" xfId="53999"/>
    <cellStyle name="Обычный 3 2 3 2 2" xfId="54000"/>
    <cellStyle name="Обычный 3 2 3 2 2 2" xfId="54001"/>
    <cellStyle name="Обычный 3 2 3 2 3" xfId="54002"/>
    <cellStyle name="Обычный 3 2 3 2 3 2" xfId="54003"/>
    <cellStyle name="Обычный 3 2 3 2 4" xfId="54004"/>
    <cellStyle name="Обычный 3 2 3 2 5" xfId="54005"/>
    <cellStyle name="Обычный 3 2 3 3" xfId="54006"/>
    <cellStyle name="Обычный 3 2 3 4" xfId="54007"/>
    <cellStyle name="Обычный 3 2 4" xfId="54008"/>
    <cellStyle name="Обычный 3 2 5" xfId="54009"/>
    <cellStyle name="Обычный 3 3" xfId="54010"/>
    <cellStyle name="Обычный 3 3 2" xfId="54011"/>
    <cellStyle name="Обычный 3 3 3" xfId="54012"/>
    <cellStyle name="Обычный 3 4" xfId="54013"/>
    <cellStyle name="Обычный 3 4 2" xfId="54014"/>
    <cellStyle name="Обычный 3 4 3" xfId="54015"/>
    <cellStyle name="Обычный 3 5" xfId="54016"/>
    <cellStyle name="Обычный 3 6" xfId="54017"/>
    <cellStyle name="Обычный 3 6 2" xfId="54018"/>
    <cellStyle name="Обычный 3 6 2 2" xfId="54019"/>
    <cellStyle name="Обычный 3 6 2 3" xfId="54020"/>
    <cellStyle name="Обычный 3 6 2 4" xfId="54021"/>
    <cellStyle name="Обычный 3 6 2 5" xfId="54022"/>
    <cellStyle name="Обычный 3 6 3" xfId="54023"/>
    <cellStyle name="Обычный 3 6 4" xfId="54024"/>
    <cellStyle name="Обычный 3 7" xfId="54025"/>
    <cellStyle name="Обычный 3 7 2" xfId="54026"/>
    <cellStyle name="Обычный 3 7 3" xfId="54027"/>
    <cellStyle name="Обычный 3 8" xfId="54028"/>
    <cellStyle name="Обычный 3 9" xfId="54029"/>
    <cellStyle name="Обычный 3 9 2" xfId="54030"/>
    <cellStyle name="Обычный 3_RZD_2009-2030_macromodel_090518" xfId="54031"/>
    <cellStyle name="Обычный 30" xfId="54032"/>
    <cellStyle name="Обычный 31" xfId="54033"/>
    <cellStyle name="Обычный 31 2" xfId="54034"/>
    <cellStyle name="Обычный 31 3" xfId="54035"/>
    <cellStyle name="Обычный 32" xfId="54036"/>
    <cellStyle name="Обычный 32 2" xfId="54037"/>
    <cellStyle name="Обычный 32 3" xfId="54038"/>
    <cellStyle name="Обычный 33" xfId="54039"/>
    <cellStyle name="Обычный 33 2" xfId="54040"/>
    <cellStyle name="Обычный 33 3" xfId="54041"/>
    <cellStyle name="Обычный 34" xfId="54042"/>
    <cellStyle name="Обычный 34 2" xfId="54043"/>
    <cellStyle name="Обычный 34 3" xfId="54044"/>
    <cellStyle name="Обычный 35" xfId="54045"/>
    <cellStyle name="Обычный 35 2" xfId="54046"/>
    <cellStyle name="Обычный 35 3" xfId="54047"/>
    <cellStyle name="Обычный 36" xfId="54048"/>
    <cellStyle name="Обычный 36 2" xfId="54049"/>
    <cellStyle name="Обычный 36 2 2" xfId="54050"/>
    <cellStyle name="Обычный 36 3" xfId="54051"/>
    <cellStyle name="Обычный 36 4" xfId="54052"/>
    <cellStyle name="Обычный 37" xfId="54053"/>
    <cellStyle name="Обычный 37 2" xfId="54054"/>
    <cellStyle name="Обычный 38" xfId="54055"/>
    <cellStyle name="Обычный 38 2" xfId="54056"/>
    <cellStyle name="Обычный 38 3" xfId="54057"/>
    <cellStyle name="Обычный 39" xfId="54058"/>
    <cellStyle name="Обычный 39 2" xfId="54059"/>
    <cellStyle name="Обычный 39 3" xfId="54060"/>
    <cellStyle name="Обычный 4" xfId="54061"/>
    <cellStyle name="Обычный 4 10" xfId="54062"/>
    <cellStyle name="Обычный 4 11" xfId="54063"/>
    <cellStyle name="Обычный 4 2" xfId="54064"/>
    <cellStyle name="Обычный 4 2 2" xfId="54065"/>
    <cellStyle name="Обычный 4 2 2 2" xfId="54066"/>
    <cellStyle name="Обычный 4 2 2 3" xfId="54067"/>
    <cellStyle name="Обычный 4 2 2 3 2" xfId="54068"/>
    <cellStyle name="Обычный 4 2 2 3 2 2" xfId="54069"/>
    <cellStyle name="Обычный 4 2 2 3 2 2 2" xfId="54070"/>
    <cellStyle name="Обычный 4 2 2 3 2 3" xfId="54071"/>
    <cellStyle name="Обычный 4 2 2 3 3" xfId="54072"/>
    <cellStyle name="Обычный 4 2 2 4" xfId="54073"/>
    <cellStyle name="Обычный 4 2 3" xfId="54074"/>
    <cellStyle name="Обычный 4 2 3 2" xfId="54075"/>
    <cellStyle name="Обычный 4 2 3 3" xfId="54076"/>
    <cellStyle name="Обычный 4 2 4" xfId="54077"/>
    <cellStyle name="Обычный 4 2 4 2" xfId="54078"/>
    <cellStyle name="Обычный 4 2 4 2 2" xfId="54079"/>
    <cellStyle name="Обычный 4 2 4 2 3" xfId="54080"/>
    <cellStyle name="Обычный 4 2 4 3" xfId="54081"/>
    <cellStyle name="Обычный 4 2 4 4" xfId="54082"/>
    <cellStyle name="Обычный 4 2 5" xfId="54083"/>
    <cellStyle name="Обычный 4 2 5 2" xfId="54084"/>
    <cellStyle name="Обычный 4 2 5 3" xfId="54085"/>
    <cellStyle name="Обычный 4 2 6" xfId="54086"/>
    <cellStyle name="Обычный 4 2 6 2" xfId="54087"/>
    <cellStyle name="Обычный 4 2 6 2 2" xfId="54088"/>
    <cellStyle name="Обычный 4 2 6 2 2 2" xfId="54089"/>
    <cellStyle name="Обычный 4 2 6 2 3" xfId="54090"/>
    <cellStyle name="Обычный 4 2 6 3" xfId="54091"/>
    <cellStyle name="Обычный 4 2 6 3 2" xfId="54092"/>
    <cellStyle name="Обычный 4 2 6 3 2 2" xfId="54093"/>
    <cellStyle name="Обычный 4 2 6 3 3" xfId="54094"/>
    <cellStyle name="Обычный 4 2 6 4" xfId="54095"/>
    <cellStyle name="Обычный 4 2 7" xfId="54096"/>
    <cellStyle name="Обычный 4 2_Т-НахВТО-газ-28.09.12" xfId="54097"/>
    <cellStyle name="Обычный 4 3" xfId="54098"/>
    <cellStyle name="Обычный 4 3 2" xfId="54099"/>
    <cellStyle name="Обычный 4 3 3" xfId="54100"/>
    <cellStyle name="Обычный 4 3 4" xfId="54101"/>
    <cellStyle name="Обычный 4 4" xfId="54102"/>
    <cellStyle name="Обычный 4 4 2" xfId="54103"/>
    <cellStyle name="Обычный 4 4 2 2" xfId="54104"/>
    <cellStyle name="Обычный 4 4 2 3" xfId="54105"/>
    <cellStyle name="Обычный 4 4 3" xfId="54106"/>
    <cellStyle name="Обычный 4 4 4" xfId="54107"/>
    <cellStyle name="Обычный 4 5" xfId="54108"/>
    <cellStyle name="Обычный 4 5 2" xfId="54109"/>
    <cellStyle name="Обычный 4 6" xfId="54110"/>
    <cellStyle name="Обычный 4 6 2" xfId="54111"/>
    <cellStyle name="Обычный 4 6 2 2" xfId="54112"/>
    <cellStyle name="Обычный 4 6 3" xfId="54113"/>
    <cellStyle name="Обычный 4 7" xfId="54114"/>
    <cellStyle name="Обычный 4 7 2" xfId="54115"/>
    <cellStyle name="Обычный 4 8" xfId="54116"/>
    <cellStyle name="Обычный 4 9" xfId="54117"/>
    <cellStyle name="Обычный 4_ЦФ запрос2008-2009" xfId="54118"/>
    <cellStyle name="Обычный 40" xfId="54119"/>
    <cellStyle name="Обычный 40 2" xfId="54120"/>
    <cellStyle name="Обычный 40 3" xfId="54121"/>
    <cellStyle name="Обычный 41" xfId="54122"/>
    <cellStyle name="Обычный 41 2" xfId="54123"/>
    <cellStyle name="Обычный 41 3" xfId="54124"/>
    <cellStyle name="Обычный 42" xfId="54125"/>
    <cellStyle name="Обычный 42 2" xfId="54126"/>
    <cellStyle name="Обычный 42 3" xfId="54127"/>
    <cellStyle name="Обычный 43" xfId="54128"/>
    <cellStyle name="Обычный 43 2" xfId="54129"/>
    <cellStyle name="Обычный 43 3" xfId="54130"/>
    <cellStyle name="Обычный 44" xfId="54131"/>
    <cellStyle name="Обычный 44 2" xfId="54132"/>
    <cellStyle name="Обычный 44 3" xfId="54133"/>
    <cellStyle name="Обычный 45" xfId="54134"/>
    <cellStyle name="Обычный 45 2" xfId="54135"/>
    <cellStyle name="Обычный 45 3" xfId="54136"/>
    <cellStyle name="Обычный 46" xfId="54137"/>
    <cellStyle name="Обычный 46 2" xfId="54138"/>
    <cellStyle name="Обычный 46 3" xfId="54139"/>
    <cellStyle name="Обычный 47" xfId="54140"/>
    <cellStyle name="Обычный 47 2" xfId="54141"/>
    <cellStyle name="Обычный 47 3" xfId="54142"/>
    <cellStyle name="Обычный 48" xfId="54143"/>
    <cellStyle name="Обычный 48 2" xfId="54144"/>
    <cellStyle name="Обычный 48 3" xfId="54145"/>
    <cellStyle name="Обычный 49" xfId="54146"/>
    <cellStyle name="Обычный 49 2" xfId="54147"/>
    <cellStyle name="Обычный 49 3" xfId="54148"/>
    <cellStyle name="Обычный 5" xfId="54149"/>
    <cellStyle name="Обычный 5 2" xfId="54150"/>
    <cellStyle name="Обычный 5 2 2" xfId="54151"/>
    <cellStyle name="Обычный 5 2 2 2" xfId="54152"/>
    <cellStyle name="Обычный 5 2 2 3" xfId="54153"/>
    <cellStyle name="Обычный 5 2 3" xfId="54154"/>
    <cellStyle name="Обычный 5 2 4" xfId="54155"/>
    <cellStyle name="Обычный 5 2 5" xfId="54156"/>
    <cellStyle name="Обычный 5 3" xfId="54157"/>
    <cellStyle name="Обычный 5 3 2" xfId="54158"/>
    <cellStyle name="Обычный 5 3 2 2" xfId="54159"/>
    <cellStyle name="Обычный 5 3 2 3" xfId="54160"/>
    <cellStyle name="Обычный 5 3 3" xfId="54161"/>
    <cellStyle name="Обычный 5 3 4" xfId="54162"/>
    <cellStyle name="Обычный 5 4" xfId="54163"/>
    <cellStyle name="Обычный 5 5" xfId="54164"/>
    <cellStyle name="Обычный 5 6" xfId="54165"/>
    <cellStyle name="Обычный 5 7" xfId="54166"/>
    <cellStyle name="Обычный 5 8" xfId="54167"/>
    <cellStyle name="Обычный 5 9" xfId="54168"/>
    <cellStyle name="Обычный 50" xfId="54169"/>
    <cellStyle name="Обычный 50 2" xfId="54170"/>
    <cellStyle name="Обычный 50 3" xfId="54171"/>
    <cellStyle name="Обычный 51" xfId="54172"/>
    <cellStyle name="Обычный 51 2" xfId="54173"/>
    <cellStyle name="Обычный 51 3" xfId="54174"/>
    <cellStyle name="Обычный 52" xfId="54175"/>
    <cellStyle name="Обычный 52 2" xfId="54176"/>
    <cellStyle name="Обычный 52 3" xfId="54177"/>
    <cellStyle name="Обычный 53" xfId="54178"/>
    <cellStyle name="Обычный 53 2" xfId="54179"/>
    <cellStyle name="Обычный 53 3" xfId="54180"/>
    <cellStyle name="Обычный 54" xfId="54181"/>
    <cellStyle name="Обычный 54 2" xfId="54182"/>
    <cellStyle name="Обычный 54 3" xfId="54183"/>
    <cellStyle name="Обычный 55" xfId="54184"/>
    <cellStyle name="Обычный 55 2" xfId="54185"/>
    <cellStyle name="Обычный 55 3" xfId="54186"/>
    <cellStyle name="Обычный 56" xfId="54187"/>
    <cellStyle name="Обычный 56 2" xfId="54188"/>
    <cellStyle name="Обычный 56 3" xfId="54189"/>
    <cellStyle name="Обычный 57" xfId="54190"/>
    <cellStyle name="Обычный 57 2" xfId="54191"/>
    <cellStyle name="Обычный 57 3" xfId="54192"/>
    <cellStyle name="Обычный 58" xfId="54193"/>
    <cellStyle name="Обычный 58 2" xfId="54194"/>
    <cellStyle name="Обычный 58 3" xfId="54195"/>
    <cellStyle name="Обычный 59" xfId="54196"/>
    <cellStyle name="Обычный 59 2" xfId="54197"/>
    <cellStyle name="Обычный 59 3" xfId="54198"/>
    <cellStyle name="Обычный 6" xfId="54199"/>
    <cellStyle name="Обычный 6 2" xfId="54200"/>
    <cellStyle name="Обычный 6 2 2" xfId="54201"/>
    <cellStyle name="Обычный 6 2 2 2" xfId="54202"/>
    <cellStyle name="Обычный 6 2 3" xfId="54203"/>
    <cellStyle name="Обычный 6 2 4" xfId="54204"/>
    <cellStyle name="Обычный 6 3" xfId="54205"/>
    <cellStyle name="Обычный 6 4" xfId="54206"/>
    <cellStyle name="Обычный 6 5" xfId="54207"/>
    <cellStyle name="Обычный 60" xfId="54208"/>
    <cellStyle name="Обычный 60 2" xfId="54209"/>
    <cellStyle name="Обычный 60 3" xfId="54210"/>
    <cellStyle name="Обычный 61" xfId="54211"/>
    <cellStyle name="Обычный 61 2" xfId="54212"/>
    <cellStyle name="Обычный 61 3" xfId="54213"/>
    <cellStyle name="Обычный 62" xfId="54214"/>
    <cellStyle name="Обычный 62 2" xfId="54215"/>
    <cellStyle name="Обычный 62 3" xfId="54216"/>
    <cellStyle name="Обычный 63" xfId="54217"/>
    <cellStyle name="Обычный 63 2" xfId="54218"/>
    <cellStyle name="Обычный 63 3" xfId="54219"/>
    <cellStyle name="Обычный 64" xfId="54220"/>
    <cellStyle name="Обычный 64 2" xfId="54221"/>
    <cellStyle name="Обычный 64 3" xfId="54222"/>
    <cellStyle name="Обычный 65" xfId="54223"/>
    <cellStyle name="Обычный 65 2" xfId="54224"/>
    <cellStyle name="Обычный 65 3" xfId="54225"/>
    <cellStyle name="Обычный 66" xfId="54226"/>
    <cellStyle name="Обычный 66 2" xfId="54227"/>
    <cellStyle name="Обычный 66 3" xfId="54228"/>
    <cellStyle name="Обычный 67" xfId="54229"/>
    <cellStyle name="Обычный 67 2" xfId="54230"/>
    <cellStyle name="Обычный 67 3" xfId="54231"/>
    <cellStyle name="Обычный 68" xfId="54232"/>
    <cellStyle name="Обычный 68 2" xfId="54233"/>
    <cellStyle name="Обычный 68 3" xfId="54234"/>
    <cellStyle name="Обычный 69" xfId="54235"/>
    <cellStyle name="Обычный 69 2" xfId="54236"/>
    <cellStyle name="Обычный 69 3" xfId="54237"/>
    <cellStyle name="Обычный 7" xfId="54238"/>
    <cellStyle name="Обычный 7 2" xfId="54239"/>
    <cellStyle name="Обычный 7 2 2" xfId="54240"/>
    <cellStyle name="Обычный 7 3" xfId="54241"/>
    <cellStyle name="Обычный 7 4" xfId="54242"/>
    <cellStyle name="Обычный 7 5" xfId="54243"/>
    <cellStyle name="Обычный 7 6" xfId="54244"/>
    <cellStyle name="Обычный 70" xfId="54245"/>
    <cellStyle name="Обычный 70 2" xfId="54246"/>
    <cellStyle name="Обычный 70 3" xfId="54247"/>
    <cellStyle name="Обычный 71" xfId="54248"/>
    <cellStyle name="Обычный 71 2" xfId="54249"/>
    <cellStyle name="Обычный 71 3" xfId="54250"/>
    <cellStyle name="Обычный 72" xfId="54251"/>
    <cellStyle name="Обычный 72 2" xfId="54252"/>
    <cellStyle name="Обычный 72 3" xfId="54253"/>
    <cellStyle name="Обычный 73" xfId="54254"/>
    <cellStyle name="Обычный 73 2" xfId="54255"/>
    <cellStyle name="Обычный 73 3" xfId="54256"/>
    <cellStyle name="Обычный 74" xfId="54257"/>
    <cellStyle name="Обычный 74 2" xfId="54258"/>
    <cellStyle name="Обычный 74 3" xfId="54259"/>
    <cellStyle name="Обычный 75" xfId="54260"/>
    <cellStyle name="Обычный 75 2" xfId="54261"/>
    <cellStyle name="Обычный 75 3" xfId="54262"/>
    <cellStyle name="Обычный 76" xfId="54263"/>
    <cellStyle name="Обычный 76 2" xfId="54264"/>
    <cellStyle name="Обычный 76 3" xfId="54265"/>
    <cellStyle name="Обычный 77" xfId="54266"/>
    <cellStyle name="Обычный 77 2" xfId="54267"/>
    <cellStyle name="Обычный 77 3" xfId="54268"/>
    <cellStyle name="Обычный 78" xfId="54269"/>
    <cellStyle name="Обычный 78 2" xfId="54270"/>
    <cellStyle name="Обычный 78 3" xfId="54271"/>
    <cellStyle name="Обычный 79" xfId="54272"/>
    <cellStyle name="Обычный 79 2" xfId="54273"/>
    <cellStyle name="Обычный 79 3" xfId="54274"/>
    <cellStyle name="Обычный 8" xfId="54275"/>
    <cellStyle name="Обычный 8 2" xfId="54276"/>
    <cellStyle name="Обычный 8 2 2" xfId="54277"/>
    <cellStyle name="Обычный 8 2 3" xfId="54278"/>
    <cellStyle name="Обычный 8 3" xfId="54279"/>
    <cellStyle name="Обычный 8 3 2" xfId="54280"/>
    <cellStyle name="Обычный 8 3 3" xfId="54281"/>
    <cellStyle name="Обычный 8 4" xfId="54282"/>
    <cellStyle name="Обычный 8 5" xfId="54283"/>
    <cellStyle name="Обычный 8 6" xfId="54284"/>
    <cellStyle name="Обычный 80" xfId="54285"/>
    <cellStyle name="Обычный 80 2" xfId="54286"/>
    <cellStyle name="Обычный 80 3" xfId="54287"/>
    <cellStyle name="Обычный 81" xfId="54288"/>
    <cellStyle name="Обычный 81 2" xfId="54289"/>
    <cellStyle name="Обычный 81 3" xfId="54290"/>
    <cellStyle name="Обычный 82" xfId="54291"/>
    <cellStyle name="Обычный 82 2" xfId="54292"/>
    <cellStyle name="Обычный 82 3" xfId="54293"/>
    <cellStyle name="Обычный 83" xfId="54294"/>
    <cellStyle name="Обычный 83 2" xfId="54295"/>
    <cellStyle name="Обычный 83 3" xfId="54296"/>
    <cellStyle name="Обычный 84" xfId="54297"/>
    <cellStyle name="Обычный 84 2" xfId="54298"/>
    <cellStyle name="Обычный 84 3" xfId="54299"/>
    <cellStyle name="Обычный 85" xfId="54300"/>
    <cellStyle name="Обычный 85 2" xfId="54301"/>
    <cellStyle name="Обычный 85 3" xfId="54302"/>
    <cellStyle name="Обычный 86" xfId="54303"/>
    <cellStyle name="Обычный 86 2" xfId="54304"/>
    <cellStyle name="Обычный 86 3" xfId="54305"/>
    <cellStyle name="Обычный 87" xfId="54306"/>
    <cellStyle name="Обычный 87 2" xfId="54307"/>
    <cellStyle name="Обычный 87 3" xfId="54308"/>
    <cellStyle name="Обычный 88" xfId="54309"/>
    <cellStyle name="Обычный 88 2" xfId="54310"/>
    <cellStyle name="Обычный 88 3" xfId="54311"/>
    <cellStyle name="Обычный 89" xfId="54312"/>
    <cellStyle name="Обычный 89 2" xfId="54313"/>
    <cellStyle name="Обычный 89 3" xfId="54314"/>
    <cellStyle name="Обычный 9" xfId="54315"/>
    <cellStyle name="Обычный 9 2" xfId="54316"/>
    <cellStyle name="Обычный 9 2 2" xfId="54317"/>
    <cellStyle name="Обычный 9 2 3" xfId="54318"/>
    <cellStyle name="Обычный 9 3" xfId="54319"/>
    <cellStyle name="Обычный 9 3 2" xfId="54320"/>
    <cellStyle name="Обычный 9 3 3" xfId="54321"/>
    <cellStyle name="Обычный 9 4" xfId="54322"/>
    <cellStyle name="Обычный 9 5" xfId="54323"/>
    <cellStyle name="Обычный 90" xfId="54324"/>
    <cellStyle name="Обычный 90 2" xfId="54325"/>
    <cellStyle name="Обычный 90 3" xfId="54326"/>
    <cellStyle name="Обычный 91" xfId="54327"/>
    <cellStyle name="Обычный 91 2" xfId="54328"/>
    <cellStyle name="Обычный 91 3" xfId="54329"/>
    <cellStyle name="Обычный 92" xfId="54330"/>
    <cellStyle name="Обычный 92 2" xfId="54331"/>
    <cellStyle name="Обычный 92 3" xfId="54332"/>
    <cellStyle name="Обычный 93" xfId="54333"/>
    <cellStyle name="Обычный 94" xfId="54334"/>
    <cellStyle name="Обычный 95" xfId="54335"/>
    <cellStyle name="Обычный 96" xfId="54336"/>
    <cellStyle name="Обычный 97" xfId="54337"/>
    <cellStyle name="Обычный 98" xfId="54338"/>
    <cellStyle name="Обычный 99" xfId="54339"/>
    <cellStyle name="Обычный_бюджет ДРИ" xfId="54340"/>
    <cellStyle name="Обычнын_Ф2.тыс.руб" xfId="54341"/>
    <cellStyle name="Основа таблицы" xfId="54342"/>
    <cellStyle name="Основа таблицы 2" xfId="54343"/>
    <cellStyle name="Основа таблицы 3" xfId="54344"/>
    <cellStyle name="Открывавшаяся гиперссылка 10" xfId="54345"/>
    <cellStyle name="Открывавшаяся гиперссылка 100" xfId="54346"/>
    <cellStyle name="Открывавшаяся гиперссылка 101" xfId="54347"/>
    <cellStyle name="Открывавшаяся гиперссылка 102" xfId="54348"/>
    <cellStyle name="Открывавшаяся гиперссылка 103" xfId="54349"/>
    <cellStyle name="Открывавшаяся гиперссылка 104" xfId="54350"/>
    <cellStyle name="Открывавшаяся гиперссылка 105" xfId="54351"/>
    <cellStyle name="Открывавшаяся гиперссылка 106" xfId="54352"/>
    <cellStyle name="Открывавшаяся гиперссылка 107" xfId="54353"/>
    <cellStyle name="Открывавшаяся гиперссылка 108" xfId="54354"/>
    <cellStyle name="Открывавшаяся гиперссылка 109" xfId="54355"/>
    <cellStyle name="Открывавшаяся гиперссылка 11" xfId="54356"/>
    <cellStyle name="Открывавшаяся гиперссылка 110" xfId="54357"/>
    <cellStyle name="Открывавшаяся гиперссылка 111" xfId="54358"/>
    <cellStyle name="Открывавшаяся гиперссылка 112" xfId="54359"/>
    <cellStyle name="Открывавшаяся гиперссылка 113" xfId="54360"/>
    <cellStyle name="Открывавшаяся гиперссылка 114" xfId="54361"/>
    <cellStyle name="Открывавшаяся гиперссылка 115" xfId="54362"/>
    <cellStyle name="Открывавшаяся гиперссылка 116" xfId="54363"/>
    <cellStyle name="Открывавшаяся гиперссылка 117" xfId="54364"/>
    <cellStyle name="Открывавшаяся гиперссылка 118" xfId="54365"/>
    <cellStyle name="Открывавшаяся гиперссылка 119" xfId="54366"/>
    <cellStyle name="Открывавшаяся гиперссылка 12" xfId="54367"/>
    <cellStyle name="Открывавшаяся гиперссылка 120" xfId="54368"/>
    <cellStyle name="Открывавшаяся гиперссылка 121" xfId="54369"/>
    <cellStyle name="Открывавшаяся гиперссылка 122" xfId="54370"/>
    <cellStyle name="Открывавшаяся гиперссылка 123" xfId="54371"/>
    <cellStyle name="Открывавшаяся гиперссылка 124" xfId="54372"/>
    <cellStyle name="Открывавшаяся гиперссылка 125" xfId="54373"/>
    <cellStyle name="Открывавшаяся гиперссылка 126" xfId="54374"/>
    <cellStyle name="Открывавшаяся гиперссылка 127" xfId="54375"/>
    <cellStyle name="Открывавшаяся гиперссылка 128" xfId="54376"/>
    <cellStyle name="Открывавшаяся гиперссылка 129" xfId="54377"/>
    <cellStyle name="Открывавшаяся гиперссылка 13" xfId="54378"/>
    <cellStyle name="Открывавшаяся гиперссылка 130" xfId="54379"/>
    <cellStyle name="Открывавшаяся гиперссылка 131" xfId="54380"/>
    <cellStyle name="Открывавшаяся гиперссылка 132" xfId="54381"/>
    <cellStyle name="Открывавшаяся гиперссылка 14" xfId="54382"/>
    <cellStyle name="Открывавшаяся гиперссылка 15" xfId="54383"/>
    <cellStyle name="Открывавшаяся гиперссылка 16" xfId="54384"/>
    <cellStyle name="Открывавшаяся гиперссылка 17" xfId="54385"/>
    <cellStyle name="Открывавшаяся гиперссылка 18" xfId="54386"/>
    <cellStyle name="Открывавшаяся гиперссылка 19" xfId="54387"/>
    <cellStyle name="Открывавшаяся гиперссылка 2" xfId="54388"/>
    <cellStyle name="Открывавшаяся гиперссылка 2 2" xfId="54389"/>
    <cellStyle name="Открывавшаяся гиперссылка 20" xfId="54390"/>
    <cellStyle name="Открывавшаяся гиперссылка 21" xfId="54391"/>
    <cellStyle name="Открывавшаяся гиперссылка 22" xfId="54392"/>
    <cellStyle name="Открывавшаяся гиперссылка 23" xfId="54393"/>
    <cellStyle name="Открывавшаяся гиперссылка 24" xfId="54394"/>
    <cellStyle name="Открывавшаяся гиперссылка 25" xfId="54395"/>
    <cellStyle name="Открывавшаяся гиперссылка 26" xfId="54396"/>
    <cellStyle name="Открывавшаяся гиперссылка 27" xfId="54397"/>
    <cellStyle name="Открывавшаяся гиперссылка 28" xfId="54398"/>
    <cellStyle name="Открывавшаяся гиперссылка 29" xfId="54399"/>
    <cellStyle name="Открывавшаяся гиперссылка 3" xfId="54400"/>
    <cellStyle name="Открывавшаяся гиперссылка 3 15" xfId="54401"/>
    <cellStyle name="Открывавшаяся гиперссылка 3 16" xfId="54402"/>
    <cellStyle name="Открывавшаяся гиперссылка 3 17" xfId="54403"/>
    <cellStyle name="Открывавшаяся гиперссылка 3 18" xfId="54404"/>
    <cellStyle name="Открывавшаяся гиперссылка 3 19" xfId="54405"/>
    <cellStyle name="Открывавшаяся гиперссылка 3 2" xfId="54406"/>
    <cellStyle name="Открывавшаяся гиперссылка 3 20" xfId="54407"/>
    <cellStyle name="Открывавшаяся гиперссылка 3 21" xfId="54408"/>
    <cellStyle name="Открывавшаяся гиперссылка 3 22" xfId="54409"/>
    <cellStyle name="Открывавшаяся гиперссылка 3 23" xfId="54410"/>
    <cellStyle name="Открывавшаяся гиперссылка 3 24" xfId="54411"/>
    <cellStyle name="Открывавшаяся гиперссылка 3 25" xfId="54412"/>
    <cellStyle name="Открывавшаяся гиперссылка 3 26" xfId="54413"/>
    <cellStyle name="Открывавшаяся гиперссылка 3 3" xfId="54414"/>
    <cellStyle name="Открывавшаяся гиперссылка 3 4" xfId="54415"/>
    <cellStyle name="Открывавшаяся гиперссылка 3 5" xfId="54416"/>
    <cellStyle name="Открывавшаяся гиперссылка 3 6" xfId="54417"/>
    <cellStyle name="Открывавшаяся гиперссылка 3 7" xfId="54418"/>
    <cellStyle name="Открывавшаяся гиперссылка 3 8" xfId="54419"/>
    <cellStyle name="Открывавшаяся гиперссылка 3 9" xfId="54420"/>
    <cellStyle name="Открывавшаяся гиперссылка 30" xfId="54421"/>
    <cellStyle name="Открывавшаяся гиперссылка 31" xfId="54422"/>
    <cellStyle name="Открывавшаяся гиперссылка 32" xfId="54423"/>
    <cellStyle name="Открывавшаяся гиперссылка 33" xfId="54424"/>
    <cellStyle name="Открывавшаяся гиперссылка 34" xfId="54425"/>
    <cellStyle name="Открывавшаяся гиперссылка 35" xfId="54426"/>
    <cellStyle name="Открывавшаяся гиперссылка 36" xfId="54427"/>
    <cellStyle name="Открывавшаяся гиперссылка 37" xfId="54428"/>
    <cellStyle name="Открывавшаяся гиперссылка 38" xfId="54429"/>
    <cellStyle name="Открывавшаяся гиперссылка 39" xfId="54430"/>
    <cellStyle name="Открывавшаяся гиперссылка 4" xfId="54431"/>
    <cellStyle name="Открывавшаяся гиперссылка 4 15" xfId="54432"/>
    <cellStyle name="Открывавшаяся гиперссылка 4 16" xfId="54433"/>
    <cellStyle name="Открывавшаяся гиперссылка 4 17" xfId="54434"/>
    <cellStyle name="Открывавшаяся гиперссылка 4 18" xfId="54435"/>
    <cellStyle name="Открывавшаяся гиперссылка 4 19" xfId="54436"/>
    <cellStyle name="Открывавшаяся гиперссылка 4 2" xfId="54437"/>
    <cellStyle name="Открывавшаяся гиперссылка 4 20" xfId="54438"/>
    <cellStyle name="Открывавшаяся гиперссылка 4 21" xfId="54439"/>
    <cellStyle name="Открывавшаяся гиперссылка 4 22" xfId="54440"/>
    <cellStyle name="Открывавшаяся гиперссылка 4 23" xfId="54441"/>
    <cellStyle name="Открывавшаяся гиперссылка 4 24" xfId="54442"/>
    <cellStyle name="Открывавшаяся гиперссылка 4 25" xfId="54443"/>
    <cellStyle name="Открывавшаяся гиперссылка 4 26" xfId="54444"/>
    <cellStyle name="Открывавшаяся гиперссылка 4 3" xfId="54445"/>
    <cellStyle name="Открывавшаяся гиперссылка 4 4" xfId="54446"/>
    <cellStyle name="Открывавшаяся гиперссылка 4 5" xfId="54447"/>
    <cellStyle name="Открывавшаяся гиперссылка 4 6" xfId="54448"/>
    <cellStyle name="Открывавшаяся гиперссылка 4 7" xfId="54449"/>
    <cellStyle name="Открывавшаяся гиперссылка 4 8" xfId="54450"/>
    <cellStyle name="Открывавшаяся гиперссылка 4 9" xfId="54451"/>
    <cellStyle name="Открывавшаяся гиперссылка 40" xfId="54452"/>
    <cellStyle name="Открывавшаяся гиперссылка 41" xfId="54453"/>
    <cellStyle name="Открывавшаяся гиперссылка 42" xfId="54454"/>
    <cellStyle name="Открывавшаяся гиперссылка 43" xfId="54455"/>
    <cellStyle name="Открывавшаяся гиперссылка 44" xfId="54456"/>
    <cellStyle name="Открывавшаяся гиперссылка 45" xfId="54457"/>
    <cellStyle name="Открывавшаяся гиперссылка 46" xfId="54458"/>
    <cellStyle name="Открывавшаяся гиперссылка 47" xfId="54459"/>
    <cellStyle name="Открывавшаяся гиперссылка 48" xfId="54460"/>
    <cellStyle name="Открывавшаяся гиперссылка 49" xfId="54461"/>
    <cellStyle name="Открывавшаяся гиперссылка 5" xfId="54462"/>
    <cellStyle name="Открывавшаяся гиперссылка 5 15" xfId="54463"/>
    <cellStyle name="Открывавшаяся гиперссылка 5 16" xfId="54464"/>
    <cellStyle name="Открывавшаяся гиперссылка 5 17" xfId="54465"/>
    <cellStyle name="Открывавшаяся гиперссылка 5 18" xfId="54466"/>
    <cellStyle name="Открывавшаяся гиперссылка 5 19" xfId="54467"/>
    <cellStyle name="Открывавшаяся гиперссылка 5 2" xfId="54468"/>
    <cellStyle name="Открывавшаяся гиперссылка 5 20" xfId="54469"/>
    <cellStyle name="Открывавшаяся гиперссылка 5 21" xfId="54470"/>
    <cellStyle name="Открывавшаяся гиперссылка 5 22" xfId="54471"/>
    <cellStyle name="Открывавшаяся гиперссылка 5 23" xfId="54472"/>
    <cellStyle name="Открывавшаяся гиперссылка 5 24" xfId="54473"/>
    <cellStyle name="Открывавшаяся гиперссылка 5 25" xfId="54474"/>
    <cellStyle name="Открывавшаяся гиперссылка 5 26" xfId="54475"/>
    <cellStyle name="Открывавшаяся гиперссылка 5 3" xfId="54476"/>
    <cellStyle name="Открывавшаяся гиперссылка 5 4" xfId="54477"/>
    <cellStyle name="Открывавшаяся гиперссылка 5 5" xfId="54478"/>
    <cellStyle name="Открывавшаяся гиперссылка 5 6" xfId="54479"/>
    <cellStyle name="Открывавшаяся гиперссылка 5 7" xfId="54480"/>
    <cellStyle name="Открывавшаяся гиперссылка 5 8" xfId="54481"/>
    <cellStyle name="Открывавшаяся гиперссылка 5 9" xfId="54482"/>
    <cellStyle name="Открывавшаяся гиперссылка 50" xfId="54483"/>
    <cellStyle name="Открывавшаяся гиперссылка 51" xfId="54484"/>
    <cellStyle name="Открывавшаяся гиперссылка 52" xfId="54485"/>
    <cellStyle name="Открывавшаяся гиперссылка 53" xfId="54486"/>
    <cellStyle name="Открывавшаяся гиперссылка 54" xfId="54487"/>
    <cellStyle name="Открывавшаяся гиперссылка 55" xfId="54488"/>
    <cellStyle name="Открывавшаяся гиперссылка 56" xfId="54489"/>
    <cellStyle name="Открывавшаяся гиперссылка 57" xfId="54490"/>
    <cellStyle name="Открывавшаяся гиперссылка 58" xfId="54491"/>
    <cellStyle name="Открывавшаяся гиперссылка 59" xfId="54492"/>
    <cellStyle name="Открывавшаяся гиперссылка 6" xfId="54493"/>
    <cellStyle name="Открывавшаяся гиперссылка 6 15" xfId="54494"/>
    <cellStyle name="Открывавшаяся гиперссылка 6 16" xfId="54495"/>
    <cellStyle name="Открывавшаяся гиперссылка 6 17" xfId="54496"/>
    <cellStyle name="Открывавшаяся гиперссылка 6 18" xfId="54497"/>
    <cellStyle name="Открывавшаяся гиперссылка 6 19" xfId="54498"/>
    <cellStyle name="Открывавшаяся гиперссылка 6 2" xfId="54499"/>
    <cellStyle name="Открывавшаяся гиперссылка 6 20" xfId="54500"/>
    <cellStyle name="Открывавшаяся гиперссылка 6 21" xfId="54501"/>
    <cellStyle name="Открывавшаяся гиперссылка 6 22" xfId="54502"/>
    <cellStyle name="Открывавшаяся гиперссылка 6 23" xfId="54503"/>
    <cellStyle name="Открывавшаяся гиперссылка 6 24" xfId="54504"/>
    <cellStyle name="Открывавшаяся гиперссылка 6 25" xfId="54505"/>
    <cellStyle name="Открывавшаяся гиперссылка 6 26" xfId="54506"/>
    <cellStyle name="Открывавшаяся гиперссылка 6 3" xfId="54507"/>
    <cellStyle name="Открывавшаяся гиперссылка 6 4" xfId="54508"/>
    <cellStyle name="Открывавшаяся гиперссылка 6 5" xfId="54509"/>
    <cellStyle name="Открывавшаяся гиперссылка 6 6" xfId="54510"/>
    <cellStyle name="Открывавшаяся гиперссылка 6 7" xfId="54511"/>
    <cellStyle name="Открывавшаяся гиперссылка 6 8" xfId="54512"/>
    <cellStyle name="Открывавшаяся гиперссылка 6 9" xfId="54513"/>
    <cellStyle name="Открывавшаяся гиперссылка 60" xfId="54514"/>
    <cellStyle name="Открывавшаяся гиперссылка 61" xfId="54515"/>
    <cellStyle name="Открывавшаяся гиперссылка 62" xfId="54516"/>
    <cellStyle name="Открывавшаяся гиперссылка 63" xfId="54517"/>
    <cellStyle name="Открывавшаяся гиперссылка 64" xfId="54518"/>
    <cellStyle name="Открывавшаяся гиперссылка 65" xfId="54519"/>
    <cellStyle name="Открывавшаяся гиперссылка 66" xfId="54520"/>
    <cellStyle name="Открывавшаяся гиперссылка 67" xfId="54521"/>
    <cellStyle name="Открывавшаяся гиперссылка 68" xfId="54522"/>
    <cellStyle name="Открывавшаяся гиперссылка 69" xfId="54523"/>
    <cellStyle name="Открывавшаяся гиперссылка 7" xfId="54524"/>
    <cellStyle name="Открывавшаяся гиперссылка 7 15" xfId="54525"/>
    <cellStyle name="Открывавшаяся гиперссылка 7 16" xfId="54526"/>
    <cellStyle name="Открывавшаяся гиперссылка 7 17" xfId="54527"/>
    <cellStyle name="Открывавшаяся гиперссылка 7 18" xfId="54528"/>
    <cellStyle name="Открывавшаяся гиперссылка 7 19" xfId="54529"/>
    <cellStyle name="Открывавшаяся гиперссылка 7 2" xfId="54530"/>
    <cellStyle name="Открывавшаяся гиперссылка 7 20" xfId="54531"/>
    <cellStyle name="Открывавшаяся гиперссылка 7 21" xfId="54532"/>
    <cellStyle name="Открывавшаяся гиперссылка 7 22" xfId="54533"/>
    <cellStyle name="Открывавшаяся гиперссылка 7 23" xfId="54534"/>
    <cellStyle name="Открывавшаяся гиперссылка 7 24" xfId="54535"/>
    <cellStyle name="Открывавшаяся гиперссылка 7 25" xfId="54536"/>
    <cellStyle name="Открывавшаяся гиперссылка 7 26" xfId="54537"/>
    <cellStyle name="Открывавшаяся гиперссылка 7 3" xfId="54538"/>
    <cellStyle name="Открывавшаяся гиперссылка 7 4" xfId="54539"/>
    <cellStyle name="Открывавшаяся гиперссылка 7 5" xfId="54540"/>
    <cellStyle name="Открывавшаяся гиперссылка 7 6" xfId="54541"/>
    <cellStyle name="Открывавшаяся гиперссылка 7 7" xfId="54542"/>
    <cellStyle name="Открывавшаяся гиперссылка 7 8" xfId="54543"/>
    <cellStyle name="Открывавшаяся гиперссылка 7 9" xfId="54544"/>
    <cellStyle name="Открывавшаяся гиперссылка 70" xfId="54545"/>
    <cellStyle name="Открывавшаяся гиперссылка 71" xfId="54546"/>
    <cellStyle name="Открывавшаяся гиперссылка 72" xfId="54547"/>
    <cellStyle name="Открывавшаяся гиперссылка 73" xfId="54548"/>
    <cellStyle name="Открывавшаяся гиперссылка 74" xfId="54549"/>
    <cellStyle name="Открывавшаяся гиперссылка 75" xfId="54550"/>
    <cellStyle name="Открывавшаяся гиперссылка 76" xfId="54551"/>
    <cellStyle name="Открывавшаяся гиперссылка 77" xfId="54552"/>
    <cellStyle name="Открывавшаяся гиперссылка 78" xfId="54553"/>
    <cellStyle name="Открывавшаяся гиперссылка 79" xfId="54554"/>
    <cellStyle name="Открывавшаяся гиперссылка 8" xfId="54555"/>
    <cellStyle name="Открывавшаяся гиперссылка 80" xfId="54556"/>
    <cellStyle name="Открывавшаяся гиперссылка 81" xfId="54557"/>
    <cellStyle name="Открывавшаяся гиперссылка 82" xfId="54558"/>
    <cellStyle name="Открывавшаяся гиперссылка 83" xfId="54559"/>
    <cellStyle name="Открывавшаяся гиперссылка 84" xfId="54560"/>
    <cellStyle name="Открывавшаяся гиперссылка 85" xfId="54561"/>
    <cellStyle name="Открывавшаяся гиперссылка 86" xfId="54562"/>
    <cellStyle name="Открывавшаяся гиперссылка 87" xfId="54563"/>
    <cellStyle name="Открывавшаяся гиперссылка 88" xfId="54564"/>
    <cellStyle name="Открывавшаяся гиперссылка 89" xfId="54565"/>
    <cellStyle name="Открывавшаяся гиперссылка 9" xfId="54566"/>
    <cellStyle name="Открывавшаяся гиперссылка 90" xfId="54567"/>
    <cellStyle name="Открывавшаяся гиперссылка 91" xfId="54568"/>
    <cellStyle name="Открывавшаяся гиперссылка 92" xfId="54569"/>
    <cellStyle name="Открывавшаяся гиперссылка 93" xfId="54570"/>
    <cellStyle name="Открывавшаяся гиперссылка 94" xfId="54571"/>
    <cellStyle name="Открывавшаяся гиперссылка 95" xfId="54572"/>
    <cellStyle name="Открывавшаяся гиперссылка 96" xfId="54573"/>
    <cellStyle name="Открывавшаяся гиперссылка 97" xfId="54574"/>
    <cellStyle name="Открывавшаяся гиперссылка 98" xfId="54575"/>
    <cellStyle name="Открывавшаяся гиперссылка 99" xfId="54576"/>
    <cellStyle name="Первый столбец" xfId="54577"/>
    <cellStyle name="Первый столбец 2" xfId="54578"/>
    <cellStyle name="Первый столбец 3" xfId="54579"/>
    <cellStyle name="Плохой 10" xfId="54580"/>
    <cellStyle name="Плохой 10 2" xfId="54581"/>
    <cellStyle name="Плохой 10 3" xfId="54582"/>
    <cellStyle name="Плохой 11" xfId="54583"/>
    <cellStyle name="Плохой 11 2" xfId="54584"/>
    <cellStyle name="Плохой 11 3" xfId="54585"/>
    <cellStyle name="Плохой 12" xfId="54586"/>
    <cellStyle name="Плохой 12 2" xfId="54587"/>
    <cellStyle name="Плохой 12 3" xfId="54588"/>
    <cellStyle name="Плохой 13" xfId="54589"/>
    <cellStyle name="Плохой 14" xfId="54590"/>
    <cellStyle name="Плохой 2" xfId="54591"/>
    <cellStyle name="Плохой 2 2" xfId="54592"/>
    <cellStyle name="Плохой 2 3" xfId="54593"/>
    <cellStyle name="Плохой 2 4" xfId="54594"/>
    <cellStyle name="Плохой 3" xfId="54595"/>
    <cellStyle name="Плохой 3 2" xfId="54596"/>
    <cellStyle name="Плохой 3 3" xfId="54597"/>
    <cellStyle name="Плохой 4" xfId="54598"/>
    <cellStyle name="Плохой 4 2" xfId="54599"/>
    <cellStyle name="Плохой 4 3" xfId="54600"/>
    <cellStyle name="Плохой 5" xfId="54601"/>
    <cellStyle name="Плохой 5 2" xfId="54602"/>
    <cellStyle name="Плохой 5 3" xfId="54603"/>
    <cellStyle name="Плохой 6" xfId="54604"/>
    <cellStyle name="Плохой 6 2" xfId="54605"/>
    <cellStyle name="Плохой 6 3" xfId="54606"/>
    <cellStyle name="Плохой 7" xfId="54607"/>
    <cellStyle name="Плохой 7 2" xfId="54608"/>
    <cellStyle name="Плохой 7 3" xfId="54609"/>
    <cellStyle name="Плохой 8" xfId="54610"/>
    <cellStyle name="Плохой 8 2" xfId="54611"/>
    <cellStyle name="Плохой 8 3" xfId="54612"/>
    <cellStyle name="Плохой 9" xfId="54613"/>
    <cellStyle name="Плохой 9 2" xfId="54614"/>
    <cellStyle name="Плохой 9 3" xfId="54615"/>
    <cellStyle name="Подзаголовок" xfId="54616"/>
    <cellStyle name="Подзаголовок 2" xfId="54617"/>
    <cellStyle name="Подзаголовок 2 2" xfId="54618"/>
    <cellStyle name="Подзаголовок 3" xfId="54619"/>
    <cellStyle name="Подитоги" xfId="54620"/>
    <cellStyle name="Подитоги 2" xfId="54621"/>
    <cellStyle name="Подстрока" xfId="54622"/>
    <cellStyle name="Подстрока 10" xfId="54623"/>
    <cellStyle name="Подстрока 11" xfId="54624"/>
    <cellStyle name="Подстрока 12" xfId="54625"/>
    <cellStyle name="Подстрока 13" xfId="54626"/>
    <cellStyle name="Подстрока 14" xfId="54627"/>
    <cellStyle name="Подстрока 2" xfId="54628"/>
    <cellStyle name="Подстрока 2 10" xfId="54629"/>
    <cellStyle name="Подстрока 2 11" xfId="54630"/>
    <cellStyle name="Подстрока 2 12" xfId="54631"/>
    <cellStyle name="Подстрока 2 13" xfId="54632"/>
    <cellStyle name="Подстрока 2 14" xfId="54633"/>
    <cellStyle name="Подстрока 2 15" xfId="54634"/>
    <cellStyle name="Подстрока 2 16" xfId="54635"/>
    <cellStyle name="Подстрока 2 17" xfId="54636"/>
    <cellStyle name="Подстрока 2 2" xfId="54637"/>
    <cellStyle name="Подстрока 2 2 10" xfId="54638"/>
    <cellStyle name="Подстрока 2 2 11" xfId="54639"/>
    <cellStyle name="Подстрока 2 2 12" xfId="54640"/>
    <cellStyle name="Подстрока 2 2 13" xfId="54641"/>
    <cellStyle name="Подстрока 2 2 14" xfId="54642"/>
    <cellStyle name="Подстрока 2 2 15" xfId="54643"/>
    <cellStyle name="Подстрока 2 2 16" xfId="54644"/>
    <cellStyle name="Подстрока 2 2 17" xfId="54645"/>
    <cellStyle name="Подстрока 2 2 18" xfId="54646"/>
    <cellStyle name="Подстрока 2 2 2" xfId="54647"/>
    <cellStyle name="Подстрока 2 2 2 2" xfId="54648"/>
    <cellStyle name="Подстрока 2 2 2 2 2" xfId="54649"/>
    <cellStyle name="Подстрока 2 2 2 3" xfId="54650"/>
    <cellStyle name="Подстрока 2 2 2 4" xfId="54651"/>
    <cellStyle name="Подстрока 2 2 3" xfId="54652"/>
    <cellStyle name="Подстрока 2 2 3 2" xfId="54653"/>
    <cellStyle name="Подстрока 2 2 3 3" xfId="54654"/>
    <cellStyle name="Подстрока 2 2 4" xfId="54655"/>
    <cellStyle name="Подстрока 2 2 4 2" xfId="54656"/>
    <cellStyle name="Подстрока 2 2 5" xfId="54657"/>
    <cellStyle name="Подстрока 2 2 6" xfId="54658"/>
    <cellStyle name="Подстрока 2 2 7" xfId="54659"/>
    <cellStyle name="Подстрока 2 2 8" xfId="54660"/>
    <cellStyle name="Подстрока 2 2 9" xfId="54661"/>
    <cellStyle name="Подстрока 2 3" xfId="54662"/>
    <cellStyle name="Подстрока 2 3 10" xfId="54663"/>
    <cellStyle name="Подстрока 2 3 11" xfId="54664"/>
    <cellStyle name="Подстрока 2 3 12" xfId="54665"/>
    <cellStyle name="Подстрока 2 3 13" xfId="54666"/>
    <cellStyle name="Подстрока 2 3 14" xfId="54667"/>
    <cellStyle name="Подстрока 2 3 15" xfId="54668"/>
    <cellStyle name="Подстрока 2 3 16" xfId="54669"/>
    <cellStyle name="Подстрока 2 3 17" xfId="54670"/>
    <cellStyle name="Подстрока 2 3 18" xfId="54671"/>
    <cellStyle name="Подстрока 2 3 2" xfId="54672"/>
    <cellStyle name="Подстрока 2 3 2 2" xfId="54673"/>
    <cellStyle name="Подстрока 2 3 2 2 2" xfId="54674"/>
    <cellStyle name="Подстрока 2 3 2 3" xfId="54675"/>
    <cellStyle name="Подстрока 2 3 2 4" xfId="54676"/>
    <cellStyle name="Подстрока 2 3 3" xfId="54677"/>
    <cellStyle name="Подстрока 2 3 3 2" xfId="54678"/>
    <cellStyle name="Подстрока 2 3 3 3" xfId="54679"/>
    <cellStyle name="Подстрока 2 3 4" xfId="54680"/>
    <cellStyle name="Подстрока 2 3 4 2" xfId="54681"/>
    <cellStyle name="Подстрока 2 3 5" xfId="54682"/>
    <cellStyle name="Подстрока 2 3 6" xfId="54683"/>
    <cellStyle name="Подстрока 2 3 7" xfId="54684"/>
    <cellStyle name="Подстрока 2 3 8" xfId="54685"/>
    <cellStyle name="Подстрока 2 3 9" xfId="54686"/>
    <cellStyle name="Подстрока 2 4" xfId="54687"/>
    <cellStyle name="Подстрока 2 4 2" xfId="54688"/>
    <cellStyle name="Подстрока 2 4 2 2" xfId="54689"/>
    <cellStyle name="Подстрока 2 4 2 3" xfId="54690"/>
    <cellStyle name="Подстрока 2 4 3" xfId="54691"/>
    <cellStyle name="Подстрока 2 4 3 2" xfId="54692"/>
    <cellStyle name="Подстрока 2 4 4" xfId="54693"/>
    <cellStyle name="Подстрока 2 4 5" xfId="54694"/>
    <cellStyle name="Подстрока 2 5" xfId="54695"/>
    <cellStyle name="Подстрока 2 5 2" xfId="54696"/>
    <cellStyle name="Подстрока 2 5 2 2" xfId="54697"/>
    <cellStyle name="Подстрока 2 5 3" xfId="54698"/>
    <cellStyle name="Подстрока 2 5 4" xfId="54699"/>
    <cellStyle name="Подстрока 2 6" xfId="54700"/>
    <cellStyle name="Подстрока 2 6 2" xfId="54701"/>
    <cellStyle name="Подстрока 2 6 3" xfId="54702"/>
    <cellStyle name="Подстрока 2 7" xfId="54703"/>
    <cellStyle name="Подстрока 2 7 2" xfId="54704"/>
    <cellStyle name="Подстрока 2 8" xfId="54705"/>
    <cellStyle name="Подстрока 2 9" xfId="54706"/>
    <cellStyle name="Подстрока 3" xfId="54707"/>
    <cellStyle name="Подстрока 3 10" xfId="54708"/>
    <cellStyle name="Подстрока 3 11" xfId="54709"/>
    <cellStyle name="Подстрока 3 12" xfId="54710"/>
    <cellStyle name="Подстрока 3 13" xfId="54711"/>
    <cellStyle name="Подстрока 3 14" xfId="54712"/>
    <cellStyle name="Подстрока 3 15" xfId="54713"/>
    <cellStyle name="Подстрока 3 16" xfId="54714"/>
    <cellStyle name="Подстрока 3 17" xfId="54715"/>
    <cellStyle name="Подстрока 3 18" xfId="54716"/>
    <cellStyle name="Подстрока 3 19" xfId="54717"/>
    <cellStyle name="Подстрока 3 2" xfId="54718"/>
    <cellStyle name="Подстрока 3 2 10" xfId="54719"/>
    <cellStyle name="Подстрока 3 2 11" xfId="54720"/>
    <cellStyle name="Подстрока 3 2 12" xfId="54721"/>
    <cellStyle name="Подстрока 3 2 13" xfId="54722"/>
    <cellStyle name="Подстрока 3 2 14" xfId="54723"/>
    <cellStyle name="Подстрока 3 2 15" xfId="54724"/>
    <cellStyle name="Подстрока 3 2 16" xfId="54725"/>
    <cellStyle name="Подстрока 3 2 17" xfId="54726"/>
    <cellStyle name="Подстрока 3 2 18" xfId="54727"/>
    <cellStyle name="Подстрока 3 2 2" xfId="54728"/>
    <cellStyle name="Подстрока 3 2 2 2" xfId="54729"/>
    <cellStyle name="Подстрока 3 2 2 2 2" xfId="54730"/>
    <cellStyle name="Подстрока 3 2 2 3" xfId="54731"/>
    <cellStyle name="Подстрока 3 2 2 4" xfId="54732"/>
    <cellStyle name="Подстрока 3 2 3" xfId="54733"/>
    <cellStyle name="Подстрока 3 2 3 2" xfId="54734"/>
    <cellStyle name="Подстрока 3 2 3 3" xfId="54735"/>
    <cellStyle name="Подстрока 3 2 4" xfId="54736"/>
    <cellStyle name="Подстрока 3 2 4 2" xfId="54737"/>
    <cellStyle name="Подстрока 3 2 5" xfId="54738"/>
    <cellStyle name="Подстрока 3 2 6" xfId="54739"/>
    <cellStyle name="Подстрока 3 2 7" xfId="54740"/>
    <cellStyle name="Подстрока 3 2 8" xfId="54741"/>
    <cellStyle name="Подстрока 3 2 9" xfId="54742"/>
    <cellStyle name="Подстрока 3 3" xfId="54743"/>
    <cellStyle name="Подстрока 3 3 10" xfId="54744"/>
    <cellStyle name="Подстрока 3 3 11" xfId="54745"/>
    <cellStyle name="Подстрока 3 3 12" xfId="54746"/>
    <cellStyle name="Подстрока 3 3 13" xfId="54747"/>
    <cellStyle name="Подстрока 3 3 14" xfId="54748"/>
    <cellStyle name="Подстрока 3 3 15" xfId="54749"/>
    <cellStyle name="Подстрока 3 3 16" xfId="54750"/>
    <cellStyle name="Подстрока 3 3 17" xfId="54751"/>
    <cellStyle name="Подстрока 3 3 18" xfId="54752"/>
    <cellStyle name="Подстрока 3 3 2" xfId="54753"/>
    <cellStyle name="Подстрока 3 3 2 2" xfId="54754"/>
    <cellStyle name="Подстрока 3 3 2 2 2" xfId="54755"/>
    <cellStyle name="Подстрока 3 3 2 3" xfId="54756"/>
    <cellStyle name="Подстрока 3 3 2 4" xfId="54757"/>
    <cellStyle name="Подстрока 3 3 3" xfId="54758"/>
    <cellStyle name="Подстрока 3 3 3 2" xfId="54759"/>
    <cellStyle name="Подстрока 3 3 3 3" xfId="54760"/>
    <cellStyle name="Подстрока 3 3 4" xfId="54761"/>
    <cellStyle name="Подстрока 3 3 4 2" xfId="54762"/>
    <cellStyle name="Подстрока 3 3 5" xfId="54763"/>
    <cellStyle name="Подстрока 3 3 6" xfId="54764"/>
    <cellStyle name="Подстрока 3 3 7" xfId="54765"/>
    <cellStyle name="Подстрока 3 3 8" xfId="54766"/>
    <cellStyle name="Подстрока 3 3 9" xfId="54767"/>
    <cellStyle name="Подстрока 3 4" xfId="54768"/>
    <cellStyle name="Подстрока 3 4 2" xfId="54769"/>
    <cellStyle name="Подстрока 3 4 2 2" xfId="54770"/>
    <cellStyle name="Подстрока 3 4 2 3" xfId="54771"/>
    <cellStyle name="Подстрока 3 4 3" xfId="54772"/>
    <cellStyle name="Подстрока 3 4 3 2" xfId="54773"/>
    <cellStyle name="Подстрока 3 4 4" xfId="54774"/>
    <cellStyle name="Подстрока 3 4 5" xfId="54775"/>
    <cellStyle name="Подстрока 3 5" xfId="54776"/>
    <cellStyle name="Подстрока 3 5 2" xfId="54777"/>
    <cellStyle name="Подстрока 3 5 2 2" xfId="54778"/>
    <cellStyle name="Подстрока 3 5 3" xfId="54779"/>
    <cellStyle name="Подстрока 3 5 4" xfId="54780"/>
    <cellStyle name="Подстрока 3 6" xfId="54781"/>
    <cellStyle name="Подстрока 3 6 2" xfId="54782"/>
    <cellStyle name="Подстрока 3 6 3" xfId="54783"/>
    <cellStyle name="Подстрока 3 7" xfId="54784"/>
    <cellStyle name="Подстрока 3 7 2" xfId="54785"/>
    <cellStyle name="Подстрока 3 8" xfId="54786"/>
    <cellStyle name="Подстрока 3 9" xfId="54787"/>
    <cellStyle name="Подстрока 4" xfId="54788"/>
    <cellStyle name="Подстрока 4 10" xfId="54789"/>
    <cellStyle name="Подстрока 4 11" xfId="54790"/>
    <cellStyle name="Подстрока 4 12" xfId="54791"/>
    <cellStyle name="Подстрока 4 13" xfId="54792"/>
    <cellStyle name="Подстрока 4 14" xfId="54793"/>
    <cellStyle name="Подстрока 4 15" xfId="54794"/>
    <cellStyle name="Подстрока 4 16" xfId="54795"/>
    <cellStyle name="Подстрока 4 17" xfId="54796"/>
    <cellStyle name="Подстрока 4 18" xfId="54797"/>
    <cellStyle name="Подстрока 4 2" xfId="54798"/>
    <cellStyle name="Подстрока 4 2 10" xfId="54799"/>
    <cellStyle name="Подстрока 4 2 11" xfId="54800"/>
    <cellStyle name="Подстрока 4 2 12" xfId="54801"/>
    <cellStyle name="Подстрока 4 2 13" xfId="54802"/>
    <cellStyle name="Подстрока 4 2 14" xfId="54803"/>
    <cellStyle name="Подстрока 4 2 15" xfId="54804"/>
    <cellStyle name="Подстрока 4 2 16" xfId="54805"/>
    <cellStyle name="Подстрока 4 2 17" xfId="54806"/>
    <cellStyle name="Подстрока 4 2 18" xfId="54807"/>
    <cellStyle name="Подстрока 4 2 2" xfId="54808"/>
    <cellStyle name="Подстрока 4 2 2 2" xfId="54809"/>
    <cellStyle name="Подстрока 4 2 2 2 2" xfId="54810"/>
    <cellStyle name="Подстрока 4 2 2 3" xfId="54811"/>
    <cellStyle name="Подстрока 4 2 2 4" xfId="54812"/>
    <cellStyle name="Подстрока 4 2 3" xfId="54813"/>
    <cellStyle name="Подстрока 4 2 3 2" xfId="54814"/>
    <cellStyle name="Подстрока 4 2 3 3" xfId="54815"/>
    <cellStyle name="Подстрока 4 2 4" xfId="54816"/>
    <cellStyle name="Подстрока 4 2 4 2" xfId="54817"/>
    <cellStyle name="Подстрока 4 2 5" xfId="54818"/>
    <cellStyle name="Подстрока 4 2 6" xfId="54819"/>
    <cellStyle name="Подстрока 4 2 7" xfId="54820"/>
    <cellStyle name="Подстрока 4 2 8" xfId="54821"/>
    <cellStyle name="Подстрока 4 2 9" xfId="54822"/>
    <cellStyle name="Подстрока 4 3" xfId="54823"/>
    <cellStyle name="Подстрока 4 3 10" xfId="54824"/>
    <cellStyle name="Подстрока 4 3 11" xfId="54825"/>
    <cellStyle name="Подстрока 4 3 12" xfId="54826"/>
    <cellStyle name="Подстрока 4 3 13" xfId="54827"/>
    <cellStyle name="Подстрока 4 3 14" xfId="54828"/>
    <cellStyle name="Подстрока 4 3 15" xfId="54829"/>
    <cellStyle name="Подстрока 4 3 16" xfId="54830"/>
    <cellStyle name="Подстрока 4 3 17" xfId="54831"/>
    <cellStyle name="Подстрока 4 3 18" xfId="54832"/>
    <cellStyle name="Подстрока 4 3 2" xfId="54833"/>
    <cellStyle name="Подстрока 4 3 2 2" xfId="54834"/>
    <cellStyle name="Подстрока 4 3 2 2 2" xfId="54835"/>
    <cellStyle name="Подстрока 4 3 2 3" xfId="54836"/>
    <cellStyle name="Подстрока 4 3 2 4" xfId="54837"/>
    <cellStyle name="Подстрока 4 3 3" xfId="54838"/>
    <cellStyle name="Подстрока 4 3 3 2" xfId="54839"/>
    <cellStyle name="Подстрока 4 3 3 3" xfId="54840"/>
    <cellStyle name="Подстрока 4 3 4" xfId="54841"/>
    <cellStyle name="Подстрока 4 3 4 2" xfId="54842"/>
    <cellStyle name="Подстрока 4 3 5" xfId="54843"/>
    <cellStyle name="Подстрока 4 3 6" xfId="54844"/>
    <cellStyle name="Подстрока 4 3 7" xfId="54845"/>
    <cellStyle name="Подстрока 4 3 8" xfId="54846"/>
    <cellStyle name="Подстрока 4 3 9" xfId="54847"/>
    <cellStyle name="Подстрока 4 4" xfId="54848"/>
    <cellStyle name="Подстрока 4 4 2" xfId="54849"/>
    <cellStyle name="Подстрока 4 4 2 2" xfId="54850"/>
    <cellStyle name="Подстрока 4 4 2 3" xfId="54851"/>
    <cellStyle name="Подстрока 4 4 3" xfId="54852"/>
    <cellStyle name="Подстрока 4 4 3 2" xfId="54853"/>
    <cellStyle name="Подстрока 4 4 4" xfId="54854"/>
    <cellStyle name="Подстрока 4 4 5" xfId="54855"/>
    <cellStyle name="Подстрока 4 5" xfId="54856"/>
    <cellStyle name="Подстрока 4 5 2" xfId="54857"/>
    <cellStyle name="Подстрока 4 5 2 2" xfId="54858"/>
    <cellStyle name="Подстрока 4 5 3" xfId="54859"/>
    <cellStyle name="Подстрока 4 5 4" xfId="54860"/>
    <cellStyle name="Подстрока 4 6" xfId="54861"/>
    <cellStyle name="Подстрока 4 6 2" xfId="54862"/>
    <cellStyle name="Подстрока 4 6 3" xfId="54863"/>
    <cellStyle name="Подстрока 4 7" xfId="54864"/>
    <cellStyle name="Подстрока 4 7 2" xfId="54865"/>
    <cellStyle name="Подстрока 4 8" xfId="54866"/>
    <cellStyle name="Подстрока 4 9" xfId="54867"/>
    <cellStyle name="Подстрока 5" xfId="54868"/>
    <cellStyle name="Подстрока 5 10" xfId="54869"/>
    <cellStyle name="Подстрока 5 11" xfId="54870"/>
    <cellStyle name="Подстрока 5 12" xfId="54871"/>
    <cellStyle name="Подстрока 5 13" xfId="54872"/>
    <cellStyle name="Подстрока 5 14" xfId="54873"/>
    <cellStyle name="Подстрока 5 15" xfId="54874"/>
    <cellStyle name="Подстрока 5 16" xfId="54875"/>
    <cellStyle name="Подстрока 5 2" xfId="54876"/>
    <cellStyle name="Подстрока 5 2 10" xfId="54877"/>
    <cellStyle name="Подстрока 5 2 11" xfId="54878"/>
    <cellStyle name="Подстрока 5 2 12" xfId="54879"/>
    <cellStyle name="Подстрока 5 2 13" xfId="54880"/>
    <cellStyle name="Подстрока 5 2 14" xfId="54881"/>
    <cellStyle name="Подстрока 5 2 15" xfId="54882"/>
    <cellStyle name="Подстрока 5 2 16" xfId="54883"/>
    <cellStyle name="Подстрока 5 2 17" xfId="54884"/>
    <cellStyle name="Подстрока 5 2 18" xfId="54885"/>
    <cellStyle name="Подстрока 5 2 2" xfId="54886"/>
    <cellStyle name="Подстрока 5 2 2 2" xfId="54887"/>
    <cellStyle name="Подстрока 5 2 2 2 2" xfId="54888"/>
    <cellStyle name="Подстрока 5 2 2 3" xfId="54889"/>
    <cellStyle name="Подстрока 5 2 2 4" xfId="54890"/>
    <cellStyle name="Подстрока 5 2 3" xfId="54891"/>
    <cellStyle name="Подстрока 5 2 3 2" xfId="54892"/>
    <cellStyle name="Подстрока 5 2 3 3" xfId="54893"/>
    <cellStyle name="Подстрока 5 2 4" xfId="54894"/>
    <cellStyle name="Подстрока 5 2 4 2" xfId="54895"/>
    <cellStyle name="Подстрока 5 2 5" xfId="54896"/>
    <cellStyle name="Подстрока 5 2 6" xfId="54897"/>
    <cellStyle name="Подстрока 5 2 7" xfId="54898"/>
    <cellStyle name="Подстрока 5 2 8" xfId="54899"/>
    <cellStyle name="Подстрока 5 2 9" xfId="54900"/>
    <cellStyle name="Подстрока 5 3" xfId="54901"/>
    <cellStyle name="Подстрока 5 3 10" xfId="54902"/>
    <cellStyle name="Подстрока 5 3 11" xfId="54903"/>
    <cellStyle name="Подстрока 5 3 12" xfId="54904"/>
    <cellStyle name="Подстрока 5 3 13" xfId="54905"/>
    <cellStyle name="Подстрока 5 3 14" xfId="54906"/>
    <cellStyle name="Подстрока 5 3 15" xfId="54907"/>
    <cellStyle name="Подстрока 5 3 16" xfId="54908"/>
    <cellStyle name="Подстрока 5 3 17" xfId="54909"/>
    <cellStyle name="Подстрока 5 3 18" xfId="54910"/>
    <cellStyle name="Подстрока 5 3 2" xfId="54911"/>
    <cellStyle name="Подстрока 5 3 2 2" xfId="54912"/>
    <cellStyle name="Подстрока 5 3 2 2 2" xfId="54913"/>
    <cellStyle name="Подстрока 5 3 2 3" xfId="54914"/>
    <cellStyle name="Подстрока 5 3 2 4" xfId="54915"/>
    <cellStyle name="Подстрока 5 3 3" xfId="54916"/>
    <cellStyle name="Подстрока 5 3 3 2" xfId="54917"/>
    <cellStyle name="Подстрока 5 3 3 3" xfId="54918"/>
    <cellStyle name="Подстрока 5 3 4" xfId="54919"/>
    <cellStyle name="Подстрока 5 3 4 2" xfId="54920"/>
    <cellStyle name="Подстрока 5 3 5" xfId="54921"/>
    <cellStyle name="Подстрока 5 3 6" xfId="54922"/>
    <cellStyle name="Подстрока 5 3 7" xfId="54923"/>
    <cellStyle name="Подстрока 5 3 8" xfId="54924"/>
    <cellStyle name="Подстрока 5 3 9" xfId="54925"/>
    <cellStyle name="Подстрока 5 4" xfId="54926"/>
    <cellStyle name="Подстрока 5 4 2" xfId="54927"/>
    <cellStyle name="Подстрока 5 4 2 2" xfId="54928"/>
    <cellStyle name="Подстрока 5 4 2 3" xfId="54929"/>
    <cellStyle name="Подстрока 5 4 3" xfId="54930"/>
    <cellStyle name="Подстрока 5 4 3 2" xfId="54931"/>
    <cellStyle name="Подстрока 5 4 4" xfId="54932"/>
    <cellStyle name="Подстрока 5 4 5" xfId="54933"/>
    <cellStyle name="Подстрока 5 5" xfId="54934"/>
    <cellStyle name="Подстрока 5 5 2" xfId="54935"/>
    <cellStyle name="Подстрока 5 5 2 2" xfId="54936"/>
    <cellStyle name="Подстрока 5 5 3" xfId="54937"/>
    <cellStyle name="Подстрока 5 5 4" xfId="54938"/>
    <cellStyle name="Подстрока 5 6" xfId="54939"/>
    <cellStyle name="Подстрока 5 6 2" xfId="54940"/>
    <cellStyle name="Подстрока 5 7" xfId="54941"/>
    <cellStyle name="Подстрока 5 8" xfId="54942"/>
    <cellStyle name="Подстрока 5 9" xfId="54943"/>
    <cellStyle name="Подстрока 6" xfId="54944"/>
    <cellStyle name="Подстрока 6 10" xfId="54945"/>
    <cellStyle name="Подстрока 6 11" xfId="54946"/>
    <cellStyle name="Подстрока 6 12" xfId="54947"/>
    <cellStyle name="Подстрока 6 13" xfId="54948"/>
    <cellStyle name="Подстрока 6 14" xfId="54949"/>
    <cellStyle name="Подстрока 6 15" xfId="54950"/>
    <cellStyle name="Подстрока 6 16" xfId="54951"/>
    <cellStyle name="Подстрока 6 17" xfId="54952"/>
    <cellStyle name="Подстрока 6 18" xfId="54953"/>
    <cellStyle name="Подстрока 6 2" xfId="54954"/>
    <cellStyle name="Подстрока 6 2 2" xfId="54955"/>
    <cellStyle name="Подстрока 6 2 3" xfId="54956"/>
    <cellStyle name="Подстрока 6 3" xfId="54957"/>
    <cellStyle name="Подстрока 6 3 2" xfId="54958"/>
    <cellStyle name="Подстрока 6 4" xfId="54959"/>
    <cellStyle name="Подстрока 6 5" xfId="54960"/>
    <cellStyle name="Подстрока 6 6" xfId="54961"/>
    <cellStyle name="Подстрока 6 7" xfId="54962"/>
    <cellStyle name="Подстрока 6 8" xfId="54963"/>
    <cellStyle name="Подстрока 6 9" xfId="54964"/>
    <cellStyle name="Подстрока 7" xfId="54965"/>
    <cellStyle name="Подстрока 7 2" xfId="54966"/>
    <cellStyle name="Подстрока 7 2 2" xfId="54967"/>
    <cellStyle name="Подстрока 7 3" xfId="54968"/>
    <cellStyle name="Подстрока 7 4" xfId="54969"/>
    <cellStyle name="Подстрока 8" xfId="54970"/>
    <cellStyle name="Подстрока 9" xfId="54971"/>
    <cellStyle name="Поле ввода" xfId="54972"/>
    <cellStyle name="Поле ввода 2" xfId="54973"/>
    <cellStyle name="Поле сводной таблицы" xfId="54974"/>
    <cellStyle name="Пояснение 10" xfId="54975"/>
    <cellStyle name="Пояснение 10 2" xfId="54976"/>
    <cellStyle name="Пояснение 10 3" xfId="54977"/>
    <cellStyle name="Пояснение 11" xfId="54978"/>
    <cellStyle name="Пояснение 11 2" xfId="54979"/>
    <cellStyle name="Пояснение 11 3" xfId="54980"/>
    <cellStyle name="Пояснение 12" xfId="54981"/>
    <cellStyle name="Пояснение 12 2" xfId="54982"/>
    <cellStyle name="Пояснение 12 3" xfId="54983"/>
    <cellStyle name="Пояснение 13" xfId="54984"/>
    <cellStyle name="Пояснение 14" xfId="54985"/>
    <cellStyle name="Пояснение 2" xfId="54986"/>
    <cellStyle name="Пояснение 2 2" xfId="54987"/>
    <cellStyle name="Пояснение 2 3" xfId="54988"/>
    <cellStyle name="Пояснение 2 4" xfId="54989"/>
    <cellStyle name="Пояснение 3" xfId="54990"/>
    <cellStyle name="Пояснение 3 2" xfId="54991"/>
    <cellStyle name="Пояснение 3 3" xfId="54992"/>
    <cellStyle name="Пояснение 4" xfId="54993"/>
    <cellStyle name="Пояснение 4 2" xfId="54994"/>
    <cellStyle name="Пояснение 4 3" xfId="54995"/>
    <cellStyle name="Пояснение 5" xfId="54996"/>
    <cellStyle name="Пояснение 5 2" xfId="54997"/>
    <cellStyle name="Пояснение 5 3" xfId="54998"/>
    <cellStyle name="Пояснение 6" xfId="54999"/>
    <cellStyle name="Пояснение 6 2" xfId="55000"/>
    <cellStyle name="Пояснение 6 3" xfId="55001"/>
    <cellStyle name="Пояснение 7" xfId="55002"/>
    <cellStyle name="Пояснение 7 2" xfId="55003"/>
    <cellStyle name="Пояснение 7 3" xfId="55004"/>
    <cellStyle name="Пояснение 8" xfId="55005"/>
    <cellStyle name="Пояснение 8 2" xfId="55006"/>
    <cellStyle name="Пояснение 8 3" xfId="55007"/>
    <cellStyle name="Пояснение 9" xfId="55008"/>
    <cellStyle name="Пояснение 9 2" xfId="55009"/>
    <cellStyle name="Пояснение 9 3" xfId="55010"/>
    <cellStyle name="Примечание 10" xfId="55011"/>
    <cellStyle name="Примечание 10 2" xfId="55012"/>
    <cellStyle name="Примечание 10 3" xfId="55013"/>
    <cellStyle name="Примечание 10 4" xfId="55014"/>
    <cellStyle name="Примечание 11" xfId="55015"/>
    <cellStyle name="Примечание 11 2" xfId="55016"/>
    <cellStyle name="Примечание 11 3" xfId="55017"/>
    <cellStyle name="Примечание 12" xfId="55018"/>
    <cellStyle name="Примечание 12 2" xfId="55019"/>
    <cellStyle name="Примечание 12 3" xfId="55020"/>
    <cellStyle name="Примечание 13" xfId="55021"/>
    <cellStyle name="Примечание 14" xfId="55022"/>
    <cellStyle name="Примечание 14 2" xfId="55023"/>
    <cellStyle name="Примечание 15" xfId="55024"/>
    <cellStyle name="Примечание 16" xfId="55025"/>
    <cellStyle name="Примечание 16 2" xfId="55026"/>
    <cellStyle name="Примечание 16 2 2" xfId="55027"/>
    <cellStyle name="Примечание 17" xfId="55028"/>
    <cellStyle name="Примечание 17 2" xfId="55029"/>
    <cellStyle name="Примечание 2" xfId="55030"/>
    <cellStyle name="Примечание 2 2" xfId="55031"/>
    <cellStyle name="Примечание 2 2 2" xfId="55032"/>
    <cellStyle name="Примечание 2 3" xfId="55033"/>
    <cellStyle name="Примечание 2 4" xfId="55034"/>
    <cellStyle name="Примечание 3" xfId="55035"/>
    <cellStyle name="Примечание 3 2" xfId="55036"/>
    <cellStyle name="Примечание 3 2 2" xfId="55037"/>
    <cellStyle name="Примечание 3 3" xfId="55038"/>
    <cellStyle name="Примечание 3 4" xfId="55039"/>
    <cellStyle name="Примечание 4" xfId="55040"/>
    <cellStyle name="Примечание 4 2" xfId="55041"/>
    <cellStyle name="Примечание 4 2 2" xfId="55042"/>
    <cellStyle name="Примечание 4 3" xfId="55043"/>
    <cellStyle name="Примечание 4 4" xfId="55044"/>
    <cellStyle name="Примечание 5" xfId="55045"/>
    <cellStyle name="Примечание 5 2" xfId="55046"/>
    <cellStyle name="Примечание 5 2 2" xfId="55047"/>
    <cellStyle name="Примечание 5 3" xfId="55048"/>
    <cellStyle name="Примечание 5 4" xfId="55049"/>
    <cellStyle name="Примечание 6" xfId="55050"/>
    <cellStyle name="Примечание 6 2" xfId="55051"/>
    <cellStyle name="Примечание 6 2 2" xfId="55052"/>
    <cellStyle name="Примечание 6 3" xfId="55053"/>
    <cellStyle name="Примечание 6 4" xfId="55054"/>
    <cellStyle name="Примечание 7" xfId="55055"/>
    <cellStyle name="Примечание 7 2" xfId="55056"/>
    <cellStyle name="Примечание 7 2 2" xfId="55057"/>
    <cellStyle name="Примечание 7 3" xfId="55058"/>
    <cellStyle name="Примечание 7 4" xfId="55059"/>
    <cellStyle name="Примечание 8" xfId="55060"/>
    <cellStyle name="Примечание 8 2" xfId="55061"/>
    <cellStyle name="Примечание 8 2 2" xfId="55062"/>
    <cellStyle name="Примечание 8 3" xfId="55063"/>
    <cellStyle name="Примечание 8 4" xfId="55064"/>
    <cellStyle name="Примечание 9" xfId="55065"/>
    <cellStyle name="Примечание 9 2" xfId="55066"/>
    <cellStyle name="Примечание 9 2 2" xfId="55067"/>
    <cellStyle name="Примечание 9 3" xfId="55068"/>
    <cellStyle name="Примечание 9 4" xfId="55069"/>
    <cellStyle name="Проверка" xfId="55070"/>
    <cellStyle name="Процентный" xfId="55071" builtinId="5"/>
    <cellStyle name="Процентный 10" xfId="55072"/>
    <cellStyle name="Процентный 10 2" xfId="55073"/>
    <cellStyle name="Процентный 11" xfId="55074"/>
    <cellStyle name="Процентный 11 2" xfId="55075"/>
    <cellStyle name="Процентный 11 2 2" xfId="55076"/>
    <cellStyle name="Процентный 11 3" xfId="55077"/>
    <cellStyle name="Процентный 11 3 2" xfId="55078"/>
    <cellStyle name="Процентный 11 4" xfId="55079"/>
    <cellStyle name="Процентный 11 4 2" xfId="55080"/>
    <cellStyle name="Процентный 11 5" xfId="55081"/>
    <cellStyle name="Процентный 11 5 2" xfId="55082"/>
    <cellStyle name="Процентный 11 6" xfId="55083"/>
    <cellStyle name="Процентный 11 7" xfId="55084"/>
    <cellStyle name="Процентный 12" xfId="55085"/>
    <cellStyle name="Процентный 12 2" xfId="55086"/>
    <cellStyle name="Процентный 13" xfId="55087"/>
    <cellStyle name="Процентный 13 2" xfId="55088"/>
    <cellStyle name="Процентный 13 3" xfId="55089"/>
    <cellStyle name="Процентный 14" xfId="55090"/>
    <cellStyle name="Процентный 14 2" xfId="55091"/>
    <cellStyle name="Процентный 14 3" xfId="55092"/>
    <cellStyle name="Процентный 15" xfId="55093"/>
    <cellStyle name="Процентный 15 2" xfId="55094"/>
    <cellStyle name="Процентный 15 3" xfId="55095"/>
    <cellStyle name="Процентный 16" xfId="55096"/>
    <cellStyle name="Процентный 16 2" xfId="55097"/>
    <cellStyle name="Процентный 16 3" xfId="55098"/>
    <cellStyle name="Процентный 17" xfId="55099"/>
    <cellStyle name="Процентный 17 2" xfId="55100"/>
    <cellStyle name="Процентный 17 3" xfId="55101"/>
    <cellStyle name="Процентный 18" xfId="55102"/>
    <cellStyle name="Процентный 18 2" xfId="55103"/>
    <cellStyle name="Процентный 18 3" xfId="55104"/>
    <cellStyle name="Процентный 19" xfId="55105"/>
    <cellStyle name="Процентный 19 2" xfId="55106"/>
    <cellStyle name="Процентный 19 3" xfId="55107"/>
    <cellStyle name="Процентный 2" xfId="55108"/>
    <cellStyle name="Процентный 2 10" xfId="55109"/>
    <cellStyle name="Процентный 2 11" xfId="55110"/>
    <cellStyle name="Процентный 2 12" xfId="55111"/>
    <cellStyle name="Процентный 2 13" xfId="55112"/>
    <cellStyle name="Процентный 2 14" xfId="55113"/>
    <cellStyle name="Процентный 2 15" xfId="55114"/>
    <cellStyle name="Процентный 2 16" xfId="55115"/>
    <cellStyle name="Процентный 2 2" xfId="55116"/>
    <cellStyle name="Процентный 2 2 10" xfId="55117"/>
    <cellStyle name="Процентный 2 2 10 2" xfId="55118"/>
    <cellStyle name="Процентный 2 2 11" xfId="55119"/>
    <cellStyle name="Процентный 2 2 11 2" xfId="55120"/>
    <cellStyle name="Процентный 2 2 12" xfId="55121"/>
    <cellStyle name="Процентный 2 2 12 2" xfId="55122"/>
    <cellStyle name="Процентный 2 2 13" xfId="55123"/>
    <cellStyle name="Процентный 2 2 13 2" xfId="55124"/>
    <cellStyle name="Процентный 2 2 14" xfId="55125"/>
    <cellStyle name="Процентный 2 2 15" xfId="55126"/>
    <cellStyle name="Процентный 2 2 16" xfId="55127"/>
    <cellStyle name="Процентный 2 2 17" xfId="55128"/>
    <cellStyle name="Процентный 2 2 2" xfId="55129"/>
    <cellStyle name="Процентный 2 2 2 2" xfId="55130"/>
    <cellStyle name="Процентный 2 2 2 3" xfId="55131"/>
    <cellStyle name="Процентный 2 2 3" xfId="55132"/>
    <cellStyle name="Процентный 2 2 3 2" xfId="55133"/>
    <cellStyle name="Процентный 2 2 3 3" xfId="55134"/>
    <cellStyle name="Процентный 2 2 4" xfId="55135"/>
    <cellStyle name="Процентный 2 2 4 2" xfId="55136"/>
    <cellStyle name="Процентный 2 2 5" xfId="55137"/>
    <cellStyle name="Процентный 2 2 5 2" xfId="55138"/>
    <cellStyle name="Процентный 2 2 6" xfId="55139"/>
    <cellStyle name="Процентный 2 2 6 2" xfId="55140"/>
    <cellStyle name="Процентный 2 2 7" xfId="55141"/>
    <cellStyle name="Процентный 2 2 7 2" xfId="55142"/>
    <cellStyle name="Процентный 2 2 8" xfId="55143"/>
    <cellStyle name="Процентный 2 2 8 2" xfId="55144"/>
    <cellStyle name="Процентный 2 2 9" xfId="55145"/>
    <cellStyle name="Процентный 2 2 9 2" xfId="55146"/>
    <cellStyle name="Процентный 2 3" xfId="55147"/>
    <cellStyle name="Процентный 2 3 2" xfId="55148"/>
    <cellStyle name="Процентный 2 3 3" xfId="55149"/>
    <cellStyle name="Процентный 2 4" xfId="55150"/>
    <cellStyle name="Процентный 2 4 2" xfId="55151"/>
    <cellStyle name="Процентный 2 4 3" xfId="55152"/>
    <cellStyle name="Процентный 2 4 4" xfId="55153"/>
    <cellStyle name="Процентный 2 5" xfId="55154"/>
    <cellStyle name="Процентный 2 5 2" xfId="55155"/>
    <cellStyle name="Процентный 2 5 3" xfId="55156"/>
    <cellStyle name="Процентный 2 6" xfId="55157"/>
    <cellStyle name="Процентный 2 6 2" xfId="55158"/>
    <cellStyle name="Процентный 2 6 2 2" xfId="55159"/>
    <cellStyle name="Процентный 2 6 2 3" xfId="55160"/>
    <cellStyle name="Процентный 2 6 2 4" xfId="55161"/>
    <cellStyle name="Процентный 2 6 3" xfId="55162"/>
    <cellStyle name="Процентный 2 6 4" xfId="55163"/>
    <cellStyle name="Процентный 2 7" xfId="55164"/>
    <cellStyle name="Процентный 2 7 2" xfId="55165"/>
    <cellStyle name="Процентный 2 7 3" xfId="55166"/>
    <cellStyle name="Процентный 2 7 4" xfId="55167"/>
    <cellStyle name="Процентный 2 8" xfId="55168"/>
    <cellStyle name="Процентный 2 8 2" xfId="55169"/>
    <cellStyle name="Процентный 2 9" xfId="55170"/>
    <cellStyle name="Процентный 20" xfId="55171"/>
    <cellStyle name="Процентный 20 2" xfId="55172"/>
    <cellStyle name="Процентный 20 3" xfId="55173"/>
    <cellStyle name="Процентный 21" xfId="55174"/>
    <cellStyle name="Процентный 22" xfId="55175"/>
    <cellStyle name="Процентный 23" xfId="55176"/>
    <cellStyle name="Процентный 3" xfId="55177"/>
    <cellStyle name="Процентный 3 2" xfId="55178"/>
    <cellStyle name="Процентный 3 2 2" xfId="55179"/>
    <cellStyle name="Процентный 3 2 2 2" xfId="55180"/>
    <cellStyle name="Процентный 3 2 2 3" xfId="55181"/>
    <cellStyle name="Процентный 3 2 3" xfId="55182"/>
    <cellStyle name="Процентный 3 2 4" xfId="55183"/>
    <cellStyle name="Процентный 3 2 5" xfId="55184"/>
    <cellStyle name="Процентный 3 2 6" xfId="55185"/>
    <cellStyle name="Процентный 3 2 7" xfId="55186"/>
    <cellStyle name="Процентный 3 3" xfId="55187"/>
    <cellStyle name="Процентный 3 3 2" xfId="55188"/>
    <cellStyle name="Процентный 3 3 2 2" xfId="55189"/>
    <cellStyle name="Процентный 3 3 2 3" xfId="55190"/>
    <cellStyle name="Процентный 3 3 3" xfId="55191"/>
    <cellStyle name="Процентный 3 3 3 2" xfId="55192"/>
    <cellStyle name="Процентный 3 3 4" xfId="55193"/>
    <cellStyle name="Процентный 3 3 5" xfId="55194"/>
    <cellStyle name="Процентный 3 4" xfId="55195"/>
    <cellStyle name="Процентный 3 4 2" xfId="55196"/>
    <cellStyle name="Процентный 3 4 3" xfId="55197"/>
    <cellStyle name="Процентный 3 5" xfId="55198"/>
    <cellStyle name="Процентный 3 5 2" xfId="55199"/>
    <cellStyle name="Процентный 3 5 3" xfId="55200"/>
    <cellStyle name="Процентный 3 6" xfId="55201"/>
    <cellStyle name="Процентный 3 7" xfId="55202"/>
    <cellStyle name="Процентный 4" xfId="55203"/>
    <cellStyle name="Процентный 4 2" xfId="55204"/>
    <cellStyle name="Процентный 4 2 2" xfId="55205"/>
    <cellStyle name="Процентный 4 3" xfId="55206"/>
    <cellStyle name="Процентный 4 3 2" xfId="55207"/>
    <cellStyle name="Процентный 4 4" xfId="55208"/>
    <cellStyle name="Процентный 4 5" xfId="55209"/>
    <cellStyle name="Процентный 4 6" xfId="55210"/>
    <cellStyle name="Процентный 5" xfId="55211"/>
    <cellStyle name="Процентный 5 2" xfId="55212"/>
    <cellStyle name="Процентный 5 2 2" xfId="55213"/>
    <cellStyle name="Процентный 5 3" xfId="55214"/>
    <cellStyle name="Процентный 5 4" xfId="55215"/>
    <cellStyle name="Процентный 6" xfId="55216"/>
    <cellStyle name="Процентный 6 2" xfId="55217"/>
    <cellStyle name="Процентный 6 3" xfId="55218"/>
    <cellStyle name="Процентный 6 4" xfId="55219"/>
    <cellStyle name="Процентный 6 5" xfId="55220"/>
    <cellStyle name="Процентный 7" xfId="55221"/>
    <cellStyle name="Процентный 7 2" xfId="55222"/>
    <cellStyle name="Процентный 7 3" xfId="55223"/>
    <cellStyle name="Процентный 7 4" xfId="55224"/>
    <cellStyle name="Процентный 8" xfId="55225"/>
    <cellStyle name="Процентный 8 2" xfId="55226"/>
    <cellStyle name="Процентный 9" xfId="55227"/>
    <cellStyle name="Процентный 9 2" xfId="55228"/>
    <cellStyle name="Процентный 9 3" xfId="55229"/>
    <cellStyle name="Проценты" xfId="55230"/>
    <cellStyle name="Проценты 2" xfId="55231"/>
    <cellStyle name="Проценты 2 2" xfId="55232"/>
    <cellStyle name="Райцентр" xfId="55233"/>
    <cellStyle name="Результат сводной таблицы" xfId="55234"/>
    <cellStyle name="Сверхулин" xfId="55235"/>
    <cellStyle name="Сводная" xfId="55236"/>
    <cellStyle name="Сводная 10" xfId="55237"/>
    <cellStyle name="Сводная 11" xfId="55238"/>
    <cellStyle name="Сводная 12" xfId="55239"/>
    <cellStyle name="Сводная 13" xfId="55240"/>
    <cellStyle name="Сводная 14" xfId="55241"/>
    <cellStyle name="Сводная 15" xfId="55242"/>
    <cellStyle name="Сводная 16" xfId="55243"/>
    <cellStyle name="Сводная 17" xfId="55244"/>
    <cellStyle name="Сводная 18" xfId="55245"/>
    <cellStyle name="Сводная 2" xfId="55246"/>
    <cellStyle name="Сводная 2 10" xfId="55247"/>
    <cellStyle name="Сводная 2 11" xfId="55248"/>
    <cellStyle name="Сводная 2 12" xfId="55249"/>
    <cellStyle name="Сводная 2 13" xfId="55250"/>
    <cellStyle name="Сводная 2 14" xfId="55251"/>
    <cellStyle name="Сводная 2 15" xfId="55252"/>
    <cellStyle name="Сводная 2 16" xfId="55253"/>
    <cellStyle name="Сводная 2 17" xfId="55254"/>
    <cellStyle name="Сводная 2 18" xfId="55255"/>
    <cellStyle name="Сводная 2 19" xfId="55256"/>
    <cellStyle name="Сводная 2 2" xfId="55257"/>
    <cellStyle name="Сводная 2 2 10" xfId="55258"/>
    <cellStyle name="Сводная 2 2 11" xfId="55259"/>
    <cellStyle name="Сводная 2 2 12" xfId="55260"/>
    <cellStyle name="Сводная 2 2 13" xfId="55261"/>
    <cellStyle name="Сводная 2 2 14" xfId="55262"/>
    <cellStyle name="Сводная 2 2 15" xfId="55263"/>
    <cellStyle name="Сводная 2 2 16" xfId="55264"/>
    <cellStyle name="Сводная 2 2 17" xfId="55265"/>
    <cellStyle name="Сводная 2 2 18" xfId="55266"/>
    <cellStyle name="Сводная 2 2 2" xfId="55267"/>
    <cellStyle name="Сводная 2 2 2 2" xfId="55268"/>
    <cellStyle name="Сводная 2 2 2 2 2" xfId="55269"/>
    <cellStyle name="Сводная 2 2 2 3" xfId="55270"/>
    <cellStyle name="Сводная 2 2 2 4" xfId="55271"/>
    <cellStyle name="Сводная 2 2 3" xfId="55272"/>
    <cellStyle name="Сводная 2 2 3 2" xfId="55273"/>
    <cellStyle name="Сводная 2 2 3 3" xfId="55274"/>
    <cellStyle name="Сводная 2 2 4" xfId="55275"/>
    <cellStyle name="Сводная 2 2 4 2" xfId="55276"/>
    <cellStyle name="Сводная 2 2 5" xfId="55277"/>
    <cellStyle name="Сводная 2 2 6" xfId="55278"/>
    <cellStyle name="Сводная 2 2 7" xfId="55279"/>
    <cellStyle name="Сводная 2 2 8" xfId="55280"/>
    <cellStyle name="Сводная 2 2 9" xfId="55281"/>
    <cellStyle name="Сводная 2 20" xfId="55282"/>
    <cellStyle name="Сводная 2 21" xfId="55283"/>
    <cellStyle name="Сводная 2 22" xfId="55284"/>
    <cellStyle name="Сводная 2 23" xfId="55285"/>
    <cellStyle name="Сводная 2 3" xfId="55286"/>
    <cellStyle name="Сводная 2 3 10" xfId="55287"/>
    <cellStyle name="Сводная 2 3 11" xfId="55288"/>
    <cellStyle name="Сводная 2 3 12" xfId="55289"/>
    <cellStyle name="Сводная 2 3 13" xfId="55290"/>
    <cellStyle name="Сводная 2 3 14" xfId="55291"/>
    <cellStyle name="Сводная 2 3 15" xfId="55292"/>
    <cellStyle name="Сводная 2 3 16" xfId="55293"/>
    <cellStyle name="Сводная 2 3 17" xfId="55294"/>
    <cellStyle name="Сводная 2 3 18" xfId="55295"/>
    <cellStyle name="Сводная 2 3 2" xfId="55296"/>
    <cellStyle name="Сводная 2 3 2 2" xfId="55297"/>
    <cellStyle name="Сводная 2 3 2 2 2" xfId="55298"/>
    <cellStyle name="Сводная 2 3 2 3" xfId="55299"/>
    <cellStyle name="Сводная 2 3 2 4" xfId="55300"/>
    <cellStyle name="Сводная 2 3 3" xfId="55301"/>
    <cellStyle name="Сводная 2 3 3 2" xfId="55302"/>
    <cellStyle name="Сводная 2 3 3 3" xfId="55303"/>
    <cellStyle name="Сводная 2 3 4" xfId="55304"/>
    <cellStyle name="Сводная 2 3 4 2" xfId="55305"/>
    <cellStyle name="Сводная 2 3 5" xfId="55306"/>
    <cellStyle name="Сводная 2 3 6" xfId="55307"/>
    <cellStyle name="Сводная 2 3 7" xfId="55308"/>
    <cellStyle name="Сводная 2 3 8" xfId="55309"/>
    <cellStyle name="Сводная 2 3 9" xfId="55310"/>
    <cellStyle name="Сводная 2 4" xfId="55311"/>
    <cellStyle name="Сводная 2 4 2" xfId="55312"/>
    <cellStyle name="Сводная 2 4 2 2" xfId="55313"/>
    <cellStyle name="Сводная 2 4 2 3" xfId="55314"/>
    <cellStyle name="Сводная 2 4 3" xfId="55315"/>
    <cellStyle name="Сводная 2 4 3 2" xfId="55316"/>
    <cellStyle name="Сводная 2 4 4" xfId="55317"/>
    <cellStyle name="Сводная 2 4 5" xfId="55318"/>
    <cellStyle name="Сводная 2 5" xfId="55319"/>
    <cellStyle name="Сводная 2 5 2" xfId="55320"/>
    <cellStyle name="Сводная 2 5 2 2" xfId="55321"/>
    <cellStyle name="Сводная 2 5 3" xfId="55322"/>
    <cellStyle name="Сводная 2 5 4" xfId="55323"/>
    <cellStyle name="Сводная 2 6" xfId="55324"/>
    <cellStyle name="Сводная 2 6 2" xfId="55325"/>
    <cellStyle name="Сводная 2 6 3" xfId="55326"/>
    <cellStyle name="Сводная 2 7" xfId="55327"/>
    <cellStyle name="Сводная 2 7 2" xfId="55328"/>
    <cellStyle name="Сводная 2 8" xfId="55329"/>
    <cellStyle name="Сводная 2 9" xfId="55330"/>
    <cellStyle name="Сводная 3" xfId="55331"/>
    <cellStyle name="Сводная 3 10" xfId="55332"/>
    <cellStyle name="Сводная 3 11" xfId="55333"/>
    <cellStyle name="Сводная 3 12" xfId="55334"/>
    <cellStyle name="Сводная 3 13" xfId="55335"/>
    <cellStyle name="Сводная 3 14" xfId="55336"/>
    <cellStyle name="Сводная 3 15" xfId="55337"/>
    <cellStyle name="Сводная 3 16" xfId="55338"/>
    <cellStyle name="Сводная 3 17" xfId="55339"/>
    <cellStyle name="Сводная 3 18" xfId="55340"/>
    <cellStyle name="Сводная 3 19" xfId="55341"/>
    <cellStyle name="Сводная 3 2" xfId="55342"/>
    <cellStyle name="Сводная 3 2 10" xfId="55343"/>
    <cellStyle name="Сводная 3 2 11" xfId="55344"/>
    <cellStyle name="Сводная 3 2 12" xfId="55345"/>
    <cellStyle name="Сводная 3 2 13" xfId="55346"/>
    <cellStyle name="Сводная 3 2 14" xfId="55347"/>
    <cellStyle name="Сводная 3 2 15" xfId="55348"/>
    <cellStyle name="Сводная 3 2 16" xfId="55349"/>
    <cellStyle name="Сводная 3 2 17" xfId="55350"/>
    <cellStyle name="Сводная 3 2 18" xfId="55351"/>
    <cellStyle name="Сводная 3 2 2" xfId="55352"/>
    <cellStyle name="Сводная 3 2 2 2" xfId="55353"/>
    <cellStyle name="Сводная 3 2 2 2 2" xfId="55354"/>
    <cellStyle name="Сводная 3 2 2 3" xfId="55355"/>
    <cellStyle name="Сводная 3 2 2 4" xfId="55356"/>
    <cellStyle name="Сводная 3 2 3" xfId="55357"/>
    <cellStyle name="Сводная 3 2 3 2" xfId="55358"/>
    <cellStyle name="Сводная 3 2 3 3" xfId="55359"/>
    <cellStyle name="Сводная 3 2 4" xfId="55360"/>
    <cellStyle name="Сводная 3 2 4 2" xfId="55361"/>
    <cellStyle name="Сводная 3 2 5" xfId="55362"/>
    <cellStyle name="Сводная 3 2 6" xfId="55363"/>
    <cellStyle name="Сводная 3 2 7" xfId="55364"/>
    <cellStyle name="Сводная 3 2 8" xfId="55365"/>
    <cellStyle name="Сводная 3 2 9" xfId="55366"/>
    <cellStyle name="Сводная 3 3" xfId="55367"/>
    <cellStyle name="Сводная 3 3 10" xfId="55368"/>
    <cellStyle name="Сводная 3 3 11" xfId="55369"/>
    <cellStyle name="Сводная 3 3 12" xfId="55370"/>
    <cellStyle name="Сводная 3 3 13" xfId="55371"/>
    <cellStyle name="Сводная 3 3 14" xfId="55372"/>
    <cellStyle name="Сводная 3 3 15" xfId="55373"/>
    <cellStyle name="Сводная 3 3 16" xfId="55374"/>
    <cellStyle name="Сводная 3 3 17" xfId="55375"/>
    <cellStyle name="Сводная 3 3 18" xfId="55376"/>
    <cellStyle name="Сводная 3 3 2" xfId="55377"/>
    <cellStyle name="Сводная 3 3 2 2" xfId="55378"/>
    <cellStyle name="Сводная 3 3 2 2 2" xfId="55379"/>
    <cellStyle name="Сводная 3 3 2 3" xfId="55380"/>
    <cellStyle name="Сводная 3 3 2 4" xfId="55381"/>
    <cellStyle name="Сводная 3 3 3" xfId="55382"/>
    <cellStyle name="Сводная 3 3 3 2" xfId="55383"/>
    <cellStyle name="Сводная 3 3 3 3" xfId="55384"/>
    <cellStyle name="Сводная 3 3 4" xfId="55385"/>
    <cellStyle name="Сводная 3 3 4 2" xfId="55386"/>
    <cellStyle name="Сводная 3 3 5" xfId="55387"/>
    <cellStyle name="Сводная 3 3 6" xfId="55388"/>
    <cellStyle name="Сводная 3 3 7" xfId="55389"/>
    <cellStyle name="Сводная 3 3 8" xfId="55390"/>
    <cellStyle name="Сводная 3 3 9" xfId="55391"/>
    <cellStyle name="Сводная 3 4" xfId="55392"/>
    <cellStyle name="Сводная 3 4 2" xfId="55393"/>
    <cellStyle name="Сводная 3 4 2 2" xfId="55394"/>
    <cellStyle name="Сводная 3 4 2 3" xfId="55395"/>
    <cellStyle name="Сводная 3 4 3" xfId="55396"/>
    <cellStyle name="Сводная 3 4 3 2" xfId="55397"/>
    <cellStyle name="Сводная 3 4 4" xfId="55398"/>
    <cellStyle name="Сводная 3 4 5" xfId="55399"/>
    <cellStyle name="Сводная 3 5" xfId="55400"/>
    <cellStyle name="Сводная 3 5 2" xfId="55401"/>
    <cellStyle name="Сводная 3 5 2 2" xfId="55402"/>
    <cellStyle name="Сводная 3 5 3" xfId="55403"/>
    <cellStyle name="Сводная 3 5 4" xfId="55404"/>
    <cellStyle name="Сводная 3 6" xfId="55405"/>
    <cellStyle name="Сводная 3 6 2" xfId="55406"/>
    <cellStyle name="Сводная 3 6 3" xfId="55407"/>
    <cellStyle name="Сводная 3 7" xfId="55408"/>
    <cellStyle name="Сводная 3 7 2" xfId="55409"/>
    <cellStyle name="Сводная 3 8" xfId="55410"/>
    <cellStyle name="Сводная 3 9" xfId="55411"/>
    <cellStyle name="Сводная 4" xfId="55412"/>
    <cellStyle name="Сводная 4 10" xfId="55413"/>
    <cellStyle name="Сводная 4 11" xfId="55414"/>
    <cellStyle name="Сводная 4 12" xfId="55415"/>
    <cellStyle name="Сводная 4 13" xfId="55416"/>
    <cellStyle name="Сводная 4 14" xfId="55417"/>
    <cellStyle name="Сводная 4 15" xfId="55418"/>
    <cellStyle name="Сводная 4 16" xfId="55419"/>
    <cellStyle name="Сводная 4 17" xfId="55420"/>
    <cellStyle name="Сводная 4 18" xfId="55421"/>
    <cellStyle name="Сводная 4 19" xfId="55422"/>
    <cellStyle name="Сводная 4 2" xfId="55423"/>
    <cellStyle name="Сводная 4 2 10" xfId="55424"/>
    <cellStyle name="Сводная 4 2 11" xfId="55425"/>
    <cellStyle name="Сводная 4 2 12" xfId="55426"/>
    <cellStyle name="Сводная 4 2 13" xfId="55427"/>
    <cellStyle name="Сводная 4 2 14" xfId="55428"/>
    <cellStyle name="Сводная 4 2 15" xfId="55429"/>
    <cellStyle name="Сводная 4 2 16" xfId="55430"/>
    <cellStyle name="Сводная 4 2 17" xfId="55431"/>
    <cellStyle name="Сводная 4 2 18" xfId="55432"/>
    <cellStyle name="Сводная 4 2 2" xfId="55433"/>
    <cellStyle name="Сводная 4 2 2 2" xfId="55434"/>
    <cellStyle name="Сводная 4 2 2 2 2" xfId="55435"/>
    <cellStyle name="Сводная 4 2 2 3" xfId="55436"/>
    <cellStyle name="Сводная 4 2 2 4" xfId="55437"/>
    <cellStyle name="Сводная 4 2 3" xfId="55438"/>
    <cellStyle name="Сводная 4 2 3 2" xfId="55439"/>
    <cellStyle name="Сводная 4 2 3 3" xfId="55440"/>
    <cellStyle name="Сводная 4 2 4" xfId="55441"/>
    <cellStyle name="Сводная 4 2 4 2" xfId="55442"/>
    <cellStyle name="Сводная 4 2 5" xfId="55443"/>
    <cellStyle name="Сводная 4 2 6" xfId="55444"/>
    <cellStyle name="Сводная 4 2 7" xfId="55445"/>
    <cellStyle name="Сводная 4 2 8" xfId="55446"/>
    <cellStyle name="Сводная 4 2 9" xfId="55447"/>
    <cellStyle name="Сводная 4 3" xfId="55448"/>
    <cellStyle name="Сводная 4 3 10" xfId="55449"/>
    <cellStyle name="Сводная 4 3 11" xfId="55450"/>
    <cellStyle name="Сводная 4 3 12" xfId="55451"/>
    <cellStyle name="Сводная 4 3 13" xfId="55452"/>
    <cellStyle name="Сводная 4 3 14" xfId="55453"/>
    <cellStyle name="Сводная 4 3 15" xfId="55454"/>
    <cellStyle name="Сводная 4 3 16" xfId="55455"/>
    <cellStyle name="Сводная 4 3 17" xfId="55456"/>
    <cellStyle name="Сводная 4 3 18" xfId="55457"/>
    <cellStyle name="Сводная 4 3 2" xfId="55458"/>
    <cellStyle name="Сводная 4 3 2 2" xfId="55459"/>
    <cellStyle name="Сводная 4 3 2 2 2" xfId="55460"/>
    <cellStyle name="Сводная 4 3 2 3" xfId="55461"/>
    <cellStyle name="Сводная 4 3 2 4" xfId="55462"/>
    <cellStyle name="Сводная 4 3 3" xfId="55463"/>
    <cellStyle name="Сводная 4 3 3 2" xfId="55464"/>
    <cellStyle name="Сводная 4 3 3 3" xfId="55465"/>
    <cellStyle name="Сводная 4 3 4" xfId="55466"/>
    <cellStyle name="Сводная 4 3 4 2" xfId="55467"/>
    <cellStyle name="Сводная 4 3 5" xfId="55468"/>
    <cellStyle name="Сводная 4 3 6" xfId="55469"/>
    <cellStyle name="Сводная 4 3 7" xfId="55470"/>
    <cellStyle name="Сводная 4 3 8" xfId="55471"/>
    <cellStyle name="Сводная 4 3 9" xfId="55472"/>
    <cellStyle name="Сводная 4 4" xfId="55473"/>
    <cellStyle name="Сводная 4 4 2" xfId="55474"/>
    <cellStyle name="Сводная 4 4 2 2" xfId="55475"/>
    <cellStyle name="Сводная 4 4 2 3" xfId="55476"/>
    <cellStyle name="Сводная 4 4 3" xfId="55477"/>
    <cellStyle name="Сводная 4 4 3 2" xfId="55478"/>
    <cellStyle name="Сводная 4 4 4" xfId="55479"/>
    <cellStyle name="Сводная 4 4 5" xfId="55480"/>
    <cellStyle name="Сводная 4 5" xfId="55481"/>
    <cellStyle name="Сводная 4 5 2" xfId="55482"/>
    <cellStyle name="Сводная 4 5 2 2" xfId="55483"/>
    <cellStyle name="Сводная 4 5 3" xfId="55484"/>
    <cellStyle name="Сводная 4 5 4" xfId="55485"/>
    <cellStyle name="Сводная 4 6" xfId="55486"/>
    <cellStyle name="Сводная 4 6 2" xfId="55487"/>
    <cellStyle name="Сводная 4 6 3" xfId="55488"/>
    <cellStyle name="Сводная 4 7" xfId="55489"/>
    <cellStyle name="Сводная 4 7 2" xfId="55490"/>
    <cellStyle name="Сводная 4 8" xfId="55491"/>
    <cellStyle name="Сводная 4 9" xfId="55492"/>
    <cellStyle name="Сводная 5" xfId="55493"/>
    <cellStyle name="Сводная 5 10" xfId="55494"/>
    <cellStyle name="Сводная 5 11" xfId="55495"/>
    <cellStyle name="Сводная 5 12" xfId="55496"/>
    <cellStyle name="Сводная 5 13" xfId="55497"/>
    <cellStyle name="Сводная 5 14" xfId="55498"/>
    <cellStyle name="Сводная 5 15" xfId="55499"/>
    <cellStyle name="Сводная 5 2" xfId="55500"/>
    <cellStyle name="Сводная 5 2 10" xfId="55501"/>
    <cellStyle name="Сводная 5 2 11" xfId="55502"/>
    <cellStyle name="Сводная 5 2 12" xfId="55503"/>
    <cellStyle name="Сводная 5 2 13" xfId="55504"/>
    <cellStyle name="Сводная 5 2 14" xfId="55505"/>
    <cellStyle name="Сводная 5 2 15" xfId="55506"/>
    <cellStyle name="Сводная 5 2 16" xfId="55507"/>
    <cellStyle name="Сводная 5 2 17" xfId="55508"/>
    <cellStyle name="Сводная 5 2 18" xfId="55509"/>
    <cellStyle name="Сводная 5 2 2" xfId="55510"/>
    <cellStyle name="Сводная 5 2 2 2" xfId="55511"/>
    <cellStyle name="Сводная 5 2 2 2 2" xfId="55512"/>
    <cellStyle name="Сводная 5 2 2 3" xfId="55513"/>
    <cellStyle name="Сводная 5 2 2 4" xfId="55514"/>
    <cellStyle name="Сводная 5 2 3" xfId="55515"/>
    <cellStyle name="Сводная 5 2 3 2" xfId="55516"/>
    <cellStyle name="Сводная 5 2 3 3" xfId="55517"/>
    <cellStyle name="Сводная 5 2 4" xfId="55518"/>
    <cellStyle name="Сводная 5 2 4 2" xfId="55519"/>
    <cellStyle name="Сводная 5 2 5" xfId="55520"/>
    <cellStyle name="Сводная 5 2 6" xfId="55521"/>
    <cellStyle name="Сводная 5 2 7" xfId="55522"/>
    <cellStyle name="Сводная 5 2 8" xfId="55523"/>
    <cellStyle name="Сводная 5 2 9" xfId="55524"/>
    <cellStyle name="Сводная 5 3" xfId="55525"/>
    <cellStyle name="Сводная 5 3 10" xfId="55526"/>
    <cellStyle name="Сводная 5 3 11" xfId="55527"/>
    <cellStyle name="Сводная 5 3 12" xfId="55528"/>
    <cellStyle name="Сводная 5 3 13" xfId="55529"/>
    <cellStyle name="Сводная 5 3 14" xfId="55530"/>
    <cellStyle name="Сводная 5 3 15" xfId="55531"/>
    <cellStyle name="Сводная 5 3 16" xfId="55532"/>
    <cellStyle name="Сводная 5 3 17" xfId="55533"/>
    <cellStyle name="Сводная 5 3 18" xfId="55534"/>
    <cellStyle name="Сводная 5 3 2" xfId="55535"/>
    <cellStyle name="Сводная 5 3 2 2" xfId="55536"/>
    <cellStyle name="Сводная 5 3 2 2 2" xfId="55537"/>
    <cellStyle name="Сводная 5 3 2 3" xfId="55538"/>
    <cellStyle name="Сводная 5 3 2 4" xfId="55539"/>
    <cellStyle name="Сводная 5 3 3" xfId="55540"/>
    <cellStyle name="Сводная 5 3 3 2" xfId="55541"/>
    <cellStyle name="Сводная 5 3 3 3" xfId="55542"/>
    <cellStyle name="Сводная 5 3 4" xfId="55543"/>
    <cellStyle name="Сводная 5 3 4 2" xfId="55544"/>
    <cellStyle name="Сводная 5 3 5" xfId="55545"/>
    <cellStyle name="Сводная 5 3 6" xfId="55546"/>
    <cellStyle name="Сводная 5 3 7" xfId="55547"/>
    <cellStyle name="Сводная 5 3 8" xfId="55548"/>
    <cellStyle name="Сводная 5 3 9" xfId="55549"/>
    <cellStyle name="Сводная 5 4" xfId="55550"/>
    <cellStyle name="Сводная 5 4 2" xfId="55551"/>
    <cellStyle name="Сводная 5 4 2 2" xfId="55552"/>
    <cellStyle name="Сводная 5 4 2 3" xfId="55553"/>
    <cellStyle name="Сводная 5 4 3" xfId="55554"/>
    <cellStyle name="Сводная 5 4 3 2" xfId="55555"/>
    <cellStyle name="Сводная 5 4 4" xfId="55556"/>
    <cellStyle name="Сводная 5 4 5" xfId="55557"/>
    <cellStyle name="Сводная 5 5" xfId="55558"/>
    <cellStyle name="Сводная 5 5 2" xfId="55559"/>
    <cellStyle name="Сводная 5 5 2 2" xfId="55560"/>
    <cellStyle name="Сводная 5 5 3" xfId="55561"/>
    <cellStyle name="Сводная 5 5 4" xfId="55562"/>
    <cellStyle name="Сводная 5 6" xfId="55563"/>
    <cellStyle name="Сводная 5 6 2" xfId="55564"/>
    <cellStyle name="Сводная 5 7" xfId="55565"/>
    <cellStyle name="Сводная 5 8" xfId="55566"/>
    <cellStyle name="Сводная 5 9" xfId="55567"/>
    <cellStyle name="Сводная 6" xfId="55568"/>
    <cellStyle name="Сводная 6 10" xfId="55569"/>
    <cellStyle name="Сводная 6 11" xfId="55570"/>
    <cellStyle name="Сводная 6 12" xfId="55571"/>
    <cellStyle name="Сводная 6 13" xfId="55572"/>
    <cellStyle name="Сводная 6 14" xfId="55573"/>
    <cellStyle name="Сводная 6 15" xfId="55574"/>
    <cellStyle name="Сводная 6 16" xfId="55575"/>
    <cellStyle name="Сводная 6 17" xfId="55576"/>
    <cellStyle name="Сводная 6 18" xfId="55577"/>
    <cellStyle name="Сводная 6 2" xfId="55578"/>
    <cellStyle name="Сводная 6 2 2" xfId="55579"/>
    <cellStyle name="Сводная 6 2 3" xfId="55580"/>
    <cellStyle name="Сводная 6 3" xfId="55581"/>
    <cellStyle name="Сводная 6 3 2" xfId="55582"/>
    <cellStyle name="Сводная 6 4" xfId="55583"/>
    <cellStyle name="Сводная 6 5" xfId="55584"/>
    <cellStyle name="Сводная 6 6" xfId="55585"/>
    <cellStyle name="Сводная 6 7" xfId="55586"/>
    <cellStyle name="Сводная 6 8" xfId="55587"/>
    <cellStyle name="Сводная 6 9" xfId="55588"/>
    <cellStyle name="Сводная 7" xfId="55589"/>
    <cellStyle name="Сводная 7 2" xfId="55590"/>
    <cellStyle name="Сводная 7 2 2" xfId="55591"/>
    <cellStyle name="Сводная 7 3" xfId="55592"/>
    <cellStyle name="Сводная 7 4" xfId="55593"/>
    <cellStyle name="Сводная 8" xfId="55594"/>
    <cellStyle name="Сводная 9" xfId="55595"/>
    <cellStyle name="Связанная ячейка 10" xfId="55596"/>
    <cellStyle name="Связанная ячейка 10 2" xfId="55597"/>
    <cellStyle name="Связанная ячейка 10 3" xfId="55598"/>
    <cellStyle name="Связанная ячейка 11" xfId="55599"/>
    <cellStyle name="Связанная ячейка 11 2" xfId="55600"/>
    <cellStyle name="Связанная ячейка 11 3" xfId="55601"/>
    <cellStyle name="Связанная ячейка 12" xfId="55602"/>
    <cellStyle name="Связанная ячейка 12 2" xfId="55603"/>
    <cellStyle name="Связанная ячейка 12 3" xfId="55604"/>
    <cellStyle name="Связанная ячейка 13" xfId="55605"/>
    <cellStyle name="Связанная ячейка 14" xfId="55606"/>
    <cellStyle name="Связанная ячейка 2" xfId="55607"/>
    <cellStyle name="Связанная ячейка 2 2" xfId="55608"/>
    <cellStyle name="Связанная ячейка 2 3" xfId="55609"/>
    <cellStyle name="Связанная ячейка 2 4" xfId="55610"/>
    <cellStyle name="Связанная ячейка 3" xfId="55611"/>
    <cellStyle name="Связанная ячейка 3 2" xfId="55612"/>
    <cellStyle name="Связанная ячейка 3 3" xfId="55613"/>
    <cellStyle name="Связанная ячейка 4" xfId="55614"/>
    <cellStyle name="Связанная ячейка 4 2" xfId="55615"/>
    <cellStyle name="Связанная ячейка 4 3" xfId="55616"/>
    <cellStyle name="Связанная ячейка 5" xfId="55617"/>
    <cellStyle name="Связанная ячейка 5 2" xfId="55618"/>
    <cellStyle name="Связанная ячейка 5 3" xfId="55619"/>
    <cellStyle name="Связанная ячейка 6" xfId="55620"/>
    <cellStyle name="Связанная ячейка 6 2" xfId="55621"/>
    <cellStyle name="Связанная ячейка 6 3" xfId="55622"/>
    <cellStyle name="Связанная ячейка 7" xfId="55623"/>
    <cellStyle name="Связанная ячейка 7 2" xfId="55624"/>
    <cellStyle name="Связанная ячейка 7 3" xfId="55625"/>
    <cellStyle name="Связанная ячейка 8" xfId="55626"/>
    <cellStyle name="Связанная ячейка 8 2" xfId="55627"/>
    <cellStyle name="Связанная ячейка 8 3" xfId="55628"/>
    <cellStyle name="Связанная ячейка 9" xfId="55629"/>
    <cellStyle name="Связанная ячейка 9 2" xfId="55630"/>
    <cellStyle name="Связанная ячейка 9 3" xfId="55631"/>
    <cellStyle name="Сложный заголовок" xfId="55632"/>
    <cellStyle name="Сложный заголовок 2" xfId="55633"/>
    <cellStyle name="Сложный заголовок 3" xfId="55634"/>
    <cellStyle name="Стандарт 9" xfId="55635"/>
    <cellStyle name="Стиль 1" xfId="55636"/>
    <cellStyle name="Стиль 1 2" xfId="55637"/>
    <cellStyle name="Стиль 1 2 2" xfId="55638"/>
    <cellStyle name="Стиль 1 2 3" xfId="55639"/>
    <cellStyle name="Стиль 1 3" xfId="55640"/>
    <cellStyle name="Стиль 1 3 2" xfId="55641"/>
    <cellStyle name="Стиль 1 3 3" xfId="55642"/>
    <cellStyle name="Стиль 1 4" xfId="55643"/>
    <cellStyle name="Стиль 1 4 2" xfId="55644"/>
    <cellStyle name="Стиль 1 4 3" xfId="55645"/>
    <cellStyle name="Стиль 1 5" xfId="55646"/>
    <cellStyle name="Стиль 1 5 2" xfId="55647"/>
    <cellStyle name="Стиль 1 5 3" xfId="55648"/>
    <cellStyle name="Стиль 1 6" xfId="55649"/>
    <cellStyle name="Стиль 1 7" xfId="55650"/>
    <cellStyle name="Стиль 1 7 2" xfId="55651"/>
    <cellStyle name="Стиль 1 8" xfId="55652"/>
    <cellStyle name="Стиль 1 9" xfId="55653"/>
    <cellStyle name="Стиль 1_Книга2" xfId="55654"/>
    <cellStyle name="Стиль 2" xfId="55655"/>
    <cellStyle name="Стиль_названий" xfId="55656"/>
    <cellStyle name="ТаблицаТекст" xfId="55657"/>
    <cellStyle name="ТЕКСТ" xfId="55658"/>
    <cellStyle name="Текст 12Ц" xfId="55659"/>
    <cellStyle name="Текст предупреждения 10" xfId="55660"/>
    <cellStyle name="Текст предупреждения 10 2" xfId="55661"/>
    <cellStyle name="Текст предупреждения 10 3" xfId="55662"/>
    <cellStyle name="Текст предупреждения 11" xfId="55663"/>
    <cellStyle name="Текст предупреждения 11 2" xfId="55664"/>
    <cellStyle name="Текст предупреждения 11 3" xfId="55665"/>
    <cellStyle name="Текст предупреждения 12" xfId="55666"/>
    <cellStyle name="Текст предупреждения 12 2" xfId="55667"/>
    <cellStyle name="Текст предупреждения 12 3" xfId="55668"/>
    <cellStyle name="Текст предупреждения 13" xfId="55669"/>
    <cellStyle name="Текст предупреждения 14" xfId="55670"/>
    <cellStyle name="Текст предупреждения 2" xfId="55671"/>
    <cellStyle name="Текст предупреждения 2 2" xfId="55672"/>
    <cellStyle name="Текст предупреждения 2 3" xfId="55673"/>
    <cellStyle name="Текст предупреждения 2 4" xfId="55674"/>
    <cellStyle name="Текст предупреждения 3" xfId="55675"/>
    <cellStyle name="Текст предупреждения 3 2" xfId="55676"/>
    <cellStyle name="Текст предупреждения 3 3" xfId="55677"/>
    <cellStyle name="Текст предупреждения 4" xfId="55678"/>
    <cellStyle name="Текст предупреждения 4 2" xfId="55679"/>
    <cellStyle name="Текст предупреждения 4 3" xfId="55680"/>
    <cellStyle name="Текст предупреждения 5" xfId="55681"/>
    <cellStyle name="Текст предупреждения 5 2" xfId="55682"/>
    <cellStyle name="Текст предупреждения 5 3" xfId="55683"/>
    <cellStyle name="Текст предупреждения 6" xfId="55684"/>
    <cellStyle name="Текст предупреждения 6 2" xfId="55685"/>
    <cellStyle name="Текст предупреждения 6 3" xfId="55686"/>
    <cellStyle name="Текст предупреждения 7" xfId="55687"/>
    <cellStyle name="Текст предупреждения 7 2" xfId="55688"/>
    <cellStyle name="Текст предупреждения 7 3" xfId="55689"/>
    <cellStyle name="Текст предупреждения 8" xfId="55690"/>
    <cellStyle name="Текст предупреждения 8 2" xfId="55691"/>
    <cellStyle name="Текст предупреждения 8 3" xfId="55692"/>
    <cellStyle name="Текст предупреждения 9" xfId="55693"/>
    <cellStyle name="Текст предупреждения 9 2" xfId="55694"/>
    <cellStyle name="Текст предупреждения 9 3" xfId="55695"/>
    <cellStyle name="Текстовый" xfId="55696"/>
    <cellStyle name="Текстовый 2" xfId="55697"/>
    <cellStyle name="Текстовый 3" xfId="55698"/>
    <cellStyle name="Тело таблицы" xfId="55699"/>
    <cellStyle name="Тело таблицы 2" xfId="55700"/>
    <cellStyle name="Тело таблицы 3" xfId="55701"/>
    <cellStyle name="тонны" xfId="55702"/>
    <cellStyle name="тщк" xfId="55703"/>
    <cellStyle name="тщк 2" xfId="55704"/>
    <cellStyle name="тщкьфд" xfId="55705"/>
    <cellStyle name="тщкьфд 2" xfId="55706"/>
    <cellStyle name="ТысРуб" xfId="55707"/>
    <cellStyle name="Тысячи" xfId="55708"/>
    <cellStyle name="Тысячи (0)" xfId="55709"/>
    <cellStyle name="Тысячи (0) 2" xfId="55710"/>
    <cellStyle name="Тысячи (0) 2 2" xfId="55711"/>
    <cellStyle name="Тысячи (0) 2 2 2" xfId="55712"/>
    <cellStyle name="Тысячи (0) 2 2 2 2" xfId="55713"/>
    <cellStyle name="Тысячи (0) 2 2 3" xfId="55714"/>
    <cellStyle name="Тысячи (0) 2 2 4" xfId="55715"/>
    <cellStyle name="Тысячи (0) 2 3" xfId="55716"/>
    <cellStyle name="Тысячи (0) 2 3 2" xfId="55717"/>
    <cellStyle name="Тысячи (0) 2 4" xfId="55718"/>
    <cellStyle name="Тысячи (0) 2 5" xfId="55719"/>
    <cellStyle name="Тысячи (0) 2 6" xfId="55720"/>
    <cellStyle name="Тысячи (0) 2 7" xfId="55721"/>
    <cellStyle name="Тысячи (0) 2 8" xfId="55722"/>
    <cellStyle name="Тысячи (0) 2 9" xfId="55723"/>
    <cellStyle name="Тысячи (0) 3" xfId="55724"/>
    <cellStyle name="Тысячи (0) 3 2" xfId="55725"/>
    <cellStyle name="Тысячи (0) 3 2 2" xfId="55726"/>
    <cellStyle name="Тысячи (0) 3 3" xfId="55727"/>
    <cellStyle name="Тысячи (0) 3 4" xfId="55728"/>
    <cellStyle name="Тысячи (0) 4" xfId="55729"/>
    <cellStyle name="Тысячи (0) 4 2" xfId="55730"/>
    <cellStyle name="Тысячи (0) 5" xfId="55731"/>
    <cellStyle name="Тысячи (0) 6" xfId="55732"/>
    <cellStyle name="тысячи (000)" xfId="55733"/>
    <cellStyle name="тысячи (000) 10" xfId="55734"/>
    <cellStyle name="тысячи (000) 11" xfId="55735"/>
    <cellStyle name="тысячи (000) 12" xfId="55736"/>
    <cellStyle name="тысячи (000) 13" xfId="55737"/>
    <cellStyle name="тысячи (000) 14" xfId="55738"/>
    <cellStyle name="тысячи (000) 15" xfId="55739"/>
    <cellStyle name="тысячи (000) 16" xfId="55740"/>
    <cellStyle name="тысячи (000) 17" xfId="55741"/>
    <cellStyle name="тысячи (000) 18" xfId="55742"/>
    <cellStyle name="тысячи (000) 19" xfId="55743"/>
    <cellStyle name="тысячи (000) 2" xfId="55744"/>
    <cellStyle name="тысячи (000) 2 10" xfId="55745"/>
    <cellStyle name="тысячи (000) 2 11" xfId="55746"/>
    <cellStyle name="тысячи (000) 2 12" xfId="55747"/>
    <cellStyle name="тысячи (000) 2 13" xfId="55748"/>
    <cellStyle name="тысячи (000) 2 14" xfId="55749"/>
    <cellStyle name="тысячи (000) 2 15" xfId="55750"/>
    <cellStyle name="тысячи (000) 2 16" xfId="55751"/>
    <cellStyle name="тысячи (000) 2 17" xfId="55752"/>
    <cellStyle name="тысячи (000) 2 18" xfId="55753"/>
    <cellStyle name="тысячи (000) 2 19" xfId="55754"/>
    <cellStyle name="тысячи (000) 2 2" xfId="55755"/>
    <cellStyle name="тысячи (000) 2 2 10" xfId="55756"/>
    <cellStyle name="тысячи (000) 2 2 11" xfId="55757"/>
    <cellStyle name="тысячи (000) 2 2 12" xfId="55758"/>
    <cellStyle name="тысячи (000) 2 2 13" xfId="55759"/>
    <cellStyle name="тысячи (000) 2 2 14" xfId="55760"/>
    <cellStyle name="тысячи (000) 2 2 15" xfId="55761"/>
    <cellStyle name="тысячи (000) 2 2 16" xfId="55762"/>
    <cellStyle name="тысячи (000) 2 2 17" xfId="55763"/>
    <cellStyle name="тысячи (000) 2 2 18" xfId="55764"/>
    <cellStyle name="тысячи (000) 2 2 2" xfId="55765"/>
    <cellStyle name="тысячи (000) 2 2 2 2" xfId="55766"/>
    <cellStyle name="тысячи (000) 2 2 2 2 2" xfId="55767"/>
    <cellStyle name="тысячи (000) 2 2 2 3" xfId="55768"/>
    <cellStyle name="тысячи (000) 2 2 2 4" xfId="55769"/>
    <cellStyle name="тысячи (000) 2 2 3" xfId="55770"/>
    <cellStyle name="тысячи (000) 2 2 3 2" xfId="55771"/>
    <cellStyle name="тысячи (000) 2 2 3 3" xfId="55772"/>
    <cellStyle name="тысячи (000) 2 2 4" xfId="55773"/>
    <cellStyle name="тысячи (000) 2 2 4 2" xfId="55774"/>
    <cellStyle name="тысячи (000) 2 2 5" xfId="55775"/>
    <cellStyle name="тысячи (000) 2 2 6" xfId="55776"/>
    <cellStyle name="тысячи (000) 2 2 7" xfId="55777"/>
    <cellStyle name="тысячи (000) 2 2 8" xfId="55778"/>
    <cellStyle name="тысячи (000) 2 2 9" xfId="55779"/>
    <cellStyle name="тысячи (000) 2 20" xfId="55780"/>
    <cellStyle name="тысячи (000) 2 21" xfId="55781"/>
    <cellStyle name="тысячи (000) 2 3" xfId="55782"/>
    <cellStyle name="тысячи (000) 2 3 10" xfId="55783"/>
    <cellStyle name="тысячи (000) 2 3 11" xfId="55784"/>
    <cellStyle name="тысячи (000) 2 3 12" xfId="55785"/>
    <cellStyle name="тысячи (000) 2 3 13" xfId="55786"/>
    <cellStyle name="тысячи (000) 2 3 14" xfId="55787"/>
    <cellStyle name="тысячи (000) 2 3 15" xfId="55788"/>
    <cellStyle name="тысячи (000) 2 3 16" xfId="55789"/>
    <cellStyle name="тысячи (000) 2 3 17" xfId="55790"/>
    <cellStyle name="тысячи (000) 2 3 18" xfId="55791"/>
    <cellStyle name="тысячи (000) 2 3 2" xfId="55792"/>
    <cellStyle name="тысячи (000) 2 3 2 2" xfId="55793"/>
    <cellStyle name="тысячи (000) 2 3 2 2 2" xfId="55794"/>
    <cellStyle name="тысячи (000) 2 3 2 3" xfId="55795"/>
    <cellStyle name="тысячи (000) 2 3 2 4" xfId="55796"/>
    <cellStyle name="тысячи (000) 2 3 3" xfId="55797"/>
    <cellStyle name="тысячи (000) 2 3 3 2" xfId="55798"/>
    <cellStyle name="тысячи (000) 2 3 3 3" xfId="55799"/>
    <cellStyle name="тысячи (000) 2 3 4" xfId="55800"/>
    <cellStyle name="тысячи (000) 2 3 4 2" xfId="55801"/>
    <cellStyle name="тысячи (000) 2 3 5" xfId="55802"/>
    <cellStyle name="тысячи (000) 2 3 6" xfId="55803"/>
    <cellStyle name="тысячи (000) 2 3 7" xfId="55804"/>
    <cellStyle name="тысячи (000) 2 3 8" xfId="55805"/>
    <cellStyle name="тысячи (000) 2 3 9" xfId="55806"/>
    <cellStyle name="тысячи (000) 2 4" xfId="55807"/>
    <cellStyle name="тысячи (000) 2 4 2" xfId="55808"/>
    <cellStyle name="тысячи (000) 2 4 2 2" xfId="55809"/>
    <cellStyle name="тысячи (000) 2 4 2 3" xfId="55810"/>
    <cellStyle name="тысячи (000) 2 4 3" xfId="55811"/>
    <cellStyle name="тысячи (000) 2 4 3 2" xfId="55812"/>
    <cellStyle name="тысячи (000) 2 4 4" xfId="55813"/>
    <cellStyle name="тысячи (000) 2 4 5" xfId="55814"/>
    <cellStyle name="тысячи (000) 2 5" xfId="55815"/>
    <cellStyle name="тысячи (000) 2 5 2" xfId="55816"/>
    <cellStyle name="тысячи (000) 2 5 2 2" xfId="55817"/>
    <cellStyle name="тысячи (000) 2 5 3" xfId="55818"/>
    <cellStyle name="тысячи (000) 2 5 4" xfId="55819"/>
    <cellStyle name="тысячи (000) 2 6" xfId="55820"/>
    <cellStyle name="тысячи (000) 2 6 2" xfId="55821"/>
    <cellStyle name="тысячи (000) 2 7" xfId="55822"/>
    <cellStyle name="тысячи (000) 2 8" xfId="55823"/>
    <cellStyle name="тысячи (000) 2 9" xfId="55824"/>
    <cellStyle name="тысячи (000) 20" xfId="55825"/>
    <cellStyle name="тысячи (000) 21" xfId="55826"/>
    <cellStyle name="тысячи (000) 22" xfId="55827"/>
    <cellStyle name="тысячи (000) 23" xfId="55828"/>
    <cellStyle name="тысячи (000) 24" xfId="55829"/>
    <cellStyle name="тысячи (000) 25" xfId="55830"/>
    <cellStyle name="тысячи (000) 3" xfId="55831"/>
    <cellStyle name="тысячи (000) 3 10" xfId="55832"/>
    <cellStyle name="тысячи (000) 3 11" xfId="55833"/>
    <cellStyle name="тысячи (000) 3 12" xfId="55834"/>
    <cellStyle name="тысячи (000) 3 13" xfId="55835"/>
    <cellStyle name="тысячи (000) 3 14" xfId="55836"/>
    <cellStyle name="тысячи (000) 3 15" xfId="55837"/>
    <cellStyle name="тысячи (000) 3 16" xfId="55838"/>
    <cellStyle name="тысячи (000) 3 17" xfId="55839"/>
    <cellStyle name="тысячи (000) 3 18" xfId="55840"/>
    <cellStyle name="тысячи (000) 3 19" xfId="55841"/>
    <cellStyle name="тысячи (000) 3 2" xfId="55842"/>
    <cellStyle name="тысячи (000) 3 2 10" xfId="55843"/>
    <cellStyle name="тысячи (000) 3 2 11" xfId="55844"/>
    <cellStyle name="тысячи (000) 3 2 12" xfId="55845"/>
    <cellStyle name="тысячи (000) 3 2 13" xfId="55846"/>
    <cellStyle name="тысячи (000) 3 2 14" xfId="55847"/>
    <cellStyle name="тысячи (000) 3 2 15" xfId="55848"/>
    <cellStyle name="тысячи (000) 3 2 16" xfId="55849"/>
    <cellStyle name="тысячи (000) 3 2 17" xfId="55850"/>
    <cellStyle name="тысячи (000) 3 2 18" xfId="55851"/>
    <cellStyle name="тысячи (000) 3 2 2" xfId="55852"/>
    <cellStyle name="тысячи (000) 3 2 2 2" xfId="55853"/>
    <cellStyle name="тысячи (000) 3 2 2 2 2" xfId="55854"/>
    <cellStyle name="тысячи (000) 3 2 2 3" xfId="55855"/>
    <cellStyle name="тысячи (000) 3 2 2 4" xfId="55856"/>
    <cellStyle name="тысячи (000) 3 2 3" xfId="55857"/>
    <cellStyle name="тысячи (000) 3 2 3 2" xfId="55858"/>
    <cellStyle name="тысячи (000) 3 2 3 3" xfId="55859"/>
    <cellStyle name="тысячи (000) 3 2 4" xfId="55860"/>
    <cellStyle name="тысячи (000) 3 2 4 2" xfId="55861"/>
    <cellStyle name="тысячи (000) 3 2 5" xfId="55862"/>
    <cellStyle name="тысячи (000) 3 2 6" xfId="55863"/>
    <cellStyle name="тысячи (000) 3 2 7" xfId="55864"/>
    <cellStyle name="тысячи (000) 3 2 8" xfId="55865"/>
    <cellStyle name="тысячи (000) 3 2 9" xfId="55866"/>
    <cellStyle name="тысячи (000) 3 20" xfId="55867"/>
    <cellStyle name="тысячи (000) 3 21" xfId="55868"/>
    <cellStyle name="тысячи (000) 3 3" xfId="55869"/>
    <cellStyle name="тысячи (000) 3 3 10" xfId="55870"/>
    <cellStyle name="тысячи (000) 3 3 11" xfId="55871"/>
    <cellStyle name="тысячи (000) 3 3 12" xfId="55872"/>
    <cellStyle name="тысячи (000) 3 3 13" xfId="55873"/>
    <cellStyle name="тысячи (000) 3 3 14" xfId="55874"/>
    <cellStyle name="тысячи (000) 3 3 15" xfId="55875"/>
    <cellStyle name="тысячи (000) 3 3 16" xfId="55876"/>
    <cellStyle name="тысячи (000) 3 3 17" xfId="55877"/>
    <cellStyle name="тысячи (000) 3 3 18" xfId="55878"/>
    <cellStyle name="тысячи (000) 3 3 2" xfId="55879"/>
    <cellStyle name="тысячи (000) 3 3 2 2" xfId="55880"/>
    <cellStyle name="тысячи (000) 3 3 2 2 2" xfId="55881"/>
    <cellStyle name="тысячи (000) 3 3 2 3" xfId="55882"/>
    <cellStyle name="тысячи (000) 3 3 2 4" xfId="55883"/>
    <cellStyle name="тысячи (000) 3 3 3" xfId="55884"/>
    <cellStyle name="тысячи (000) 3 3 3 2" xfId="55885"/>
    <cellStyle name="тысячи (000) 3 3 3 3" xfId="55886"/>
    <cellStyle name="тысячи (000) 3 3 4" xfId="55887"/>
    <cellStyle name="тысячи (000) 3 3 4 2" xfId="55888"/>
    <cellStyle name="тысячи (000) 3 3 5" xfId="55889"/>
    <cellStyle name="тысячи (000) 3 3 6" xfId="55890"/>
    <cellStyle name="тысячи (000) 3 3 7" xfId="55891"/>
    <cellStyle name="тысячи (000) 3 3 8" xfId="55892"/>
    <cellStyle name="тысячи (000) 3 3 9" xfId="55893"/>
    <cellStyle name="тысячи (000) 3 4" xfId="55894"/>
    <cellStyle name="тысячи (000) 3 4 2" xfId="55895"/>
    <cellStyle name="тысячи (000) 3 4 2 2" xfId="55896"/>
    <cellStyle name="тысячи (000) 3 4 2 3" xfId="55897"/>
    <cellStyle name="тысячи (000) 3 4 3" xfId="55898"/>
    <cellStyle name="тысячи (000) 3 4 3 2" xfId="55899"/>
    <cellStyle name="тысячи (000) 3 4 4" xfId="55900"/>
    <cellStyle name="тысячи (000) 3 4 5" xfId="55901"/>
    <cellStyle name="тысячи (000) 3 5" xfId="55902"/>
    <cellStyle name="тысячи (000) 3 5 2" xfId="55903"/>
    <cellStyle name="тысячи (000) 3 5 2 2" xfId="55904"/>
    <cellStyle name="тысячи (000) 3 5 3" xfId="55905"/>
    <cellStyle name="тысячи (000) 3 5 4" xfId="55906"/>
    <cellStyle name="тысячи (000) 3 6" xfId="55907"/>
    <cellStyle name="тысячи (000) 3 6 2" xfId="55908"/>
    <cellStyle name="тысячи (000) 3 7" xfId="55909"/>
    <cellStyle name="тысячи (000) 3 8" xfId="55910"/>
    <cellStyle name="тысячи (000) 3 9" xfId="55911"/>
    <cellStyle name="тысячи (000) 4" xfId="55912"/>
    <cellStyle name="тысячи (000) 4 10" xfId="55913"/>
    <cellStyle name="тысячи (000) 4 11" xfId="55914"/>
    <cellStyle name="тысячи (000) 4 12" xfId="55915"/>
    <cellStyle name="тысячи (000) 4 13" xfId="55916"/>
    <cellStyle name="тысячи (000) 4 14" xfId="55917"/>
    <cellStyle name="тысячи (000) 4 15" xfId="55918"/>
    <cellStyle name="тысячи (000) 4 16" xfId="55919"/>
    <cellStyle name="тысячи (000) 4 17" xfId="55920"/>
    <cellStyle name="тысячи (000) 4 18" xfId="55921"/>
    <cellStyle name="тысячи (000) 4 19" xfId="55922"/>
    <cellStyle name="тысячи (000) 4 2" xfId="55923"/>
    <cellStyle name="тысячи (000) 4 2 10" xfId="55924"/>
    <cellStyle name="тысячи (000) 4 2 11" xfId="55925"/>
    <cellStyle name="тысячи (000) 4 2 12" xfId="55926"/>
    <cellStyle name="тысячи (000) 4 2 13" xfId="55927"/>
    <cellStyle name="тысячи (000) 4 2 14" xfId="55928"/>
    <cellStyle name="тысячи (000) 4 2 15" xfId="55929"/>
    <cellStyle name="тысячи (000) 4 2 16" xfId="55930"/>
    <cellStyle name="тысячи (000) 4 2 17" xfId="55931"/>
    <cellStyle name="тысячи (000) 4 2 18" xfId="55932"/>
    <cellStyle name="тысячи (000) 4 2 2" xfId="55933"/>
    <cellStyle name="тысячи (000) 4 2 2 2" xfId="55934"/>
    <cellStyle name="тысячи (000) 4 2 2 2 2" xfId="55935"/>
    <cellStyle name="тысячи (000) 4 2 2 3" xfId="55936"/>
    <cellStyle name="тысячи (000) 4 2 2 4" xfId="55937"/>
    <cellStyle name="тысячи (000) 4 2 3" xfId="55938"/>
    <cellStyle name="тысячи (000) 4 2 3 2" xfId="55939"/>
    <cellStyle name="тысячи (000) 4 2 3 3" xfId="55940"/>
    <cellStyle name="тысячи (000) 4 2 4" xfId="55941"/>
    <cellStyle name="тысячи (000) 4 2 4 2" xfId="55942"/>
    <cellStyle name="тысячи (000) 4 2 5" xfId="55943"/>
    <cellStyle name="тысячи (000) 4 2 6" xfId="55944"/>
    <cellStyle name="тысячи (000) 4 2 7" xfId="55945"/>
    <cellStyle name="тысячи (000) 4 2 8" xfId="55946"/>
    <cellStyle name="тысячи (000) 4 2 9" xfId="55947"/>
    <cellStyle name="тысячи (000) 4 20" xfId="55948"/>
    <cellStyle name="тысячи (000) 4 21" xfId="55949"/>
    <cellStyle name="тысячи (000) 4 3" xfId="55950"/>
    <cellStyle name="тысячи (000) 4 3 10" xfId="55951"/>
    <cellStyle name="тысячи (000) 4 3 11" xfId="55952"/>
    <cellStyle name="тысячи (000) 4 3 12" xfId="55953"/>
    <cellStyle name="тысячи (000) 4 3 13" xfId="55954"/>
    <cellStyle name="тысячи (000) 4 3 14" xfId="55955"/>
    <cellStyle name="тысячи (000) 4 3 15" xfId="55956"/>
    <cellStyle name="тысячи (000) 4 3 16" xfId="55957"/>
    <cellStyle name="тысячи (000) 4 3 17" xfId="55958"/>
    <cellStyle name="тысячи (000) 4 3 18" xfId="55959"/>
    <cellStyle name="тысячи (000) 4 3 2" xfId="55960"/>
    <cellStyle name="тысячи (000) 4 3 2 2" xfId="55961"/>
    <cellStyle name="тысячи (000) 4 3 2 2 2" xfId="55962"/>
    <cellStyle name="тысячи (000) 4 3 2 3" xfId="55963"/>
    <cellStyle name="тысячи (000) 4 3 2 4" xfId="55964"/>
    <cellStyle name="тысячи (000) 4 3 3" xfId="55965"/>
    <cellStyle name="тысячи (000) 4 3 3 2" xfId="55966"/>
    <cellStyle name="тысячи (000) 4 3 3 3" xfId="55967"/>
    <cellStyle name="тысячи (000) 4 3 4" xfId="55968"/>
    <cellStyle name="тысячи (000) 4 3 4 2" xfId="55969"/>
    <cellStyle name="тысячи (000) 4 3 5" xfId="55970"/>
    <cellStyle name="тысячи (000) 4 3 6" xfId="55971"/>
    <cellStyle name="тысячи (000) 4 3 7" xfId="55972"/>
    <cellStyle name="тысячи (000) 4 3 8" xfId="55973"/>
    <cellStyle name="тысячи (000) 4 3 9" xfId="55974"/>
    <cellStyle name="тысячи (000) 4 4" xfId="55975"/>
    <cellStyle name="тысячи (000) 4 4 2" xfId="55976"/>
    <cellStyle name="тысячи (000) 4 4 2 2" xfId="55977"/>
    <cellStyle name="тысячи (000) 4 4 2 3" xfId="55978"/>
    <cellStyle name="тысячи (000) 4 4 3" xfId="55979"/>
    <cellStyle name="тысячи (000) 4 4 3 2" xfId="55980"/>
    <cellStyle name="тысячи (000) 4 4 4" xfId="55981"/>
    <cellStyle name="тысячи (000) 4 4 5" xfId="55982"/>
    <cellStyle name="тысячи (000) 4 5" xfId="55983"/>
    <cellStyle name="тысячи (000) 4 5 2" xfId="55984"/>
    <cellStyle name="тысячи (000) 4 5 2 2" xfId="55985"/>
    <cellStyle name="тысячи (000) 4 5 3" xfId="55986"/>
    <cellStyle name="тысячи (000) 4 5 4" xfId="55987"/>
    <cellStyle name="тысячи (000) 4 6" xfId="55988"/>
    <cellStyle name="тысячи (000) 4 6 2" xfId="55989"/>
    <cellStyle name="тысячи (000) 4 7" xfId="55990"/>
    <cellStyle name="тысячи (000) 4 8" xfId="55991"/>
    <cellStyle name="тысячи (000) 4 9" xfId="55992"/>
    <cellStyle name="тысячи (000) 5" xfId="55993"/>
    <cellStyle name="тысячи (000) 5 10" xfId="55994"/>
    <cellStyle name="тысячи (000) 5 11" xfId="55995"/>
    <cellStyle name="тысячи (000) 5 12" xfId="55996"/>
    <cellStyle name="тысячи (000) 5 13" xfId="55997"/>
    <cellStyle name="тысячи (000) 5 14" xfId="55998"/>
    <cellStyle name="тысячи (000) 5 15" xfId="55999"/>
    <cellStyle name="тысячи (000) 5 16" xfId="56000"/>
    <cellStyle name="тысячи (000) 5 17" xfId="56001"/>
    <cellStyle name="тысячи (000) 5 18" xfId="56002"/>
    <cellStyle name="тысячи (000) 5 19" xfId="56003"/>
    <cellStyle name="тысячи (000) 5 2" xfId="56004"/>
    <cellStyle name="тысячи (000) 5 2 10" xfId="56005"/>
    <cellStyle name="тысячи (000) 5 2 11" xfId="56006"/>
    <cellStyle name="тысячи (000) 5 2 12" xfId="56007"/>
    <cellStyle name="тысячи (000) 5 2 13" xfId="56008"/>
    <cellStyle name="тысячи (000) 5 2 14" xfId="56009"/>
    <cellStyle name="тысячи (000) 5 2 15" xfId="56010"/>
    <cellStyle name="тысячи (000) 5 2 16" xfId="56011"/>
    <cellStyle name="тысячи (000) 5 2 17" xfId="56012"/>
    <cellStyle name="тысячи (000) 5 2 18" xfId="56013"/>
    <cellStyle name="тысячи (000) 5 2 2" xfId="56014"/>
    <cellStyle name="тысячи (000) 5 2 2 2" xfId="56015"/>
    <cellStyle name="тысячи (000) 5 2 2 2 2" xfId="56016"/>
    <cellStyle name="тысячи (000) 5 2 2 3" xfId="56017"/>
    <cellStyle name="тысячи (000) 5 2 2 4" xfId="56018"/>
    <cellStyle name="тысячи (000) 5 2 3" xfId="56019"/>
    <cellStyle name="тысячи (000) 5 2 3 2" xfId="56020"/>
    <cellStyle name="тысячи (000) 5 2 3 3" xfId="56021"/>
    <cellStyle name="тысячи (000) 5 2 4" xfId="56022"/>
    <cellStyle name="тысячи (000) 5 2 4 2" xfId="56023"/>
    <cellStyle name="тысячи (000) 5 2 5" xfId="56024"/>
    <cellStyle name="тысячи (000) 5 2 6" xfId="56025"/>
    <cellStyle name="тысячи (000) 5 2 7" xfId="56026"/>
    <cellStyle name="тысячи (000) 5 2 8" xfId="56027"/>
    <cellStyle name="тысячи (000) 5 2 9" xfId="56028"/>
    <cellStyle name="тысячи (000) 5 3" xfId="56029"/>
    <cellStyle name="тысячи (000) 5 3 10" xfId="56030"/>
    <cellStyle name="тысячи (000) 5 3 11" xfId="56031"/>
    <cellStyle name="тысячи (000) 5 3 12" xfId="56032"/>
    <cellStyle name="тысячи (000) 5 3 13" xfId="56033"/>
    <cellStyle name="тысячи (000) 5 3 14" xfId="56034"/>
    <cellStyle name="тысячи (000) 5 3 15" xfId="56035"/>
    <cellStyle name="тысячи (000) 5 3 16" xfId="56036"/>
    <cellStyle name="тысячи (000) 5 3 17" xfId="56037"/>
    <cellStyle name="тысячи (000) 5 3 18" xfId="56038"/>
    <cellStyle name="тысячи (000) 5 3 2" xfId="56039"/>
    <cellStyle name="тысячи (000) 5 3 2 2" xfId="56040"/>
    <cellStyle name="тысячи (000) 5 3 2 2 2" xfId="56041"/>
    <cellStyle name="тысячи (000) 5 3 2 3" xfId="56042"/>
    <cellStyle name="тысячи (000) 5 3 2 4" xfId="56043"/>
    <cellStyle name="тысячи (000) 5 3 3" xfId="56044"/>
    <cellStyle name="тысячи (000) 5 3 3 2" xfId="56045"/>
    <cellStyle name="тысячи (000) 5 3 3 3" xfId="56046"/>
    <cellStyle name="тысячи (000) 5 3 4" xfId="56047"/>
    <cellStyle name="тысячи (000) 5 3 4 2" xfId="56048"/>
    <cellStyle name="тысячи (000) 5 3 5" xfId="56049"/>
    <cellStyle name="тысячи (000) 5 3 6" xfId="56050"/>
    <cellStyle name="тысячи (000) 5 3 7" xfId="56051"/>
    <cellStyle name="тысячи (000) 5 3 8" xfId="56052"/>
    <cellStyle name="тысячи (000) 5 3 9" xfId="56053"/>
    <cellStyle name="тысячи (000) 5 4" xfId="56054"/>
    <cellStyle name="тысячи (000) 5 4 2" xfId="56055"/>
    <cellStyle name="тысячи (000) 5 4 2 2" xfId="56056"/>
    <cellStyle name="тысячи (000) 5 4 2 3" xfId="56057"/>
    <cellStyle name="тысячи (000) 5 4 3" xfId="56058"/>
    <cellStyle name="тысячи (000) 5 4 3 2" xfId="56059"/>
    <cellStyle name="тысячи (000) 5 4 4" xfId="56060"/>
    <cellStyle name="тысячи (000) 5 4 5" xfId="56061"/>
    <cellStyle name="тысячи (000) 5 5" xfId="56062"/>
    <cellStyle name="тысячи (000) 5 5 2" xfId="56063"/>
    <cellStyle name="тысячи (000) 5 5 2 2" xfId="56064"/>
    <cellStyle name="тысячи (000) 5 5 3" xfId="56065"/>
    <cellStyle name="тысячи (000) 5 5 4" xfId="56066"/>
    <cellStyle name="тысячи (000) 5 6" xfId="56067"/>
    <cellStyle name="тысячи (000) 5 6 2" xfId="56068"/>
    <cellStyle name="тысячи (000) 5 7" xfId="56069"/>
    <cellStyle name="тысячи (000) 5 8" xfId="56070"/>
    <cellStyle name="тысячи (000) 5 9" xfId="56071"/>
    <cellStyle name="тысячи (000) 6" xfId="56072"/>
    <cellStyle name="тысячи (000) 6 10" xfId="56073"/>
    <cellStyle name="тысячи (000) 6 11" xfId="56074"/>
    <cellStyle name="тысячи (000) 6 12" xfId="56075"/>
    <cellStyle name="тысячи (000) 6 13" xfId="56076"/>
    <cellStyle name="тысячи (000) 6 14" xfId="56077"/>
    <cellStyle name="тысячи (000) 6 15" xfId="56078"/>
    <cellStyle name="тысячи (000) 6 16" xfId="56079"/>
    <cellStyle name="тысячи (000) 6 17" xfId="56080"/>
    <cellStyle name="тысячи (000) 6 18" xfId="56081"/>
    <cellStyle name="тысячи (000) 6 19" xfId="56082"/>
    <cellStyle name="тысячи (000) 6 2" xfId="56083"/>
    <cellStyle name="тысячи (000) 6 2 10" xfId="56084"/>
    <cellStyle name="тысячи (000) 6 2 11" xfId="56085"/>
    <cellStyle name="тысячи (000) 6 2 12" xfId="56086"/>
    <cellStyle name="тысячи (000) 6 2 13" xfId="56087"/>
    <cellStyle name="тысячи (000) 6 2 14" xfId="56088"/>
    <cellStyle name="тысячи (000) 6 2 15" xfId="56089"/>
    <cellStyle name="тысячи (000) 6 2 16" xfId="56090"/>
    <cellStyle name="тысячи (000) 6 2 17" xfId="56091"/>
    <cellStyle name="тысячи (000) 6 2 18" xfId="56092"/>
    <cellStyle name="тысячи (000) 6 2 2" xfId="56093"/>
    <cellStyle name="тысячи (000) 6 2 2 2" xfId="56094"/>
    <cellStyle name="тысячи (000) 6 2 2 2 2" xfId="56095"/>
    <cellStyle name="тысячи (000) 6 2 2 3" xfId="56096"/>
    <cellStyle name="тысячи (000) 6 2 2 4" xfId="56097"/>
    <cellStyle name="тысячи (000) 6 2 3" xfId="56098"/>
    <cellStyle name="тысячи (000) 6 2 3 2" xfId="56099"/>
    <cellStyle name="тысячи (000) 6 2 3 3" xfId="56100"/>
    <cellStyle name="тысячи (000) 6 2 4" xfId="56101"/>
    <cellStyle name="тысячи (000) 6 2 4 2" xfId="56102"/>
    <cellStyle name="тысячи (000) 6 2 5" xfId="56103"/>
    <cellStyle name="тысячи (000) 6 2 6" xfId="56104"/>
    <cellStyle name="тысячи (000) 6 2 7" xfId="56105"/>
    <cellStyle name="тысячи (000) 6 2 8" xfId="56106"/>
    <cellStyle name="тысячи (000) 6 2 9" xfId="56107"/>
    <cellStyle name="тысячи (000) 6 20" xfId="56108"/>
    <cellStyle name="тысячи (000) 6 3" xfId="56109"/>
    <cellStyle name="тысячи (000) 6 3 10" xfId="56110"/>
    <cellStyle name="тысячи (000) 6 3 11" xfId="56111"/>
    <cellStyle name="тысячи (000) 6 3 12" xfId="56112"/>
    <cellStyle name="тысячи (000) 6 3 13" xfId="56113"/>
    <cellStyle name="тысячи (000) 6 3 14" xfId="56114"/>
    <cellStyle name="тысячи (000) 6 3 15" xfId="56115"/>
    <cellStyle name="тысячи (000) 6 3 16" xfId="56116"/>
    <cellStyle name="тысячи (000) 6 3 17" xfId="56117"/>
    <cellStyle name="тысячи (000) 6 3 18" xfId="56118"/>
    <cellStyle name="тысячи (000) 6 3 2" xfId="56119"/>
    <cellStyle name="тысячи (000) 6 3 2 2" xfId="56120"/>
    <cellStyle name="тысячи (000) 6 3 2 2 2" xfId="56121"/>
    <cellStyle name="тысячи (000) 6 3 2 3" xfId="56122"/>
    <cellStyle name="тысячи (000) 6 3 2 4" xfId="56123"/>
    <cellStyle name="тысячи (000) 6 3 3" xfId="56124"/>
    <cellStyle name="тысячи (000) 6 3 3 2" xfId="56125"/>
    <cellStyle name="тысячи (000) 6 3 3 3" xfId="56126"/>
    <cellStyle name="тысячи (000) 6 3 4" xfId="56127"/>
    <cellStyle name="тысячи (000) 6 3 4 2" xfId="56128"/>
    <cellStyle name="тысячи (000) 6 3 5" xfId="56129"/>
    <cellStyle name="тысячи (000) 6 3 6" xfId="56130"/>
    <cellStyle name="тысячи (000) 6 3 7" xfId="56131"/>
    <cellStyle name="тысячи (000) 6 3 8" xfId="56132"/>
    <cellStyle name="тысячи (000) 6 3 9" xfId="56133"/>
    <cellStyle name="тысячи (000) 6 4" xfId="56134"/>
    <cellStyle name="тысячи (000) 6 4 2" xfId="56135"/>
    <cellStyle name="тысячи (000) 6 4 2 2" xfId="56136"/>
    <cellStyle name="тысячи (000) 6 4 2 3" xfId="56137"/>
    <cellStyle name="тысячи (000) 6 4 3" xfId="56138"/>
    <cellStyle name="тысячи (000) 6 4 3 2" xfId="56139"/>
    <cellStyle name="тысячи (000) 6 4 4" xfId="56140"/>
    <cellStyle name="тысячи (000) 6 4 5" xfId="56141"/>
    <cellStyle name="тысячи (000) 6 5" xfId="56142"/>
    <cellStyle name="тысячи (000) 6 5 2" xfId="56143"/>
    <cellStyle name="тысячи (000) 6 5 2 2" xfId="56144"/>
    <cellStyle name="тысячи (000) 6 5 3" xfId="56145"/>
    <cellStyle name="тысячи (000) 6 5 4" xfId="56146"/>
    <cellStyle name="тысячи (000) 6 6" xfId="56147"/>
    <cellStyle name="тысячи (000) 6 6 2" xfId="56148"/>
    <cellStyle name="тысячи (000) 6 7" xfId="56149"/>
    <cellStyle name="тысячи (000) 6 8" xfId="56150"/>
    <cellStyle name="тысячи (000) 6 9" xfId="56151"/>
    <cellStyle name="тысячи (000) 7" xfId="56152"/>
    <cellStyle name="тысячи (000) 7 10" xfId="56153"/>
    <cellStyle name="тысячи (000) 7 11" xfId="56154"/>
    <cellStyle name="тысячи (000) 7 12" xfId="56155"/>
    <cellStyle name="тысячи (000) 7 13" xfId="56156"/>
    <cellStyle name="тысячи (000) 7 14" xfId="56157"/>
    <cellStyle name="тысячи (000) 7 15" xfId="56158"/>
    <cellStyle name="тысячи (000) 7 16" xfId="56159"/>
    <cellStyle name="тысячи (000) 7 17" xfId="56160"/>
    <cellStyle name="тысячи (000) 7 2" xfId="56161"/>
    <cellStyle name="тысячи (000) 7 2 2" xfId="56162"/>
    <cellStyle name="тысячи (000) 7 2 2 2" xfId="56163"/>
    <cellStyle name="тысячи (000) 7 2 3" xfId="56164"/>
    <cellStyle name="тысячи (000) 7 2 4" xfId="56165"/>
    <cellStyle name="тысячи (000) 7 3" xfId="56166"/>
    <cellStyle name="тысячи (000) 7 3 2" xfId="56167"/>
    <cellStyle name="тысячи (000) 7 4" xfId="56168"/>
    <cellStyle name="тысячи (000) 7 5" xfId="56169"/>
    <cellStyle name="тысячи (000) 7 6" xfId="56170"/>
    <cellStyle name="тысячи (000) 7 7" xfId="56171"/>
    <cellStyle name="тысячи (000) 7 8" xfId="56172"/>
    <cellStyle name="тысячи (000) 7 9" xfId="56173"/>
    <cellStyle name="тысячи (000) 8" xfId="56174"/>
    <cellStyle name="тысячи (000) 8 2" xfId="56175"/>
    <cellStyle name="тысячи (000) 8 2 2" xfId="56176"/>
    <cellStyle name="тысячи (000) 8 2 2 2" xfId="56177"/>
    <cellStyle name="тысячи (000) 8 2 3" xfId="56178"/>
    <cellStyle name="тысячи (000) 8 2 4" xfId="56179"/>
    <cellStyle name="тысячи (000) 8 3" xfId="56180"/>
    <cellStyle name="тысячи (000) 8 3 2" xfId="56181"/>
    <cellStyle name="тысячи (000) 8 3 3" xfId="56182"/>
    <cellStyle name="тысячи (000) 8 4" xfId="56183"/>
    <cellStyle name="тысячи (000) 8 4 2" xfId="56184"/>
    <cellStyle name="тысячи (000) 8 5" xfId="56185"/>
    <cellStyle name="тысячи (000) 8 6" xfId="56186"/>
    <cellStyle name="тысячи (000) 9" xfId="56187"/>
    <cellStyle name="тысячи (000) 9 2" xfId="56188"/>
    <cellStyle name="тысячи (000) 9 2 2" xfId="56189"/>
    <cellStyle name="тысячи (000) 9 3" xfId="56190"/>
    <cellStyle name="тысячи (000) 9 4" xfId="56191"/>
    <cellStyle name="Тысячи [0.0]" xfId="56192"/>
    <cellStyle name="Тысячи [0.0] 2" xfId="56193"/>
    <cellStyle name="Тысячи [0.0] 2 2" xfId="56194"/>
    <cellStyle name="Тысячи [0.0] 2 2 2" xfId="56195"/>
    <cellStyle name="Тысячи [0.0] 2 3" xfId="56196"/>
    <cellStyle name="Тысячи [0.0] 2 4" xfId="56197"/>
    <cellStyle name="Тысячи [0.0] 3" xfId="56198"/>
    <cellStyle name="Тысячи [0.0] 3 2" xfId="56199"/>
    <cellStyle name="Тысячи [0.0] 4" xfId="56200"/>
    <cellStyle name="Тысячи [0]_1 кв" xfId="56201"/>
    <cellStyle name="Тысячи [а]" xfId="56202"/>
    <cellStyle name="Тысячи [а] 2" xfId="56203"/>
    <cellStyle name="Тысячи [а] 2 2" xfId="56204"/>
    <cellStyle name="Тысячи [а] 2 2 2" xfId="56205"/>
    <cellStyle name="Тысячи [а] 2 3" xfId="56206"/>
    <cellStyle name="Тысячи [а] 2 4" xfId="56207"/>
    <cellStyle name="Тысячи [а] 3" xfId="56208"/>
    <cellStyle name="Тысячи [а] 3 2" xfId="56209"/>
    <cellStyle name="Тысячи [а] 4" xfId="56210"/>
    <cellStyle name="Тысячи 10" xfId="56211"/>
    <cellStyle name="Тысячи 10 2" xfId="56212"/>
    <cellStyle name="Тысячи 10 2 2" xfId="56213"/>
    <cellStyle name="Тысячи 10 3" xfId="56214"/>
    <cellStyle name="Тысячи 10 4" xfId="56215"/>
    <cellStyle name="Тысячи 11" xfId="56216"/>
    <cellStyle name="Тысячи 11 2" xfId="56217"/>
    <cellStyle name="Тысячи 11 3" xfId="56218"/>
    <cellStyle name="Тысячи 12" xfId="56219"/>
    <cellStyle name="Тысячи 12 2" xfId="56220"/>
    <cellStyle name="Тысячи 13" xfId="56221"/>
    <cellStyle name="Тысячи 14" xfId="56222"/>
    <cellStyle name="Тысячи 15" xfId="56223"/>
    <cellStyle name="Тысячи 16" xfId="56224"/>
    <cellStyle name="Тысячи 17" xfId="56225"/>
    <cellStyle name="Тысячи 18" xfId="56226"/>
    <cellStyle name="Тысячи 19" xfId="56227"/>
    <cellStyle name="Тысячи 2" xfId="56228"/>
    <cellStyle name="Тысячи 2 10" xfId="56229"/>
    <cellStyle name="Тысячи 2 11" xfId="56230"/>
    <cellStyle name="Тысячи 2 12" xfId="56231"/>
    <cellStyle name="Тысячи 2 13" xfId="56232"/>
    <cellStyle name="Тысячи 2 14" xfId="56233"/>
    <cellStyle name="Тысячи 2 15" xfId="56234"/>
    <cellStyle name="Тысячи 2 16" xfId="56235"/>
    <cellStyle name="Тысячи 2 17" xfId="56236"/>
    <cellStyle name="Тысячи 2 18" xfId="56237"/>
    <cellStyle name="Тысячи 2 19" xfId="56238"/>
    <cellStyle name="Тысячи 2 2" xfId="56239"/>
    <cellStyle name="Тысячи 2 2 10" xfId="56240"/>
    <cellStyle name="Тысячи 2 2 11" xfId="56241"/>
    <cellStyle name="Тысячи 2 2 12" xfId="56242"/>
    <cellStyle name="Тысячи 2 2 13" xfId="56243"/>
    <cellStyle name="Тысячи 2 2 14" xfId="56244"/>
    <cellStyle name="Тысячи 2 2 15" xfId="56245"/>
    <cellStyle name="Тысячи 2 2 16" xfId="56246"/>
    <cellStyle name="Тысячи 2 2 17" xfId="56247"/>
    <cellStyle name="Тысячи 2 2 18" xfId="56248"/>
    <cellStyle name="Тысячи 2 2 2" xfId="56249"/>
    <cellStyle name="Тысячи 2 2 2 2" xfId="56250"/>
    <cellStyle name="Тысячи 2 2 2 2 2" xfId="56251"/>
    <cellStyle name="Тысячи 2 2 2 3" xfId="56252"/>
    <cellStyle name="Тысячи 2 2 2 4" xfId="56253"/>
    <cellStyle name="Тысячи 2 2 3" xfId="56254"/>
    <cellStyle name="Тысячи 2 2 3 2" xfId="56255"/>
    <cellStyle name="Тысячи 2 2 3 3" xfId="56256"/>
    <cellStyle name="Тысячи 2 2 4" xfId="56257"/>
    <cellStyle name="Тысячи 2 2 4 2" xfId="56258"/>
    <cellStyle name="Тысячи 2 2 5" xfId="56259"/>
    <cellStyle name="Тысячи 2 2 6" xfId="56260"/>
    <cellStyle name="Тысячи 2 2 7" xfId="56261"/>
    <cellStyle name="Тысячи 2 2 8" xfId="56262"/>
    <cellStyle name="Тысячи 2 2 9" xfId="56263"/>
    <cellStyle name="Тысячи 2 3" xfId="56264"/>
    <cellStyle name="Тысячи 2 3 10" xfId="56265"/>
    <cellStyle name="Тысячи 2 3 11" xfId="56266"/>
    <cellStyle name="Тысячи 2 3 12" xfId="56267"/>
    <cellStyle name="Тысячи 2 3 13" xfId="56268"/>
    <cellStyle name="Тысячи 2 3 14" xfId="56269"/>
    <cellStyle name="Тысячи 2 3 15" xfId="56270"/>
    <cellStyle name="Тысячи 2 3 16" xfId="56271"/>
    <cellStyle name="Тысячи 2 3 17" xfId="56272"/>
    <cellStyle name="Тысячи 2 3 18" xfId="56273"/>
    <cellStyle name="Тысячи 2 3 2" xfId="56274"/>
    <cellStyle name="Тысячи 2 3 2 2" xfId="56275"/>
    <cellStyle name="Тысячи 2 3 2 2 2" xfId="56276"/>
    <cellStyle name="Тысячи 2 3 2 3" xfId="56277"/>
    <cellStyle name="Тысячи 2 3 2 4" xfId="56278"/>
    <cellStyle name="Тысячи 2 3 3" xfId="56279"/>
    <cellStyle name="Тысячи 2 3 3 2" xfId="56280"/>
    <cellStyle name="Тысячи 2 3 3 3" xfId="56281"/>
    <cellStyle name="Тысячи 2 3 4" xfId="56282"/>
    <cellStyle name="Тысячи 2 3 4 2" xfId="56283"/>
    <cellStyle name="Тысячи 2 3 5" xfId="56284"/>
    <cellStyle name="Тысячи 2 3 6" xfId="56285"/>
    <cellStyle name="Тысячи 2 3 7" xfId="56286"/>
    <cellStyle name="Тысячи 2 3 8" xfId="56287"/>
    <cellStyle name="Тысячи 2 3 9" xfId="56288"/>
    <cellStyle name="Тысячи 2 4" xfId="56289"/>
    <cellStyle name="Тысячи 2 4 2" xfId="56290"/>
    <cellStyle name="Тысячи 2 4 2 2" xfId="56291"/>
    <cellStyle name="Тысячи 2 4 2 3" xfId="56292"/>
    <cellStyle name="Тысячи 2 4 3" xfId="56293"/>
    <cellStyle name="Тысячи 2 4 3 2" xfId="56294"/>
    <cellStyle name="Тысячи 2 4 4" xfId="56295"/>
    <cellStyle name="Тысячи 2 4 5" xfId="56296"/>
    <cellStyle name="Тысячи 2 5" xfId="56297"/>
    <cellStyle name="Тысячи 2 5 2" xfId="56298"/>
    <cellStyle name="Тысячи 2 5 2 2" xfId="56299"/>
    <cellStyle name="Тысячи 2 5 3" xfId="56300"/>
    <cellStyle name="Тысячи 2 5 4" xfId="56301"/>
    <cellStyle name="Тысячи 2 6" xfId="56302"/>
    <cellStyle name="Тысячи 2 6 2" xfId="56303"/>
    <cellStyle name="Тысячи 2 7" xfId="56304"/>
    <cellStyle name="Тысячи 2 8" xfId="56305"/>
    <cellStyle name="Тысячи 2 9" xfId="56306"/>
    <cellStyle name="Тысячи 20" xfId="56307"/>
    <cellStyle name="Тысячи 21" xfId="56308"/>
    <cellStyle name="Тысячи 22" xfId="56309"/>
    <cellStyle name="Тысячи 23" xfId="56310"/>
    <cellStyle name="Тысячи 24" xfId="56311"/>
    <cellStyle name="Тысячи 25" xfId="56312"/>
    <cellStyle name="Тысячи 26" xfId="56313"/>
    <cellStyle name="Тысячи 27" xfId="56314"/>
    <cellStyle name="Тысячи 28" xfId="56315"/>
    <cellStyle name="Тысячи 3" xfId="56316"/>
    <cellStyle name="Тысячи 3 10" xfId="56317"/>
    <cellStyle name="Тысячи 3 11" xfId="56318"/>
    <cellStyle name="Тысячи 3 12" xfId="56319"/>
    <cellStyle name="Тысячи 3 13" xfId="56320"/>
    <cellStyle name="Тысячи 3 14" xfId="56321"/>
    <cellStyle name="Тысячи 3 15" xfId="56322"/>
    <cellStyle name="Тысячи 3 16" xfId="56323"/>
    <cellStyle name="Тысячи 3 17" xfId="56324"/>
    <cellStyle name="Тысячи 3 18" xfId="56325"/>
    <cellStyle name="Тысячи 3 19" xfId="56326"/>
    <cellStyle name="Тысячи 3 2" xfId="56327"/>
    <cellStyle name="Тысячи 3 2 10" xfId="56328"/>
    <cellStyle name="Тысячи 3 2 11" xfId="56329"/>
    <cellStyle name="Тысячи 3 2 12" xfId="56330"/>
    <cellStyle name="Тысячи 3 2 13" xfId="56331"/>
    <cellStyle name="Тысячи 3 2 14" xfId="56332"/>
    <cellStyle name="Тысячи 3 2 15" xfId="56333"/>
    <cellStyle name="Тысячи 3 2 16" xfId="56334"/>
    <cellStyle name="Тысячи 3 2 17" xfId="56335"/>
    <cellStyle name="Тысячи 3 2 18" xfId="56336"/>
    <cellStyle name="Тысячи 3 2 2" xfId="56337"/>
    <cellStyle name="Тысячи 3 2 2 2" xfId="56338"/>
    <cellStyle name="Тысячи 3 2 2 2 2" xfId="56339"/>
    <cellStyle name="Тысячи 3 2 2 3" xfId="56340"/>
    <cellStyle name="Тысячи 3 2 2 4" xfId="56341"/>
    <cellStyle name="Тысячи 3 2 3" xfId="56342"/>
    <cellStyle name="Тысячи 3 2 3 2" xfId="56343"/>
    <cellStyle name="Тысячи 3 2 3 3" xfId="56344"/>
    <cellStyle name="Тысячи 3 2 4" xfId="56345"/>
    <cellStyle name="Тысячи 3 2 4 2" xfId="56346"/>
    <cellStyle name="Тысячи 3 2 5" xfId="56347"/>
    <cellStyle name="Тысячи 3 2 6" xfId="56348"/>
    <cellStyle name="Тысячи 3 2 7" xfId="56349"/>
    <cellStyle name="Тысячи 3 2 8" xfId="56350"/>
    <cellStyle name="Тысячи 3 2 9" xfId="56351"/>
    <cellStyle name="Тысячи 3 20" xfId="56352"/>
    <cellStyle name="Тысячи 3 21" xfId="56353"/>
    <cellStyle name="Тысячи 3 3" xfId="56354"/>
    <cellStyle name="Тысячи 3 3 10" xfId="56355"/>
    <cellStyle name="Тысячи 3 3 11" xfId="56356"/>
    <cellStyle name="Тысячи 3 3 12" xfId="56357"/>
    <cellStyle name="Тысячи 3 3 13" xfId="56358"/>
    <cellStyle name="Тысячи 3 3 14" xfId="56359"/>
    <cellStyle name="Тысячи 3 3 15" xfId="56360"/>
    <cellStyle name="Тысячи 3 3 16" xfId="56361"/>
    <cellStyle name="Тысячи 3 3 17" xfId="56362"/>
    <cellStyle name="Тысячи 3 3 18" xfId="56363"/>
    <cellStyle name="Тысячи 3 3 2" xfId="56364"/>
    <cellStyle name="Тысячи 3 3 2 2" xfId="56365"/>
    <cellStyle name="Тысячи 3 3 2 2 2" xfId="56366"/>
    <cellStyle name="Тысячи 3 3 2 3" xfId="56367"/>
    <cellStyle name="Тысячи 3 3 2 4" xfId="56368"/>
    <cellStyle name="Тысячи 3 3 3" xfId="56369"/>
    <cellStyle name="Тысячи 3 3 3 2" xfId="56370"/>
    <cellStyle name="Тысячи 3 3 3 3" xfId="56371"/>
    <cellStyle name="Тысячи 3 3 4" xfId="56372"/>
    <cellStyle name="Тысячи 3 3 4 2" xfId="56373"/>
    <cellStyle name="Тысячи 3 3 5" xfId="56374"/>
    <cellStyle name="Тысячи 3 3 6" xfId="56375"/>
    <cellStyle name="Тысячи 3 3 7" xfId="56376"/>
    <cellStyle name="Тысячи 3 3 8" xfId="56377"/>
    <cellStyle name="Тысячи 3 3 9" xfId="56378"/>
    <cellStyle name="Тысячи 3 4" xfId="56379"/>
    <cellStyle name="Тысячи 3 4 2" xfId="56380"/>
    <cellStyle name="Тысячи 3 4 2 2" xfId="56381"/>
    <cellStyle name="Тысячи 3 4 2 3" xfId="56382"/>
    <cellStyle name="Тысячи 3 4 3" xfId="56383"/>
    <cellStyle name="Тысячи 3 4 3 2" xfId="56384"/>
    <cellStyle name="Тысячи 3 4 4" xfId="56385"/>
    <cellStyle name="Тысячи 3 4 5" xfId="56386"/>
    <cellStyle name="Тысячи 3 5" xfId="56387"/>
    <cellStyle name="Тысячи 3 5 2" xfId="56388"/>
    <cellStyle name="Тысячи 3 5 2 2" xfId="56389"/>
    <cellStyle name="Тысячи 3 5 3" xfId="56390"/>
    <cellStyle name="Тысячи 3 5 4" xfId="56391"/>
    <cellStyle name="Тысячи 3 6" xfId="56392"/>
    <cellStyle name="Тысячи 3 6 2" xfId="56393"/>
    <cellStyle name="Тысячи 3 7" xfId="56394"/>
    <cellStyle name="Тысячи 3 8" xfId="56395"/>
    <cellStyle name="Тысячи 3 9" xfId="56396"/>
    <cellStyle name="Тысячи 4" xfId="56397"/>
    <cellStyle name="Тысячи 4 10" xfId="56398"/>
    <cellStyle name="Тысячи 4 11" xfId="56399"/>
    <cellStyle name="Тысячи 4 12" xfId="56400"/>
    <cellStyle name="Тысячи 4 13" xfId="56401"/>
    <cellStyle name="Тысячи 4 14" xfId="56402"/>
    <cellStyle name="Тысячи 4 15" xfId="56403"/>
    <cellStyle name="Тысячи 4 16" xfId="56404"/>
    <cellStyle name="Тысячи 4 17" xfId="56405"/>
    <cellStyle name="Тысячи 4 18" xfId="56406"/>
    <cellStyle name="Тысячи 4 19" xfId="56407"/>
    <cellStyle name="Тысячи 4 2" xfId="56408"/>
    <cellStyle name="Тысячи 4 2 10" xfId="56409"/>
    <cellStyle name="Тысячи 4 2 11" xfId="56410"/>
    <cellStyle name="Тысячи 4 2 12" xfId="56411"/>
    <cellStyle name="Тысячи 4 2 13" xfId="56412"/>
    <cellStyle name="Тысячи 4 2 14" xfId="56413"/>
    <cellStyle name="Тысячи 4 2 15" xfId="56414"/>
    <cellStyle name="Тысячи 4 2 16" xfId="56415"/>
    <cellStyle name="Тысячи 4 2 17" xfId="56416"/>
    <cellStyle name="Тысячи 4 2 18" xfId="56417"/>
    <cellStyle name="Тысячи 4 2 2" xfId="56418"/>
    <cellStyle name="Тысячи 4 2 2 2" xfId="56419"/>
    <cellStyle name="Тысячи 4 2 2 2 2" xfId="56420"/>
    <cellStyle name="Тысячи 4 2 2 3" xfId="56421"/>
    <cellStyle name="Тысячи 4 2 2 4" xfId="56422"/>
    <cellStyle name="Тысячи 4 2 3" xfId="56423"/>
    <cellStyle name="Тысячи 4 2 3 2" xfId="56424"/>
    <cellStyle name="Тысячи 4 2 3 3" xfId="56425"/>
    <cellStyle name="Тысячи 4 2 4" xfId="56426"/>
    <cellStyle name="Тысячи 4 2 4 2" xfId="56427"/>
    <cellStyle name="Тысячи 4 2 5" xfId="56428"/>
    <cellStyle name="Тысячи 4 2 6" xfId="56429"/>
    <cellStyle name="Тысячи 4 2 7" xfId="56430"/>
    <cellStyle name="Тысячи 4 2 8" xfId="56431"/>
    <cellStyle name="Тысячи 4 2 9" xfId="56432"/>
    <cellStyle name="Тысячи 4 20" xfId="56433"/>
    <cellStyle name="Тысячи 4 21" xfId="56434"/>
    <cellStyle name="Тысячи 4 3" xfId="56435"/>
    <cellStyle name="Тысячи 4 3 10" xfId="56436"/>
    <cellStyle name="Тысячи 4 3 11" xfId="56437"/>
    <cellStyle name="Тысячи 4 3 12" xfId="56438"/>
    <cellStyle name="Тысячи 4 3 13" xfId="56439"/>
    <cellStyle name="Тысячи 4 3 14" xfId="56440"/>
    <cellStyle name="Тысячи 4 3 15" xfId="56441"/>
    <cellStyle name="Тысячи 4 3 16" xfId="56442"/>
    <cellStyle name="Тысячи 4 3 17" xfId="56443"/>
    <cellStyle name="Тысячи 4 3 18" xfId="56444"/>
    <cellStyle name="Тысячи 4 3 2" xfId="56445"/>
    <cellStyle name="Тысячи 4 3 2 2" xfId="56446"/>
    <cellStyle name="Тысячи 4 3 2 2 2" xfId="56447"/>
    <cellStyle name="Тысячи 4 3 2 3" xfId="56448"/>
    <cellStyle name="Тысячи 4 3 2 4" xfId="56449"/>
    <cellStyle name="Тысячи 4 3 3" xfId="56450"/>
    <cellStyle name="Тысячи 4 3 3 2" xfId="56451"/>
    <cellStyle name="Тысячи 4 3 3 3" xfId="56452"/>
    <cellStyle name="Тысячи 4 3 4" xfId="56453"/>
    <cellStyle name="Тысячи 4 3 4 2" xfId="56454"/>
    <cellStyle name="Тысячи 4 3 5" xfId="56455"/>
    <cellStyle name="Тысячи 4 3 6" xfId="56456"/>
    <cellStyle name="Тысячи 4 3 7" xfId="56457"/>
    <cellStyle name="Тысячи 4 3 8" xfId="56458"/>
    <cellStyle name="Тысячи 4 3 9" xfId="56459"/>
    <cellStyle name="Тысячи 4 4" xfId="56460"/>
    <cellStyle name="Тысячи 4 4 2" xfId="56461"/>
    <cellStyle name="Тысячи 4 4 2 2" xfId="56462"/>
    <cellStyle name="Тысячи 4 4 2 3" xfId="56463"/>
    <cellStyle name="Тысячи 4 4 3" xfId="56464"/>
    <cellStyle name="Тысячи 4 4 3 2" xfId="56465"/>
    <cellStyle name="Тысячи 4 4 4" xfId="56466"/>
    <cellStyle name="Тысячи 4 4 5" xfId="56467"/>
    <cellStyle name="Тысячи 4 5" xfId="56468"/>
    <cellStyle name="Тысячи 4 5 2" xfId="56469"/>
    <cellStyle name="Тысячи 4 5 2 2" xfId="56470"/>
    <cellStyle name="Тысячи 4 5 3" xfId="56471"/>
    <cellStyle name="Тысячи 4 5 4" xfId="56472"/>
    <cellStyle name="Тысячи 4 6" xfId="56473"/>
    <cellStyle name="Тысячи 4 6 2" xfId="56474"/>
    <cellStyle name="Тысячи 4 7" xfId="56475"/>
    <cellStyle name="Тысячи 4 8" xfId="56476"/>
    <cellStyle name="Тысячи 4 9" xfId="56477"/>
    <cellStyle name="Тысячи 5" xfId="56478"/>
    <cellStyle name="Тысячи 5 10" xfId="56479"/>
    <cellStyle name="Тысячи 5 11" xfId="56480"/>
    <cellStyle name="Тысячи 5 12" xfId="56481"/>
    <cellStyle name="Тысячи 5 13" xfId="56482"/>
    <cellStyle name="Тысячи 5 14" xfId="56483"/>
    <cellStyle name="Тысячи 5 15" xfId="56484"/>
    <cellStyle name="Тысячи 5 16" xfId="56485"/>
    <cellStyle name="Тысячи 5 17" xfId="56486"/>
    <cellStyle name="Тысячи 5 18" xfId="56487"/>
    <cellStyle name="Тысячи 5 19" xfId="56488"/>
    <cellStyle name="Тысячи 5 2" xfId="56489"/>
    <cellStyle name="Тысячи 5 2 10" xfId="56490"/>
    <cellStyle name="Тысячи 5 2 11" xfId="56491"/>
    <cellStyle name="Тысячи 5 2 12" xfId="56492"/>
    <cellStyle name="Тысячи 5 2 13" xfId="56493"/>
    <cellStyle name="Тысячи 5 2 14" xfId="56494"/>
    <cellStyle name="Тысячи 5 2 15" xfId="56495"/>
    <cellStyle name="Тысячи 5 2 16" xfId="56496"/>
    <cellStyle name="Тысячи 5 2 17" xfId="56497"/>
    <cellStyle name="Тысячи 5 2 18" xfId="56498"/>
    <cellStyle name="Тысячи 5 2 2" xfId="56499"/>
    <cellStyle name="Тысячи 5 2 2 2" xfId="56500"/>
    <cellStyle name="Тысячи 5 2 2 2 2" xfId="56501"/>
    <cellStyle name="Тысячи 5 2 2 3" xfId="56502"/>
    <cellStyle name="Тысячи 5 2 2 4" xfId="56503"/>
    <cellStyle name="Тысячи 5 2 3" xfId="56504"/>
    <cellStyle name="Тысячи 5 2 3 2" xfId="56505"/>
    <cellStyle name="Тысячи 5 2 3 3" xfId="56506"/>
    <cellStyle name="Тысячи 5 2 4" xfId="56507"/>
    <cellStyle name="Тысячи 5 2 4 2" xfId="56508"/>
    <cellStyle name="Тысячи 5 2 5" xfId="56509"/>
    <cellStyle name="Тысячи 5 2 6" xfId="56510"/>
    <cellStyle name="Тысячи 5 2 7" xfId="56511"/>
    <cellStyle name="Тысячи 5 2 8" xfId="56512"/>
    <cellStyle name="Тысячи 5 2 9" xfId="56513"/>
    <cellStyle name="Тысячи 5 3" xfId="56514"/>
    <cellStyle name="Тысячи 5 3 10" xfId="56515"/>
    <cellStyle name="Тысячи 5 3 11" xfId="56516"/>
    <cellStyle name="Тысячи 5 3 12" xfId="56517"/>
    <cellStyle name="Тысячи 5 3 13" xfId="56518"/>
    <cellStyle name="Тысячи 5 3 14" xfId="56519"/>
    <cellStyle name="Тысячи 5 3 15" xfId="56520"/>
    <cellStyle name="Тысячи 5 3 16" xfId="56521"/>
    <cellStyle name="Тысячи 5 3 17" xfId="56522"/>
    <cellStyle name="Тысячи 5 3 18" xfId="56523"/>
    <cellStyle name="Тысячи 5 3 2" xfId="56524"/>
    <cellStyle name="Тысячи 5 3 2 2" xfId="56525"/>
    <cellStyle name="Тысячи 5 3 2 2 2" xfId="56526"/>
    <cellStyle name="Тысячи 5 3 2 3" xfId="56527"/>
    <cellStyle name="Тысячи 5 3 2 4" xfId="56528"/>
    <cellStyle name="Тысячи 5 3 3" xfId="56529"/>
    <cellStyle name="Тысячи 5 3 3 2" xfId="56530"/>
    <cellStyle name="Тысячи 5 3 3 3" xfId="56531"/>
    <cellStyle name="Тысячи 5 3 4" xfId="56532"/>
    <cellStyle name="Тысячи 5 3 4 2" xfId="56533"/>
    <cellStyle name="Тысячи 5 3 5" xfId="56534"/>
    <cellStyle name="Тысячи 5 3 6" xfId="56535"/>
    <cellStyle name="Тысячи 5 3 7" xfId="56536"/>
    <cellStyle name="Тысячи 5 3 8" xfId="56537"/>
    <cellStyle name="Тысячи 5 3 9" xfId="56538"/>
    <cellStyle name="Тысячи 5 4" xfId="56539"/>
    <cellStyle name="Тысячи 5 4 2" xfId="56540"/>
    <cellStyle name="Тысячи 5 4 2 2" xfId="56541"/>
    <cellStyle name="Тысячи 5 4 2 3" xfId="56542"/>
    <cellStyle name="Тысячи 5 4 3" xfId="56543"/>
    <cellStyle name="Тысячи 5 4 3 2" xfId="56544"/>
    <cellStyle name="Тысячи 5 4 4" xfId="56545"/>
    <cellStyle name="Тысячи 5 4 5" xfId="56546"/>
    <cellStyle name="Тысячи 5 5" xfId="56547"/>
    <cellStyle name="Тысячи 5 5 2" xfId="56548"/>
    <cellStyle name="Тысячи 5 5 2 2" xfId="56549"/>
    <cellStyle name="Тысячи 5 5 3" xfId="56550"/>
    <cellStyle name="Тысячи 5 5 4" xfId="56551"/>
    <cellStyle name="Тысячи 5 6" xfId="56552"/>
    <cellStyle name="Тысячи 5 6 2" xfId="56553"/>
    <cellStyle name="Тысячи 5 7" xfId="56554"/>
    <cellStyle name="Тысячи 5 8" xfId="56555"/>
    <cellStyle name="Тысячи 5 9" xfId="56556"/>
    <cellStyle name="Тысячи 6" xfId="56557"/>
    <cellStyle name="Тысячи 6 10" xfId="56558"/>
    <cellStyle name="Тысячи 6 11" xfId="56559"/>
    <cellStyle name="Тысячи 6 12" xfId="56560"/>
    <cellStyle name="Тысячи 6 13" xfId="56561"/>
    <cellStyle name="Тысячи 6 14" xfId="56562"/>
    <cellStyle name="Тысячи 6 15" xfId="56563"/>
    <cellStyle name="Тысячи 6 16" xfId="56564"/>
    <cellStyle name="Тысячи 6 17" xfId="56565"/>
    <cellStyle name="Тысячи 6 18" xfId="56566"/>
    <cellStyle name="Тысячи 6 19" xfId="56567"/>
    <cellStyle name="Тысячи 6 2" xfId="56568"/>
    <cellStyle name="Тысячи 6 2 10" xfId="56569"/>
    <cellStyle name="Тысячи 6 2 11" xfId="56570"/>
    <cellStyle name="Тысячи 6 2 12" xfId="56571"/>
    <cellStyle name="Тысячи 6 2 13" xfId="56572"/>
    <cellStyle name="Тысячи 6 2 14" xfId="56573"/>
    <cellStyle name="Тысячи 6 2 15" xfId="56574"/>
    <cellStyle name="Тысячи 6 2 16" xfId="56575"/>
    <cellStyle name="Тысячи 6 2 17" xfId="56576"/>
    <cellStyle name="Тысячи 6 2 18" xfId="56577"/>
    <cellStyle name="Тысячи 6 2 2" xfId="56578"/>
    <cellStyle name="Тысячи 6 2 2 2" xfId="56579"/>
    <cellStyle name="Тысячи 6 2 2 2 2" xfId="56580"/>
    <cellStyle name="Тысячи 6 2 2 3" xfId="56581"/>
    <cellStyle name="Тысячи 6 2 2 4" xfId="56582"/>
    <cellStyle name="Тысячи 6 2 3" xfId="56583"/>
    <cellStyle name="Тысячи 6 2 3 2" xfId="56584"/>
    <cellStyle name="Тысячи 6 2 3 3" xfId="56585"/>
    <cellStyle name="Тысячи 6 2 4" xfId="56586"/>
    <cellStyle name="Тысячи 6 2 4 2" xfId="56587"/>
    <cellStyle name="Тысячи 6 2 5" xfId="56588"/>
    <cellStyle name="Тысячи 6 2 6" xfId="56589"/>
    <cellStyle name="Тысячи 6 2 7" xfId="56590"/>
    <cellStyle name="Тысячи 6 2 8" xfId="56591"/>
    <cellStyle name="Тысячи 6 2 9" xfId="56592"/>
    <cellStyle name="Тысячи 6 20" xfId="56593"/>
    <cellStyle name="Тысячи 6 3" xfId="56594"/>
    <cellStyle name="Тысячи 6 3 10" xfId="56595"/>
    <cellStyle name="Тысячи 6 3 11" xfId="56596"/>
    <cellStyle name="Тысячи 6 3 12" xfId="56597"/>
    <cellStyle name="Тысячи 6 3 13" xfId="56598"/>
    <cellStyle name="Тысячи 6 3 14" xfId="56599"/>
    <cellStyle name="Тысячи 6 3 15" xfId="56600"/>
    <cellStyle name="Тысячи 6 3 16" xfId="56601"/>
    <cellStyle name="Тысячи 6 3 17" xfId="56602"/>
    <cellStyle name="Тысячи 6 3 18" xfId="56603"/>
    <cellStyle name="Тысячи 6 3 2" xfId="56604"/>
    <cellStyle name="Тысячи 6 3 2 2" xfId="56605"/>
    <cellStyle name="Тысячи 6 3 2 2 2" xfId="56606"/>
    <cellStyle name="Тысячи 6 3 2 3" xfId="56607"/>
    <cellStyle name="Тысячи 6 3 2 4" xfId="56608"/>
    <cellStyle name="Тысячи 6 3 3" xfId="56609"/>
    <cellStyle name="Тысячи 6 3 3 2" xfId="56610"/>
    <cellStyle name="Тысячи 6 3 3 3" xfId="56611"/>
    <cellStyle name="Тысячи 6 3 4" xfId="56612"/>
    <cellStyle name="Тысячи 6 3 4 2" xfId="56613"/>
    <cellStyle name="Тысячи 6 3 5" xfId="56614"/>
    <cellStyle name="Тысячи 6 3 6" xfId="56615"/>
    <cellStyle name="Тысячи 6 3 7" xfId="56616"/>
    <cellStyle name="Тысячи 6 3 8" xfId="56617"/>
    <cellStyle name="Тысячи 6 3 9" xfId="56618"/>
    <cellStyle name="Тысячи 6 4" xfId="56619"/>
    <cellStyle name="Тысячи 6 4 2" xfId="56620"/>
    <cellStyle name="Тысячи 6 4 2 2" xfId="56621"/>
    <cellStyle name="Тысячи 6 4 2 3" xfId="56622"/>
    <cellStyle name="Тысячи 6 4 3" xfId="56623"/>
    <cellStyle name="Тысячи 6 4 3 2" xfId="56624"/>
    <cellStyle name="Тысячи 6 4 4" xfId="56625"/>
    <cellStyle name="Тысячи 6 4 5" xfId="56626"/>
    <cellStyle name="Тысячи 6 5" xfId="56627"/>
    <cellStyle name="Тысячи 6 5 2" xfId="56628"/>
    <cellStyle name="Тысячи 6 5 2 2" xfId="56629"/>
    <cellStyle name="Тысячи 6 5 3" xfId="56630"/>
    <cellStyle name="Тысячи 6 5 4" xfId="56631"/>
    <cellStyle name="Тысячи 6 6" xfId="56632"/>
    <cellStyle name="Тысячи 6 6 2" xfId="56633"/>
    <cellStyle name="Тысячи 6 7" xfId="56634"/>
    <cellStyle name="Тысячи 6 8" xfId="56635"/>
    <cellStyle name="Тысячи 6 9" xfId="56636"/>
    <cellStyle name="Тысячи 7" xfId="56637"/>
    <cellStyle name="Тысячи 7 10" xfId="56638"/>
    <cellStyle name="Тысячи 7 11" xfId="56639"/>
    <cellStyle name="Тысячи 7 12" xfId="56640"/>
    <cellStyle name="Тысячи 7 13" xfId="56641"/>
    <cellStyle name="Тысячи 7 14" xfId="56642"/>
    <cellStyle name="Тысячи 7 15" xfId="56643"/>
    <cellStyle name="Тысячи 7 16" xfId="56644"/>
    <cellStyle name="Тысячи 7 17" xfId="56645"/>
    <cellStyle name="Тысячи 7 2" xfId="56646"/>
    <cellStyle name="Тысячи 7 2 2" xfId="56647"/>
    <cellStyle name="Тысячи 7 2 2 2" xfId="56648"/>
    <cellStyle name="Тысячи 7 2 3" xfId="56649"/>
    <cellStyle name="Тысячи 7 2 4" xfId="56650"/>
    <cellStyle name="Тысячи 7 3" xfId="56651"/>
    <cellStyle name="Тысячи 7 3 2" xfId="56652"/>
    <cellStyle name="Тысячи 7 4" xfId="56653"/>
    <cellStyle name="Тысячи 7 5" xfId="56654"/>
    <cellStyle name="Тысячи 7 6" xfId="56655"/>
    <cellStyle name="Тысячи 7 7" xfId="56656"/>
    <cellStyle name="Тысячи 7 8" xfId="56657"/>
    <cellStyle name="Тысячи 7 9" xfId="56658"/>
    <cellStyle name="Тысячи 8" xfId="56659"/>
    <cellStyle name="Тысячи 8 10" xfId="56660"/>
    <cellStyle name="Тысячи 8 11" xfId="56661"/>
    <cellStyle name="Тысячи 8 12" xfId="56662"/>
    <cellStyle name="Тысячи 8 13" xfId="56663"/>
    <cellStyle name="Тысячи 8 14" xfId="56664"/>
    <cellStyle name="Тысячи 8 15" xfId="56665"/>
    <cellStyle name="Тысячи 8 16" xfId="56666"/>
    <cellStyle name="Тысячи 8 17" xfId="56667"/>
    <cellStyle name="Тысячи 8 18" xfId="56668"/>
    <cellStyle name="Тысячи 8 2" xfId="56669"/>
    <cellStyle name="Тысячи 8 2 2" xfId="56670"/>
    <cellStyle name="Тысячи 8 2 2 2" xfId="56671"/>
    <cellStyle name="Тысячи 8 2 3" xfId="56672"/>
    <cellStyle name="Тысячи 8 2 4" xfId="56673"/>
    <cellStyle name="Тысячи 8 3" xfId="56674"/>
    <cellStyle name="Тысячи 8 3 2" xfId="56675"/>
    <cellStyle name="Тысячи 8 3 3" xfId="56676"/>
    <cellStyle name="Тысячи 8 4" xfId="56677"/>
    <cellStyle name="Тысячи 8 4 2" xfId="56678"/>
    <cellStyle name="Тысячи 8 5" xfId="56679"/>
    <cellStyle name="Тысячи 8 6" xfId="56680"/>
    <cellStyle name="Тысячи 8 7" xfId="56681"/>
    <cellStyle name="Тысячи 8 8" xfId="56682"/>
    <cellStyle name="Тысячи 8 9" xfId="56683"/>
    <cellStyle name="Тысячи 9" xfId="56684"/>
    <cellStyle name="Тысячи 9 2" xfId="56685"/>
    <cellStyle name="Тысячи 9 2 2" xfId="56686"/>
    <cellStyle name="Тысячи 9 2 3" xfId="56687"/>
    <cellStyle name="Тысячи 9 3" xfId="56688"/>
    <cellStyle name="Тысячи 9 3 2" xfId="56689"/>
    <cellStyle name="Тысячи 9 4" xfId="56690"/>
    <cellStyle name="Тысячи 9 5" xfId="56691"/>
    <cellStyle name="Тысячи_ прибыль " xfId="56692"/>
    <cellStyle name="Угол сводной таблицы" xfId="56693"/>
    <cellStyle name="Финансовый" xfId="56694" builtinId="3"/>
    <cellStyle name="Финансовый [0] 10" xfId="56695"/>
    <cellStyle name="Финансовый [0] 11" xfId="56696"/>
    <cellStyle name="Финансовый [0] 2" xfId="56697"/>
    <cellStyle name="Финансовый [0] 2 10" xfId="56698"/>
    <cellStyle name="Финансовый [0] 2 11" xfId="56699"/>
    <cellStyle name="Финансовый [0] 2 12" xfId="56700"/>
    <cellStyle name="Финансовый [0] 2 13" xfId="56701"/>
    <cellStyle name="Финансовый [0] 2 2" xfId="56702"/>
    <cellStyle name="Финансовый [0] 2 3" xfId="56703"/>
    <cellStyle name="Финансовый [0] 2 4" xfId="56704"/>
    <cellStyle name="Финансовый [0] 2 5" xfId="56705"/>
    <cellStyle name="Финансовый [0] 2 6" xfId="56706"/>
    <cellStyle name="Финансовый [0] 2 7" xfId="56707"/>
    <cellStyle name="Финансовый [0] 2 8" xfId="56708"/>
    <cellStyle name="Финансовый [0] 2 9" xfId="56709"/>
    <cellStyle name="Финансовый [0] 3" xfId="56710"/>
    <cellStyle name="Финансовый [0] 3 2" xfId="56711"/>
    <cellStyle name="Финансовый [0] 4" xfId="56712"/>
    <cellStyle name="Финансовый [0] 5" xfId="56713"/>
    <cellStyle name="Финансовый [0] 6" xfId="56714"/>
    <cellStyle name="Финансовый [0] 7" xfId="56715"/>
    <cellStyle name="Финансовый [0] 8" xfId="56716"/>
    <cellStyle name="Финансовый [0] 9" xfId="56717"/>
    <cellStyle name="Финансовый 10" xfId="56718"/>
    <cellStyle name="Финансовый 10 2" xfId="56719"/>
    <cellStyle name="Финансовый 10 3" xfId="56720"/>
    <cellStyle name="Финансовый 10 4" xfId="56721"/>
    <cellStyle name="Финансовый 100" xfId="56722"/>
    <cellStyle name="Финансовый 101" xfId="56723"/>
    <cellStyle name="Финансовый 102" xfId="56724"/>
    <cellStyle name="Финансовый 103" xfId="56725"/>
    <cellStyle name="Финансовый 104" xfId="56726"/>
    <cellStyle name="Финансовый 105" xfId="56727"/>
    <cellStyle name="Финансовый 106" xfId="56728"/>
    <cellStyle name="Финансовый 107" xfId="56729"/>
    <cellStyle name="Финансовый 108" xfId="56730"/>
    <cellStyle name="Финансовый 109" xfId="56731"/>
    <cellStyle name="Финансовый 11" xfId="56732"/>
    <cellStyle name="Финансовый 11 2" xfId="56733"/>
    <cellStyle name="Финансовый 11 3" xfId="56734"/>
    <cellStyle name="Финансовый 11 4" xfId="56735"/>
    <cellStyle name="Финансовый 110" xfId="56736"/>
    <cellStyle name="Финансовый 111" xfId="56737"/>
    <cellStyle name="Финансовый 112" xfId="56738"/>
    <cellStyle name="Финансовый 113" xfId="56739"/>
    <cellStyle name="Финансовый 114" xfId="56740"/>
    <cellStyle name="Финансовый 115" xfId="56741"/>
    <cellStyle name="Финансовый 116" xfId="56742"/>
    <cellStyle name="Финансовый 117" xfId="56743"/>
    <cellStyle name="Финансовый 118" xfId="56744"/>
    <cellStyle name="Финансовый 119" xfId="56745"/>
    <cellStyle name="Финансовый 12" xfId="56746"/>
    <cellStyle name="Финансовый 12 2" xfId="56747"/>
    <cellStyle name="Финансовый 12 3" xfId="56748"/>
    <cellStyle name="Финансовый 12 4" xfId="56749"/>
    <cellStyle name="Финансовый 120" xfId="56750"/>
    <cellStyle name="Финансовый 121" xfId="56751"/>
    <cellStyle name="Финансовый 122" xfId="56752"/>
    <cellStyle name="Финансовый 123" xfId="56753"/>
    <cellStyle name="Финансовый 124" xfId="56754"/>
    <cellStyle name="Финансовый 125" xfId="56755"/>
    <cellStyle name="Финансовый 126" xfId="56756"/>
    <cellStyle name="Финансовый 127" xfId="56757"/>
    <cellStyle name="Финансовый 13" xfId="56758"/>
    <cellStyle name="Финансовый 13 2" xfId="56759"/>
    <cellStyle name="Финансовый 13 3" xfId="56760"/>
    <cellStyle name="Финансовый 13 4" xfId="56761"/>
    <cellStyle name="Финансовый 14" xfId="56762"/>
    <cellStyle name="Финансовый 14 2" xfId="56763"/>
    <cellStyle name="Финансовый 14 3" xfId="56764"/>
    <cellStyle name="Финансовый 14 4" xfId="56765"/>
    <cellStyle name="Финансовый 15" xfId="56766"/>
    <cellStyle name="Финансовый 15 2" xfId="56767"/>
    <cellStyle name="Финансовый 15 3" xfId="56768"/>
    <cellStyle name="Финансовый 15 4" xfId="56769"/>
    <cellStyle name="Финансовый 16" xfId="56770"/>
    <cellStyle name="Финансовый 16 2" xfId="56771"/>
    <cellStyle name="Финансовый 16 3" xfId="56772"/>
    <cellStyle name="Финансовый 17" xfId="56773"/>
    <cellStyle name="Финансовый 17 2" xfId="56774"/>
    <cellStyle name="Финансовый 17 3" xfId="56775"/>
    <cellStyle name="Финансовый 18" xfId="56776"/>
    <cellStyle name="Финансовый 18 2" xfId="56777"/>
    <cellStyle name="Финансовый 18 3" xfId="56778"/>
    <cellStyle name="Финансовый 19" xfId="56779"/>
    <cellStyle name="Финансовый 19 2" xfId="56780"/>
    <cellStyle name="Финансовый 19 3" xfId="56781"/>
    <cellStyle name="Финансовый 2" xfId="56782"/>
    <cellStyle name="Финансовый 2 10" xfId="56783"/>
    <cellStyle name="Финансовый 2 11" xfId="56784"/>
    <cellStyle name="Финансовый 2 12" xfId="56785"/>
    <cellStyle name="Финансовый 2 13" xfId="56786"/>
    <cellStyle name="Финансовый 2 14" xfId="56787"/>
    <cellStyle name="Финансовый 2 15" xfId="56788"/>
    <cellStyle name="Финансовый 2 16" xfId="56789"/>
    <cellStyle name="Финансовый 2 17" xfId="56790"/>
    <cellStyle name="Финансовый 2 2" xfId="56791"/>
    <cellStyle name="Финансовый 2 2 2" xfId="56792"/>
    <cellStyle name="Финансовый 2 2 2 2" xfId="56793"/>
    <cellStyle name="Финансовый 2 2 3" xfId="56794"/>
    <cellStyle name="Финансовый 2 2 3 2" xfId="56795"/>
    <cellStyle name="Финансовый 2 2 4" xfId="56796"/>
    <cellStyle name="Финансовый 2 2 4 2" xfId="56797"/>
    <cellStyle name="Финансовый 2 2 5" xfId="56798"/>
    <cellStyle name="Финансовый 2 3" xfId="56799"/>
    <cellStyle name="Финансовый 2 3 2" xfId="56800"/>
    <cellStyle name="Финансовый 2 4" xfId="56801"/>
    <cellStyle name="Финансовый 2 4 2" xfId="56802"/>
    <cellStyle name="Финансовый 2 4 3" xfId="56803"/>
    <cellStyle name="Финансовый 2 5" xfId="56804"/>
    <cellStyle name="Финансовый 2 5 2" xfId="56805"/>
    <cellStyle name="Финансовый 2 6" xfId="56806"/>
    <cellStyle name="Финансовый 2 6 2" xfId="56807"/>
    <cellStyle name="Финансовый 2 7" xfId="56808"/>
    <cellStyle name="Финансовый 2 7 2" xfId="56809"/>
    <cellStyle name="Финансовый 2 8" xfId="56810"/>
    <cellStyle name="Финансовый 2 8 2" xfId="56811"/>
    <cellStyle name="Финансовый 2 9" xfId="56812"/>
    <cellStyle name="Финансовый 20" xfId="56813"/>
    <cellStyle name="Финансовый 20 2" xfId="56814"/>
    <cellStyle name="Финансовый 20 3" xfId="56815"/>
    <cellStyle name="Финансовый 21" xfId="56816"/>
    <cellStyle name="Финансовый 21 2" xfId="56817"/>
    <cellStyle name="Финансовый 21 3" xfId="56818"/>
    <cellStyle name="Финансовый 22" xfId="56819"/>
    <cellStyle name="Финансовый 22 2" xfId="56820"/>
    <cellStyle name="Финансовый 22 3" xfId="56821"/>
    <cellStyle name="Финансовый 23" xfId="56822"/>
    <cellStyle name="Финансовый 23 2" xfId="56823"/>
    <cellStyle name="Финансовый 23 3" xfId="56824"/>
    <cellStyle name="Финансовый 24" xfId="56825"/>
    <cellStyle name="Финансовый 24 2" xfId="56826"/>
    <cellStyle name="Финансовый 24 3" xfId="56827"/>
    <cellStyle name="Финансовый 25" xfId="56828"/>
    <cellStyle name="Финансовый 25 2" xfId="56829"/>
    <cellStyle name="Финансовый 25 3" xfId="56830"/>
    <cellStyle name="Финансовый 26" xfId="56831"/>
    <cellStyle name="Финансовый 26 2" xfId="56832"/>
    <cellStyle name="Финансовый 26 3" xfId="56833"/>
    <cellStyle name="Финансовый 27" xfId="56834"/>
    <cellStyle name="Финансовый 27 2" xfId="56835"/>
    <cellStyle name="Финансовый 27 3" xfId="56836"/>
    <cellStyle name="Финансовый 28" xfId="56837"/>
    <cellStyle name="Финансовый 28 2" xfId="56838"/>
    <cellStyle name="Финансовый 28 3" xfId="56839"/>
    <cellStyle name="Финансовый 29" xfId="56840"/>
    <cellStyle name="Финансовый 29 2" xfId="56841"/>
    <cellStyle name="Финансовый 29 3" xfId="56842"/>
    <cellStyle name="Финансовый 3" xfId="56843"/>
    <cellStyle name="Финансовый 3 2" xfId="56844"/>
    <cellStyle name="Финансовый 3 2 2" xfId="56845"/>
    <cellStyle name="Финансовый 3 3" xfId="56846"/>
    <cellStyle name="Финансовый 3 3 2" xfId="56847"/>
    <cellStyle name="Финансовый 3 4" xfId="56848"/>
    <cellStyle name="Финансовый 3 4 2" xfId="56849"/>
    <cellStyle name="Финансовый 3 5" xfId="56850"/>
    <cellStyle name="Финансовый 3 6" xfId="56851"/>
    <cellStyle name="Финансовый 3 7" xfId="56852"/>
    <cellStyle name="Финансовый 3 8" xfId="56853"/>
    <cellStyle name="Финансовый 30" xfId="56854"/>
    <cellStyle name="Финансовый 30 2" xfId="56855"/>
    <cellStyle name="Финансовый 30 3" xfId="56856"/>
    <cellStyle name="Финансовый 31" xfId="56857"/>
    <cellStyle name="Финансовый 31 2" xfId="56858"/>
    <cellStyle name="Финансовый 31 3" xfId="56859"/>
    <cellStyle name="Финансовый 32" xfId="56860"/>
    <cellStyle name="Финансовый 32 2" xfId="56861"/>
    <cellStyle name="Финансовый 32 3" xfId="56862"/>
    <cellStyle name="Финансовый 33" xfId="56863"/>
    <cellStyle name="Финансовый 33 2" xfId="56864"/>
    <cellStyle name="Финансовый 33 3" xfId="56865"/>
    <cellStyle name="Финансовый 34" xfId="56866"/>
    <cellStyle name="Финансовый 34 2" xfId="56867"/>
    <cellStyle name="Финансовый 34 3" xfId="56868"/>
    <cellStyle name="Финансовый 35" xfId="56869"/>
    <cellStyle name="Финансовый 35 2" xfId="56870"/>
    <cellStyle name="Финансовый 35 3" xfId="56871"/>
    <cellStyle name="Финансовый 36" xfId="56872"/>
    <cellStyle name="Финансовый 36 2" xfId="56873"/>
    <cellStyle name="Финансовый 36 3" xfId="56874"/>
    <cellStyle name="Финансовый 37" xfId="56875"/>
    <cellStyle name="Финансовый 37 2" xfId="56876"/>
    <cellStyle name="Финансовый 37 3" xfId="56877"/>
    <cellStyle name="Финансовый 38" xfId="56878"/>
    <cellStyle name="Финансовый 38 2" xfId="56879"/>
    <cellStyle name="Финансовый 39" xfId="56880"/>
    <cellStyle name="Финансовый 4" xfId="56881"/>
    <cellStyle name="Финансовый 4 2" xfId="56882"/>
    <cellStyle name="Финансовый 4 2 2" xfId="56883"/>
    <cellStyle name="Финансовый 4 3" xfId="56884"/>
    <cellStyle name="Финансовый 4 4" xfId="56885"/>
    <cellStyle name="Финансовый 4 5" xfId="56886"/>
    <cellStyle name="Финансовый 4 6" xfId="56887"/>
    <cellStyle name="Финансовый 40" xfId="56888"/>
    <cellStyle name="Финансовый 41" xfId="56889"/>
    <cellStyle name="Финансовый 42" xfId="56890"/>
    <cellStyle name="Финансовый 43" xfId="56891"/>
    <cellStyle name="Финансовый 44" xfId="56892"/>
    <cellStyle name="Финансовый 45" xfId="56893"/>
    <cellStyle name="Финансовый 46" xfId="56894"/>
    <cellStyle name="Финансовый 47" xfId="56895"/>
    <cellStyle name="Финансовый 48" xfId="56896"/>
    <cellStyle name="Финансовый 49" xfId="56897"/>
    <cellStyle name="Финансовый 5" xfId="56898"/>
    <cellStyle name="Финансовый 5 2" xfId="56899"/>
    <cellStyle name="Финансовый 5 3" xfId="56900"/>
    <cellStyle name="Финансовый 5 4" xfId="56901"/>
    <cellStyle name="Финансовый 5 5" xfId="56902"/>
    <cellStyle name="Финансовый 5 6" xfId="56903"/>
    <cellStyle name="Финансовый 50" xfId="56904"/>
    <cellStyle name="Финансовый 51" xfId="56905"/>
    <cellStyle name="Финансовый 52" xfId="56906"/>
    <cellStyle name="Финансовый 53" xfId="56907"/>
    <cellStyle name="Финансовый 54" xfId="56908"/>
    <cellStyle name="Финансовый 55" xfId="56909"/>
    <cellStyle name="Финансовый 56" xfId="56910"/>
    <cellStyle name="Финансовый 57" xfId="56911"/>
    <cellStyle name="Финансовый 58" xfId="56912"/>
    <cellStyle name="Финансовый 59" xfId="56913"/>
    <cellStyle name="Финансовый 6" xfId="56914"/>
    <cellStyle name="Финансовый 6 2" xfId="56915"/>
    <cellStyle name="Финансовый 60" xfId="56916"/>
    <cellStyle name="Финансовый 61" xfId="56917"/>
    <cellStyle name="Финансовый 62" xfId="56918"/>
    <cellStyle name="Финансовый 63" xfId="56919"/>
    <cellStyle name="Финансовый 64" xfId="56920"/>
    <cellStyle name="Финансовый 65" xfId="56921"/>
    <cellStyle name="Финансовый 66" xfId="56922"/>
    <cellStyle name="Финансовый 67" xfId="56923"/>
    <cellStyle name="Финансовый 68" xfId="56924"/>
    <cellStyle name="Финансовый 69" xfId="56925"/>
    <cellStyle name="Финансовый 7" xfId="56926"/>
    <cellStyle name="Финансовый 7 2" xfId="56927"/>
    <cellStyle name="Финансовый 70" xfId="56928"/>
    <cellStyle name="Финансовый 71" xfId="56929"/>
    <cellStyle name="Финансовый 72" xfId="56930"/>
    <cellStyle name="Финансовый 73" xfId="56931"/>
    <cellStyle name="Финансовый 74" xfId="56932"/>
    <cellStyle name="Финансовый 75" xfId="56933"/>
    <cellStyle name="Финансовый 76" xfId="56934"/>
    <cellStyle name="Финансовый 77" xfId="56935"/>
    <cellStyle name="Финансовый 78" xfId="56936"/>
    <cellStyle name="Финансовый 79" xfId="56937"/>
    <cellStyle name="Финансовый 8" xfId="56938"/>
    <cellStyle name="Финансовый 8 2" xfId="56939"/>
    <cellStyle name="Финансовый 8 3" xfId="56940"/>
    <cellStyle name="Финансовый 80" xfId="56941"/>
    <cellStyle name="Финансовый 81" xfId="56942"/>
    <cellStyle name="Финансовый 82" xfId="56943"/>
    <cellStyle name="Финансовый 83" xfId="56944"/>
    <cellStyle name="Финансовый 84" xfId="56945"/>
    <cellStyle name="Финансовый 85" xfId="56946"/>
    <cellStyle name="Финансовый 86" xfId="56947"/>
    <cellStyle name="Финансовый 87" xfId="56948"/>
    <cellStyle name="Финансовый 88" xfId="56949"/>
    <cellStyle name="Финансовый 89" xfId="56950"/>
    <cellStyle name="Финансовый 9" xfId="56951"/>
    <cellStyle name="Финансовый 9 2" xfId="56952"/>
    <cellStyle name="Финансовый 9 3" xfId="56953"/>
    <cellStyle name="Финансовый 9 4" xfId="56954"/>
    <cellStyle name="Финансовый 90" xfId="56955"/>
    <cellStyle name="Финансовый 91" xfId="56956"/>
    <cellStyle name="Финансовый 92" xfId="56957"/>
    <cellStyle name="Финансовый 93" xfId="56958"/>
    <cellStyle name="Финансовый 94" xfId="56959"/>
    <cellStyle name="Финансовый 95" xfId="56960"/>
    <cellStyle name="Финансовый 96" xfId="56961"/>
    <cellStyle name="Финансовый 97" xfId="56962"/>
    <cellStyle name="Финансовый 98" xfId="56963"/>
    <cellStyle name="Финансовый 99" xfId="56964"/>
    <cellStyle name="Формула" xfId="56965"/>
    <cellStyle name="Формула 2" xfId="56966"/>
    <cellStyle name="ФормулаВБ" xfId="56967"/>
    <cellStyle name="ФормулаВБ 2" xfId="56968"/>
    <cellStyle name="ФормулаВБ 3" xfId="56969"/>
    <cellStyle name="ФормулаВБ 4" xfId="56970"/>
    <cellStyle name="ФормулаВБ 5" xfId="56971"/>
    <cellStyle name="ФормулаВБ 6" xfId="56972"/>
    <cellStyle name="ФормулаВБ 7" xfId="56973"/>
    <cellStyle name="ФормулаНаКонтроль" xfId="56974"/>
    <cellStyle name="ФормулаНаКонтроль 2" xfId="56975"/>
    <cellStyle name="ФормулаНаКонтроль 3" xfId="56976"/>
    <cellStyle name="ФормулаНаКонтроль 4" xfId="56977"/>
    <cellStyle name="ФормулаНаКонтроль 5" xfId="56978"/>
    <cellStyle name="ФормулаНаКонтроль 6" xfId="56979"/>
    <cellStyle name="ФормулаНаКонтроль 7" xfId="56980"/>
    <cellStyle name="Хороший 10" xfId="56981"/>
    <cellStyle name="Хороший 10 2" xfId="56982"/>
    <cellStyle name="Хороший 10 3" xfId="56983"/>
    <cellStyle name="Хороший 11" xfId="56984"/>
    <cellStyle name="Хороший 11 2" xfId="56985"/>
    <cellStyle name="Хороший 11 3" xfId="56986"/>
    <cellStyle name="Хороший 12" xfId="56987"/>
    <cellStyle name="Хороший 12 2" xfId="56988"/>
    <cellStyle name="Хороший 12 3" xfId="56989"/>
    <cellStyle name="Хороший 13" xfId="56990"/>
    <cellStyle name="Хороший 14" xfId="56991"/>
    <cellStyle name="Хороший 2" xfId="56992"/>
    <cellStyle name="Хороший 2 2" xfId="56993"/>
    <cellStyle name="Хороший 2 3" xfId="56994"/>
    <cellStyle name="Хороший 2 4" xfId="56995"/>
    <cellStyle name="Хороший 3" xfId="56996"/>
    <cellStyle name="Хороший 3 2" xfId="56997"/>
    <cellStyle name="Хороший 3 3" xfId="56998"/>
    <cellStyle name="Хороший 4" xfId="56999"/>
    <cellStyle name="Хороший 4 2" xfId="57000"/>
    <cellStyle name="Хороший 4 3" xfId="57001"/>
    <cellStyle name="Хороший 5" xfId="57002"/>
    <cellStyle name="Хороший 5 2" xfId="57003"/>
    <cellStyle name="Хороший 5 3" xfId="57004"/>
    <cellStyle name="Хороший 6" xfId="57005"/>
    <cellStyle name="Хороший 6 2" xfId="57006"/>
    <cellStyle name="Хороший 6 3" xfId="57007"/>
    <cellStyle name="Хороший 7" xfId="57008"/>
    <cellStyle name="Хороший 7 2" xfId="57009"/>
    <cellStyle name="Хороший 7 3" xfId="57010"/>
    <cellStyle name="Хороший 8" xfId="57011"/>
    <cellStyle name="Хороший 8 2" xfId="57012"/>
    <cellStyle name="Хороший 8 3" xfId="57013"/>
    <cellStyle name="Хороший 9" xfId="57014"/>
    <cellStyle name="Хороший 9 2" xfId="57015"/>
    <cellStyle name="Хороший 9 3" xfId="57016"/>
    <cellStyle name="Число 12Ц" xfId="57017"/>
    <cellStyle name="Число 12Ц 2" xfId="57018"/>
    <cellStyle name="ЏђЋ–…Ќ’Ќ›‰" xfId="57019"/>
    <cellStyle name="ЏђЋ–…Ќ’Ќ›‰ 2" xfId="57020"/>
    <cellStyle name="ЏђЋ–…Ќ’Ќ›‰ 3" xfId="57021"/>
    <cellStyle name="ЏђЋ–…Ќ’Ќ›‰ 4" xfId="57022"/>
    <cellStyle name="ЏђЋ–…Ќ’Ќ›‰ 5" xfId="57023"/>
    <cellStyle name="Шапка таблицы" xfId="57024"/>
    <cellStyle name="Шапка таблицы 10" xfId="57025"/>
    <cellStyle name="Шапка таблицы 11" xfId="57026"/>
    <cellStyle name="Шапка таблицы 12" xfId="57027"/>
    <cellStyle name="Шапка таблицы 13" xfId="57028"/>
    <cellStyle name="Шапка таблицы 14" xfId="57029"/>
    <cellStyle name="Шапка таблицы 15" xfId="57030"/>
    <cellStyle name="Шапка таблицы 16" xfId="57031"/>
    <cellStyle name="Шапка таблицы 17" xfId="57032"/>
    <cellStyle name="Шапка таблицы 18" xfId="57033"/>
    <cellStyle name="Шапка таблицы 19" xfId="57034"/>
    <cellStyle name="Шапка таблицы 2" xfId="57035"/>
    <cellStyle name="Шапка таблицы 2 10" xfId="57036"/>
    <cellStyle name="Шапка таблицы 2 11" xfId="57037"/>
    <cellStyle name="Шапка таблицы 2 12" xfId="57038"/>
    <cellStyle name="Шапка таблицы 2 13" xfId="57039"/>
    <cellStyle name="Шапка таблицы 2 14" xfId="57040"/>
    <cellStyle name="Шапка таблицы 2 15" xfId="57041"/>
    <cellStyle name="Шапка таблицы 2 16" xfId="57042"/>
    <cellStyle name="Шапка таблицы 2 17" xfId="57043"/>
    <cellStyle name="Шапка таблицы 2 18" xfId="57044"/>
    <cellStyle name="Шапка таблицы 2 19" xfId="57045"/>
    <cellStyle name="Шапка таблицы 2 2" xfId="57046"/>
    <cellStyle name="Шапка таблицы 2 2 10" xfId="57047"/>
    <cellStyle name="Шапка таблицы 2 2 11" xfId="57048"/>
    <cellStyle name="Шапка таблицы 2 2 12" xfId="57049"/>
    <cellStyle name="Шапка таблицы 2 2 13" xfId="57050"/>
    <cellStyle name="Шапка таблицы 2 2 14" xfId="57051"/>
    <cellStyle name="Шапка таблицы 2 2 15" xfId="57052"/>
    <cellStyle name="Шапка таблицы 2 2 16" xfId="57053"/>
    <cellStyle name="Шапка таблицы 2 2 17" xfId="57054"/>
    <cellStyle name="Шапка таблицы 2 2 18" xfId="57055"/>
    <cellStyle name="Шапка таблицы 2 2 2" xfId="57056"/>
    <cellStyle name="Шапка таблицы 2 2 2 2" xfId="57057"/>
    <cellStyle name="Шапка таблицы 2 2 2 2 2" xfId="57058"/>
    <cellStyle name="Шапка таблицы 2 2 2 3" xfId="57059"/>
    <cellStyle name="Шапка таблицы 2 2 2 4" xfId="57060"/>
    <cellStyle name="Шапка таблицы 2 2 3" xfId="57061"/>
    <cellStyle name="Шапка таблицы 2 2 3 2" xfId="57062"/>
    <cellStyle name="Шапка таблицы 2 2 3 3" xfId="57063"/>
    <cellStyle name="Шапка таблицы 2 2 4" xfId="57064"/>
    <cellStyle name="Шапка таблицы 2 2 4 2" xfId="57065"/>
    <cellStyle name="Шапка таблицы 2 2 5" xfId="57066"/>
    <cellStyle name="Шапка таблицы 2 2 6" xfId="57067"/>
    <cellStyle name="Шапка таблицы 2 2 7" xfId="57068"/>
    <cellStyle name="Шапка таблицы 2 2 8" xfId="57069"/>
    <cellStyle name="Шапка таблицы 2 2 9" xfId="57070"/>
    <cellStyle name="Шапка таблицы 2 20" xfId="57071"/>
    <cellStyle name="Шапка таблицы 2 21" xfId="57072"/>
    <cellStyle name="Шапка таблицы 2 3" xfId="57073"/>
    <cellStyle name="Шапка таблицы 2 3 10" xfId="57074"/>
    <cellStyle name="Шапка таблицы 2 3 11" xfId="57075"/>
    <cellStyle name="Шапка таблицы 2 3 12" xfId="57076"/>
    <cellStyle name="Шапка таблицы 2 3 13" xfId="57077"/>
    <cellStyle name="Шапка таблицы 2 3 14" xfId="57078"/>
    <cellStyle name="Шапка таблицы 2 3 15" xfId="57079"/>
    <cellStyle name="Шапка таблицы 2 3 16" xfId="57080"/>
    <cellStyle name="Шапка таблицы 2 3 17" xfId="57081"/>
    <cellStyle name="Шапка таблицы 2 3 18" xfId="57082"/>
    <cellStyle name="Шапка таблицы 2 3 2" xfId="57083"/>
    <cellStyle name="Шапка таблицы 2 3 2 2" xfId="57084"/>
    <cellStyle name="Шапка таблицы 2 3 2 2 2" xfId="57085"/>
    <cellStyle name="Шапка таблицы 2 3 2 3" xfId="57086"/>
    <cellStyle name="Шапка таблицы 2 3 2 4" xfId="57087"/>
    <cellStyle name="Шапка таблицы 2 3 3" xfId="57088"/>
    <cellStyle name="Шапка таблицы 2 3 3 2" xfId="57089"/>
    <cellStyle name="Шапка таблицы 2 3 3 3" xfId="57090"/>
    <cellStyle name="Шапка таблицы 2 3 4" xfId="57091"/>
    <cellStyle name="Шапка таблицы 2 3 4 2" xfId="57092"/>
    <cellStyle name="Шапка таблицы 2 3 5" xfId="57093"/>
    <cellStyle name="Шапка таблицы 2 3 6" xfId="57094"/>
    <cellStyle name="Шапка таблицы 2 3 7" xfId="57095"/>
    <cellStyle name="Шапка таблицы 2 3 8" xfId="57096"/>
    <cellStyle name="Шапка таблицы 2 3 9" xfId="57097"/>
    <cellStyle name="Шапка таблицы 2 4" xfId="57098"/>
    <cellStyle name="Шапка таблицы 2 4 2" xfId="57099"/>
    <cellStyle name="Шапка таблицы 2 4 2 2" xfId="57100"/>
    <cellStyle name="Шапка таблицы 2 4 2 3" xfId="57101"/>
    <cellStyle name="Шапка таблицы 2 4 3" xfId="57102"/>
    <cellStyle name="Шапка таблицы 2 4 3 2" xfId="57103"/>
    <cellStyle name="Шапка таблицы 2 4 4" xfId="57104"/>
    <cellStyle name="Шапка таблицы 2 4 5" xfId="57105"/>
    <cellStyle name="Шапка таблицы 2 5" xfId="57106"/>
    <cellStyle name="Шапка таблицы 2 5 2" xfId="57107"/>
    <cellStyle name="Шапка таблицы 2 5 2 2" xfId="57108"/>
    <cellStyle name="Шапка таблицы 2 5 3" xfId="57109"/>
    <cellStyle name="Шапка таблицы 2 5 4" xfId="57110"/>
    <cellStyle name="Шапка таблицы 2 6" xfId="57111"/>
    <cellStyle name="Шапка таблицы 2 6 2" xfId="57112"/>
    <cellStyle name="Шапка таблицы 2 7" xfId="57113"/>
    <cellStyle name="Шапка таблицы 2 8" xfId="57114"/>
    <cellStyle name="Шапка таблицы 2 9" xfId="57115"/>
    <cellStyle name="Шапка таблицы 20" xfId="57116"/>
    <cellStyle name="Шапка таблицы 21" xfId="57117"/>
    <cellStyle name="Шапка таблицы 22" xfId="57118"/>
    <cellStyle name="Шапка таблицы 23" xfId="57119"/>
    <cellStyle name="Шапка таблицы 24" xfId="57120"/>
    <cellStyle name="Шапка таблицы 25" xfId="57121"/>
    <cellStyle name="Шапка таблицы 3" xfId="57122"/>
    <cellStyle name="Шапка таблицы 3 10" xfId="57123"/>
    <cellStyle name="Шапка таблицы 3 11" xfId="57124"/>
    <cellStyle name="Шапка таблицы 3 12" xfId="57125"/>
    <cellStyle name="Шапка таблицы 3 13" xfId="57126"/>
    <cellStyle name="Шапка таблицы 3 14" xfId="57127"/>
    <cellStyle name="Шапка таблицы 3 15" xfId="57128"/>
    <cellStyle name="Шапка таблицы 3 16" xfId="57129"/>
    <cellStyle name="Шапка таблицы 3 17" xfId="57130"/>
    <cellStyle name="Шапка таблицы 3 18" xfId="57131"/>
    <cellStyle name="Шапка таблицы 3 19" xfId="57132"/>
    <cellStyle name="Шапка таблицы 3 2" xfId="57133"/>
    <cellStyle name="Шапка таблицы 3 2 10" xfId="57134"/>
    <cellStyle name="Шапка таблицы 3 2 11" xfId="57135"/>
    <cellStyle name="Шапка таблицы 3 2 12" xfId="57136"/>
    <cellStyle name="Шапка таблицы 3 2 13" xfId="57137"/>
    <cellStyle name="Шапка таблицы 3 2 14" xfId="57138"/>
    <cellStyle name="Шапка таблицы 3 2 15" xfId="57139"/>
    <cellStyle name="Шапка таблицы 3 2 16" xfId="57140"/>
    <cellStyle name="Шапка таблицы 3 2 17" xfId="57141"/>
    <cellStyle name="Шапка таблицы 3 2 18" xfId="57142"/>
    <cellStyle name="Шапка таблицы 3 2 2" xfId="57143"/>
    <cellStyle name="Шапка таблицы 3 2 2 2" xfId="57144"/>
    <cellStyle name="Шапка таблицы 3 2 2 2 2" xfId="57145"/>
    <cellStyle name="Шапка таблицы 3 2 2 3" xfId="57146"/>
    <cellStyle name="Шапка таблицы 3 2 2 4" xfId="57147"/>
    <cellStyle name="Шапка таблицы 3 2 3" xfId="57148"/>
    <cellStyle name="Шапка таблицы 3 2 3 2" xfId="57149"/>
    <cellStyle name="Шапка таблицы 3 2 3 3" xfId="57150"/>
    <cellStyle name="Шапка таблицы 3 2 4" xfId="57151"/>
    <cellStyle name="Шапка таблицы 3 2 4 2" xfId="57152"/>
    <cellStyle name="Шапка таблицы 3 2 5" xfId="57153"/>
    <cellStyle name="Шапка таблицы 3 2 6" xfId="57154"/>
    <cellStyle name="Шапка таблицы 3 2 7" xfId="57155"/>
    <cellStyle name="Шапка таблицы 3 2 8" xfId="57156"/>
    <cellStyle name="Шапка таблицы 3 2 9" xfId="57157"/>
    <cellStyle name="Шапка таблицы 3 20" xfId="57158"/>
    <cellStyle name="Шапка таблицы 3 21" xfId="57159"/>
    <cellStyle name="Шапка таблицы 3 3" xfId="57160"/>
    <cellStyle name="Шапка таблицы 3 3 10" xfId="57161"/>
    <cellStyle name="Шапка таблицы 3 3 11" xfId="57162"/>
    <cellStyle name="Шапка таблицы 3 3 12" xfId="57163"/>
    <cellStyle name="Шапка таблицы 3 3 13" xfId="57164"/>
    <cellStyle name="Шапка таблицы 3 3 14" xfId="57165"/>
    <cellStyle name="Шапка таблицы 3 3 15" xfId="57166"/>
    <cellStyle name="Шапка таблицы 3 3 16" xfId="57167"/>
    <cellStyle name="Шапка таблицы 3 3 17" xfId="57168"/>
    <cellStyle name="Шапка таблицы 3 3 18" xfId="57169"/>
    <cellStyle name="Шапка таблицы 3 3 2" xfId="57170"/>
    <cellStyle name="Шапка таблицы 3 3 2 2" xfId="57171"/>
    <cellStyle name="Шапка таблицы 3 3 2 2 2" xfId="57172"/>
    <cellStyle name="Шапка таблицы 3 3 2 3" xfId="57173"/>
    <cellStyle name="Шапка таблицы 3 3 2 4" xfId="57174"/>
    <cellStyle name="Шапка таблицы 3 3 3" xfId="57175"/>
    <cellStyle name="Шапка таблицы 3 3 3 2" xfId="57176"/>
    <cellStyle name="Шапка таблицы 3 3 3 3" xfId="57177"/>
    <cellStyle name="Шапка таблицы 3 3 4" xfId="57178"/>
    <cellStyle name="Шапка таблицы 3 3 4 2" xfId="57179"/>
    <cellStyle name="Шапка таблицы 3 3 5" xfId="57180"/>
    <cellStyle name="Шапка таблицы 3 3 6" xfId="57181"/>
    <cellStyle name="Шапка таблицы 3 3 7" xfId="57182"/>
    <cellStyle name="Шапка таблицы 3 3 8" xfId="57183"/>
    <cellStyle name="Шапка таблицы 3 3 9" xfId="57184"/>
    <cellStyle name="Шапка таблицы 3 4" xfId="57185"/>
    <cellStyle name="Шапка таблицы 3 4 2" xfId="57186"/>
    <cellStyle name="Шапка таблицы 3 4 2 2" xfId="57187"/>
    <cellStyle name="Шапка таблицы 3 4 2 3" xfId="57188"/>
    <cellStyle name="Шапка таблицы 3 4 3" xfId="57189"/>
    <cellStyle name="Шапка таблицы 3 4 3 2" xfId="57190"/>
    <cellStyle name="Шапка таблицы 3 4 4" xfId="57191"/>
    <cellStyle name="Шапка таблицы 3 4 5" xfId="57192"/>
    <cellStyle name="Шапка таблицы 3 5" xfId="57193"/>
    <cellStyle name="Шапка таблицы 3 5 2" xfId="57194"/>
    <cellStyle name="Шапка таблицы 3 5 2 2" xfId="57195"/>
    <cellStyle name="Шапка таблицы 3 5 3" xfId="57196"/>
    <cellStyle name="Шапка таблицы 3 5 4" xfId="57197"/>
    <cellStyle name="Шапка таблицы 3 6" xfId="57198"/>
    <cellStyle name="Шапка таблицы 3 6 2" xfId="57199"/>
    <cellStyle name="Шапка таблицы 3 7" xfId="57200"/>
    <cellStyle name="Шапка таблицы 3 8" xfId="57201"/>
    <cellStyle name="Шапка таблицы 3 9" xfId="57202"/>
    <cellStyle name="Шапка таблицы 4" xfId="57203"/>
    <cellStyle name="Шапка таблицы 4 10" xfId="57204"/>
    <cellStyle name="Шапка таблицы 4 11" xfId="57205"/>
    <cellStyle name="Шапка таблицы 4 12" xfId="57206"/>
    <cellStyle name="Шапка таблицы 4 13" xfId="57207"/>
    <cellStyle name="Шапка таблицы 4 14" xfId="57208"/>
    <cellStyle name="Шапка таблицы 4 15" xfId="57209"/>
    <cellStyle name="Шапка таблицы 4 16" xfId="57210"/>
    <cellStyle name="Шапка таблицы 4 17" xfId="57211"/>
    <cellStyle name="Шапка таблицы 4 18" xfId="57212"/>
    <cellStyle name="Шапка таблицы 4 19" xfId="57213"/>
    <cellStyle name="Шапка таблицы 4 2" xfId="57214"/>
    <cellStyle name="Шапка таблицы 4 2 10" xfId="57215"/>
    <cellStyle name="Шапка таблицы 4 2 11" xfId="57216"/>
    <cellStyle name="Шапка таблицы 4 2 12" xfId="57217"/>
    <cellStyle name="Шапка таблицы 4 2 13" xfId="57218"/>
    <cellStyle name="Шапка таблицы 4 2 14" xfId="57219"/>
    <cellStyle name="Шапка таблицы 4 2 15" xfId="57220"/>
    <cellStyle name="Шапка таблицы 4 2 16" xfId="57221"/>
    <cellStyle name="Шапка таблицы 4 2 17" xfId="57222"/>
    <cellStyle name="Шапка таблицы 4 2 18" xfId="57223"/>
    <cellStyle name="Шапка таблицы 4 2 2" xfId="57224"/>
    <cellStyle name="Шапка таблицы 4 2 2 2" xfId="57225"/>
    <cellStyle name="Шапка таблицы 4 2 2 2 2" xfId="57226"/>
    <cellStyle name="Шапка таблицы 4 2 2 3" xfId="57227"/>
    <cellStyle name="Шапка таблицы 4 2 2 4" xfId="57228"/>
    <cellStyle name="Шапка таблицы 4 2 3" xfId="57229"/>
    <cellStyle name="Шапка таблицы 4 2 3 2" xfId="57230"/>
    <cellStyle name="Шапка таблицы 4 2 3 3" xfId="57231"/>
    <cellStyle name="Шапка таблицы 4 2 4" xfId="57232"/>
    <cellStyle name="Шапка таблицы 4 2 4 2" xfId="57233"/>
    <cellStyle name="Шапка таблицы 4 2 5" xfId="57234"/>
    <cellStyle name="Шапка таблицы 4 2 6" xfId="57235"/>
    <cellStyle name="Шапка таблицы 4 2 7" xfId="57236"/>
    <cellStyle name="Шапка таблицы 4 2 8" xfId="57237"/>
    <cellStyle name="Шапка таблицы 4 2 9" xfId="57238"/>
    <cellStyle name="Шапка таблицы 4 20" xfId="57239"/>
    <cellStyle name="Шапка таблицы 4 21" xfId="57240"/>
    <cellStyle name="Шапка таблицы 4 3" xfId="57241"/>
    <cellStyle name="Шапка таблицы 4 3 10" xfId="57242"/>
    <cellStyle name="Шапка таблицы 4 3 11" xfId="57243"/>
    <cellStyle name="Шапка таблицы 4 3 12" xfId="57244"/>
    <cellStyle name="Шапка таблицы 4 3 13" xfId="57245"/>
    <cellStyle name="Шапка таблицы 4 3 14" xfId="57246"/>
    <cellStyle name="Шапка таблицы 4 3 15" xfId="57247"/>
    <cellStyle name="Шапка таблицы 4 3 16" xfId="57248"/>
    <cellStyle name="Шапка таблицы 4 3 17" xfId="57249"/>
    <cellStyle name="Шапка таблицы 4 3 18" xfId="57250"/>
    <cellStyle name="Шапка таблицы 4 3 2" xfId="57251"/>
    <cellStyle name="Шапка таблицы 4 3 2 2" xfId="57252"/>
    <cellStyle name="Шапка таблицы 4 3 2 2 2" xfId="57253"/>
    <cellStyle name="Шапка таблицы 4 3 2 3" xfId="57254"/>
    <cellStyle name="Шапка таблицы 4 3 2 4" xfId="57255"/>
    <cellStyle name="Шапка таблицы 4 3 3" xfId="57256"/>
    <cellStyle name="Шапка таблицы 4 3 3 2" xfId="57257"/>
    <cellStyle name="Шапка таблицы 4 3 3 3" xfId="57258"/>
    <cellStyle name="Шапка таблицы 4 3 4" xfId="57259"/>
    <cellStyle name="Шапка таблицы 4 3 4 2" xfId="57260"/>
    <cellStyle name="Шапка таблицы 4 3 5" xfId="57261"/>
    <cellStyle name="Шапка таблицы 4 3 6" xfId="57262"/>
    <cellStyle name="Шапка таблицы 4 3 7" xfId="57263"/>
    <cellStyle name="Шапка таблицы 4 3 8" xfId="57264"/>
    <cellStyle name="Шапка таблицы 4 3 9" xfId="57265"/>
    <cellStyle name="Шапка таблицы 4 4" xfId="57266"/>
    <cellStyle name="Шапка таблицы 4 4 2" xfId="57267"/>
    <cellStyle name="Шапка таблицы 4 4 2 2" xfId="57268"/>
    <cellStyle name="Шапка таблицы 4 4 2 3" xfId="57269"/>
    <cellStyle name="Шапка таблицы 4 4 3" xfId="57270"/>
    <cellStyle name="Шапка таблицы 4 4 3 2" xfId="57271"/>
    <cellStyle name="Шапка таблицы 4 4 4" xfId="57272"/>
    <cellStyle name="Шапка таблицы 4 4 5" xfId="57273"/>
    <cellStyle name="Шапка таблицы 4 5" xfId="57274"/>
    <cellStyle name="Шапка таблицы 4 5 2" xfId="57275"/>
    <cellStyle name="Шапка таблицы 4 5 2 2" xfId="57276"/>
    <cellStyle name="Шапка таблицы 4 5 3" xfId="57277"/>
    <cellStyle name="Шапка таблицы 4 5 4" xfId="57278"/>
    <cellStyle name="Шапка таблицы 4 6" xfId="57279"/>
    <cellStyle name="Шапка таблицы 4 6 2" xfId="57280"/>
    <cellStyle name="Шапка таблицы 4 7" xfId="57281"/>
    <cellStyle name="Шапка таблицы 4 8" xfId="57282"/>
    <cellStyle name="Шапка таблицы 4 9" xfId="57283"/>
    <cellStyle name="Шапка таблицы 5" xfId="57284"/>
    <cellStyle name="Шапка таблицы 5 10" xfId="57285"/>
    <cellStyle name="Шапка таблицы 5 11" xfId="57286"/>
    <cellStyle name="Шапка таблицы 5 12" xfId="57287"/>
    <cellStyle name="Шапка таблицы 5 13" xfId="57288"/>
    <cellStyle name="Шапка таблицы 5 14" xfId="57289"/>
    <cellStyle name="Шапка таблицы 5 15" xfId="57290"/>
    <cellStyle name="Шапка таблицы 5 16" xfId="57291"/>
    <cellStyle name="Шапка таблицы 5 17" xfId="57292"/>
    <cellStyle name="Шапка таблицы 5 18" xfId="57293"/>
    <cellStyle name="Шапка таблицы 5 19" xfId="57294"/>
    <cellStyle name="Шапка таблицы 5 2" xfId="57295"/>
    <cellStyle name="Шапка таблицы 5 2 10" xfId="57296"/>
    <cellStyle name="Шапка таблицы 5 2 11" xfId="57297"/>
    <cellStyle name="Шапка таблицы 5 2 12" xfId="57298"/>
    <cellStyle name="Шапка таблицы 5 2 13" xfId="57299"/>
    <cellStyle name="Шапка таблицы 5 2 14" xfId="57300"/>
    <cellStyle name="Шапка таблицы 5 2 15" xfId="57301"/>
    <cellStyle name="Шапка таблицы 5 2 16" xfId="57302"/>
    <cellStyle name="Шапка таблицы 5 2 17" xfId="57303"/>
    <cellStyle name="Шапка таблицы 5 2 18" xfId="57304"/>
    <cellStyle name="Шапка таблицы 5 2 2" xfId="57305"/>
    <cellStyle name="Шапка таблицы 5 2 2 2" xfId="57306"/>
    <cellStyle name="Шапка таблицы 5 2 2 2 2" xfId="57307"/>
    <cellStyle name="Шапка таблицы 5 2 2 3" xfId="57308"/>
    <cellStyle name="Шапка таблицы 5 2 2 4" xfId="57309"/>
    <cellStyle name="Шапка таблицы 5 2 3" xfId="57310"/>
    <cellStyle name="Шапка таблицы 5 2 3 2" xfId="57311"/>
    <cellStyle name="Шапка таблицы 5 2 3 3" xfId="57312"/>
    <cellStyle name="Шапка таблицы 5 2 4" xfId="57313"/>
    <cellStyle name="Шапка таблицы 5 2 4 2" xfId="57314"/>
    <cellStyle name="Шапка таблицы 5 2 5" xfId="57315"/>
    <cellStyle name="Шапка таблицы 5 2 6" xfId="57316"/>
    <cellStyle name="Шапка таблицы 5 2 7" xfId="57317"/>
    <cellStyle name="Шапка таблицы 5 2 8" xfId="57318"/>
    <cellStyle name="Шапка таблицы 5 2 9" xfId="57319"/>
    <cellStyle name="Шапка таблицы 5 3" xfId="57320"/>
    <cellStyle name="Шапка таблицы 5 3 10" xfId="57321"/>
    <cellStyle name="Шапка таблицы 5 3 11" xfId="57322"/>
    <cellStyle name="Шапка таблицы 5 3 12" xfId="57323"/>
    <cellStyle name="Шапка таблицы 5 3 13" xfId="57324"/>
    <cellStyle name="Шапка таблицы 5 3 14" xfId="57325"/>
    <cellStyle name="Шапка таблицы 5 3 15" xfId="57326"/>
    <cellStyle name="Шапка таблицы 5 3 16" xfId="57327"/>
    <cellStyle name="Шапка таблицы 5 3 17" xfId="57328"/>
    <cellStyle name="Шапка таблицы 5 3 18" xfId="57329"/>
    <cellStyle name="Шапка таблицы 5 3 2" xfId="57330"/>
    <cellStyle name="Шапка таблицы 5 3 2 2" xfId="57331"/>
    <cellStyle name="Шапка таблицы 5 3 2 2 2" xfId="57332"/>
    <cellStyle name="Шапка таблицы 5 3 2 3" xfId="57333"/>
    <cellStyle name="Шапка таблицы 5 3 2 4" xfId="57334"/>
    <cellStyle name="Шапка таблицы 5 3 3" xfId="57335"/>
    <cellStyle name="Шапка таблицы 5 3 3 2" xfId="57336"/>
    <cellStyle name="Шапка таблицы 5 3 3 3" xfId="57337"/>
    <cellStyle name="Шапка таблицы 5 3 4" xfId="57338"/>
    <cellStyle name="Шапка таблицы 5 3 4 2" xfId="57339"/>
    <cellStyle name="Шапка таблицы 5 3 5" xfId="57340"/>
    <cellStyle name="Шапка таблицы 5 3 6" xfId="57341"/>
    <cellStyle name="Шапка таблицы 5 3 7" xfId="57342"/>
    <cellStyle name="Шапка таблицы 5 3 8" xfId="57343"/>
    <cellStyle name="Шапка таблицы 5 3 9" xfId="57344"/>
    <cellStyle name="Шапка таблицы 5 4" xfId="57345"/>
    <cellStyle name="Шапка таблицы 5 4 2" xfId="57346"/>
    <cellStyle name="Шапка таблицы 5 4 2 2" xfId="57347"/>
    <cellStyle name="Шапка таблицы 5 4 2 3" xfId="57348"/>
    <cellStyle name="Шапка таблицы 5 4 3" xfId="57349"/>
    <cellStyle name="Шапка таблицы 5 4 3 2" xfId="57350"/>
    <cellStyle name="Шапка таблицы 5 4 4" xfId="57351"/>
    <cellStyle name="Шапка таблицы 5 4 5" xfId="57352"/>
    <cellStyle name="Шапка таблицы 5 5" xfId="57353"/>
    <cellStyle name="Шапка таблицы 5 5 2" xfId="57354"/>
    <cellStyle name="Шапка таблицы 5 5 2 2" xfId="57355"/>
    <cellStyle name="Шапка таблицы 5 5 3" xfId="57356"/>
    <cellStyle name="Шапка таблицы 5 5 4" xfId="57357"/>
    <cellStyle name="Шапка таблицы 5 6" xfId="57358"/>
    <cellStyle name="Шапка таблицы 5 6 2" xfId="57359"/>
    <cellStyle name="Шапка таблицы 5 7" xfId="57360"/>
    <cellStyle name="Шапка таблицы 5 8" xfId="57361"/>
    <cellStyle name="Шапка таблицы 5 9" xfId="57362"/>
    <cellStyle name="Шапка таблицы 6" xfId="57363"/>
    <cellStyle name="Шапка таблицы 6 10" xfId="57364"/>
    <cellStyle name="Шапка таблицы 6 11" xfId="57365"/>
    <cellStyle name="Шапка таблицы 6 12" xfId="57366"/>
    <cellStyle name="Шапка таблицы 6 13" xfId="57367"/>
    <cellStyle name="Шапка таблицы 6 14" xfId="57368"/>
    <cellStyle name="Шапка таблицы 6 15" xfId="57369"/>
    <cellStyle name="Шапка таблицы 6 16" xfId="57370"/>
    <cellStyle name="Шапка таблицы 6 17" xfId="57371"/>
    <cellStyle name="Шапка таблицы 6 18" xfId="57372"/>
    <cellStyle name="Шапка таблицы 6 19" xfId="57373"/>
    <cellStyle name="Шапка таблицы 6 2" xfId="57374"/>
    <cellStyle name="Шапка таблицы 6 2 10" xfId="57375"/>
    <cellStyle name="Шапка таблицы 6 2 11" xfId="57376"/>
    <cellStyle name="Шапка таблицы 6 2 12" xfId="57377"/>
    <cellStyle name="Шапка таблицы 6 2 13" xfId="57378"/>
    <cellStyle name="Шапка таблицы 6 2 14" xfId="57379"/>
    <cellStyle name="Шапка таблицы 6 2 15" xfId="57380"/>
    <cellStyle name="Шапка таблицы 6 2 16" xfId="57381"/>
    <cellStyle name="Шапка таблицы 6 2 17" xfId="57382"/>
    <cellStyle name="Шапка таблицы 6 2 18" xfId="57383"/>
    <cellStyle name="Шапка таблицы 6 2 2" xfId="57384"/>
    <cellStyle name="Шапка таблицы 6 2 2 2" xfId="57385"/>
    <cellStyle name="Шапка таблицы 6 2 2 2 2" xfId="57386"/>
    <cellStyle name="Шапка таблицы 6 2 2 3" xfId="57387"/>
    <cellStyle name="Шапка таблицы 6 2 2 4" xfId="57388"/>
    <cellStyle name="Шапка таблицы 6 2 3" xfId="57389"/>
    <cellStyle name="Шапка таблицы 6 2 3 2" xfId="57390"/>
    <cellStyle name="Шапка таблицы 6 2 3 3" xfId="57391"/>
    <cellStyle name="Шапка таблицы 6 2 4" xfId="57392"/>
    <cellStyle name="Шапка таблицы 6 2 4 2" xfId="57393"/>
    <cellStyle name="Шапка таблицы 6 2 5" xfId="57394"/>
    <cellStyle name="Шапка таблицы 6 2 6" xfId="57395"/>
    <cellStyle name="Шапка таблицы 6 2 7" xfId="57396"/>
    <cellStyle name="Шапка таблицы 6 2 8" xfId="57397"/>
    <cellStyle name="Шапка таблицы 6 2 9" xfId="57398"/>
    <cellStyle name="Шапка таблицы 6 20" xfId="57399"/>
    <cellStyle name="Шапка таблицы 6 3" xfId="57400"/>
    <cellStyle name="Шапка таблицы 6 3 10" xfId="57401"/>
    <cellStyle name="Шапка таблицы 6 3 11" xfId="57402"/>
    <cellStyle name="Шапка таблицы 6 3 12" xfId="57403"/>
    <cellStyle name="Шапка таблицы 6 3 13" xfId="57404"/>
    <cellStyle name="Шапка таблицы 6 3 14" xfId="57405"/>
    <cellStyle name="Шапка таблицы 6 3 15" xfId="57406"/>
    <cellStyle name="Шапка таблицы 6 3 16" xfId="57407"/>
    <cellStyle name="Шапка таблицы 6 3 17" xfId="57408"/>
    <cellStyle name="Шапка таблицы 6 3 18" xfId="57409"/>
    <cellStyle name="Шапка таблицы 6 3 2" xfId="57410"/>
    <cellStyle name="Шапка таблицы 6 3 2 2" xfId="57411"/>
    <cellStyle name="Шапка таблицы 6 3 2 2 2" xfId="57412"/>
    <cellStyle name="Шапка таблицы 6 3 2 3" xfId="57413"/>
    <cellStyle name="Шапка таблицы 6 3 2 4" xfId="57414"/>
    <cellStyle name="Шапка таблицы 6 3 3" xfId="57415"/>
    <cellStyle name="Шапка таблицы 6 3 3 2" xfId="57416"/>
    <cellStyle name="Шапка таблицы 6 3 3 3" xfId="57417"/>
    <cellStyle name="Шапка таблицы 6 3 4" xfId="57418"/>
    <cellStyle name="Шапка таблицы 6 3 4 2" xfId="57419"/>
    <cellStyle name="Шапка таблицы 6 3 5" xfId="57420"/>
    <cellStyle name="Шапка таблицы 6 3 6" xfId="57421"/>
    <cellStyle name="Шапка таблицы 6 3 7" xfId="57422"/>
    <cellStyle name="Шапка таблицы 6 3 8" xfId="57423"/>
    <cellStyle name="Шапка таблицы 6 3 9" xfId="57424"/>
    <cellStyle name="Шапка таблицы 6 4" xfId="57425"/>
    <cellStyle name="Шапка таблицы 6 4 2" xfId="57426"/>
    <cellStyle name="Шапка таблицы 6 4 2 2" xfId="57427"/>
    <cellStyle name="Шапка таблицы 6 4 2 3" xfId="57428"/>
    <cellStyle name="Шапка таблицы 6 4 3" xfId="57429"/>
    <cellStyle name="Шапка таблицы 6 4 3 2" xfId="57430"/>
    <cellStyle name="Шапка таблицы 6 4 4" xfId="57431"/>
    <cellStyle name="Шапка таблицы 6 4 5" xfId="57432"/>
    <cellStyle name="Шапка таблицы 6 5" xfId="57433"/>
    <cellStyle name="Шапка таблицы 6 5 2" xfId="57434"/>
    <cellStyle name="Шапка таблицы 6 5 2 2" xfId="57435"/>
    <cellStyle name="Шапка таблицы 6 5 3" xfId="57436"/>
    <cellStyle name="Шапка таблицы 6 5 4" xfId="57437"/>
    <cellStyle name="Шапка таблицы 6 6" xfId="57438"/>
    <cellStyle name="Шапка таблицы 6 6 2" xfId="57439"/>
    <cellStyle name="Шапка таблицы 6 7" xfId="57440"/>
    <cellStyle name="Шапка таблицы 6 8" xfId="57441"/>
    <cellStyle name="Шапка таблицы 6 9" xfId="57442"/>
    <cellStyle name="Шапка таблицы 7" xfId="57443"/>
    <cellStyle name="Шапка таблицы 7 10" xfId="57444"/>
    <cellStyle name="Шапка таблицы 7 11" xfId="57445"/>
    <cellStyle name="Шапка таблицы 7 12" xfId="57446"/>
    <cellStyle name="Шапка таблицы 7 13" xfId="57447"/>
    <cellStyle name="Шапка таблицы 7 14" xfId="57448"/>
    <cellStyle name="Шапка таблицы 7 15" xfId="57449"/>
    <cellStyle name="Шапка таблицы 7 16" xfId="57450"/>
    <cellStyle name="Шапка таблицы 7 17" xfId="57451"/>
    <cellStyle name="Шапка таблицы 7 2" xfId="57452"/>
    <cellStyle name="Шапка таблицы 7 2 2" xfId="57453"/>
    <cellStyle name="Шапка таблицы 7 2 2 2" xfId="57454"/>
    <cellStyle name="Шапка таблицы 7 2 3" xfId="57455"/>
    <cellStyle name="Шапка таблицы 7 2 4" xfId="57456"/>
    <cellStyle name="Шапка таблицы 7 3" xfId="57457"/>
    <cellStyle name="Шапка таблицы 7 3 2" xfId="57458"/>
    <cellStyle name="Шапка таблицы 7 4" xfId="57459"/>
    <cellStyle name="Шапка таблицы 7 5" xfId="57460"/>
    <cellStyle name="Шапка таблицы 7 6" xfId="57461"/>
    <cellStyle name="Шапка таблицы 7 7" xfId="57462"/>
    <cellStyle name="Шапка таблицы 7 8" xfId="57463"/>
    <cellStyle name="Шапка таблицы 7 9" xfId="57464"/>
    <cellStyle name="Шапка таблицы 8" xfId="57465"/>
    <cellStyle name="Шапка таблицы 8 2" xfId="57466"/>
    <cellStyle name="Шапка таблицы 8 2 2" xfId="57467"/>
    <cellStyle name="Шапка таблицы 8 2 2 2" xfId="57468"/>
    <cellStyle name="Шапка таблицы 8 2 3" xfId="57469"/>
    <cellStyle name="Шапка таблицы 8 2 4" xfId="57470"/>
    <cellStyle name="Шапка таблицы 8 3" xfId="57471"/>
    <cellStyle name="Шапка таблицы 8 3 2" xfId="57472"/>
    <cellStyle name="Шапка таблицы 8 3 3" xfId="57473"/>
    <cellStyle name="Шапка таблицы 8 4" xfId="57474"/>
    <cellStyle name="Шапка таблицы 8 4 2" xfId="57475"/>
    <cellStyle name="Шапка таблицы 8 5" xfId="57476"/>
    <cellStyle name="Шапка таблицы 8 6" xfId="57477"/>
    <cellStyle name="Шапка таблицы 9" xfId="57478"/>
    <cellStyle name="Шапка таблицы 9 2" xfId="57479"/>
    <cellStyle name="Шапка таблицы 9 2 2" xfId="57480"/>
    <cellStyle name="Шапка таблицы 9 3" xfId="57481"/>
    <cellStyle name="Шапка таблицы 9 4" xfId="57482"/>
    <cellStyle name="э" xfId="57483"/>
    <cellStyle name="э 10" xfId="57484"/>
    <cellStyle name="э 11" xfId="57485"/>
    <cellStyle name="э 12" xfId="57486"/>
    <cellStyle name="э 13" xfId="57487"/>
    <cellStyle name="э 14" xfId="57488"/>
    <cellStyle name="э 15" xfId="57489"/>
    <cellStyle name="э 16" xfId="57490"/>
    <cellStyle name="э 17" xfId="57491"/>
    <cellStyle name="э 18" xfId="57492"/>
    <cellStyle name="э 19" xfId="57493"/>
    <cellStyle name="э 2" xfId="57494"/>
    <cellStyle name="э 2 10" xfId="57495"/>
    <cellStyle name="э 2 11" xfId="57496"/>
    <cellStyle name="э 2 12" xfId="57497"/>
    <cellStyle name="э 2 13" xfId="57498"/>
    <cellStyle name="э 2 14" xfId="57499"/>
    <cellStyle name="э 2 15" xfId="57500"/>
    <cellStyle name="э 2 16" xfId="57501"/>
    <cellStyle name="э 2 17" xfId="57502"/>
    <cellStyle name="э 2 18" xfId="57503"/>
    <cellStyle name="э 2 19" xfId="57504"/>
    <cellStyle name="э 2 2" xfId="57505"/>
    <cellStyle name="э 2 2 10" xfId="57506"/>
    <cellStyle name="э 2 2 11" xfId="57507"/>
    <cellStyle name="э 2 2 12" xfId="57508"/>
    <cellStyle name="э 2 2 13" xfId="57509"/>
    <cellStyle name="э 2 2 14" xfId="57510"/>
    <cellStyle name="э 2 2 15" xfId="57511"/>
    <cellStyle name="э 2 2 16" xfId="57512"/>
    <cellStyle name="э 2 2 17" xfId="57513"/>
    <cellStyle name="э 2 2 18" xfId="57514"/>
    <cellStyle name="э 2 2 2" xfId="57515"/>
    <cellStyle name="э 2 2 2 2" xfId="57516"/>
    <cellStyle name="э 2 2 2 2 2" xfId="57517"/>
    <cellStyle name="э 2 2 2 3" xfId="57518"/>
    <cellStyle name="э 2 2 2 4" xfId="57519"/>
    <cellStyle name="э 2 2 3" xfId="57520"/>
    <cellStyle name="э 2 2 3 2" xfId="57521"/>
    <cellStyle name="э 2 2 3 3" xfId="57522"/>
    <cellStyle name="э 2 2 4" xfId="57523"/>
    <cellStyle name="э 2 2 4 2" xfId="57524"/>
    <cellStyle name="э 2 2 5" xfId="57525"/>
    <cellStyle name="э 2 2 6" xfId="57526"/>
    <cellStyle name="э 2 2 7" xfId="57527"/>
    <cellStyle name="э 2 2 8" xfId="57528"/>
    <cellStyle name="э 2 2 9" xfId="57529"/>
    <cellStyle name="э 2 20" xfId="57530"/>
    <cellStyle name="э 2 21" xfId="57531"/>
    <cellStyle name="э 2 3" xfId="57532"/>
    <cellStyle name="э 2 3 10" xfId="57533"/>
    <cellStyle name="э 2 3 11" xfId="57534"/>
    <cellStyle name="э 2 3 12" xfId="57535"/>
    <cellStyle name="э 2 3 13" xfId="57536"/>
    <cellStyle name="э 2 3 14" xfId="57537"/>
    <cellStyle name="э 2 3 15" xfId="57538"/>
    <cellStyle name="э 2 3 16" xfId="57539"/>
    <cellStyle name="э 2 3 17" xfId="57540"/>
    <cellStyle name="э 2 3 18" xfId="57541"/>
    <cellStyle name="э 2 3 2" xfId="57542"/>
    <cellStyle name="э 2 3 2 2" xfId="57543"/>
    <cellStyle name="э 2 3 2 2 2" xfId="57544"/>
    <cellStyle name="э 2 3 2 3" xfId="57545"/>
    <cellStyle name="э 2 3 2 4" xfId="57546"/>
    <cellStyle name="э 2 3 3" xfId="57547"/>
    <cellStyle name="э 2 3 3 2" xfId="57548"/>
    <cellStyle name="э 2 3 3 3" xfId="57549"/>
    <cellStyle name="э 2 3 4" xfId="57550"/>
    <cellStyle name="э 2 3 4 2" xfId="57551"/>
    <cellStyle name="э 2 3 5" xfId="57552"/>
    <cellStyle name="э 2 3 6" xfId="57553"/>
    <cellStyle name="э 2 3 7" xfId="57554"/>
    <cellStyle name="э 2 3 8" xfId="57555"/>
    <cellStyle name="э 2 3 9" xfId="57556"/>
    <cellStyle name="э 2 4" xfId="57557"/>
    <cellStyle name="э 2 4 2" xfId="57558"/>
    <cellStyle name="э 2 4 2 2" xfId="57559"/>
    <cellStyle name="э 2 4 2 3" xfId="57560"/>
    <cellStyle name="э 2 4 3" xfId="57561"/>
    <cellStyle name="э 2 4 3 2" xfId="57562"/>
    <cellStyle name="э 2 4 4" xfId="57563"/>
    <cellStyle name="э 2 4 5" xfId="57564"/>
    <cellStyle name="э 2 5" xfId="57565"/>
    <cellStyle name="э 2 5 2" xfId="57566"/>
    <cellStyle name="э 2 5 2 2" xfId="57567"/>
    <cellStyle name="э 2 5 3" xfId="57568"/>
    <cellStyle name="э 2 5 4" xfId="57569"/>
    <cellStyle name="э 2 6" xfId="57570"/>
    <cellStyle name="э 2 6 2" xfId="57571"/>
    <cellStyle name="э 2 7" xfId="57572"/>
    <cellStyle name="э 2 8" xfId="57573"/>
    <cellStyle name="э 2 9" xfId="57574"/>
    <cellStyle name="э 20" xfId="57575"/>
    <cellStyle name="э 21" xfId="57576"/>
    <cellStyle name="э 22" xfId="57577"/>
    <cellStyle name="э 23" xfId="57578"/>
    <cellStyle name="э 24" xfId="57579"/>
    <cellStyle name="э 25" xfId="57580"/>
    <cellStyle name="э 3" xfId="57581"/>
    <cellStyle name="э 3 10" xfId="57582"/>
    <cellStyle name="э 3 11" xfId="57583"/>
    <cellStyle name="э 3 12" xfId="57584"/>
    <cellStyle name="э 3 13" xfId="57585"/>
    <cellStyle name="э 3 14" xfId="57586"/>
    <cellStyle name="э 3 15" xfId="57587"/>
    <cellStyle name="э 3 16" xfId="57588"/>
    <cellStyle name="э 3 17" xfId="57589"/>
    <cellStyle name="э 3 18" xfId="57590"/>
    <cellStyle name="э 3 19" xfId="57591"/>
    <cellStyle name="э 3 2" xfId="57592"/>
    <cellStyle name="э 3 2 10" xfId="57593"/>
    <cellStyle name="э 3 2 11" xfId="57594"/>
    <cellStyle name="э 3 2 12" xfId="57595"/>
    <cellStyle name="э 3 2 13" xfId="57596"/>
    <cellStyle name="э 3 2 14" xfId="57597"/>
    <cellStyle name="э 3 2 15" xfId="57598"/>
    <cellStyle name="э 3 2 16" xfId="57599"/>
    <cellStyle name="э 3 2 17" xfId="57600"/>
    <cellStyle name="э 3 2 18" xfId="57601"/>
    <cellStyle name="э 3 2 2" xfId="57602"/>
    <cellStyle name="э 3 2 2 2" xfId="57603"/>
    <cellStyle name="э 3 2 2 2 2" xfId="57604"/>
    <cellStyle name="э 3 2 2 3" xfId="57605"/>
    <cellStyle name="э 3 2 2 4" xfId="57606"/>
    <cellStyle name="э 3 2 3" xfId="57607"/>
    <cellStyle name="э 3 2 3 2" xfId="57608"/>
    <cellStyle name="э 3 2 3 3" xfId="57609"/>
    <cellStyle name="э 3 2 4" xfId="57610"/>
    <cellStyle name="э 3 2 4 2" xfId="57611"/>
    <cellStyle name="э 3 2 5" xfId="57612"/>
    <cellStyle name="э 3 2 6" xfId="57613"/>
    <cellStyle name="э 3 2 7" xfId="57614"/>
    <cellStyle name="э 3 2 8" xfId="57615"/>
    <cellStyle name="э 3 2 9" xfId="57616"/>
    <cellStyle name="э 3 20" xfId="57617"/>
    <cellStyle name="э 3 21" xfId="57618"/>
    <cellStyle name="э 3 3" xfId="57619"/>
    <cellStyle name="э 3 3 10" xfId="57620"/>
    <cellStyle name="э 3 3 11" xfId="57621"/>
    <cellStyle name="э 3 3 12" xfId="57622"/>
    <cellStyle name="э 3 3 13" xfId="57623"/>
    <cellStyle name="э 3 3 14" xfId="57624"/>
    <cellStyle name="э 3 3 15" xfId="57625"/>
    <cellStyle name="э 3 3 16" xfId="57626"/>
    <cellStyle name="э 3 3 17" xfId="57627"/>
    <cellStyle name="э 3 3 18" xfId="57628"/>
    <cellStyle name="э 3 3 2" xfId="57629"/>
    <cellStyle name="э 3 3 2 2" xfId="57630"/>
    <cellStyle name="э 3 3 2 2 2" xfId="57631"/>
    <cellStyle name="э 3 3 2 3" xfId="57632"/>
    <cellStyle name="э 3 3 2 4" xfId="57633"/>
    <cellStyle name="э 3 3 3" xfId="57634"/>
    <cellStyle name="э 3 3 3 2" xfId="57635"/>
    <cellStyle name="э 3 3 3 3" xfId="57636"/>
    <cellStyle name="э 3 3 4" xfId="57637"/>
    <cellStyle name="э 3 3 4 2" xfId="57638"/>
    <cellStyle name="э 3 3 5" xfId="57639"/>
    <cellStyle name="э 3 3 6" xfId="57640"/>
    <cellStyle name="э 3 3 7" xfId="57641"/>
    <cellStyle name="э 3 3 8" xfId="57642"/>
    <cellStyle name="э 3 3 9" xfId="57643"/>
    <cellStyle name="э 3 4" xfId="57644"/>
    <cellStyle name="э 3 4 2" xfId="57645"/>
    <cellStyle name="э 3 4 2 2" xfId="57646"/>
    <cellStyle name="э 3 4 2 3" xfId="57647"/>
    <cellStyle name="э 3 4 3" xfId="57648"/>
    <cellStyle name="э 3 4 3 2" xfId="57649"/>
    <cellStyle name="э 3 4 4" xfId="57650"/>
    <cellStyle name="э 3 4 5" xfId="57651"/>
    <cellStyle name="э 3 5" xfId="57652"/>
    <cellStyle name="э 3 5 2" xfId="57653"/>
    <cellStyle name="э 3 5 2 2" xfId="57654"/>
    <cellStyle name="э 3 5 3" xfId="57655"/>
    <cellStyle name="э 3 5 4" xfId="57656"/>
    <cellStyle name="э 3 6" xfId="57657"/>
    <cellStyle name="э 3 6 2" xfId="57658"/>
    <cellStyle name="э 3 7" xfId="57659"/>
    <cellStyle name="э 3 8" xfId="57660"/>
    <cellStyle name="э 3 9" xfId="57661"/>
    <cellStyle name="э 4" xfId="57662"/>
    <cellStyle name="э 4 10" xfId="57663"/>
    <cellStyle name="э 4 11" xfId="57664"/>
    <cellStyle name="э 4 12" xfId="57665"/>
    <cellStyle name="э 4 13" xfId="57666"/>
    <cellStyle name="э 4 14" xfId="57667"/>
    <cellStyle name="э 4 15" xfId="57668"/>
    <cellStyle name="э 4 16" xfId="57669"/>
    <cellStyle name="э 4 17" xfId="57670"/>
    <cellStyle name="э 4 18" xfId="57671"/>
    <cellStyle name="э 4 19" xfId="57672"/>
    <cellStyle name="э 4 2" xfId="57673"/>
    <cellStyle name="э 4 2 10" xfId="57674"/>
    <cellStyle name="э 4 2 11" xfId="57675"/>
    <cellStyle name="э 4 2 12" xfId="57676"/>
    <cellStyle name="э 4 2 13" xfId="57677"/>
    <cellStyle name="э 4 2 14" xfId="57678"/>
    <cellStyle name="э 4 2 15" xfId="57679"/>
    <cellStyle name="э 4 2 16" xfId="57680"/>
    <cellStyle name="э 4 2 17" xfId="57681"/>
    <cellStyle name="э 4 2 18" xfId="57682"/>
    <cellStyle name="э 4 2 2" xfId="57683"/>
    <cellStyle name="э 4 2 2 2" xfId="57684"/>
    <cellStyle name="э 4 2 2 2 2" xfId="57685"/>
    <cellStyle name="э 4 2 2 3" xfId="57686"/>
    <cellStyle name="э 4 2 2 4" xfId="57687"/>
    <cellStyle name="э 4 2 3" xfId="57688"/>
    <cellStyle name="э 4 2 3 2" xfId="57689"/>
    <cellStyle name="э 4 2 3 3" xfId="57690"/>
    <cellStyle name="э 4 2 4" xfId="57691"/>
    <cellStyle name="э 4 2 4 2" xfId="57692"/>
    <cellStyle name="э 4 2 5" xfId="57693"/>
    <cellStyle name="э 4 2 6" xfId="57694"/>
    <cellStyle name="э 4 2 7" xfId="57695"/>
    <cellStyle name="э 4 2 8" xfId="57696"/>
    <cellStyle name="э 4 2 9" xfId="57697"/>
    <cellStyle name="э 4 20" xfId="57698"/>
    <cellStyle name="э 4 21" xfId="57699"/>
    <cellStyle name="э 4 3" xfId="57700"/>
    <cellStyle name="э 4 3 10" xfId="57701"/>
    <cellStyle name="э 4 3 11" xfId="57702"/>
    <cellStyle name="э 4 3 12" xfId="57703"/>
    <cellStyle name="э 4 3 13" xfId="57704"/>
    <cellStyle name="э 4 3 14" xfId="57705"/>
    <cellStyle name="э 4 3 15" xfId="57706"/>
    <cellStyle name="э 4 3 16" xfId="57707"/>
    <cellStyle name="э 4 3 17" xfId="57708"/>
    <cellStyle name="э 4 3 18" xfId="57709"/>
    <cellStyle name="э 4 3 2" xfId="57710"/>
    <cellStyle name="э 4 3 2 2" xfId="57711"/>
    <cellStyle name="э 4 3 2 2 2" xfId="57712"/>
    <cellStyle name="э 4 3 2 3" xfId="57713"/>
    <cellStyle name="э 4 3 2 4" xfId="57714"/>
    <cellStyle name="э 4 3 3" xfId="57715"/>
    <cellStyle name="э 4 3 3 2" xfId="57716"/>
    <cellStyle name="э 4 3 3 3" xfId="57717"/>
    <cellStyle name="э 4 3 4" xfId="57718"/>
    <cellStyle name="э 4 3 4 2" xfId="57719"/>
    <cellStyle name="э 4 3 5" xfId="57720"/>
    <cellStyle name="э 4 3 6" xfId="57721"/>
    <cellStyle name="э 4 3 7" xfId="57722"/>
    <cellStyle name="э 4 3 8" xfId="57723"/>
    <cellStyle name="э 4 3 9" xfId="57724"/>
    <cellStyle name="э 4 4" xfId="57725"/>
    <cellStyle name="э 4 4 2" xfId="57726"/>
    <cellStyle name="э 4 4 2 2" xfId="57727"/>
    <cellStyle name="э 4 4 2 3" xfId="57728"/>
    <cellStyle name="э 4 4 3" xfId="57729"/>
    <cellStyle name="э 4 4 3 2" xfId="57730"/>
    <cellStyle name="э 4 4 4" xfId="57731"/>
    <cellStyle name="э 4 4 5" xfId="57732"/>
    <cellStyle name="э 4 5" xfId="57733"/>
    <cellStyle name="э 4 5 2" xfId="57734"/>
    <cellStyle name="э 4 5 2 2" xfId="57735"/>
    <cellStyle name="э 4 5 3" xfId="57736"/>
    <cellStyle name="э 4 5 4" xfId="57737"/>
    <cellStyle name="э 4 6" xfId="57738"/>
    <cellStyle name="э 4 6 2" xfId="57739"/>
    <cellStyle name="э 4 7" xfId="57740"/>
    <cellStyle name="э 4 8" xfId="57741"/>
    <cellStyle name="э 4 9" xfId="57742"/>
    <cellStyle name="э 5" xfId="57743"/>
    <cellStyle name="э 5 10" xfId="57744"/>
    <cellStyle name="э 5 11" xfId="57745"/>
    <cellStyle name="э 5 12" xfId="57746"/>
    <cellStyle name="э 5 13" xfId="57747"/>
    <cellStyle name="э 5 14" xfId="57748"/>
    <cellStyle name="э 5 15" xfId="57749"/>
    <cellStyle name="э 5 16" xfId="57750"/>
    <cellStyle name="э 5 17" xfId="57751"/>
    <cellStyle name="э 5 18" xfId="57752"/>
    <cellStyle name="э 5 19" xfId="57753"/>
    <cellStyle name="э 5 2" xfId="57754"/>
    <cellStyle name="э 5 2 10" xfId="57755"/>
    <cellStyle name="э 5 2 11" xfId="57756"/>
    <cellStyle name="э 5 2 12" xfId="57757"/>
    <cellStyle name="э 5 2 13" xfId="57758"/>
    <cellStyle name="э 5 2 14" xfId="57759"/>
    <cellStyle name="э 5 2 15" xfId="57760"/>
    <cellStyle name="э 5 2 16" xfId="57761"/>
    <cellStyle name="э 5 2 17" xfId="57762"/>
    <cellStyle name="э 5 2 18" xfId="57763"/>
    <cellStyle name="э 5 2 2" xfId="57764"/>
    <cellStyle name="э 5 2 2 2" xfId="57765"/>
    <cellStyle name="э 5 2 2 2 2" xfId="57766"/>
    <cellStyle name="э 5 2 2 3" xfId="57767"/>
    <cellStyle name="э 5 2 2 4" xfId="57768"/>
    <cellStyle name="э 5 2 3" xfId="57769"/>
    <cellStyle name="э 5 2 3 2" xfId="57770"/>
    <cellStyle name="э 5 2 3 3" xfId="57771"/>
    <cellStyle name="э 5 2 4" xfId="57772"/>
    <cellStyle name="э 5 2 4 2" xfId="57773"/>
    <cellStyle name="э 5 2 5" xfId="57774"/>
    <cellStyle name="э 5 2 6" xfId="57775"/>
    <cellStyle name="э 5 2 7" xfId="57776"/>
    <cellStyle name="э 5 2 8" xfId="57777"/>
    <cellStyle name="э 5 2 9" xfId="57778"/>
    <cellStyle name="э 5 3" xfId="57779"/>
    <cellStyle name="э 5 3 10" xfId="57780"/>
    <cellStyle name="э 5 3 11" xfId="57781"/>
    <cellStyle name="э 5 3 12" xfId="57782"/>
    <cellStyle name="э 5 3 13" xfId="57783"/>
    <cellStyle name="э 5 3 14" xfId="57784"/>
    <cellStyle name="э 5 3 15" xfId="57785"/>
    <cellStyle name="э 5 3 16" xfId="57786"/>
    <cellStyle name="э 5 3 17" xfId="57787"/>
    <cellStyle name="э 5 3 18" xfId="57788"/>
    <cellStyle name="э 5 3 2" xfId="57789"/>
    <cellStyle name="э 5 3 2 2" xfId="57790"/>
    <cellStyle name="э 5 3 2 2 2" xfId="57791"/>
    <cellStyle name="э 5 3 2 3" xfId="57792"/>
    <cellStyle name="э 5 3 2 4" xfId="57793"/>
    <cellStyle name="э 5 3 3" xfId="57794"/>
    <cellStyle name="э 5 3 3 2" xfId="57795"/>
    <cellStyle name="э 5 3 3 3" xfId="57796"/>
    <cellStyle name="э 5 3 4" xfId="57797"/>
    <cellStyle name="э 5 3 4 2" xfId="57798"/>
    <cellStyle name="э 5 3 5" xfId="57799"/>
    <cellStyle name="э 5 3 6" xfId="57800"/>
    <cellStyle name="э 5 3 7" xfId="57801"/>
    <cellStyle name="э 5 3 8" xfId="57802"/>
    <cellStyle name="э 5 3 9" xfId="57803"/>
    <cellStyle name="э 5 4" xfId="57804"/>
    <cellStyle name="э 5 4 2" xfId="57805"/>
    <cellStyle name="э 5 4 2 2" xfId="57806"/>
    <cellStyle name="э 5 4 2 3" xfId="57807"/>
    <cellStyle name="э 5 4 3" xfId="57808"/>
    <cellStyle name="э 5 4 3 2" xfId="57809"/>
    <cellStyle name="э 5 4 4" xfId="57810"/>
    <cellStyle name="э 5 4 5" xfId="57811"/>
    <cellStyle name="э 5 5" xfId="57812"/>
    <cellStyle name="э 5 5 2" xfId="57813"/>
    <cellStyle name="э 5 5 2 2" xfId="57814"/>
    <cellStyle name="э 5 5 3" xfId="57815"/>
    <cellStyle name="э 5 5 4" xfId="57816"/>
    <cellStyle name="э 5 6" xfId="57817"/>
    <cellStyle name="э 5 6 2" xfId="57818"/>
    <cellStyle name="э 5 7" xfId="57819"/>
    <cellStyle name="э 5 8" xfId="57820"/>
    <cellStyle name="э 5 9" xfId="57821"/>
    <cellStyle name="э 6" xfId="57822"/>
    <cellStyle name="э 6 10" xfId="57823"/>
    <cellStyle name="э 6 11" xfId="57824"/>
    <cellStyle name="э 6 12" xfId="57825"/>
    <cellStyle name="э 6 13" xfId="57826"/>
    <cellStyle name="э 6 14" xfId="57827"/>
    <cellStyle name="э 6 15" xfId="57828"/>
    <cellStyle name="э 6 16" xfId="57829"/>
    <cellStyle name="э 6 17" xfId="57830"/>
    <cellStyle name="э 6 18" xfId="57831"/>
    <cellStyle name="э 6 19" xfId="57832"/>
    <cellStyle name="э 6 2" xfId="57833"/>
    <cellStyle name="э 6 2 10" xfId="57834"/>
    <cellStyle name="э 6 2 11" xfId="57835"/>
    <cellStyle name="э 6 2 12" xfId="57836"/>
    <cellStyle name="э 6 2 13" xfId="57837"/>
    <cellStyle name="э 6 2 14" xfId="57838"/>
    <cellStyle name="э 6 2 15" xfId="57839"/>
    <cellStyle name="э 6 2 16" xfId="57840"/>
    <cellStyle name="э 6 2 17" xfId="57841"/>
    <cellStyle name="э 6 2 18" xfId="57842"/>
    <cellStyle name="э 6 2 2" xfId="57843"/>
    <cellStyle name="э 6 2 2 2" xfId="57844"/>
    <cellStyle name="э 6 2 2 2 2" xfId="57845"/>
    <cellStyle name="э 6 2 2 3" xfId="57846"/>
    <cellStyle name="э 6 2 2 4" xfId="57847"/>
    <cellStyle name="э 6 2 3" xfId="57848"/>
    <cellStyle name="э 6 2 3 2" xfId="57849"/>
    <cellStyle name="э 6 2 3 3" xfId="57850"/>
    <cellStyle name="э 6 2 4" xfId="57851"/>
    <cellStyle name="э 6 2 4 2" xfId="57852"/>
    <cellStyle name="э 6 2 5" xfId="57853"/>
    <cellStyle name="э 6 2 6" xfId="57854"/>
    <cellStyle name="э 6 2 7" xfId="57855"/>
    <cellStyle name="э 6 2 8" xfId="57856"/>
    <cellStyle name="э 6 2 9" xfId="57857"/>
    <cellStyle name="э 6 20" xfId="57858"/>
    <cellStyle name="э 6 3" xfId="57859"/>
    <cellStyle name="э 6 3 10" xfId="57860"/>
    <cellStyle name="э 6 3 11" xfId="57861"/>
    <cellStyle name="э 6 3 12" xfId="57862"/>
    <cellStyle name="э 6 3 13" xfId="57863"/>
    <cellStyle name="э 6 3 14" xfId="57864"/>
    <cellStyle name="э 6 3 15" xfId="57865"/>
    <cellStyle name="э 6 3 16" xfId="57866"/>
    <cellStyle name="э 6 3 17" xfId="57867"/>
    <cellStyle name="э 6 3 18" xfId="57868"/>
    <cellStyle name="э 6 3 2" xfId="57869"/>
    <cellStyle name="э 6 3 2 2" xfId="57870"/>
    <cellStyle name="э 6 3 2 2 2" xfId="57871"/>
    <cellStyle name="э 6 3 2 3" xfId="57872"/>
    <cellStyle name="э 6 3 2 4" xfId="57873"/>
    <cellStyle name="э 6 3 3" xfId="57874"/>
    <cellStyle name="э 6 3 3 2" xfId="57875"/>
    <cellStyle name="э 6 3 3 3" xfId="57876"/>
    <cellStyle name="э 6 3 4" xfId="57877"/>
    <cellStyle name="э 6 3 4 2" xfId="57878"/>
    <cellStyle name="э 6 3 5" xfId="57879"/>
    <cellStyle name="э 6 3 6" xfId="57880"/>
    <cellStyle name="э 6 3 7" xfId="57881"/>
    <cellStyle name="э 6 3 8" xfId="57882"/>
    <cellStyle name="э 6 3 9" xfId="57883"/>
    <cellStyle name="э 6 4" xfId="57884"/>
    <cellStyle name="э 6 4 2" xfId="57885"/>
    <cellStyle name="э 6 4 2 2" xfId="57886"/>
    <cellStyle name="э 6 4 2 3" xfId="57887"/>
    <cellStyle name="э 6 4 3" xfId="57888"/>
    <cellStyle name="э 6 4 3 2" xfId="57889"/>
    <cellStyle name="э 6 4 4" xfId="57890"/>
    <cellStyle name="э 6 4 5" xfId="57891"/>
    <cellStyle name="э 6 5" xfId="57892"/>
    <cellStyle name="э 6 5 2" xfId="57893"/>
    <cellStyle name="э 6 5 2 2" xfId="57894"/>
    <cellStyle name="э 6 5 3" xfId="57895"/>
    <cellStyle name="э 6 5 4" xfId="57896"/>
    <cellStyle name="э 6 6" xfId="57897"/>
    <cellStyle name="э 6 6 2" xfId="57898"/>
    <cellStyle name="э 6 7" xfId="57899"/>
    <cellStyle name="э 6 8" xfId="57900"/>
    <cellStyle name="э 6 9" xfId="57901"/>
    <cellStyle name="э 7" xfId="57902"/>
    <cellStyle name="э 7 10" xfId="57903"/>
    <cellStyle name="э 7 11" xfId="57904"/>
    <cellStyle name="э 7 12" xfId="57905"/>
    <cellStyle name="э 7 13" xfId="57906"/>
    <cellStyle name="э 7 14" xfId="57907"/>
    <cellStyle name="э 7 15" xfId="57908"/>
    <cellStyle name="э 7 16" xfId="57909"/>
    <cellStyle name="э 7 17" xfId="57910"/>
    <cellStyle name="э 7 2" xfId="57911"/>
    <cellStyle name="э 7 2 2" xfId="57912"/>
    <cellStyle name="э 7 2 2 2" xfId="57913"/>
    <cellStyle name="э 7 2 3" xfId="57914"/>
    <cellStyle name="э 7 2 4" xfId="57915"/>
    <cellStyle name="э 7 3" xfId="57916"/>
    <cellStyle name="э 7 3 2" xfId="57917"/>
    <cellStyle name="э 7 4" xfId="57918"/>
    <cellStyle name="э 7 5" xfId="57919"/>
    <cellStyle name="э 7 6" xfId="57920"/>
    <cellStyle name="э 7 7" xfId="57921"/>
    <cellStyle name="э 7 8" xfId="57922"/>
    <cellStyle name="э 7 9" xfId="57923"/>
    <cellStyle name="э 8" xfId="57924"/>
    <cellStyle name="э 8 2" xfId="57925"/>
    <cellStyle name="э 8 2 2" xfId="57926"/>
    <cellStyle name="э 8 2 2 2" xfId="57927"/>
    <cellStyle name="э 8 2 3" xfId="57928"/>
    <cellStyle name="э 8 2 4" xfId="57929"/>
    <cellStyle name="э 8 3" xfId="57930"/>
    <cellStyle name="э 8 3 2" xfId="57931"/>
    <cellStyle name="э 8 3 3" xfId="57932"/>
    <cellStyle name="э 8 4" xfId="57933"/>
    <cellStyle name="э 8 4 2" xfId="57934"/>
    <cellStyle name="э 8 5" xfId="57935"/>
    <cellStyle name="э 8 6" xfId="57936"/>
    <cellStyle name="э 9" xfId="57937"/>
    <cellStyle name="э 9 2" xfId="57938"/>
    <cellStyle name="э 9 2 2" xfId="57939"/>
    <cellStyle name="э 9 3" xfId="57940"/>
    <cellStyle name="э 9 4" xfId="57941"/>
    <cellStyle name="Ž–…’›‰" xfId="57942"/>
    <cellStyle name="Ž–…’›‰ 2" xfId="57943"/>
    <cellStyle name="Ž–…’›‰ 3" xfId="57944"/>
    <cellStyle name="Ž–…’›‰ 4" xfId="57945"/>
    <cellStyle name="Ž–…’›‰ 5" xfId="57946"/>
    <cellStyle name="표준_PACKING LIST(작업중)xls" xfId="57947"/>
    <cellStyle name="常规_Sheet1" xfId="57948"/>
    <cellStyle name="標準_Book2" xfId="57949"/>
    <cellStyle name="通貨 [0.00]_長期資金" xfId="57950"/>
    <cellStyle name="通貨_長期資金" xfId="57951"/>
    <cellStyle name="通貨１" xfId="57952"/>
    <cellStyle name="通貨２" xfId="5795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cap="all" spc="120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r>
              <a:rPr lang="ru-RU"/>
              <a:t>График чистой прибыли в 1 (первый) год</a:t>
            </a:r>
            <a:endParaRPr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v>Выручка по проекту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РДДС!$D$5:$O$5</c:f>
              <c:numCache>
                <c:formatCode>mmm/yy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</c:numRef>
          </c:cat>
          <c:val>
            <c:numRef>
              <c:f>РДДС!$D$6:$O$6</c:f>
              <c:numCache>
                <c:formatCode>#,##0</c:formatCode>
                <c:ptCount val="12"/>
                <c:pt idx="0">
                  <c:v>324000</c:v>
                </c:pt>
                <c:pt idx="1">
                  <c:v>79000</c:v>
                </c:pt>
                <c:pt idx="2">
                  <c:v>709000</c:v>
                </c:pt>
                <c:pt idx="3">
                  <c:v>264000</c:v>
                </c:pt>
                <c:pt idx="4">
                  <c:v>564000</c:v>
                </c:pt>
                <c:pt idx="5">
                  <c:v>714000</c:v>
                </c:pt>
                <c:pt idx="6">
                  <c:v>764000</c:v>
                </c:pt>
                <c:pt idx="7">
                  <c:v>791000</c:v>
                </c:pt>
                <c:pt idx="8">
                  <c:v>1206000</c:v>
                </c:pt>
                <c:pt idx="9">
                  <c:v>776000</c:v>
                </c:pt>
                <c:pt idx="10">
                  <c:v>1076000</c:v>
                </c:pt>
                <c:pt idx="11">
                  <c:v>1191000</c:v>
                </c:pt>
              </c:numCache>
            </c:numRef>
          </c:val>
        </c:ser>
        <c:ser>
          <c:idx val="1"/>
          <c:order val="1"/>
          <c:tx>
            <c:v>Суммарные расходы по проекту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РДДС!$D$5:$O$5</c:f>
              <c:numCache>
                <c:formatCode>mmm/yy</c:formatCode>
                <c:ptCount val="12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</c:numCache>
            </c:numRef>
          </c:cat>
          <c:val>
            <c:numRef>
              <c:f>РДДС!$D$42:$O$42</c:f>
              <c:numCache>
                <c:formatCode>#,##0</c:formatCode>
                <c:ptCount val="12"/>
                <c:pt idx="0">
                  <c:v>928640.43333333335</c:v>
                </c:pt>
                <c:pt idx="1">
                  <c:v>856160.2333333334</c:v>
                </c:pt>
                <c:pt idx="2">
                  <c:v>1030550.8333333334</c:v>
                </c:pt>
                <c:pt idx="3">
                  <c:v>896631.03333333333</c:v>
                </c:pt>
                <c:pt idx="4">
                  <c:v>980491.43333333335</c:v>
                </c:pt>
                <c:pt idx="5">
                  <c:v>1013682.0333333333</c:v>
                </c:pt>
                <c:pt idx="6">
                  <c:v>1025042.4333333333</c:v>
                </c:pt>
                <c:pt idx="7">
                  <c:v>1044042.6333333334</c:v>
                </c:pt>
                <c:pt idx="8">
                  <c:v>1153513.4333333333</c:v>
                </c:pt>
                <c:pt idx="9">
                  <c:v>1023673.8333333334</c:v>
                </c:pt>
                <c:pt idx="10">
                  <c:v>1107534.2333333334</c:v>
                </c:pt>
                <c:pt idx="11">
                  <c:v>1133144.6333333333</c:v>
                </c:pt>
              </c:numCache>
            </c:numRef>
          </c:val>
        </c:ser>
        <c:hiLowLines>
          <c:spPr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hiLowLines>
        <c:marker val="1"/>
        <c:axId val="157365376"/>
        <c:axId val="157366912"/>
      </c:lineChart>
      <c:dateAx>
        <c:axId val="157365376"/>
        <c:scaling>
          <c:orientation val="minMax"/>
        </c:scaling>
        <c:axPos val="b"/>
        <c:numFmt formatCode="mmm/yy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cap="all" spc="120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57366912"/>
        <c:crosses val="autoZero"/>
        <c:auto val="1"/>
        <c:lblOffset val="100"/>
      </c:dateAx>
      <c:valAx>
        <c:axId val="157366912"/>
        <c:scaling>
          <c:orientation val="minMax"/>
        </c:scaling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" sourceLinked="1"/>
        <c:maj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573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>
              <a:solidFill>
                <a:schemeClr val="tx1"/>
              </a:solidFill>
              <a:latin typeface="Times New Roman"/>
              <a:ea typeface="+mn-ea"/>
              <a:cs typeface="Times New Roman"/>
            </a:defRPr>
          </a:pPr>
          <a:endParaRPr lang="ru-RU"/>
        </a:p>
      </c:txPr>
    </c:legend>
    <c:plotVisOnly val="1"/>
    <c:dispBlanksAs val="gap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/>
          <a:cs typeface="Times New Roman"/>
        </a:defRPr>
      </a:pPr>
      <a:endParaRPr lang="ru-RU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defRPr>
            </a:pPr>
            <a:r>
              <a:rPr lang="ru-RU" b="1" u="sng"/>
              <a:t>Диаграмма Ганта</a:t>
            </a:r>
            <a:endParaRPr/>
          </a:p>
        </c:rich>
      </c:tx>
      <c:layout>
        <c:manualLayout>
          <c:xMode val="edge"/>
          <c:yMode val="edge"/>
          <c:x val="3.2142000000000011E-2"/>
          <c:y val="2.5046000000000002E-2"/>
        </c:manualLayout>
      </c:layout>
      <c:spPr>
        <a:noFill/>
        <a:ln>
          <a:noFill/>
        </a:ln>
        <a:effectLst/>
      </c:spPr>
    </c:title>
    <c:plotArea>
      <c:layout/>
      <c:barChart>
        <c:barDir val="bar"/>
        <c:grouping val="stacked"/>
        <c:ser>
          <c:idx val="0"/>
          <c:order val="0"/>
          <c:tx>
            <c:strRef>
              <c:f>'План-график'!$C$3</c:f>
              <c:strCache>
                <c:ptCount val="1"/>
                <c:pt idx="0">
                  <c:v>Начало этапа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  <a:round/>
            </a:ln>
            <a:effectLst/>
          </c:spPr>
          <c:cat>
            <c:strRef>
              <c:f>'План-график'!$B$4:$B$18</c:f>
              <c:strCache>
                <c:ptCount val="8"/>
                <c:pt idx="0">
                  <c:v>Регистрация юр. лица, договоры</c:v>
                </c:pt>
                <c:pt idx="1">
                  <c:v>Разработка UX/UI и брендинг</c:v>
                </c:pt>
                <c:pt idx="2">
                  <c:v>Fronted + Backend (MVP)</c:v>
                </c:pt>
                <c:pt idx="3">
                  <c:v>DevOps, CI/CD, инфраструктура</c:v>
                </c:pt>
                <c:pt idx="4">
                  <c:v>Тестирование (QA)</c:v>
                </c:pt>
                <c:pt idx="5">
                  <c:v>Запуск MVP, первые клиенты</c:v>
                </c:pt>
                <c:pt idx="6">
                  <c:v>Маркетинг, привлечение (1 мес.)</c:v>
                </c:pt>
                <c:pt idx="7">
                  <c:v>Поддержка, итерации, доработки</c:v>
                </c:pt>
              </c:strCache>
            </c:strRef>
          </c:cat>
          <c:val>
            <c:numRef>
              <c:f>'План-график'!$C$4:$C$18</c:f>
              <c:numCache>
                <c:formatCode>dd/mm/yy;@</c:formatCode>
                <c:ptCount val="15"/>
                <c:pt idx="0">
                  <c:v>45658</c:v>
                </c:pt>
                <c:pt idx="1">
                  <c:v>45672</c:v>
                </c:pt>
                <c:pt idx="2">
                  <c:v>45702</c:v>
                </c:pt>
                <c:pt idx="3">
                  <c:v>45792</c:v>
                </c:pt>
                <c:pt idx="4">
                  <c:v>45806</c:v>
                </c:pt>
                <c:pt idx="5">
                  <c:v>45827</c:v>
                </c:pt>
                <c:pt idx="6">
                  <c:v>45841</c:v>
                </c:pt>
                <c:pt idx="7">
                  <c:v>45872</c:v>
                </c:pt>
                <c:pt idx="8">
                  <c:v>46022</c:v>
                </c:pt>
                <c:pt idx="9">
                  <c:v>46022</c:v>
                </c:pt>
                <c:pt idx="10">
                  <c:v>46022</c:v>
                </c:pt>
                <c:pt idx="11">
                  <c:v>46022</c:v>
                </c:pt>
                <c:pt idx="12">
                  <c:v>46022</c:v>
                </c:pt>
                <c:pt idx="13">
                  <c:v>46022</c:v>
                </c:pt>
                <c:pt idx="14">
                  <c:v>46022</c:v>
                </c:pt>
              </c:numCache>
            </c:numRef>
          </c:val>
        </c:ser>
        <c:ser>
          <c:idx val="1"/>
          <c:order val="1"/>
          <c:tx>
            <c:strRef>
              <c:f>'План-график'!$D$3</c:f>
              <c:strCache>
                <c:ptCount val="1"/>
                <c:pt idx="0">
                  <c:v>Длительность, день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'План-график'!$B$4:$B$18</c:f>
              <c:strCache>
                <c:ptCount val="8"/>
                <c:pt idx="0">
                  <c:v>Регистрация юр. лица, договоры</c:v>
                </c:pt>
                <c:pt idx="1">
                  <c:v>Разработка UX/UI и брендинг</c:v>
                </c:pt>
                <c:pt idx="2">
                  <c:v>Fronted + Backend (MVP)</c:v>
                </c:pt>
                <c:pt idx="3">
                  <c:v>DevOps, CI/CD, инфраструктура</c:v>
                </c:pt>
                <c:pt idx="4">
                  <c:v>Тестирование (QA)</c:v>
                </c:pt>
                <c:pt idx="5">
                  <c:v>Запуск MVP, первые клиенты</c:v>
                </c:pt>
                <c:pt idx="6">
                  <c:v>Маркетинг, привлечение (1 мес.)</c:v>
                </c:pt>
                <c:pt idx="7">
                  <c:v>Поддержка, итерации, доработки</c:v>
                </c:pt>
              </c:strCache>
            </c:strRef>
          </c:cat>
          <c:val>
            <c:numRef>
              <c:f>'План-график'!$D$4:$D$18</c:f>
              <c:numCache>
                <c:formatCode>General</c:formatCode>
                <c:ptCount val="15"/>
                <c:pt idx="0">
                  <c:v>14</c:v>
                </c:pt>
                <c:pt idx="1">
                  <c:v>30</c:v>
                </c:pt>
                <c:pt idx="2">
                  <c:v>90</c:v>
                </c:pt>
                <c:pt idx="3">
                  <c:v>14</c:v>
                </c:pt>
                <c:pt idx="4">
                  <c:v>21</c:v>
                </c:pt>
                <c:pt idx="5">
                  <c:v>14</c:v>
                </c:pt>
                <c:pt idx="6">
                  <c:v>31</c:v>
                </c:pt>
                <c:pt idx="7">
                  <c:v>150</c:v>
                </c:pt>
              </c:numCache>
            </c:numRef>
          </c:val>
        </c:ser>
        <c:gapWidth val="95"/>
        <c:overlap val="100"/>
        <c:axId val="157416832"/>
        <c:axId val="152335488"/>
      </c:barChart>
      <c:catAx>
        <c:axId val="157416832"/>
        <c:scaling>
          <c:orientation val="maxMin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52335488"/>
        <c:crosses val="autoZero"/>
        <c:auto val="1"/>
        <c:lblAlgn val="ctr"/>
        <c:lblOffset val="100"/>
      </c:catAx>
      <c:valAx>
        <c:axId val="152335488"/>
        <c:scaling>
          <c:orientation val="minMax"/>
        </c:scaling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/yy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57416832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/>
          <a:cs typeface="Times New Roman"/>
        </a:defRPr>
      </a:pPr>
      <a:endParaRPr lang="ru-RU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spc="0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defRPr>
            </a:pPr>
            <a:r>
              <a:rPr lang="ru-RU" sz="1800" b="1"/>
              <a:t>График инвестиционных затрат</a:t>
            </a:r>
            <a:endParaRPr/>
          </a:p>
        </c:rich>
      </c:tx>
      <c:layout/>
      <c:spPr>
        <a:noFill/>
        <a:ln>
          <a:noFill/>
        </a:ln>
        <a:effectLst/>
      </c:spPr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8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>
                      <a:solidFill>
                        <a:schemeClr val="bg1"/>
                      </a:solidFill>
                      <a:latin typeface="Times New Roman"/>
                      <a:ea typeface="+mn-ea"/>
                      <a:cs typeface="Times New Roman"/>
                    </a:defRPr>
                  </a:pPr>
                  <a:endParaRPr lang="ru-RU"/>
                </a:p>
              </c:txPr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Times New Roman"/>
                    <a:ea typeface="+mn-ea"/>
                    <a:cs typeface="Times New Roman"/>
                  </a:defRPr>
                </a:pPr>
                <a:endParaRPr lang="ru-RU"/>
              </a:p>
            </c:txPr>
            <c:dLblPos val="outEnd"/>
            <c:showCatName val="1"/>
            <c:showPercent val="1"/>
          </c:dLbls>
          <c:cat>
            <c:strRef>
              <c:f>'План-график'!$B$4:$B$18</c:f>
              <c:strCache>
                <c:ptCount val="8"/>
                <c:pt idx="0">
                  <c:v>Регистрация юр. лица, договоры</c:v>
                </c:pt>
                <c:pt idx="1">
                  <c:v>Разработка UX/UI и брендинг</c:v>
                </c:pt>
                <c:pt idx="2">
                  <c:v>Fronted + Backend (MVP)</c:v>
                </c:pt>
                <c:pt idx="3">
                  <c:v>DevOps, CI/CD, инфраструктура</c:v>
                </c:pt>
                <c:pt idx="4">
                  <c:v>Тестирование (QA)</c:v>
                </c:pt>
                <c:pt idx="5">
                  <c:v>Запуск MVP, первые клиенты</c:v>
                </c:pt>
                <c:pt idx="6">
                  <c:v>Маркетинг, привлечение (1 мес.)</c:v>
                </c:pt>
                <c:pt idx="7">
                  <c:v>Поддержка, итерации, доработки</c:v>
                </c:pt>
              </c:strCache>
            </c:strRef>
          </c:cat>
          <c:val>
            <c:numRef>
              <c:f>'План-график'!$F$4:$F$18</c:f>
              <c:numCache>
                <c:formatCode>#,##0</c:formatCode>
                <c:ptCount val="15"/>
                <c:pt idx="0">
                  <c:v>60000</c:v>
                </c:pt>
                <c:pt idx="1">
                  <c:v>290000</c:v>
                </c:pt>
                <c:pt idx="2">
                  <c:v>900000</c:v>
                </c:pt>
                <c:pt idx="3">
                  <c:v>120000</c:v>
                </c:pt>
                <c:pt idx="4">
                  <c:v>150000</c:v>
                </c:pt>
                <c:pt idx="5">
                  <c:v>100000</c:v>
                </c:pt>
                <c:pt idx="6">
                  <c:v>160000</c:v>
                </c:pt>
                <c:pt idx="7">
                  <c:v>700000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Percent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/>
          <a:cs typeface="Times New Roman"/>
        </a:defRPr>
      </a:pPr>
      <a:endParaRPr lang="ru-RU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953625" cy="6536531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781" cy="6072187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Relationship Id="rId6" Type="http://schemas.openxmlformats.org/officeDocument/2006/relationships/oleObject" Target="../embeddings/oleObject5.bin"/><Relationship Id="rId5" Type="http://schemas.openxmlformats.org/officeDocument/2006/relationships/oleObject" Target="../embeddings/oleObject4.bin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3"/>
  <dimension ref="A1:N13"/>
  <sheetViews>
    <sheetView zoomScale="140" workbookViewId="0">
      <selection activeCell="C10" sqref="C10"/>
    </sheetView>
  </sheetViews>
  <sheetFormatPr defaultColWidth="9.140625" defaultRowHeight="15.75"/>
  <cols>
    <col min="1" max="1" width="5" style="2" customWidth="1"/>
    <col min="2" max="2" width="35" style="1" customWidth="1"/>
    <col min="3" max="4" width="9.42578125" style="1" customWidth="1"/>
    <col min="5" max="6" width="9.140625" style="1"/>
    <col min="7" max="8" width="9.28515625" style="1" customWidth="1"/>
    <col min="9" max="20" width="11.140625" style="1" customWidth="1"/>
    <col min="21" max="16384" width="9.140625" style="1"/>
  </cols>
  <sheetData>
    <row r="1" spans="1:14">
      <c r="G1" s="3"/>
    </row>
    <row r="2" spans="1:14" ht="18.75">
      <c r="B2" s="4" t="s">
        <v>0</v>
      </c>
      <c r="C2" s="3"/>
    </row>
    <row r="3" spans="1:14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</row>
    <row r="4" spans="1:14">
      <c r="A4" s="7">
        <v>1</v>
      </c>
      <c r="B4" s="8" t="s">
        <v>6</v>
      </c>
      <c r="C4" s="9">
        <v>0</v>
      </c>
      <c r="D4" s="9">
        <v>0.15</v>
      </c>
      <c r="E4" s="9">
        <v>0.15</v>
      </c>
    </row>
    <row r="5" spans="1:14" ht="31.5">
      <c r="A5" s="7">
        <v>2</v>
      </c>
      <c r="B5" s="10" t="s">
        <v>7</v>
      </c>
      <c r="C5" s="9">
        <v>0</v>
      </c>
      <c r="D5" s="11">
        <v>0</v>
      </c>
      <c r="E5" s="11">
        <v>0</v>
      </c>
    </row>
    <row r="6" spans="1:14" ht="31.5">
      <c r="A6" s="7">
        <v>3</v>
      </c>
      <c r="B6" s="10" t="s">
        <v>8</v>
      </c>
      <c r="C6" s="12">
        <v>53658</v>
      </c>
      <c r="D6" s="12">
        <v>57390</v>
      </c>
      <c r="E6" s="12">
        <v>61154</v>
      </c>
    </row>
    <row r="8" spans="1:14" ht="18.75">
      <c r="B8" s="4" t="s">
        <v>9</v>
      </c>
    </row>
    <row r="9" spans="1:14">
      <c r="A9" s="5" t="s">
        <v>1</v>
      </c>
      <c r="B9" s="13" t="s">
        <v>10</v>
      </c>
      <c r="C9" s="14">
        <v>45809</v>
      </c>
      <c r="D9" s="15">
        <f>EDATE(C9,1)</f>
        <v>45839</v>
      </c>
      <c r="E9" s="16">
        <f t="shared" ref="E9:N9" si="0">EDATE(D9,1)</f>
        <v>45870</v>
      </c>
      <c r="F9" s="16">
        <f t="shared" si="0"/>
        <v>45901</v>
      </c>
      <c r="G9" s="16">
        <f t="shared" si="0"/>
        <v>45931</v>
      </c>
      <c r="H9" s="16">
        <f t="shared" si="0"/>
        <v>45962</v>
      </c>
      <c r="I9" s="16">
        <f t="shared" si="0"/>
        <v>45992</v>
      </c>
      <c r="J9" s="16">
        <f t="shared" si="0"/>
        <v>46023</v>
      </c>
      <c r="K9" s="16">
        <f t="shared" si="0"/>
        <v>46054</v>
      </c>
      <c r="L9" s="16">
        <f t="shared" si="0"/>
        <v>46082</v>
      </c>
      <c r="M9" s="16">
        <f t="shared" si="0"/>
        <v>46113</v>
      </c>
      <c r="N9" s="16">
        <f t="shared" si="0"/>
        <v>46143</v>
      </c>
    </row>
    <row r="10" spans="1:14">
      <c r="A10" s="7">
        <v>1</v>
      </c>
      <c r="B10" s="17" t="s">
        <v>2</v>
      </c>
      <c r="C10" s="18">
        <v>1</v>
      </c>
      <c r="D10" s="19">
        <v>0.9</v>
      </c>
      <c r="E10" s="19">
        <v>0.7</v>
      </c>
      <c r="F10" s="19">
        <v>0.7</v>
      </c>
      <c r="G10" s="19">
        <v>0.65</v>
      </c>
      <c r="H10" s="19">
        <v>0.65</v>
      </c>
      <c r="I10" s="19">
        <v>0.85</v>
      </c>
      <c r="J10" s="19">
        <v>0.65</v>
      </c>
      <c r="K10" s="19">
        <v>0.75</v>
      </c>
      <c r="L10" s="19">
        <v>0.7</v>
      </c>
      <c r="M10" s="19">
        <v>0.8</v>
      </c>
      <c r="N10" s="19">
        <v>0.9</v>
      </c>
    </row>
    <row r="12" spans="1:14">
      <c r="B12" s="1" t="s">
        <v>11</v>
      </c>
    </row>
    <row r="13" spans="1:14">
      <c r="B13" s="1" t="s">
        <v>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4">
    <tabColor theme="3" tint="0.59999389629810485"/>
    <outlinePr summaryBelow="0"/>
    <pageSetUpPr fitToPage="1"/>
  </sheetPr>
  <dimension ref="A2:AQ70"/>
  <sheetViews>
    <sheetView tabSelected="1" zoomScale="140" workbookViewId="0">
      <pane xSplit="2" ySplit="5" topLeftCell="AG51" activePane="bottomRight" state="frozen"/>
      <selection activeCell="D4" sqref="D4:O4"/>
      <selection pane="topRight"/>
      <selection pane="bottomLeft"/>
      <selection pane="bottomRight" activeCell="J65" sqref="J65"/>
    </sheetView>
  </sheetViews>
  <sheetFormatPr defaultColWidth="9.140625" defaultRowHeight="11.25" outlineLevelRow="1"/>
  <cols>
    <col min="1" max="1" width="6" style="21" bestFit="1" customWidth="1"/>
    <col min="2" max="2" width="35.140625" style="22" bestFit="1" customWidth="1"/>
    <col min="3" max="3" width="13.85546875" style="22" customWidth="1"/>
    <col min="4" max="4" width="10.85546875" style="23" customWidth="1"/>
    <col min="5" max="5" width="8.7109375" style="23" customWidth="1"/>
    <col min="6" max="6" width="8.85546875" style="23" customWidth="1"/>
    <col min="7" max="7" width="8.42578125" style="23" customWidth="1"/>
    <col min="8" max="8" width="9.140625" style="23" customWidth="1"/>
    <col min="9" max="9" width="8.7109375" style="23" customWidth="1"/>
    <col min="10" max="10" width="8.85546875" style="23" customWidth="1"/>
    <col min="11" max="11" width="9.7109375" style="23" customWidth="1"/>
    <col min="12" max="12" width="8.42578125" style="23" customWidth="1"/>
    <col min="13" max="13" width="9.28515625" style="23" customWidth="1"/>
    <col min="14" max="14" width="8.42578125" style="23" customWidth="1"/>
    <col min="15" max="15" width="9" style="23" customWidth="1"/>
    <col min="16" max="16" width="12" style="24" customWidth="1"/>
    <col min="17" max="27" width="9" style="20" customWidth="1"/>
    <col min="28" max="28" width="9.28515625" style="20" customWidth="1"/>
    <col min="29" max="29" width="12" style="25" customWidth="1"/>
    <col min="30" max="41" width="9.28515625" style="20" customWidth="1"/>
    <col min="42" max="43" width="12" style="25" customWidth="1"/>
    <col min="44" max="16384" width="9.140625" style="20"/>
  </cols>
  <sheetData>
    <row r="2" spans="1:43" ht="16.5" customHeight="1">
      <c r="D2" s="440" t="s">
        <v>13</v>
      </c>
      <c r="E2" s="440"/>
      <c r="F2" s="440"/>
      <c r="G2" s="440"/>
      <c r="H2" s="440"/>
      <c r="I2" s="440"/>
      <c r="J2" s="440"/>
      <c r="K2" s="440"/>
      <c r="O2" s="26"/>
    </row>
    <row r="3" spans="1:43" s="27" customFormat="1" ht="16.5" customHeight="1">
      <c r="A3" s="28"/>
      <c r="B3" s="29"/>
      <c r="C3" s="29"/>
      <c r="D3" s="30"/>
      <c r="E3" s="30"/>
      <c r="F3" s="30"/>
      <c r="G3" s="30"/>
      <c r="H3" s="30"/>
      <c r="I3" s="30"/>
      <c r="J3" s="30"/>
      <c r="K3" s="30"/>
      <c r="L3" s="31"/>
      <c r="M3" s="31"/>
      <c r="N3" s="31"/>
      <c r="O3" s="31"/>
      <c r="P3" s="32"/>
      <c r="AC3" s="33"/>
      <c r="AP3" s="33"/>
      <c r="AQ3" s="33"/>
    </row>
    <row r="4" spans="1:43" s="34" customFormat="1" ht="12.75" customHeight="1">
      <c r="A4" s="441" t="s">
        <v>14</v>
      </c>
      <c r="B4" s="443" t="s">
        <v>15</v>
      </c>
      <c r="C4" s="445" t="s">
        <v>16</v>
      </c>
      <c r="D4" s="447" t="s">
        <v>3</v>
      </c>
      <c r="E4" s="448"/>
      <c r="F4" s="448"/>
      <c r="G4" s="448"/>
      <c r="H4" s="448"/>
      <c r="I4" s="448"/>
      <c r="J4" s="448"/>
      <c r="K4" s="448"/>
      <c r="L4" s="448"/>
      <c r="M4" s="448"/>
      <c r="N4" s="448"/>
      <c r="O4" s="449"/>
      <c r="P4" s="433" t="s">
        <v>17</v>
      </c>
      <c r="Q4" s="435" t="s">
        <v>4</v>
      </c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6" t="s">
        <v>18</v>
      </c>
      <c r="AD4" s="435" t="s">
        <v>5</v>
      </c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8" t="s">
        <v>19</v>
      </c>
      <c r="AQ4" s="431" t="s">
        <v>20</v>
      </c>
    </row>
    <row r="5" spans="1:43" ht="14.25" customHeight="1">
      <c r="A5" s="442"/>
      <c r="B5" s="444"/>
      <c r="C5" s="446"/>
      <c r="D5" s="35">
        <f>'Вводные данные'!C9</f>
        <v>45809</v>
      </c>
      <c r="E5" s="35">
        <f>'Вводные данные'!D9</f>
        <v>45839</v>
      </c>
      <c r="F5" s="35">
        <f>'Вводные данные'!E9</f>
        <v>45870</v>
      </c>
      <c r="G5" s="35">
        <f>'Вводные данные'!F9</f>
        <v>45901</v>
      </c>
      <c r="H5" s="35">
        <f>'Вводные данные'!G9</f>
        <v>45931</v>
      </c>
      <c r="I5" s="35">
        <f>'Вводные данные'!H9</f>
        <v>45962</v>
      </c>
      <c r="J5" s="35">
        <f>'Вводные данные'!I9</f>
        <v>45992</v>
      </c>
      <c r="K5" s="35">
        <f>'Вводные данные'!J9</f>
        <v>46023</v>
      </c>
      <c r="L5" s="35">
        <f>'Вводные данные'!K9</f>
        <v>46054</v>
      </c>
      <c r="M5" s="35">
        <f>'Вводные данные'!L9</f>
        <v>46082</v>
      </c>
      <c r="N5" s="35">
        <f>'Вводные данные'!M9</f>
        <v>46113</v>
      </c>
      <c r="O5" s="35">
        <f>'Вводные данные'!N9</f>
        <v>46143</v>
      </c>
      <c r="P5" s="434"/>
      <c r="Q5" s="35">
        <f>EDATE(O5,1)</f>
        <v>46174</v>
      </c>
      <c r="R5" s="35">
        <f>EDATE(Q5,1)</f>
        <v>46204</v>
      </c>
      <c r="S5" s="35">
        <f t="shared" ref="S5:AB5" si="0">EDATE(R5,1)</f>
        <v>46235</v>
      </c>
      <c r="T5" s="35">
        <f t="shared" si="0"/>
        <v>46266</v>
      </c>
      <c r="U5" s="35">
        <f t="shared" si="0"/>
        <v>46296</v>
      </c>
      <c r="V5" s="35">
        <f t="shared" si="0"/>
        <v>46327</v>
      </c>
      <c r="W5" s="35">
        <f t="shared" si="0"/>
        <v>46357</v>
      </c>
      <c r="X5" s="35">
        <f t="shared" si="0"/>
        <v>46388</v>
      </c>
      <c r="Y5" s="35">
        <f t="shared" si="0"/>
        <v>46419</v>
      </c>
      <c r="Z5" s="35">
        <f t="shared" si="0"/>
        <v>46447</v>
      </c>
      <c r="AA5" s="35">
        <f t="shared" si="0"/>
        <v>46478</v>
      </c>
      <c r="AB5" s="35">
        <f t="shared" si="0"/>
        <v>46508</v>
      </c>
      <c r="AC5" s="437"/>
      <c r="AD5" s="35">
        <f>EDATE(AB5,1)</f>
        <v>46539</v>
      </c>
      <c r="AE5" s="35">
        <f>EDATE(AD5,1)</f>
        <v>46569</v>
      </c>
      <c r="AF5" s="35">
        <f t="shared" ref="AF5:AO5" si="1">EDATE(AE5,1)</f>
        <v>46600</v>
      </c>
      <c r="AG5" s="35">
        <f t="shared" si="1"/>
        <v>46631</v>
      </c>
      <c r="AH5" s="35">
        <f t="shared" si="1"/>
        <v>46661</v>
      </c>
      <c r="AI5" s="35">
        <f t="shared" si="1"/>
        <v>46692</v>
      </c>
      <c r="AJ5" s="35">
        <f t="shared" si="1"/>
        <v>46722</v>
      </c>
      <c r="AK5" s="35">
        <f t="shared" si="1"/>
        <v>46753</v>
      </c>
      <c r="AL5" s="35">
        <f t="shared" si="1"/>
        <v>46784</v>
      </c>
      <c r="AM5" s="35">
        <f t="shared" si="1"/>
        <v>46813</v>
      </c>
      <c r="AN5" s="35">
        <f t="shared" si="1"/>
        <v>46844</v>
      </c>
      <c r="AO5" s="35">
        <f t="shared" si="1"/>
        <v>46874</v>
      </c>
      <c r="AP5" s="439"/>
      <c r="AQ5" s="432"/>
    </row>
    <row r="6" spans="1:43">
      <c r="A6" s="36">
        <v>1</v>
      </c>
      <c r="B6" s="37" t="s">
        <v>21</v>
      </c>
      <c r="C6" s="38"/>
      <c r="D6" s="39">
        <f>Продажи!B31</f>
        <v>324000</v>
      </c>
      <c r="E6" s="39">
        <f>Продажи!C31</f>
        <v>79000</v>
      </c>
      <c r="F6" s="39">
        <f>Продажи!D31</f>
        <v>709000</v>
      </c>
      <c r="G6" s="39">
        <f>Продажи!E31</f>
        <v>264000</v>
      </c>
      <c r="H6" s="39">
        <f>Продажи!F31</f>
        <v>564000</v>
      </c>
      <c r="I6" s="39">
        <f>Продажи!G31</f>
        <v>714000</v>
      </c>
      <c r="J6" s="39">
        <f>Продажи!H31</f>
        <v>764000</v>
      </c>
      <c r="K6" s="39">
        <f>Продажи!I31</f>
        <v>791000</v>
      </c>
      <c r="L6" s="39">
        <f>Продажи!J31</f>
        <v>1206000</v>
      </c>
      <c r="M6" s="39">
        <f>Продажи!K31</f>
        <v>776000</v>
      </c>
      <c r="N6" s="39">
        <f>Продажи!L31</f>
        <v>1076000</v>
      </c>
      <c r="O6" s="39">
        <f>Продажи!M31</f>
        <v>1191000</v>
      </c>
      <c r="P6" s="40">
        <f t="shared" ref="P6:P41" si="2">SUM(D6:O6)</f>
        <v>8458000</v>
      </c>
      <c r="Q6" s="41">
        <f>Продажи!O31</f>
        <v>1899800</v>
      </c>
      <c r="R6" s="41">
        <f>Продажи!P31</f>
        <v>2354050</v>
      </c>
      <c r="S6" s="41">
        <f>Продажи!Q31</f>
        <v>2256300</v>
      </c>
      <c r="T6" s="41">
        <f>Продажи!R31</f>
        <v>3042516.6666666651</v>
      </c>
      <c r="U6" s="41">
        <f>Продажи!S31</f>
        <v>2657841.6666666651</v>
      </c>
      <c r="V6" s="41">
        <f>Продажи!T31</f>
        <v>3132216.6666666651</v>
      </c>
      <c r="W6" s="41">
        <f>Продажи!U31</f>
        <v>3068391.6666666651</v>
      </c>
      <c r="X6" s="41">
        <f>Продажи!V31</f>
        <v>3850966.6666666651</v>
      </c>
      <c r="Y6" s="41">
        <f>Продажи!W31</f>
        <v>3463991.6666666651</v>
      </c>
      <c r="Z6" s="41">
        <f>Продажи!X31</f>
        <v>3938366.6666666651</v>
      </c>
      <c r="AA6" s="41">
        <f>Продажи!Y31</f>
        <v>3843491.6666666651</v>
      </c>
      <c r="AB6" s="41">
        <f>Продажи!Z31</f>
        <v>4636416.6666666651</v>
      </c>
      <c r="AC6" s="42">
        <f t="shared" ref="AC6:AC41" si="3">SUM(Q6:AB6)</f>
        <v>38144349.999999978</v>
      </c>
      <c r="AD6" s="42">
        <f>Продажи!AB31</f>
        <v>5135267.5</v>
      </c>
      <c r="AE6" s="42">
        <f>Продажи!AC31</f>
        <v>5442087.5</v>
      </c>
      <c r="AF6" s="42">
        <f>Продажи!AD31</f>
        <v>5032112.5</v>
      </c>
      <c r="AG6" s="42">
        <f>Продажи!AE31</f>
        <v>5994892.5</v>
      </c>
      <c r="AH6" s="42">
        <f>Продажи!AF31</f>
        <v>5628560</v>
      </c>
      <c r="AI6" s="42">
        <f>Продажи!AG31</f>
        <v>6562245</v>
      </c>
      <c r="AJ6" s="42">
        <f>Продажи!AH31</f>
        <v>6280552.5</v>
      </c>
      <c r="AK6" s="42">
        <f>Продажи!AI31</f>
        <v>7216882.5</v>
      </c>
      <c r="AL6" s="42">
        <f>Продажи!AJ31</f>
        <v>6826745</v>
      </c>
      <c r="AM6" s="42">
        <f>Продажи!AK31</f>
        <v>7760430</v>
      </c>
      <c r="AN6" s="42">
        <f>Продажи!AL31</f>
        <v>7396742.5</v>
      </c>
      <c r="AO6" s="42">
        <f>Продажи!AM31</f>
        <v>8356877.5</v>
      </c>
      <c r="AP6" s="43">
        <f t="shared" ref="AP6:AP42" si="4">SUM(AD6:AO6)</f>
        <v>77633395</v>
      </c>
      <c r="AQ6" s="44">
        <f t="shared" ref="AQ6:AQ42" si="5">P6+AC6+AP6</f>
        <v>124235744.99999997</v>
      </c>
    </row>
    <row r="7" spans="1:43" s="25" customFormat="1" ht="10.5">
      <c r="A7" s="36">
        <v>2</v>
      </c>
      <c r="B7" s="37" t="s">
        <v>22</v>
      </c>
      <c r="C7" s="38"/>
      <c r="D7" s="45">
        <f>Персонал!B46</f>
        <v>520000</v>
      </c>
      <c r="E7" s="45">
        <f>Персонал!C46</f>
        <v>520000</v>
      </c>
      <c r="F7" s="45">
        <f>Персонал!D46</f>
        <v>520000</v>
      </c>
      <c r="G7" s="45">
        <f>Персонал!E46</f>
        <v>520000</v>
      </c>
      <c r="H7" s="45">
        <f>Персонал!F46</f>
        <v>520000</v>
      </c>
      <c r="I7" s="45">
        <f>Персонал!G46</f>
        <v>520000</v>
      </c>
      <c r="J7" s="45">
        <f>Персонал!H46</f>
        <v>520000</v>
      </c>
      <c r="K7" s="45">
        <f>Персонал!I46</f>
        <v>520000</v>
      </c>
      <c r="L7" s="45">
        <f>Персонал!J46</f>
        <v>520000</v>
      </c>
      <c r="M7" s="45">
        <f>Персонал!K46</f>
        <v>520000</v>
      </c>
      <c r="N7" s="45">
        <f>Персонал!L46</f>
        <v>520000</v>
      </c>
      <c r="O7" s="45">
        <f>Персонал!M46</f>
        <v>520000</v>
      </c>
      <c r="P7" s="46">
        <f t="shared" si="2"/>
        <v>6240000</v>
      </c>
      <c r="Q7" s="47">
        <f>Персонал!O46</f>
        <v>1058000</v>
      </c>
      <c r="R7" s="47">
        <f>Персонал!P46</f>
        <v>1058000</v>
      </c>
      <c r="S7" s="47">
        <f>Персонал!Q46</f>
        <v>1058000</v>
      </c>
      <c r="T7" s="47">
        <f>Персонал!R46</f>
        <v>1058000</v>
      </c>
      <c r="U7" s="47">
        <f>Персонал!S46</f>
        <v>1058000</v>
      </c>
      <c r="V7" s="47">
        <f>Персонал!T46</f>
        <v>1058000</v>
      </c>
      <c r="W7" s="47">
        <f>Персонал!U46</f>
        <v>1058000</v>
      </c>
      <c r="X7" s="47">
        <f>Персонал!V46</f>
        <v>1058000</v>
      </c>
      <c r="Y7" s="47">
        <f>Персонал!W46</f>
        <v>1058000</v>
      </c>
      <c r="Z7" s="47">
        <f>Персонал!X46</f>
        <v>1058000</v>
      </c>
      <c r="AA7" s="47">
        <f>Персонал!Y46</f>
        <v>1058000</v>
      </c>
      <c r="AB7" s="47">
        <f>Персонал!Z46</f>
        <v>1058000</v>
      </c>
      <c r="AC7" s="47">
        <f t="shared" si="3"/>
        <v>12696000</v>
      </c>
      <c r="AD7" s="47">
        <f>Персонал!AB46</f>
        <v>1216700</v>
      </c>
      <c r="AE7" s="47">
        <f>Персонал!AC46</f>
        <v>1216700</v>
      </c>
      <c r="AF7" s="47">
        <f>Персонал!AD46</f>
        <v>1216700</v>
      </c>
      <c r="AG7" s="47">
        <f>Персонал!AE46</f>
        <v>1216700</v>
      </c>
      <c r="AH7" s="47">
        <f>Персонал!AF46</f>
        <v>1216700</v>
      </c>
      <c r="AI7" s="47">
        <f>Персонал!AG46</f>
        <v>1216700</v>
      </c>
      <c r="AJ7" s="47">
        <f>Персонал!AH46</f>
        <v>1216700</v>
      </c>
      <c r="AK7" s="47">
        <f>Персонал!AI46</f>
        <v>1216700</v>
      </c>
      <c r="AL7" s="47">
        <f>Персонал!AJ46</f>
        <v>1216700</v>
      </c>
      <c r="AM7" s="47">
        <f>Персонал!AK46</f>
        <v>1216700</v>
      </c>
      <c r="AN7" s="47">
        <f>Персонал!AL46</f>
        <v>1216700</v>
      </c>
      <c r="AO7" s="47">
        <f>Персонал!AM46</f>
        <v>1216700</v>
      </c>
      <c r="AP7" s="48">
        <f t="shared" si="4"/>
        <v>14600400</v>
      </c>
      <c r="AQ7" s="44">
        <f t="shared" si="5"/>
        <v>33536400</v>
      </c>
    </row>
    <row r="8" spans="1:43" s="49" customFormat="1">
      <c r="A8" s="50" t="s">
        <v>23</v>
      </c>
      <c r="B8" s="51" t="s">
        <v>24</v>
      </c>
      <c r="C8" s="52"/>
      <c r="D8" s="53">
        <f>D7*13%</f>
        <v>67600</v>
      </c>
      <c r="E8" s="53">
        <f t="shared" ref="E8:O8" si="6">E7*13%</f>
        <v>67600</v>
      </c>
      <c r="F8" s="53">
        <f t="shared" si="6"/>
        <v>67600</v>
      </c>
      <c r="G8" s="53">
        <f t="shared" si="6"/>
        <v>67600</v>
      </c>
      <c r="H8" s="53">
        <f t="shared" si="6"/>
        <v>67600</v>
      </c>
      <c r="I8" s="53">
        <f t="shared" si="6"/>
        <v>67600</v>
      </c>
      <c r="J8" s="53">
        <f t="shared" si="6"/>
        <v>67600</v>
      </c>
      <c r="K8" s="53">
        <f t="shared" si="6"/>
        <v>67600</v>
      </c>
      <c r="L8" s="53">
        <f t="shared" si="6"/>
        <v>67600</v>
      </c>
      <c r="M8" s="53">
        <f t="shared" si="6"/>
        <v>67600</v>
      </c>
      <c r="N8" s="53">
        <f t="shared" si="6"/>
        <v>67600</v>
      </c>
      <c r="O8" s="53">
        <f t="shared" si="6"/>
        <v>67600</v>
      </c>
      <c r="P8" s="54">
        <f t="shared" si="2"/>
        <v>811200</v>
      </c>
      <c r="Q8" s="55">
        <f>Q7*13%</f>
        <v>137540</v>
      </c>
      <c r="R8" s="55">
        <f t="shared" ref="R8:AB8" si="7">R7*13%</f>
        <v>137540</v>
      </c>
      <c r="S8" s="55">
        <f t="shared" si="7"/>
        <v>137540</v>
      </c>
      <c r="T8" s="55">
        <f t="shared" si="7"/>
        <v>137540</v>
      </c>
      <c r="U8" s="55">
        <f t="shared" si="7"/>
        <v>137540</v>
      </c>
      <c r="V8" s="55">
        <f t="shared" si="7"/>
        <v>137540</v>
      </c>
      <c r="W8" s="55">
        <f t="shared" si="7"/>
        <v>137540</v>
      </c>
      <c r="X8" s="55">
        <f t="shared" si="7"/>
        <v>137540</v>
      </c>
      <c r="Y8" s="55">
        <f t="shared" si="7"/>
        <v>137540</v>
      </c>
      <c r="Z8" s="55">
        <f t="shared" si="7"/>
        <v>137540</v>
      </c>
      <c r="AA8" s="55">
        <f t="shared" si="7"/>
        <v>137540</v>
      </c>
      <c r="AB8" s="55">
        <f t="shared" si="7"/>
        <v>137540</v>
      </c>
      <c r="AC8" s="56">
        <f t="shared" si="3"/>
        <v>1650480</v>
      </c>
      <c r="AD8" s="55">
        <f>AD7*13%</f>
        <v>158171</v>
      </c>
      <c r="AE8" s="55">
        <f t="shared" ref="AE8:AO8" si="8">AE7*13%</f>
        <v>158171</v>
      </c>
      <c r="AF8" s="55">
        <f t="shared" si="8"/>
        <v>158171</v>
      </c>
      <c r="AG8" s="55">
        <f t="shared" si="8"/>
        <v>158171</v>
      </c>
      <c r="AH8" s="55">
        <f t="shared" si="8"/>
        <v>158171</v>
      </c>
      <c r="AI8" s="55">
        <f t="shared" si="8"/>
        <v>158171</v>
      </c>
      <c r="AJ8" s="55">
        <f t="shared" si="8"/>
        <v>158171</v>
      </c>
      <c r="AK8" s="55">
        <f t="shared" si="8"/>
        <v>158171</v>
      </c>
      <c r="AL8" s="55">
        <f t="shared" si="8"/>
        <v>158171</v>
      </c>
      <c r="AM8" s="55">
        <f t="shared" si="8"/>
        <v>158171</v>
      </c>
      <c r="AN8" s="55">
        <f t="shared" si="8"/>
        <v>158171</v>
      </c>
      <c r="AO8" s="55">
        <f t="shared" si="8"/>
        <v>158171</v>
      </c>
      <c r="AP8" s="57">
        <f t="shared" si="4"/>
        <v>1898052</v>
      </c>
      <c r="AQ8" s="58">
        <f t="shared" si="5"/>
        <v>4359732</v>
      </c>
    </row>
    <row r="9" spans="1:43" s="59" customFormat="1">
      <c r="A9" s="60">
        <v>3</v>
      </c>
      <c r="B9" s="61" t="s">
        <v>25</v>
      </c>
      <c r="C9" s="62"/>
      <c r="D9" s="63">
        <f t="shared" ref="D9:O9" si="9">SUM(D10:D12)</f>
        <v>157040</v>
      </c>
      <c r="E9" s="63">
        <f t="shared" si="9"/>
        <v>157040</v>
      </c>
      <c r="F9" s="63">
        <f t="shared" si="9"/>
        <v>157040</v>
      </c>
      <c r="G9" s="63">
        <f t="shared" si="9"/>
        <v>157040</v>
      </c>
      <c r="H9" s="63">
        <f t="shared" si="9"/>
        <v>157040</v>
      </c>
      <c r="I9" s="63">
        <f t="shared" si="9"/>
        <v>157040</v>
      </c>
      <c r="J9" s="63">
        <f t="shared" si="9"/>
        <v>157040</v>
      </c>
      <c r="K9" s="63">
        <f t="shared" si="9"/>
        <v>157040</v>
      </c>
      <c r="L9" s="63">
        <f t="shared" si="9"/>
        <v>157040</v>
      </c>
      <c r="M9" s="63">
        <f t="shared" si="9"/>
        <v>157040</v>
      </c>
      <c r="N9" s="63">
        <f t="shared" si="9"/>
        <v>157040</v>
      </c>
      <c r="O9" s="63">
        <f t="shared" si="9"/>
        <v>157040</v>
      </c>
      <c r="P9" s="64">
        <f t="shared" si="2"/>
        <v>1884480</v>
      </c>
      <c r="Q9" s="65">
        <f>SUM(Q10:Q12)</f>
        <v>319516</v>
      </c>
      <c r="R9" s="65">
        <f t="shared" ref="R9:AB9" si="10">SUM(R10:R12)</f>
        <v>319516</v>
      </c>
      <c r="S9" s="65">
        <f t="shared" si="10"/>
        <v>319516</v>
      </c>
      <c r="T9" s="65">
        <f t="shared" si="10"/>
        <v>319516</v>
      </c>
      <c r="U9" s="65">
        <f t="shared" si="10"/>
        <v>319516</v>
      </c>
      <c r="V9" s="65">
        <f t="shared" si="10"/>
        <v>319516</v>
      </c>
      <c r="W9" s="65">
        <f t="shared" si="10"/>
        <v>319516</v>
      </c>
      <c r="X9" s="65">
        <f t="shared" si="10"/>
        <v>319516</v>
      </c>
      <c r="Y9" s="65">
        <f t="shared" si="10"/>
        <v>319516</v>
      </c>
      <c r="Z9" s="65">
        <f t="shared" si="10"/>
        <v>319516</v>
      </c>
      <c r="AA9" s="65">
        <f t="shared" si="10"/>
        <v>319516</v>
      </c>
      <c r="AB9" s="65">
        <f t="shared" si="10"/>
        <v>319516</v>
      </c>
      <c r="AC9" s="65">
        <f t="shared" si="3"/>
        <v>3834192</v>
      </c>
      <c r="AD9" s="65">
        <f>SUM(AD10:AD12)</f>
        <v>367443.4</v>
      </c>
      <c r="AE9" s="65">
        <f t="shared" ref="AE9:AO9" si="11">SUM(AE10:AE12)</f>
        <v>367443.4</v>
      </c>
      <c r="AF9" s="65">
        <f t="shared" si="11"/>
        <v>367443.4</v>
      </c>
      <c r="AG9" s="65">
        <f t="shared" si="11"/>
        <v>367443.4</v>
      </c>
      <c r="AH9" s="65">
        <f t="shared" si="11"/>
        <v>367443.4</v>
      </c>
      <c r="AI9" s="65">
        <f t="shared" si="11"/>
        <v>367443.4</v>
      </c>
      <c r="AJ9" s="65">
        <f t="shared" si="11"/>
        <v>367443.4</v>
      </c>
      <c r="AK9" s="65">
        <f t="shared" si="11"/>
        <v>367443.4</v>
      </c>
      <c r="AL9" s="65">
        <f t="shared" si="11"/>
        <v>367443.4</v>
      </c>
      <c r="AM9" s="65">
        <f t="shared" si="11"/>
        <v>367443.4</v>
      </c>
      <c r="AN9" s="65">
        <f t="shared" si="11"/>
        <v>367443.4</v>
      </c>
      <c r="AO9" s="65">
        <f t="shared" si="11"/>
        <v>367443.4</v>
      </c>
      <c r="AP9" s="66">
        <f t="shared" si="4"/>
        <v>4409320.8</v>
      </c>
      <c r="AQ9" s="58">
        <f t="shared" si="5"/>
        <v>10127992.800000001</v>
      </c>
    </row>
    <row r="10" spans="1:43" s="59" customFormat="1" outlineLevel="1">
      <c r="A10" s="50" t="s">
        <v>26</v>
      </c>
      <c r="B10" s="51" t="s">
        <v>27</v>
      </c>
      <c r="C10" s="67"/>
      <c r="D10" s="68">
        <f>D7*22%</f>
        <v>114400</v>
      </c>
      <c r="E10" s="68">
        <f t="shared" ref="E10:O10" si="12">E7*22%</f>
        <v>114400</v>
      </c>
      <c r="F10" s="68">
        <f t="shared" si="12"/>
        <v>114400</v>
      </c>
      <c r="G10" s="68">
        <f t="shared" si="12"/>
        <v>114400</v>
      </c>
      <c r="H10" s="68">
        <f t="shared" si="12"/>
        <v>114400</v>
      </c>
      <c r="I10" s="68">
        <f t="shared" si="12"/>
        <v>114400</v>
      </c>
      <c r="J10" s="68">
        <f t="shared" si="12"/>
        <v>114400</v>
      </c>
      <c r="K10" s="68">
        <f t="shared" si="12"/>
        <v>114400</v>
      </c>
      <c r="L10" s="68">
        <f t="shared" si="12"/>
        <v>114400</v>
      </c>
      <c r="M10" s="68">
        <f t="shared" si="12"/>
        <v>114400</v>
      </c>
      <c r="N10" s="68">
        <f t="shared" si="12"/>
        <v>114400</v>
      </c>
      <c r="O10" s="68">
        <f t="shared" si="12"/>
        <v>114400</v>
      </c>
      <c r="P10" s="54">
        <f t="shared" si="2"/>
        <v>1372800</v>
      </c>
      <c r="Q10" s="55">
        <f>Q7*22%</f>
        <v>232760</v>
      </c>
      <c r="R10" s="55">
        <f t="shared" ref="R10:AB10" si="13">R7*22%</f>
        <v>232760</v>
      </c>
      <c r="S10" s="55">
        <f t="shared" si="13"/>
        <v>232760</v>
      </c>
      <c r="T10" s="55">
        <f t="shared" si="13"/>
        <v>232760</v>
      </c>
      <c r="U10" s="55">
        <f t="shared" si="13"/>
        <v>232760</v>
      </c>
      <c r="V10" s="55">
        <f t="shared" si="13"/>
        <v>232760</v>
      </c>
      <c r="W10" s="55">
        <f t="shared" si="13"/>
        <v>232760</v>
      </c>
      <c r="X10" s="55">
        <f t="shared" si="13"/>
        <v>232760</v>
      </c>
      <c r="Y10" s="55">
        <f t="shared" si="13"/>
        <v>232760</v>
      </c>
      <c r="Z10" s="55">
        <f t="shared" si="13"/>
        <v>232760</v>
      </c>
      <c r="AA10" s="55">
        <f t="shared" si="13"/>
        <v>232760</v>
      </c>
      <c r="AB10" s="55">
        <f t="shared" si="13"/>
        <v>232760</v>
      </c>
      <c r="AC10" s="56">
        <f t="shared" si="3"/>
        <v>2793120</v>
      </c>
      <c r="AD10" s="55">
        <f>AD7*22%</f>
        <v>267674</v>
      </c>
      <c r="AE10" s="55">
        <f t="shared" ref="AE10:AO10" si="14">AE7*22%</f>
        <v>267674</v>
      </c>
      <c r="AF10" s="55">
        <f t="shared" si="14"/>
        <v>267674</v>
      </c>
      <c r="AG10" s="55">
        <f t="shared" si="14"/>
        <v>267674</v>
      </c>
      <c r="AH10" s="55">
        <f t="shared" si="14"/>
        <v>267674</v>
      </c>
      <c r="AI10" s="55">
        <f t="shared" si="14"/>
        <v>267674</v>
      </c>
      <c r="AJ10" s="55">
        <f t="shared" si="14"/>
        <v>267674</v>
      </c>
      <c r="AK10" s="55">
        <f t="shared" si="14"/>
        <v>267674</v>
      </c>
      <c r="AL10" s="55">
        <f t="shared" si="14"/>
        <v>267674</v>
      </c>
      <c r="AM10" s="55">
        <f t="shared" si="14"/>
        <v>267674</v>
      </c>
      <c r="AN10" s="55">
        <f t="shared" si="14"/>
        <v>267674</v>
      </c>
      <c r="AO10" s="55">
        <f t="shared" si="14"/>
        <v>267674</v>
      </c>
      <c r="AP10" s="57">
        <f t="shared" si="4"/>
        <v>3212088</v>
      </c>
      <c r="AQ10" s="58">
        <f t="shared" si="5"/>
        <v>7378008</v>
      </c>
    </row>
    <row r="11" spans="1:43" s="59" customFormat="1" outlineLevel="1">
      <c r="A11" s="50" t="s">
        <v>28</v>
      </c>
      <c r="B11" s="51" t="s">
        <v>29</v>
      </c>
      <c r="C11" s="67"/>
      <c r="D11" s="68">
        <f>D7*5.1%</f>
        <v>26520</v>
      </c>
      <c r="E11" s="68">
        <f t="shared" ref="E11:O11" si="15">E7*5.1%</f>
        <v>26520</v>
      </c>
      <c r="F11" s="68">
        <f t="shared" si="15"/>
        <v>26520</v>
      </c>
      <c r="G11" s="68">
        <f t="shared" si="15"/>
        <v>26520</v>
      </c>
      <c r="H11" s="68">
        <f t="shared" si="15"/>
        <v>26520</v>
      </c>
      <c r="I11" s="68">
        <f t="shared" si="15"/>
        <v>26520</v>
      </c>
      <c r="J11" s="68">
        <f t="shared" si="15"/>
        <v>26520</v>
      </c>
      <c r="K11" s="68">
        <f t="shared" si="15"/>
        <v>26520</v>
      </c>
      <c r="L11" s="68">
        <f t="shared" si="15"/>
        <v>26520</v>
      </c>
      <c r="M11" s="68">
        <f t="shared" si="15"/>
        <v>26520</v>
      </c>
      <c r="N11" s="68">
        <f t="shared" si="15"/>
        <v>26520</v>
      </c>
      <c r="O11" s="68">
        <f t="shared" si="15"/>
        <v>26520</v>
      </c>
      <c r="P11" s="54">
        <f t="shared" si="2"/>
        <v>318240</v>
      </c>
      <c r="Q11" s="55">
        <f>Q7*5.1%</f>
        <v>53958</v>
      </c>
      <c r="R11" s="55">
        <f t="shared" ref="R11:AB11" si="16">R7*5.1%</f>
        <v>53958</v>
      </c>
      <c r="S11" s="55">
        <f t="shared" si="16"/>
        <v>53958</v>
      </c>
      <c r="T11" s="55">
        <f t="shared" si="16"/>
        <v>53958</v>
      </c>
      <c r="U11" s="55">
        <f t="shared" si="16"/>
        <v>53958</v>
      </c>
      <c r="V11" s="55">
        <f t="shared" si="16"/>
        <v>53958</v>
      </c>
      <c r="W11" s="55">
        <f t="shared" si="16"/>
        <v>53958</v>
      </c>
      <c r="X11" s="55">
        <f t="shared" si="16"/>
        <v>53958</v>
      </c>
      <c r="Y11" s="55">
        <f t="shared" si="16"/>
        <v>53958</v>
      </c>
      <c r="Z11" s="55">
        <f t="shared" si="16"/>
        <v>53958</v>
      </c>
      <c r="AA11" s="55">
        <f t="shared" si="16"/>
        <v>53958</v>
      </c>
      <c r="AB11" s="55">
        <f t="shared" si="16"/>
        <v>53958</v>
      </c>
      <c r="AC11" s="56">
        <f t="shared" si="3"/>
        <v>647496</v>
      </c>
      <c r="AD11" s="55">
        <f>AD7*5.1%</f>
        <v>62051.7</v>
      </c>
      <c r="AE11" s="55">
        <f t="shared" ref="AE11:AO11" si="17">AE7*5.1%</f>
        <v>62051.7</v>
      </c>
      <c r="AF11" s="55">
        <f t="shared" si="17"/>
        <v>62051.7</v>
      </c>
      <c r="AG11" s="55">
        <f t="shared" si="17"/>
        <v>62051.7</v>
      </c>
      <c r="AH11" s="55">
        <f t="shared" si="17"/>
        <v>62051.7</v>
      </c>
      <c r="AI11" s="55">
        <f t="shared" si="17"/>
        <v>62051.7</v>
      </c>
      <c r="AJ11" s="55">
        <f t="shared" si="17"/>
        <v>62051.7</v>
      </c>
      <c r="AK11" s="55">
        <f t="shared" si="17"/>
        <v>62051.7</v>
      </c>
      <c r="AL11" s="55">
        <f t="shared" si="17"/>
        <v>62051.7</v>
      </c>
      <c r="AM11" s="55">
        <f t="shared" si="17"/>
        <v>62051.7</v>
      </c>
      <c r="AN11" s="55">
        <f t="shared" si="17"/>
        <v>62051.7</v>
      </c>
      <c r="AO11" s="55">
        <f t="shared" si="17"/>
        <v>62051.7</v>
      </c>
      <c r="AP11" s="57">
        <f t="shared" si="4"/>
        <v>744620.39999999991</v>
      </c>
      <c r="AQ11" s="58">
        <f t="shared" si="5"/>
        <v>1710356.4</v>
      </c>
    </row>
    <row r="12" spans="1:43" s="59" customFormat="1" outlineLevel="1">
      <c r="A12" s="50" t="s">
        <v>30</v>
      </c>
      <c r="B12" s="51" t="s">
        <v>31</v>
      </c>
      <c r="C12" s="67"/>
      <c r="D12" s="68">
        <f>D7*3.1%</f>
        <v>16120</v>
      </c>
      <c r="E12" s="68">
        <f t="shared" ref="E12:O12" si="18">E7*3.1%</f>
        <v>16120</v>
      </c>
      <c r="F12" s="68">
        <f t="shared" si="18"/>
        <v>16120</v>
      </c>
      <c r="G12" s="68">
        <f t="shared" si="18"/>
        <v>16120</v>
      </c>
      <c r="H12" s="68">
        <f t="shared" si="18"/>
        <v>16120</v>
      </c>
      <c r="I12" s="68">
        <f t="shared" si="18"/>
        <v>16120</v>
      </c>
      <c r="J12" s="68">
        <f t="shared" si="18"/>
        <v>16120</v>
      </c>
      <c r="K12" s="68">
        <f t="shared" si="18"/>
        <v>16120</v>
      </c>
      <c r="L12" s="68">
        <f t="shared" si="18"/>
        <v>16120</v>
      </c>
      <c r="M12" s="68">
        <f t="shared" si="18"/>
        <v>16120</v>
      </c>
      <c r="N12" s="68">
        <f t="shared" si="18"/>
        <v>16120</v>
      </c>
      <c r="O12" s="68">
        <f t="shared" si="18"/>
        <v>16120</v>
      </c>
      <c r="P12" s="54">
        <f t="shared" si="2"/>
        <v>193440</v>
      </c>
      <c r="Q12" s="55">
        <f>Q7*3.1%</f>
        <v>32798</v>
      </c>
      <c r="R12" s="55">
        <f t="shared" ref="R12:AB12" si="19">R7*3.1%</f>
        <v>32798</v>
      </c>
      <c r="S12" s="55">
        <f t="shared" si="19"/>
        <v>32798</v>
      </c>
      <c r="T12" s="55">
        <f t="shared" si="19"/>
        <v>32798</v>
      </c>
      <c r="U12" s="55">
        <f t="shared" si="19"/>
        <v>32798</v>
      </c>
      <c r="V12" s="55">
        <f t="shared" si="19"/>
        <v>32798</v>
      </c>
      <c r="W12" s="55">
        <f t="shared" si="19"/>
        <v>32798</v>
      </c>
      <c r="X12" s="55">
        <f t="shared" si="19"/>
        <v>32798</v>
      </c>
      <c r="Y12" s="55">
        <f t="shared" si="19"/>
        <v>32798</v>
      </c>
      <c r="Z12" s="55">
        <f t="shared" si="19"/>
        <v>32798</v>
      </c>
      <c r="AA12" s="55">
        <f t="shared" si="19"/>
        <v>32798</v>
      </c>
      <c r="AB12" s="55">
        <f t="shared" si="19"/>
        <v>32798</v>
      </c>
      <c r="AC12" s="56">
        <f t="shared" si="3"/>
        <v>393576</v>
      </c>
      <c r="AD12" s="55">
        <f>AD7*3.1%</f>
        <v>37717.699999999997</v>
      </c>
      <c r="AE12" s="55">
        <f t="shared" ref="AE12:AO12" si="20">AE7*3.1%</f>
        <v>37717.699999999997</v>
      </c>
      <c r="AF12" s="55">
        <f t="shared" si="20"/>
        <v>37717.699999999997</v>
      </c>
      <c r="AG12" s="55">
        <f t="shared" si="20"/>
        <v>37717.699999999997</v>
      </c>
      <c r="AH12" s="55">
        <f t="shared" si="20"/>
        <v>37717.699999999997</v>
      </c>
      <c r="AI12" s="55">
        <f t="shared" si="20"/>
        <v>37717.699999999997</v>
      </c>
      <c r="AJ12" s="55">
        <f t="shared" si="20"/>
        <v>37717.699999999997</v>
      </c>
      <c r="AK12" s="55">
        <f t="shared" si="20"/>
        <v>37717.699999999997</v>
      </c>
      <c r="AL12" s="55">
        <f t="shared" si="20"/>
        <v>37717.699999999997</v>
      </c>
      <c r="AM12" s="55">
        <f t="shared" si="20"/>
        <v>37717.699999999997</v>
      </c>
      <c r="AN12" s="55">
        <f t="shared" si="20"/>
        <v>37717.699999999997</v>
      </c>
      <c r="AO12" s="55">
        <f t="shared" si="20"/>
        <v>37717.699999999997</v>
      </c>
      <c r="AP12" s="57">
        <f t="shared" si="4"/>
        <v>452612.40000000008</v>
      </c>
      <c r="AQ12" s="58">
        <f t="shared" si="5"/>
        <v>1039628.4000000001</v>
      </c>
    </row>
    <row r="13" spans="1:43" s="25" customFormat="1" ht="10.5">
      <c r="A13" s="36">
        <v>4</v>
      </c>
      <c r="B13" s="37" t="s">
        <v>32</v>
      </c>
      <c r="C13" s="38"/>
      <c r="D13" s="45">
        <f>'Сдельная оплата труда'!C266</f>
        <v>300</v>
      </c>
      <c r="E13" s="45">
        <f>'Сдельная оплата труда'!D266</f>
        <v>200</v>
      </c>
      <c r="F13" s="45">
        <f>'Сдельная оплата труда'!E266</f>
        <v>500</v>
      </c>
      <c r="G13" s="45">
        <f>'Сдельная оплата труда'!F266</f>
        <v>600</v>
      </c>
      <c r="H13" s="45">
        <f>'Сдельная оплата труда'!G266</f>
        <v>800</v>
      </c>
      <c r="I13" s="45">
        <f>'Сдельная оплата труда'!H266</f>
        <v>1100</v>
      </c>
      <c r="J13" s="45">
        <f>'Сдельная оплата труда'!I266</f>
        <v>1300</v>
      </c>
      <c r="K13" s="45">
        <f>'Сдельная оплата труда'!J266</f>
        <v>1400</v>
      </c>
      <c r="L13" s="45">
        <f>'Сдельная оплата труда'!K266</f>
        <v>1800</v>
      </c>
      <c r="M13" s="45">
        <f>'Сдельная оплата труда'!L266</f>
        <v>2000</v>
      </c>
      <c r="N13" s="45">
        <f>'Сдельная оплата труда'!M266</f>
        <v>2200</v>
      </c>
      <c r="O13" s="45">
        <f>'Сдельная оплата труда'!N266</f>
        <v>2400</v>
      </c>
      <c r="P13" s="46">
        <f>SUM(D13:O13)</f>
        <v>14600</v>
      </c>
      <c r="Q13" s="47">
        <f>'Сдельная оплата труда'!P266</f>
        <v>4050</v>
      </c>
      <c r="R13" s="47">
        <f>'Сдельная оплата труда'!Q266</f>
        <v>4650</v>
      </c>
      <c r="S13" s="47">
        <f>'Сдельная оплата труда'!R266</f>
        <v>5250</v>
      </c>
      <c r="T13" s="47">
        <f>'Сдельная оплата труда'!S266</f>
        <v>6049.9999999999945</v>
      </c>
      <c r="U13" s="47">
        <f>'Сдельная оплата труда'!T266</f>
        <v>6574.9999999999945</v>
      </c>
      <c r="V13" s="47">
        <f>'Сдельная оплата труда'!U266</f>
        <v>7249.9999999999945</v>
      </c>
      <c r="W13" s="47">
        <f>'Сдельная оплата труда'!V266</f>
        <v>7774.9999999999945</v>
      </c>
      <c r="X13" s="47">
        <f>'Сдельная оплата труда'!W266</f>
        <v>8599.9999999999945</v>
      </c>
      <c r="Y13" s="47">
        <f>'Сдельная оплата труда'!X266</f>
        <v>9124.9999999999945</v>
      </c>
      <c r="Z13" s="47">
        <f>'Сдельная оплата труда'!Y266</f>
        <v>9799.9999999999964</v>
      </c>
      <c r="AA13" s="47">
        <f>'Сдельная оплата труда'!Z266</f>
        <v>10324.999999999996</v>
      </c>
      <c r="AB13" s="47">
        <f>'Сдельная оплата труда'!AA266</f>
        <v>11149.999999999996</v>
      </c>
      <c r="AC13" s="47">
        <f t="shared" si="3"/>
        <v>90599.999999999956</v>
      </c>
      <c r="AD13" s="47">
        <f>'Сдельная оплата труда'!AC266</f>
        <v>1200</v>
      </c>
      <c r="AE13" s="47">
        <f>'Сдельная оплата труда'!AD266</f>
        <v>1200</v>
      </c>
      <c r="AF13" s="47">
        <f>'Сдельная оплата труда'!AE266</f>
        <v>1200</v>
      </c>
      <c r="AG13" s="47">
        <f>'Сдельная оплата труда'!AF266</f>
        <v>1200</v>
      </c>
      <c r="AH13" s="47">
        <f>'Сдельная оплата труда'!AG266</f>
        <v>1200</v>
      </c>
      <c r="AI13" s="47">
        <f>'Сдельная оплата труда'!AH266</f>
        <v>1200</v>
      </c>
      <c r="AJ13" s="47">
        <f>'Сдельная оплата труда'!AI266</f>
        <v>1400</v>
      </c>
      <c r="AK13" s="47">
        <f>'Сдельная оплата труда'!AJ266</f>
        <v>1400</v>
      </c>
      <c r="AL13" s="47">
        <f>'Сдельная оплата труда'!AK266</f>
        <v>1400</v>
      </c>
      <c r="AM13" s="47">
        <f>'Сдельная оплата труда'!AL266</f>
        <v>1400</v>
      </c>
      <c r="AN13" s="47">
        <f>'Сдельная оплата труда'!AM266</f>
        <v>1400</v>
      </c>
      <c r="AO13" s="47">
        <f>'Сдельная оплата труда'!AN266</f>
        <v>1400</v>
      </c>
      <c r="AP13" s="48">
        <f t="shared" si="4"/>
        <v>15600</v>
      </c>
      <c r="AQ13" s="44">
        <f t="shared" si="5"/>
        <v>120799.99999999996</v>
      </c>
    </row>
    <row r="14" spans="1:43" s="59" customFormat="1">
      <c r="A14" s="50" t="s">
        <v>33</v>
      </c>
      <c r="B14" s="51" t="s">
        <v>34</v>
      </c>
      <c r="C14" s="52"/>
      <c r="D14" s="53">
        <f t="shared" ref="D14:I14" si="21">D13*13%</f>
        <v>39</v>
      </c>
      <c r="E14" s="53">
        <f t="shared" si="21"/>
        <v>26</v>
      </c>
      <c r="F14" s="53">
        <f t="shared" si="21"/>
        <v>65</v>
      </c>
      <c r="G14" s="53">
        <f t="shared" si="21"/>
        <v>78</v>
      </c>
      <c r="H14" s="53">
        <f t="shared" si="21"/>
        <v>104</v>
      </c>
      <c r="I14" s="53">
        <f t="shared" si="21"/>
        <v>143</v>
      </c>
      <c r="J14" s="53">
        <f t="shared" ref="J14:O14" si="22">J13*13%</f>
        <v>169</v>
      </c>
      <c r="K14" s="53">
        <f t="shared" si="22"/>
        <v>182</v>
      </c>
      <c r="L14" s="53">
        <f t="shared" si="22"/>
        <v>234</v>
      </c>
      <c r="M14" s="53">
        <f t="shared" si="22"/>
        <v>260</v>
      </c>
      <c r="N14" s="53">
        <f t="shared" si="22"/>
        <v>286</v>
      </c>
      <c r="O14" s="53">
        <f t="shared" si="22"/>
        <v>312</v>
      </c>
      <c r="P14" s="54">
        <f t="shared" si="2"/>
        <v>1898</v>
      </c>
      <c r="Q14" s="69">
        <f>Q13*13%</f>
        <v>526.5</v>
      </c>
      <c r="R14" s="69">
        <f t="shared" ref="R14:AB14" si="23">R13*13%</f>
        <v>604.5</v>
      </c>
      <c r="S14" s="69">
        <f t="shared" si="23"/>
        <v>682.5</v>
      </c>
      <c r="T14" s="69">
        <f t="shared" si="23"/>
        <v>786.49999999999932</v>
      </c>
      <c r="U14" s="69">
        <f t="shared" si="23"/>
        <v>854.74999999999932</v>
      </c>
      <c r="V14" s="69">
        <f t="shared" si="23"/>
        <v>942.49999999999932</v>
      </c>
      <c r="W14" s="69">
        <f t="shared" si="23"/>
        <v>1010.7499999999993</v>
      </c>
      <c r="X14" s="69">
        <f t="shared" si="23"/>
        <v>1117.9999999999993</v>
      </c>
      <c r="Y14" s="69">
        <f t="shared" si="23"/>
        <v>1186.2499999999993</v>
      </c>
      <c r="Z14" s="69">
        <f t="shared" si="23"/>
        <v>1273.9999999999995</v>
      </c>
      <c r="AA14" s="69">
        <f t="shared" si="23"/>
        <v>1342.2499999999995</v>
      </c>
      <c r="AB14" s="69">
        <f t="shared" si="23"/>
        <v>1449.4999999999995</v>
      </c>
      <c r="AC14" s="56">
        <f t="shared" si="3"/>
        <v>11777.999999999995</v>
      </c>
      <c r="AD14" s="69">
        <f>AD13*13%</f>
        <v>156</v>
      </c>
      <c r="AE14" s="69">
        <f t="shared" ref="AE14:AO14" si="24">AE13*13%</f>
        <v>156</v>
      </c>
      <c r="AF14" s="69">
        <f t="shared" si="24"/>
        <v>156</v>
      </c>
      <c r="AG14" s="69">
        <f t="shared" si="24"/>
        <v>156</v>
      </c>
      <c r="AH14" s="69">
        <f t="shared" si="24"/>
        <v>156</v>
      </c>
      <c r="AI14" s="69">
        <f t="shared" si="24"/>
        <v>156</v>
      </c>
      <c r="AJ14" s="69">
        <f t="shared" si="24"/>
        <v>182</v>
      </c>
      <c r="AK14" s="69">
        <f t="shared" si="24"/>
        <v>182</v>
      </c>
      <c r="AL14" s="69">
        <f t="shared" si="24"/>
        <v>182</v>
      </c>
      <c r="AM14" s="69">
        <f t="shared" si="24"/>
        <v>182</v>
      </c>
      <c r="AN14" s="69">
        <f t="shared" si="24"/>
        <v>182</v>
      </c>
      <c r="AO14" s="69">
        <f t="shared" si="24"/>
        <v>182</v>
      </c>
      <c r="AP14" s="57">
        <f t="shared" si="4"/>
        <v>2028</v>
      </c>
      <c r="AQ14" s="58">
        <f t="shared" si="5"/>
        <v>15703.999999999995</v>
      </c>
    </row>
    <row r="15" spans="1:43" s="49" customFormat="1" ht="10.5">
      <c r="A15" s="60">
        <v>5</v>
      </c>
      <c r="B15" s="61" t="s">
        <v>35</v>
      </c>
      <c r="C15" s="62"/>
      <c r="D15" s="63">
        <f>SUM(D16:D18)</f>
        <v>90.6</v>
      </c>
      <c r="E15" s="63">
        <f t="shared" ref="E15:O15" si="25">SUM(E16:E18)</f>
        <v>60.400000000000006</v>
      </c>
      <c r="F15" s="63">
        <f t="shared" si="25"/>
        <v>151</v>
      </c>
      <c r="G15" s="63">
        <f t="shared" si="25"/>
        <v>181.2</v>
      </c>
      <c r="H15" s="63">
        <f t="shared" si="25"/>
        <v>241.60000000000002</v>
      </c>
      <c r="I15" s="63">
        <f t="shared" si="25"/>
        <v>332.20000000000005</v>
      </c>
      <c r="J15" s="63">
        <f t="shared" si="25"/>
        <v>392.6</v>
      </c>
      <c r="K15" s="63">
        <f t="shared" si="25"/>
        <v>422.79999999999995</v>
      </c>
      <c r="L15" s="63">
        <f t="shared" si="25"/>
        <v>543.6</v>
      </c>
      <c r="M15" s="63">
        <f t="shared" si="25"/>
        <v>604</v>
      </c>
      <c r="N15" s="63">
        <f t="shared" si="25"/>
        <v>664.40000000000009</v>
      </c>
      <c r="O15" s="63">
        <f t="shared" si="25"/>
        <v>724.8</v>
      </c>
      <c r="P15" s="64">
        <f t="shared" si="2"/>
        <v>4409.2</v>
      </c>
      <c r="Q15" s="65">
        <f>SUM(Q16:Q18)</f>
        <v>1223.0999999999999</v>
      </c>
      <c r="R15" s="65">
        <f t="shared" ref="R15:AB15" si="26">SUM(R16:R18)</f>
        <v>1404.3000000000002</v>
      </c>
      <c r="S15" s="65">
        <f t="shared" si="26"/>
        <v>1585.5</v>
      </c>
      <c r="T15" s="65">
        <f t="shared" si="26"/>
        <v>1827.0999999999985</v>
      </c>
      <c r="U15" s="65">
        <f t="shared" si="26"/>
        <v>1985.6499999999983</v>
      </c>
      <c r="V15" s="65">
        <f t="shared" si="26"/>
        <v>2189.4999999999986</v>
      </c>
      <c r="W15" s="65">
        <f t="shared" si="26"/>
        <v>2348.0499999999984</v>
      </c>
      <c r="X15" s="65">
        <f t="shared" si="26"/>
        <v>2597.1999999999985</v>
      </c>
      <c r="Y15" s="65">
        <f t="shared" si="26"/>
        <v>2755.7499999999986</v>
      </c>
      <c r="Z15" s="65">
        <f t="shared" si="26"/>
        <v>2959.5999999999985</v>
      </c>
      <c r="AA15" s="65">
        <f t="shared" si="26"/>
        <v>3118.1499999999987</v>
      </c>
      <c r="AB15" s="65">
        <f t="shared" si="26"/>
        <v>3367.2999999999984</v>
      </c>
      <c r="AC15" s="65">
        <f t="shared" si="3"/>
        <v>27361.199999999986</v>
      </c>
      <c r="AD15" s="65">
        <f>SUM(AD16:AD18)</f>
        <v>362.4</v>
      </c>
      <c r="AE15" s="65">
        <f t="shared" ref="AE15:AO15" si="27">SUM(AE16:AE18)</f>
        <v>362.4</v>
      </c>
      <c r="AF15" s="65">
        <f t="shared" si="27"/>
        <v>362.4</v>
      </c>
      <c r="AG15" s="65">
        <f t="shared" si="27"/>
        <v>362.4</v>
      </c>
      <c r="AH15" s="65">
        <f t="shared" si="27"/>
        <v>362.4</v>
      </c>
      <c r="AI15" s="65">
        <f t="shared" si="27"/>
        <v>362.4</v>
      </c>
      <c r="AJ15" s="65">
        <f t="shared" si="27"/>
        <v>422.79999999999995</v>
      </c>
      <c r="AK15" s="65">
        <f t="shared" si="27"/>
        <v>422.79999999999995</v>
      </c>
      <c r="AL15" s="65">
        <f t="shared" si="27"/>
        <v>422.79999999999995</v>
      </c>
      <c r="AM15" s="65">
        <f t="shared" si="27"/>
        <v>422.79999999999995</v>
      </c>
      <c r="AN15" s="65">
        <f t="shared" si="27"/>
        <v>422.79999999999995</v>
      </c>
      <c r="AO15" s="65">
        <f t="shared" si="27"/>
        <v>422.79999999999995</v>
      </c>
      <c r="AP15" s="66">
        <f t="shared" si="4"/>
        <v>4711.2000000000007</v>
      </c>
      <c r="AQ15" s="58">
        <f t="shared" si="5"/>
        <v>36481.599999999991</v>
      </c>
    </row>
    <row r="16" spans="1:43" s="59" customFormat="1" outlineLevel="1">
      <c r="A16" s="50" t="s">
        <v>36</v>
      </c>
      <c r="B16" s="51" t="s">
        <v>37</v>
      </c>
      <c r="C16" s="67"/>
      <c r="D16" s="68">
        <f>D13*22%</f>
        <v>66</v>
      </c>
      <c r="E16" s="68">
        <f t="shared" ref="E16:O16" si="28">E13*22%</f>
        <v>44</v>
      </c>
      <c r="F16" s="68">
        <f t="shared" si="28"/>
        <v>110</v>
      </c>
      <c r="G16" s="68">
        <f t="shared" si="28"/>
        <v>132</v>
      </c>
      <c r="H16" s="68">
        <f t="shared" si="28"/>
        <v>176</v>
      </c>
      <c r="I16" s="68">
        <f t="shared" si="28"/>
        <v>242</v>
      </c>
      <c r="J16" s="68">
        <f t="shared" si="28"/>
        <v>286</v>
      </c>
      <c r="K16" s="68">
        <f t="shared" si="28"/>
        <v>308</v>
      </c>
      <c r="L16" s="68">
        <f t="shared" si="28"/>
        <v>396</v>
      </c>
      <c r="M16" s="68">
        <f t="shared" si="28"/>
        <v>440</v>
      </c>
      <c r="N16" s="68">
        <f t="shared" si="28"/>
        <v>484</v>
      </c>
      <c r="O16" s="68">
        <f t="shared" si="28"/>
        <v>528</v>
      </c>
      <c r="P16" s="54">
        <f t="shared" si="2"/>
        <v>3212</v>
      </c>
      <c r="Q16" s="55">
        <f>Q13*22%</f>
        <v>891</v>
      </c>
      <c r="R16" s="55">
        <f t="shared" ref="R16:AB16" si="29">R13*22%</f>
        <v>1023</v>
      </c>
      <c r="S16" s="55">
        <f t="shared" si="29"/>
        <v>1155</v>
      </c>
      <c r="T16" s="55">
        <f t="shared" si="29"/>
        <v>1330.9999999999989</v>
      </c>
      <c r="U16" s="55">
        <f t="shared" si="29"/>
        <v>1446.4999999999989</v>
      </c>
      <c r="V16" s="55">
        <f t="shared" si="29"/>
        <v>1594.9999999999989</v>
      </c>
      <c r="W16" s="55">
        <f t="shared" si="29"/>
        <v>1710.4999999999989</v>
      </c>
      <c r="X16" s="55">
        <f t="shared" si="29"/>
        <v>1891.9999999999989</v>
      </c>
      <c r="Y16" s="55">
        <f t="shared" si="29"/>
        <v>2007.4999999999989</v>
      </c>
      <c r="Z16" s="55">
        <f t="shared" si="29"/>
        <v>2155.9999999999991</v>
      </c>
      <c r="AA16" s="55">
        <f t="shared" si="29"/>
        <v>2271.4999999999991</v>
      </c>
      <c r="AB16" s="55">
        <f t="shared" si="29"/>
        <v>2452.9999999999991</v>
      </c>
      <c r="AC16" s="56">
        <f t="shared" si="3"/>
        <v>19931.999999999993</v>
      </c>
      <c r="AD16" s="69">
        <f>AD13*22%</f>
        <v>264</v>
      </c>
      <c r="AE16" s="69">
        <f t="shared" ref="AE16:AO16" si="30">AE13*22%</f>
        <v>264</v>
      </c>
      <c r="AF16" s="69">
        <f t="shared" si="30"/>
        <v>264</v>
      </c>
      <c r="AG16" s="69">
        <f t="shared" si="30"/>
        <v>264</v>
      </c>
      <c r="AH16" s="69">
        <f t="shared" si="30"/>
        <v>264</v>
      </c>
      <c r="AI16" s="69">
        <f t="shared" si="30"/>
        <v>264</v>
      </c>
      <c r="AJ16" s="69">
        <f t="shared" si="30"/>
        <v>308</v>
      </c>
      <c r="AK16" s="69">
        <f t="shared" si="30"/>
        <v>308</v>
      </c>
      <c r="AL16" s="69">
        <f t="shared" si="30"/>
        <v>308</v>
      </c>
      <c r="AM16" s="69">
        <f t="shared" si="30"/>
        <v>308</v>
      </c>
      <c r="AN16" s="69">
        <f t="shared" si="30"/>
        <v>308</v>
      </c>
      <c r="AO16" s="69">
        <f t="shared" si="30"/>
        <v>308</v>
      </c>
      <c r="AP16" s="57">
        <f t="shared" si="4"/>
        <v>3432</v>
      </c>
      <c r="AQ16" s="58">
        <f t="shared" si="5"/>
        <v>26575.999999999993</v>
      </c>
    </row>
    <row r="17" spans="1:43" s="59" customFormat="1" outlineLevel="1">
      <c r="A17" s="50" t="s">
        <v>38</v>
      </c>
      <c r="B17" s="51" t="s">
        <v>39</v>
      </c>
      <c r="C17" s="67"/>
      <c r="D17" s="68">
        <f>D13*5.1%</f>
        <v>15.299999999999999</v>
      </c>
      <c r="E17" s="68">
        <f t="shared" ref="E17:O17" si="31">E13*5.1%</f>
        <v>10.199999999999999</v>
      </c>
      <c r="F17" s="68">
        <f t="shared" si="31"/>
        <v>25.5</v>
      </c>
      <c r="G17" s="68">
        <f t="shared" si="31"/>
        <v>30.599999999999998</v>
      </c>
      <c r="H17" s="68">
        <f t="shared" si="31"/>
        <v>40.799999999999997</v>
      </c>
      <c r="I17" s="68">
        <f t="shared" si="31"/>
        <v>56.099999999999994</v>
      </c>
      <c r="J17" s="68">
        <f t="shared" si="31"/>
        <v>66.3</v>
      </c>
      <c r="K17" s="68">
        <f t="shared" si="31"/>
        <v>71.399999999999991</v>
      </c>
      <c r="L17" s="68">
        <f t="shared" si="31"/>
        <v>91.8</v>
      </c>
      <c r="M17" s="68">
        <f t="shared" si="31"/>
        <v>102</v>
      </c>
      <c r="N17" s="68">
        <f t="shared" si="31"/>
        <v>112.19999999999999</v>
      </c>
      <c r="O17" s="68">
        <f t="shared" si="31"/>
        <v>122.39999999999999</v>
      </c>
      <c r="P17" s="54">
        <f t="shared" si="2"/>
        <v>744.6</v>
      </c>
      <c r="Q17" s="55">
        <f>Q13*5.1%</f>
        <v>206.54999999999998</v>
      </c>
      <c r="R17" s="55">
        <f t="shared" ref="R17:AB17" si="32">R13*5.1%</f>
        <v>237.14999999999998</v>
      </c>
      <c r="S17" s="55">
        <f t="shared" si="32"/>
        <v>267.75</v>
      </c>
      <c r="T17" s="55">
        <f t="shared" si="32"/>
        <v>308.54999999999973</v>
      </c>
      <c r="U17" s="55">
        <f t="shared" si="32"/>
        <v>335.3249999999997</v>
      </c>
      <c r="V17" s="55">
        <f t="shared" si="32"/>
        <v>369.74999999999972</v>
      </c>
      <c r="W17" s="55">
        <f t="shared" si="32"/>
        <v>396.52499999999969</v>
      </c>
      <c r="X17" s="55">
        <f t="shared" si="32"/>
        <v>438.59999999999968</v>
      </c>
      <c r="Y17" s="55">
        <f t="shared" si="32"/>
        <v>465.37499999999972</v>
      </c>
      <c r="Z17" s="55">
        <f t="shared" si="32"/>
        <v>499.79999999999978</v>
      </c>
      <c r="AA17" s="55">
        <f t="shared" si="32"/>
        <v>526.57499999999982</v>
      </c>
      <c r="AB17" s="55">
        <f t="shared" si="32"/>
        <v>568.64999999999975</v>
      </c>
      <c r="AC17" s="56">
        <f t="shared" si="3"/>
        <v>4620.5999999999976</v>
      </c>
      <c r="AD17" s="69">
        <f>AD13*5.1%</f>
        <v>61.199999999999996</v>
      </c>
      <c r="AE17" s="69">
        <f t="shared" ref="AE17:AO17" si="33">AE13*5.1%</f>
        <v>61.199999999999996</v>
      </c>
      <c r="AF17" s="69">
        <f t="shared" si="33"/>
        <v>61.199999999999996</v>
      </c>
      <c r="AG17" s="69">
        <f t="shared" si="33"/>
        <v>61.199999999999996</v>
      </c>
      <c r="AH17" s="69">
        <f t="shared" si="33"/>
        <v>61.199999999999996</v>
      </c>
      <c r="AI17" s="69">
        <f t="shared" si="33"/>
        <v>61.199999999999996</v>
      </c>
      <c r="AJ17" s="69">
        <f t="shared" si="33"/>
        <v>71.399999999999991</v>
      </c>
      <c r="AK17" s="69">
        <f t="shared" si="33"/>
        <v>71.399999999999991</v>
      </c>
      <c r="AL17" s="69">
        <f t="shared" si="33"/>
        <v>71.399999999999991</v>
      </c>
      <c r="AM17" s="69">
        <f t="shared" si="33"/>
        <v>71.399999999999991</v>
      </c>
      <c r="AN17" s="69">
        <f t="shared" si="33"/>
        <v>71.399999999999991</v>
      </c>
      <c r="AO17" s="69">
        <f t="shared" si="33"/>
        <v>71.399999999999991</v>
      </c>
      <c r="AP17" s="57">
        <f t="shared" si="4"/>
        <v>795.59999999999991</v>
      </c>
      <c r="AQ17" s="58">
        <f t="shared" si="5"/>
        <v>6160.7999999999975</v>
      </c>
    </row>
    <row r="18" spans="1:43" s="59" customFormat="1" outlineLevel="1">
      <c r="A18" s="50" t="s">
        <v>40</v>
      </c>
      <c r="B18" s="51" t="s">
        <v>41</v>
      </c>
      <c r="C18" s="67"/>
      <c r="D18" s="68">
        <f>D13*3.1%</f>
        <v>9.3000000000000007</v>
      </c>
      <c r="E18" s="68">
        <f t="shared" ref="E18:O18" si="34">E13*3.1%</f>
        <v>6.2</v>
      </c>
      <c r="F18" s="68">
        <f t="shared" si="34"/>
        <v>15.5</v>
      </c>
      <c r="G18" s="68">
        <f t="shared" si="34"/>
        <v>18.600000000000001</v>
      </c>
      <c r="H18" s="68">
        <f t="shared" si="34"/>
        <v>24.8</v>
      </c>
      <c r="I18" s="68">
        <f t="shared" si="34"/>
        <v>34.1</v>
      </c>
      <c r="J18" s="68">
        <f t="shared" si="34"/>
        <v>40.299999999999997</v>
      </c>
      <c r="K18" s="68">
        <f t="shared" si="34"/>
        <v>43.4</v>
      </c>
      <c r="L18" s="68">
        <f t="shared" si="34"/>
        <v>55.8</v>
      </c>
      <c r="M18" s="68">
        <f t="shared" si="34"/>
        <v>62</v>
      </c>
      <c r="N18" s="68">
        <f t="shared" si="34"/>
        <v>68.2</v>
      </c>
      <c r="O18" s="68">
        <f t="shared" si="34"/>
        <v>74.400000000000006</v>
      </c>
      <c r="P18" s="54">
        <f t="shared" si="2"/>
        <v>452.6</v>
      </c>
      <c r="Q18" s="55">
        <f>Q13*3.1%</f>
        <v>125.55</v>
      </c>
      <c r="R18" s="55">
        <f t="shared" ref="R18:AB18" si="35">R13*3.1%</f>
        <v>144.15</v>
      </c>
      <c r="S18" s="55">
        <f t="shared" si="35"/>
        <v>162.75</v>
      </c>
      <c r="T18" s="55">
        <f t="shared" si="35"/>
        <v>187.54999999999984</v>
      </c>
      <c r="U18" s="55">
        <f t="shared" si="35"/>
        <v>203.82499999999982</v>
      </c>
      <c r="V18" s="55">
        <f t="shared" si="35"/>
        <v>224.74999999999983</v>
      </c>
      <c r="W18" s="55">
        <f t="shared" si="35"/>
        <v>241.02499999999984</v>
      </c>
      <c r="X18" s="55">
        <f t="shared" si="35"/>
        <v>266.59999999999985</v>
      </c>
      <c r="Y18" s="55">
        <f t="shared" si="35"/>
        <v>282.87499999999983</v>
      </c>
      <c r="Z18" s="55">
        <f t="shared" si="35"/>
        <v>303.7999999999999</v>
      </c>
      <c r="AA18" s="55">
        <f t="shared" si="35"/>
        <v>320.07499999999987</v>
      </c>
      <c r="AB18" s="55">
        <f t="shared" si="35"/>
        <v>345.64999999999986</v>
      </c>
      <c r="AC18" s="56">
        <f t="shared" si="3"/>
        <v>2808.5999999999985</v>
      </c>
      <c r="AD18" s="69">
        <f>AD13*3.1%</f>
        <v>37.200000000000003</v>
      </c>
      <c r="AE18" s="69">
        <f t="shared" ref="AE18:AO18" si="36">AE13*3.1%</f>
        <v>37.200000000000003</v>
      </c>
      <c r="AF18" s="69">
        <f t="shared" si="36"/>
        <v>37.200000000000003</v>
      </c>
      <c r="AG18" s="69">
        <f t="shared" si="36"/>
        <v>37.200000000000003</v>
      </c>
      <c r="AH18" s="69">
        <f t="shared" si="36"/>
        <v>37.200000000000003</v>
      </c>
      <c r="AI18" s="69">
        <f t="shared" si="36"/>
        <v>37.200000000000003</v>
      </c>
      <c r="AJ18" s="69">
        <f t="shared" si="36"/>
        <v>43.4</v>
      </c>
      <c r="AK18" s="69">
        <f t="shared" si="36"/>
        <v>43.4</v>
      </c>
      <c r="AL18" s="69">
        <f t="shared" si="36"/>
        <v>43.4</v>
      </c>
      <c r="AM18" s="69">
        <f t="shared" si="36"/>
        <v>43.4</v>
      </c>
      <c r="AN18" s="69">
        <f t="shared" si="36"/>
        <v>43.4</v>
      </c>
      <c r="AO18" s="69">
        <f t="shared" si="36"/>
        <v>43.4</v>
      </c>
      <c r="AP18" s="57">
        <f t="shared" si="4"/>
        <v>483.59999999999985</v>
      </c>
      <c r="AQ18" s="58">
        <f t="shared" si="5"/>
        <v>3744.7999999999984</v>
      </c>
    </row>
    <row r="19" spans="1:43" s="49" customFormat="1" ht="10.5" outlineLevel="1">
      <c r="A19" s="70" t="s">
        <v>42</v>
      </c>
      <c r="B19" s="71" t="s">
        <v>43</v>
      </c>
      <c r="C19" s="72"/>
      <c r="D19" s="73">
        <f>SUM(D20:D21)</f>
        <v>30709.833333333332</v>
      </c>
      <c r="E19" s="73">
        <f t="shared" ref="E19:O19" si="37">SUM(E20:E21)</f>
        <v>16009.833333333332</v>
      </c>
      <c r="F19" s="73">
        <f t="shared" si="37"/>
        <v>53809.833333333328</v>
      </c>
      <c r="G19" s="73">
        <f t="shared" si="37"/>
        <v>27109.833333333332</v>
      </c>
      <c r="H19" s="73">
        <f t="shared" si="37"/>
        <v>45109.833333333328</v>
      </c>
      <c r="I19" s="73">
        <f t="shared" si="37"/>
        <v>54109.833333333328</v>
      </c>
      <c r="J19" s="73">
        <f t="shared" si="37"/>
        <v>57109.833333333328</v>
      </c>
      <c r="K19" s="73">
        <f t="shared" si="37"/>
        <v>58729.833333333328</v>
      </c>
      <c r="L19" s="73">
        <f t="shared" si="37"/>
        <v>83629.833333333328</v>
      </c>
      <c r="M19" s="73">
        <f t="shared" si="37"/>
        <v>57829.833333333328</v>
      </c>
      <c r="N19" s="73">
        <f t="shared" si="37"/>
        <v>75829.833333333328</v>
      </c>
      <c r="O19" s="73">
        <f t="shared" si="37"/>
        <v>82729.833333333328</v>
      </c>
      <c r="P19" s="64">
        <f t="shared" si="2"/>
        <v>642718</v>
      </c>
      <c r="Q19" s="65">
        <f>SUM(Q20:Q21)</f>
        <v>150307.45833333331</v>
      </c>
      <c r="R19" s="65">
        <f t="shared" ref="R19:AB19" si="38">SUM(R20:R21)</f>
        <v>177562.45833333331</v>
      </c>
      <c r="S19" s="65">
        <f t="shared" si="38"/>
        <v>171697.45833333331</v>
      </c>
      <c r="T19" s="65">
        <f t="shared" si="38"/>
        <v>218870.45833333323</v>
      </c>
      <c r="U19" s="65">
        <f t="shared" si="38"/>
        <v>195789.95833333323</v>
      </c>
      <c r="V19" s="65">
        <f t="shared" si="38"/>
        <v>224252.45833333323</v>
      </c>
      <c r="W19" s="65">
        <f t="shared" si="38"/>
        <v>220422.95833333323</v>
      </c>
      <c r="X19" s="65">
        <f t="shared" si="38"/>
        <v>267377.45833333326</v>
      </c>
      <c r="Y19" s="65">
        <f t="shared" si="38"/>
        <v>244158.95833333323</v>
      </c>
      <c r="Z19" s="65">
        <f t="shared" si="38"/>
        <v>272621.4583333332</v>
      </c>
      <c r="AA19" s="65">
        <f t="shared" si="38"/>
        <v>266928.95833333326</v>
      </c>
      <c r="AB19" s="65">
        <f t="shared" si="38"/>
        <v>314504.4583333332</v>
      </c>
      <c r="AC19" s="65">
        <f t="shared" si="3"/>
        <v>2724494.4999999991</v>
      </c>
      <c r="AD19" s="65">
        <f>SUM(AD20:AD21)</f>
        <v>377656.71250000002</v>
      </c>
      <c r="AE19" s="65">
        <f t="shared" ref="AE19:AO19" si="39">SUM(AE20:AE21)</f>
        <v>396065.91249999998</v>
      </c>
      <c r="AF19" s="65">
        <f t="shared" si="39"/>
        <v>371467.41249999998</v>
      </c>
      <c r="AG19" s="65">
        <f t="shared" si="39"/>
        <v>429234.21250000002</v>
      </c>
      <c r="AH19" s="65">
        <f t="shared" si="39"/>
        <v>407254.26249999995</v>
      </c>
      <c r="AI19" s="65">
        <f t="shared" si="39"/>
        <v>463275.36250000005</v>
      </c>
      <c r="AJ19" s="65">
        <f t="shared" si="39"/>
        <v>446373.8125</v>
      </c>
      <c r="AK19" s="65">
        <f t="shared" si="39"/>
        <v>502553.61250000005</v>
      </c>
      <c r="AL19" s="65">
        <f t="shared" si="39"/>
        <v>479145.36250000005</v>
      </c>
      <c r="AM19" s="65">
        <f t="shared" si="39"/>
        <v>535166.46250000002</v>
      </c>
      <c r="AN19" s="65">
        <f t="shared" si="39"/>
        <v>513345.21250000002</v>
      </c>
      <c r="AO19" s="65">
        <f t="shared" si="39"/>
        <v>570953.3125</v>
      </c>
      <c r="AP19" s="66">
        <f t="shared" si="4"/>
        <v>5492491.6500000004</v>
      </c>
      <c r="AQ19" s="58">
        <f t="shared" si="5"/>
        <v>8859704.1499999985</v>
      </c>
    </row>
    <row r="20" spans="1:43" s="59" customFormat="1">
      <c r="A20" s="50" t="s">
        <v>44</v>
      </c>
      <c r="B20" s="74" t="s">
        <v>45</v>
      </c>
      <c r="C20" s="52"/>
      <c r="D20" s="75">
        <f>D6*6%</f>
        <v>19440</v>
      </c>
      <c r="E20" s="75">
        <f t="shared" ref="E20:O20" si="40">E6*6%</f>
        <v>4740</v>
      </c>
      <c r="F20" s="75">
        <f t="shared" si="40"/>
        <v>42540</v>
      </c>
      <c r="G20" s="75">
        <f t="shared" si="40"/>
        <v>15840</v>
      </c>
      <c r="H20" s="75">
        <f t="shared" si="40"/>
        <v>33840</v>
      </c>
      <c r="I20" s="75">
        <f t="shared" si="40"/>
        <v>42840</v>
      </c>
      <c r="J20" s="75">
        <f t="shared" si="40"/>
        <v>45840</v>
      </c>
      <c r="K20" s="75">
        <f t="shared" si="40"/>
        <v>47460</v>
      </c>
      <c r="L20" s="75">
        <f t="shared" si="40"/>
        <v>72360</v>
      </c>
      <c r="M20" s="75">
        <f t="shared" si="40"/>
        <v>46560</v>
      </c>
      <c r="N20" s="75">
        <f t="shared" si="40"/>
        <v>64560</v>
      </c>
      <c r="O20" s="75">
        <f t="shared" si="40"/>
        <v>71460</v>
      </c>
      <c r="P20" s="76">
        <f t="shared" si="2"/>
        <v>507480</v>
      </c>
      <c r="Q20" s="77">
        <f>Q6*6%</f>
        <v>113988</v>
      </c>
      <c r="R20" s="77">
        <f t="shared" ref="R20:AB20" si="41">R6*6%</f>
        <v>141243</v>
      </c>
      <c r="S20" s="77">
        <f t="shared" si="41"/>
        <v>135378</v>
      </c>
      <c r="T20" s="77">
        <f t="shared" si="41"/>
        <v>182550.99999999991</v>
      </c>
      <c r="U20" s="77">
        <f t="shared" si="41"/>
        <v>159470.49999999991</v>
      </c>
      <c r="V20" s="77">
        <f t="shared" si="41"/>
        <v>187932.99999999991</v>
      </c>
      <c r="W20" s="77">
        <f t="shared" si="41"/>
        <v>184103.49999999991</v>
      </c>
      <c r="X20" s="77">
        <f t="shared" si="41"/>
        <v>231057.99999999991</v>
      </c>
      <c r="Y20" s="77">
        <f t="shared" si="41"/>
        <v>207839.49999999991</v>
      </c>
      <c r="Z20" s="77">
        <f t="shared" si="41"/>
        <v>236301.99999999988</v>
      </c>
      <c r="AA20" s="77">
        <f t="shared" si="41"/>
        <v>230609.49999999991</v>
      </c>
      <c r="AB20" s="77">
        <f t="shared" si="41"/>
        <v>278184.99999999988</v>
      </c>
      <c r="AC20" s="78">
        <f t="shared" si="3"/>
        <v>2288660.9999999995</v>
      </c>
      <c r="AD20" s="77">
        <f>AD6*6%</f>
        <v>308116.05</v>
      </c>
      <c r="AE20" s="77">
        <f t="shared" ref="AE20:AO20" si="42">AE6*6%</f>
        <v>326525.25</v>
      </c>
      <c r="AF20" s="77">
        <f t="shared" si="42"/>
        <v>301926.75</v>
      </c>
      <c r="AG20" s="77">
        <f t="shared" si="42"/>
        <v>359693.55</v>
      </c>
      <c r="AH20" s="77">
        <f t="shared" si="42"/>
        <v>337713.6</v>
      </c>
      <c r="AI20" s="77">
        <f t="shared" si="42"/>
        <v>393734.7</v>
      </c>
      <c r="AJ20" s="77">
        <f t="shared" si="42"/>
        <v>376833.14999999997</v>
      </c>
      <c r="AK20" s="77">
        <f t="shared" si="42"/>
        <v>433012.95</v>
      </c>
      <c r="AL20" s="77">
        <f t="shared" si="42"/>
        <v>409604.7</v>
      </c>
      <c r="AM20" s="77">
        <f t="shared" si="42"/>
        <v>465625.8</v>
      </c>
      <c r="AN20" s="77">
        <f t="shared" si="42"/>
        <v>443804.55</v>
      </c>
      <c r="AO20" s="77">
        <f t="shared" si="42"/>
        <v>501412.64999999997</v>
      </c>
      <c r="AP20" s="79">
        <f t="shared" si="4"/>
        <v>4658003.7</v>
      </c>
      <c r="AQ20" s="58">
        <f t="shared" si="5"/>
        <v>7454144.6999999993</v>
      </c>
    </row>
    <row r="21" spans="1:43" outlineLevel="1">
      <c r="A21" s="80" t="s">
        <v>46</v>
      </c>
      <c r="B21" s="81" t="s">
        <v>47</v>
      </c>
      <c r="C21" s="82"/>
      <c r="D21" s="83">
        <f>'Вводные данные'!$C$6/12+(($P$6-300000)*1%/12)</f>
        <v>11269.833333333332</v>
      </c>
      <c r="E21" s="83">
        <f>'Вводные данные'!$C$6/12+(($P$6-300000)*1%/12)</f>
        <v>11269.833333333332</v>
      </c>
      <c r="F21" s="83">
        <f>'Вводные данные'!$C$6/12+(($P$6-300000)*1%/12)</f>
        <v>11269.833333333332</v>
      </c>
      <c r="G21" s="83">
        <f>'Вводные данные'!$C$6/12+(($P$6-300000)*1%/12)</f>
        <v>11269.833333333332</v>
      </c>
      <c r="H21" s="83">
        <f>'Вводные данные'!$C$6/12+(($P$6-300000)*1%/12)</f>
        <v>11269.833333333332</v>
      </c>
      <c r="I21" s="83">
        <f>'Вводные данные'!$C$6/12+(($P$6-300000)*1%/12)</f>
        <v>11269.833333333332</v>
      </c>
      <c r="J21" s="83">
        <f>'Вводные данные'!$C$6/12+(($P$6-300000)*1%/12)</f>
        <v>11269.833333333332</v>
      </c>
      <c r="K21" s="83">
        <f>'Вводные данные'!$C$6/12+(($P$6-300000)*1%/12)</f>
        <v>11269.833333333332</v>
      </c>
      <c r="L21" s="83">
        <f>'Вводные данные'!$C$6/12+(($P$6-300000)*1%/12)</f>
        <v>11269.833333333332</v>
      </c>
      <c r="M21" s="83">
        <f>'Вводные данные'!$C$6/12+(($P$6-300000)*1%/12)</f>
        <v>11269.833333333332</v>
      </c>
      <c r="N21" s="83">
        <f>'Вводные данные'!$C$6/12+(($P$6-300000)*1%/12)</f>
        <v>11269.833333333332</v>
      </c>
      <c r="O21" s="83">
        <f>'Вводные данные'!$C$6/12+(($P$6-300000)*1%/12)</f>
        <v>11269.833333333332</v>
      </c>
      <c r="P21" s="84">
        <f t="shared" si="2"/>
        <v>135237.99999999997</v>
      </c>
      <c r="Q21" s="85">
        <f>('Вводные данные'!$D$6/12+(($AC$6-300000)*1%/12))</f>
        <v>36319.458333333314</v>
      </c>
      <c r="R21" s="85">
        <f>('Вводные данные'!$D$6/12+(($AC$6-300000)*1%/12))</f>
        <v>36319.458333333314</v>
      </c>
      <c r="S21" s="85">
        <f>('Вводные данные'!$D$6/12+(($AC$6-300000)*1%/12))</f>
        <v>36319.458333333314</v>
      </c>
      <c r="T21" s="85">
        <f>('Вводные данные'!$D$6/12+(($AC$6-300000)*1%/12))</f>
        <v>36319.458333333314</v>
      </c>
      <c r="U21" s="85">
        <f>('Вводные данные'!$D$6/12+(($AC$6-300000)*1%/12))</f>
        <v>36319.458333333314</v>
      </c>
      <c r="V21" s="85">
        <f>('Вводные данные'!$D$6/12+(($AC$6-300000)*1%/12))</f>
        <v>36319.458333333314</v>
      </c>
      <c r="W21" s="85">
        <f>('Вводные данные'!$D$6/12+(($AC$6-300000)*1%/12))</f>
        <v>36319.458333333314</v>
      </c>
      <c r="X21" s="85">
        <f>('Вводные данные'!$D$6/12+(($AC$6-300000)*1%/12))</f>
        <v>36319.458333333314</v>
      </c>
      <c r="Y21" s="85">
        <f>('Вводные данные'!$D$6/12+(($AC$6-300000)*1%/12))</f>
        <v>36319.458333333314</v>
      </c>
      <c r="Z21" s="85">
        <f>('Вводные данные'!$D$6/12+(($AC$6-300000)*1%/12))</f>
        <v>36319.458333333314</v>
      </c>
      <c r="AA21" s="85">
        <f>('Вводные данные'!$D$6/12+(($AC$6-300000)*1%/12))</f>
        <v>36319.458333333314</v>
      </c>
      <c r="AB21" s="85">
        <f>('Вводные данные'!$D$6/12+(($AC$6-300000)*1%/12))</f>
        <v>36319.458333333314</v>
      </c>
      <c r="AC21" s="86">
        <f t="shared" si="3"/>
        <v>435833.49999999977</v>
      </c>
      <c r="AD21" s="85">
        <f>('Вводные данные'!$E$6/12+(($AP$6-300000)*1%/12))</f>
        <v>69540.662500000006</v>
      </c>
      <c r="AE21" s="85">
        <f>('Вводные данные'!$E$6/12+(($AP$6-300000)*1%/12))</f>
        <v>69540.662500000006</v>
      </c>
      <c r="AF21" s="85">
        <f>('Вводные данные'!$E$6/12+(($AP$6-300000)*1%/12))</f>
        <v>69540.662500000006</v>
      </c>
      <c r="AG21" s="85">
        <f>('Вводные данные'!$E$6/12+(($AP$6-300000)*1%/12))</f>
        <v>69540.662500000006</v>
      </c>
      <c r="AH21" s="85">
        <f>('Вводные данные'!$E$6/12+(($AP$6-300000)*1%/12))</f>
        <v>69540.662500000006</v>
      </c>
      <c r="AI21" s="85">
        <f>('Вводные данные'!$E$6/12+(($AP$6-300000)*1%/12))</f>
        <v>69540.662500000006</v>
      </c>
      <c r="AJ21" s="85">
        <f>('Вводные данные'!$E$6/12+(($AP$6-300000)*1%/12))</f>
        <v>69540.662500000006</v>
      </c>
      <c r="AK21" s="85">
        <f>('Вводные данные'!$E$6/12+(($AP$6-300000)*1%/12))</f>
        <v>69540.662500000006</v>
      </c>
      <c r="AL21" s="85">
        <f>('Вводные данные'!$E$6/12+(($AP$6-300000)*1%/12))</f>
        <v>69540.662500000006</v>
      </c>
      <c r="AM21" s="85">
        <f>('Вводные данные'!$E$6/12+(($AP$6-300000)*1%/12))</f>
        <v>69540.662500000006</v>
      </c>
      <c r="AN21" s="85">
        <f>('Вводные данные'!$E$6/12+(($AP$6-300000)*1%/12))</f>
        <v>69540.662500000006</v>
      </c>
      <c r="AO21" s="85">
        <f>('Вводные данные'!$E$6/12+(($AP$6-300000)*1%/12))</f>
        <v>69540.662500000006</v>
      </c>
      <c r="AP21" s="87">
        <f t="shared" si="4"/>
        <v>834487.94999999984</v>
      </c>
      <c r="AQ21" s="44">
        <f t="shared" si="5"/>
        <v>1405559.4499999997</v>
      </c>
    </row>
    <row r="22" spans="1:43" ht="12.75" customHeight="1">
      <c r="A22" s="36">
        <v>7</v>
      </c>
      <c r="B22" s="88" t="s">
        <v>48</v>
      </c>
      <c r="C22" s="89"/>
      <c r="D22" s="90">
        <f>Маркетинг!B12</f>
        <v>61500</v>
      </c>
      <c r="E22" s="90">
        <f>Маркетинг!C12</f>
        <v>61500</v>
      </c>
      <c r="F22" s="90">
        <f>Маркетинг!D12</f>
        <v>61500</v>
      </c>
      <c r="G22" s="90">
        <f>Маркетинг!E12</f>
        <v>61500</v>
      </c>
      <c r="H22" s="90">
        <f>Маркетинг!F12</f>
        <v>61500</v>
      </c>
      <c r="I22" s="90">
        <f>Маркетинг!G12</f>
        <v>61500</v>
      </c>
      <c r="J22" s="90">
        <f>Маркетинг!H12</f>
        <v>61500</v>
      </c>
      <c r="K22" s="90">
        <f>Маркетинг!I12</f>
        <v>61500</v>
      </c>
      <c r="L22" s="90">
        <f>Маркетинг!J12</f>
        <v>61500</v>
      </c>
      <c r="M22" s="90">
        <f>Маркетинг!K12</f>
        <v>61500</v>
      </c>
      <c r="N22" s="90">
        <f>Маркетинг!L12</f>
        <v>61500</v>
      </c>
      <c r="O22" s="90">
        <f>Маркетинг!M12</f>
        <v>61500</v>
      </c>
      <c r="P22" s="91">
        <f t="shared" si="2"/>
        <v>738000</v>
      </c>
      <c r="Q22" s="92">
        <f>Маркетинг!O12</f>
        <v>70725</v>
      </c>
      <c r="R22" s="92">
        <f>Маркетинг!P12</f>
        <v>70725</v>
      </c>
      <c r="S22" s="92">
        <f>Маркетинг!Q12</f>
        <v>70725</v>
      </c>
      <c r="T22" s="92">
        <f>Маркетинг!R12</f>
        <v>70725</v>
      </c>
      <c r="U22" s="92">
        <f>Маркетинг!S12</f>
        <v>70725</v>
      </c>
      <c r="V22" s="92">
        <f>Маркетинг!T12</f>
        <v>70725</v>
      </c>
      <c r="W22" s="92">
        <f>Маркетинг!U12</f>
        <v>70725</v>
      </c>
      <c r="X22" s="92">
        <f>Маркетинг!V12</f>
        <v>70725</v>
      </c>
      <c r="Y22" s="92">
        <f>Маркетинг!W12</f>
        <v>70725</v>
      </c>
      <c r="Z22" s="92">
        <f>Маркетинг!X12</f>
        <v>70725</v>
      </c>
      <c r="AA22" s="92">
        <f>Маркетинг!Y12</f>
        <v>70725</v>
      </c>
      <c r="AB22" s="92">
        <f>Маркетинг!Z12</f>
        <v>70725</v>
      </c>
      <c r="AC22" s="92">
        <f t="shared" si="3"/>
        <v>848700</v>
      </c>
      <c r="AD22" s="92">
        <f>Маркетинг!AB12</f>
        <v>81333.75</v>
      </c>
      <c r="AE22" s="92">
        <f>Маркетинг!AC12</f>
        <v>81333.75</v>
      </c>
      <c r="AF22" s="92">
        <f>Маркетинг!AD12</f>
        <v>81333.75</v>
      </c>
      <c r="AG22" s="92">
        <f>Маркетинг!AE12</f>
        <v>81333.75</v>
      </c>
      <c r="AH22" s="92">
        <f>Маркетинг!AF12</f>
        <v>81333.75</v>
      </c>
      <c r="AI22" s="92">
        <f>Маркетинг!AG12</f>
        <v>81333.75</v>
      </c>
      <c r="AJ22" s="92">
        <f>Маркетинг!AH12</f>
        <v>81333.75</v>
      </c>
      <c r="AK22" s="92">
        <f>Маркетинг!AI12</f>
        <v>81333.75</v>
      </c>
      <c r="AL22" s="92">
        <f>Маркетинг!AJ12</f>
        <v>81333.75</v>
      </c>
      <c r="AM22" s="92">
        <f>Маркетинг!AK12</f>
        <v>81333.75</v>
      </c>
      <c r="AN22" s="92">
        <f>Маркетинг!AL12</f>
        <v>81333.75</v>
      </c>
      <c r="AO22" s="92">
        <f>Маркетинг!AM12</f>
        <v>81333.75</v>
      </c>
      <c r="AP22" s="93">
        <f t="shared" si="4"/>
        <v>976005</v>
      </c>
      <c r="AQ22" s="44">
        <f t="shared" si="5"/>
        <v>2562705</v>
      </c>
    </row>
    <row r="23" spans="1:43" ht="21">
      <c r="A23" s="36">
        <v>8</v>
      </c>
      <c r="B23" s="88" t="s">
        <v>49</v>
      </c>
      <c r="C23" s="89"/>
      <c r="D23" s="90">
        <f>SUM(D24:D39)</f>
        <v>142800</v>
      </c>
      <c r="E23" s="90">
        <f t="shared" ref="E23:O23" si="43">SUM(E24:E39)</f>
        <v>97400</v>
      </c>
      <c r="F23" s="90">
        <f t="shared" si="43"/>
        <v>202100</v>
      </c>
      <c r="G23" s="90">
        <f t="shared" si="43"/>
        <v>117000</v>
      </c>
      <c r="H23" s="90">
        <f t="shared" si="43"/>
        <v>167600</v>
      </c>
      <c r="I23" s="90">
        <f t="shared" si="43"/>
        <v>183900</v>
      </c>
      <c r="J23" s="90">
        <f t="shared" si="43"/>
        <v>189500</v>
      </c>
      <c r="K23" s="90">
        <f t="shared" si="43"/>
        <v>205400</v>
      </c>
      <c r="L23" s="90">
        <f t="shared" si="43"/>
        <v>268700</v>
      </c>
      <c r="M23" s="90">
        <f t="shared" si="43"/>
        <v>185900</v>
      </c>
      <c r="N23" s="90">
        <f t="shared" si="43"/>
        <v>236500</v>
      </c>
      <c r="O23" s="90">
        <f t="shared" si="43"/>
        <v>249200</v>
      </c>
      <c r="P23" s="91">
        <f t="shared" si="2"/>
        <v>2246000</v>
      </c>
      <c r="Q23" s="90">
        <f>SUM(Q24:Q39)</f>
        <v>367655</v>
      </c>
      <c r="R23" s="90">
        <f t="shared" ref="R23:AB23" si="44">SUM(R24:R39)</f>
        <v>438610</v>
      </c>
      <c r="S23" s="90">
        <f t="shared" si="44"/>
        <v>407905</v>
      </c>
      <c r="T23" s="90">
        <f t="shared" si="44"/>
        <v>550274.99999999988</v>
      </c>
      <c r="U23" s="90">
        <f t="shared" si="44"/>
        <v>468509.99999999988</v>
      </c>
      <c r="V23" s="90">
        <f t="shared" si="44"/>
        <v>541534.99999999988</v>
      </c>
      <c r="W23" s="90">
        <f t="shared" si="44"/>
        <v>514394.99999999988</v>
      </c>
      <c r="X23" s="90">
        <f t="shared" si="44"/>
        <v>656074.99999999988</v>
      </c>
      <c r="Y23" s="90">
        <f t="shared" si="44"/>
        <v>575574.99999999988</v>
      </c>
      <c r="Z23" s="90">
        <f t="shared" si="44"/>
        <v>648599.99999999988</v>
      </c>
      <c r="AA23" s="90">
        <f t="shared" si="44"/>
        <v>617319.99999999988</v>
      </c>
      <c r="AB23" s="90">
        <f t="shared" si="44"/>
        <v>760379.99999999988</v>
      </c>
      <c r="AC23" s="92">
        <f t="shared" si="3"/>
        <v>6546835</v>
      </c>
      <c r="AD23" s="92">
        <f>SUM(AD24:AD39)</f>
        <v>910673.5</v>
      </c>
      <c r="AE23" s="92">
        <f t="shared" ref="AE23:AO23" si="45">SUM(AE24:AE39)</f>
        <v>963705.75</v>
      </c>
      <c r="AF23" s="92">
        <f t="shared" si="45"/>
        <v>874040.25</v>
      </c>
      <c r="AG23" s="92">
        <f t="shared" si="45"/>
        <v>1039969.9166666667</v>
      </c>
      <c r="AH23" s="92">
        <f t="shared" si="45"/>
        <v>964256.79166666674</v>
      </c>
      <c r="AI23" s="92">
        <f t="shared" si="45"/>
        <v>1125403.4166666667</v>
      </c>
      <c r="AJ23" s="92">
        <f t="shared" si="45"/>
        <v>1057757.5416666667</v>
      </c>
      <c r="AK23" s="92">
        <f t="shared" si="45"/>
        <v>1217449.4166666667</v>
      </c>
      <c r="AL23" s="92">
        <f t="shared" si="45"/>
        <v>1138562.2916666667</v>
      </c>
      <c r="AM23" s="92">
        <f t="shared" si="45"/>
        <v>1299708.9166666667</v>
      </c>
      <c r="AN23" s="92">
        <f t="shared" si="45"/>
        <v>1222541.0416666667</v>
      </c>
      <c r="AO23" s="92">
        <f t="shared" si="45"/>
        <v>1385406.9166666667</v>
      </c>
      <c r="AP23" s="93">
        <f t="shared" si="4"/>
        <v>13199475.75</v>
      </c>
      <c r="AQ23" s="44">
        <f t="shared" si="5"/>
        <v>21992310.75</v>
      </c>
    </row>
    <row r="24" spans="1:43" ht="11.25" customHeight="1" outlineLevel="1">
      <c r="A24" s="80" t="s">
        <v>50</v>
      </c>
      <c r="B24" s="94" t="s">
        <v>51</v>
      </c>
      <c r="C24" s="95"/>
      <c r="D24" s="96">
        <f>'Переменные затраты'!H126</f>
        <v>53800</v>
      </c>
      <c r="E24" s="96">
        <f>'Переменные затраты'!I126</f>
        <v>8400</v>
      </c>
      <c r="F24" s="96">
        <f>'Переменные затраты'!J126</f>
        <v>113100</v>
      </c>
      <c r="G24" s="96">
        <f>'Переменные затраты'!K126</f>
        <v>28000</v>
      </c>
      <c r="H24" s="96">
        <f>'Переменные затраты'!L126</f>
        <v>78600</v>
      </c>
      <c r="I24" s="96">
        <f>'Переменные затраты'!M126</f>
        <v>94900</v>
      </c>
      <c r="J24" s="96">
        <f>'Переменные затраты'!N126</f>
        <v>100500</v>
      </c>
      <c r="K24" s="96">
        <f>'Переменные затраты'!O126</f>
        <v>116400</v>
      </c>
      <c r="L24" s="96">
        <f>'Переменные затраты'!P126</f>
        <v>179700</v>
      </c>
      <c r="M24" s="96">
        <f>'Переменные затраты'!Q126</f>
        <v>96900</v>
      </c>
      <c r="N24" s="96">
        <f>'Переменные затраты'!R126</f>
        <v>147500</v>
      </c>
      <c r="O24" s="96">
        <f>'Переменные затраты'!S126</f>
        <v>160200</v>
      </c>
      <c r="P24" s="97">
        <f t="shared" si="2"/>
        <v>1178000</v>
      </c>
      <c r="Q24" s="96">
        <f>'Переменные затраты'!U126</f>
        <v>265305</v>
      </c>
      <c r="R24" s="96">
        <f>'Переменные затраты'!V126</f>
        <v>336260</v>
      </c>
      <c r="S24" s="96">
        <f>'Переменные затраты'!W126</f>
        <v>305555</v>
      </c>
      <c r="T24" s="96">
        <f>'Переменные затраты'!X126</f>
        <v>447924.99999999988</v>
      </c>
      <c r="U24" s="96">
        <f>'Переменные затраты'!Y126</f>
        <v>366159.99999999988</v>
      </c>
      <c r="V24" s="96">
        <f>'Переменные затраты'!Z126</f>
        <v>439184.99999999988</v>
      </c>
      <c r="W24" s="96">
        <f>'Переменные затраты'!AA126</f>
        <v>412044.99999999988</v>
      </c>
      <c r="X24" s="96">
        <f>'Переменные затраты'!AB126</f>
        <v>553724.99999999988</v>
      </c>
      <c r="Y24" s="96">
        <f>'Переменные затраты'!AC126</f>
        <v>473224.99999999988</v>
      </c>
      <c r="Z24" s="96">
        <f>'Переменные затраты'!AD126</f>
        <v>546249.99999999988</v>
      </c>
      <c r="AA24" s="96">
        <f>'Переменные затраты'!AE126</f>
        <v>514969.99999999988</v>
      </c>
      <c r="AB24" s="96">
        <f>'Переменные затраты'!AF126</f>
        <v>658029.99999999988</v>
      </c>
      <c r="AC24" s="98">
        <f t="shared" si="3"/>
        <v>5318635</v>
      </c>
      <c r="AD24" s="99">
        <f>'Переменные затраты'!AH126</f>
        <v>792971</v>
      </c>
      <c r="AE24" s="99">
        <f>'Переменные затраты'!AI126</f>
        <v>846003.25</v>
      </c>
      <c r="AF24" s="99">
        <f>'Переменные затраты'!AJ126</f>
        <v>756337.75</v>
      </c>
      <c r="AG24" s="99">
        <f>'Переменные затраты'!AK126</f>
        <v>922267.41666666674</v>
      </c>
      <c r="AH24" s="99">
        <f>'Переменные затраты'!AL126</f>
        <v>846554.29166666674</v>
      </c>
      <c r="AI24" s="99">
        <f>'Переменные затраты'!AM126</f>
        <v>1007700.9166666667</v>
      </c>
      <c r="AJ24" s="99">
        <f>'Переменные затраты'!AN126</f>
        <v>940055.04166666674</v>
      </c>
      <c r="AK24" s="99">
        <f>'Переменные затраты'!AO126</f>
        <v>1099746.9166666667</v>
      </c>
      <c r="AL24" s="99">
        <f>'Переменные затраты'!AP126</f>
        <v>1020859.7916666667</v>
      </c>
      <c r="AM24" s="99">
        <f>'Переменные затраты'!AQ126</f>
        <v>1182006.4166666667</v>
      </c>
      <c r="AN24" s="99">
        <f>'Переменные затраты'!AR126</f>
        <v>1104838.5416666667</v>
      </c>
      <c r="AO24" s="99">
        <f>'Переменные затраты'!AS126</f>
        <v>1267704.4166666667</v>
      </c>
      <c r="AP24" s="100">
        <f t="shared" si="4"/>
        <v>11787045.75</v>
      </c>
      <c r="AQ24" s="44">
        <f t="shared" si="5"/>
        <v>18283680.75</v>
      </c>
    </row>
    <row r="25" spans="1:43" ht="12.75" customHeight="1" outlineLevel="1">
      <c r="A25" s="80" t="s">
        <v>52</v>
      </c>
      <c r="B25" s="94" t="str">
        <f>'Постоянные затраты'!A5</f>
        <v>Бухгалтерия</v>
      </c>
      <c r="C25" s="95"/>
      <c r="D25" s="95">
        <f>'Постоянные затраты'!B5</f>
        <v>10000</v>
      </c>
      <c r="E25" s="95">
        <f>'Постоянные затраты'!C5</f>
        <v>10000</v>
      </c>
      <c r="F25" s="95">
        <f>'Постоянные затраты'!D5</f>
        <v>10000</v>
      </c>
      <c r="G25" s="95">
        <f>'Постоянные затраты'!E5</f>
        <v>10000</v>
      </c>
      <c r="H25" s="95">
        <f>'Постоянные затраты'!F5</f>
        <v>10000</v>
      </c>
      <c r="I25" s="95">
        <f>'Постоянные затраты'!G5</f>
        <v>10000</v>
      </c>
      <c r="J25" s="95">
        <f>'Постоянные затраты'!H5</f>
        <v>10000</v>
      </c>
      <c r="K25" s="95">
        <f>'Постоянные затраты'!I5</f>
        <v>10000</v>
      </c>
      <c r="L25" s="95">
        <f>'Постоянные затраты'!J5</f>
        <v>10000</v>
      </c>
      <c r="M25" s="95">
        <f>'Постоянные затраты'!K5</f>
        <v>10000</v>
      </c>
      <c r="N25" s="95">
        <f>'Постоянные затраты'!L5</f>
        <v>10000</v>
      </c>
      <c r="O25" s="95">
        <f>'Постоянные затраты'!M5</f>
        <v>10000</v>
      </c>
      <c r="P25" s="84">
        <f t="shared" si="2"/>
        <v>120000</v>
      </c>
      <c r="Q25" s="101">
        <f>'Постоянные затраты'!O5</f>
        <v>11500</v>
      </c>
      <c r="R25" s="101">
        <f>'Постоянные затраты'!P5</f>
        <v>11500</v>
      </c>
      <c r="S25" s="101">
        <f>'Постоянные затраты'!Q5</f>
        <v>11500</v>
      </c>
      <c r="T25" s="101">
        <f>'Постоянные затраты'!R5</f>
        <v>11500</v>
      </c>
      <c r="U25" s="101">
        <f>'Постоянные затраты'!S5</f>
        <v>11500</v>
      </c>
      <c r="V25" s="101">
        <f>'Постоянные затраты'!T5</f>
        <v>11500</v>
      </c>
      <c r="W25" s="101">
        <f>'Постоянные затраты'!U5</f>
        <v>11500</v>
      </c>
      <c r="X25" s="101">
        <f>'Постоянные затраты'!V5</f>
        <v>11500</v>
      </c>
      <c r="Y25" s="101">
        <f>'Постоянные затраты'!W5</f>
        <v>11500</v>
      </c>
      <c r="Z25" s="101">
        <f>'Постоянные затраты'!X5</f>
        <v>11500</v>
      </c>
      <c r="AA25" s="101">
        <f>'Постоянные затраты'!Y5</f>
        <v>11500</v>
      </c>
      <c r="AB25" s="101">
        <f>'Постоянные затраты'!Z5</f>
        <v>11500</v>
      </c>
      <c r="AC25" s="86">
        <f t="shared" si="3"/>
        <v>138000</v>
      </c>
      <c r="AD25" s="102">
        <f>'Постоянные затраты'!AB5</f>
        <v>13225</v>
      </c>
      <c r="AE25" s="102">
        <f>'Постоянные затраты'!AC5</f>
        <v>13225</v>
      </c>
      <c r="AF25" s="102">
        <f>'Постоянные затраты'!AD5</f>
        <v>13225</v>
      </c>
      <c r="AG25" s="102">
        <f>'Постоянные затраты'!AE5</f>
        <v>13225</v>
      </c>
      <c r="AH25" s="102">
        <f>'Постоянные затраты'!AF5</f>
        <v>13225</v>
      </c>
      <c r="AI25" s="102">
        <f>'Постоянные затраты'!AG5</f>
        <v>13225</v>
      </c>
      <c r="AJ25" s="102">
        <f>'Постоянные затраты'!AH5</f>
        <v>13225</v>
      </c>
      <c r="AK25" s="102">
        <f>'Постоянные затраты'!AI5</f>
        <v>13225</v>
      </c>
      <c r="AL25" s="102">
        <f>'Постоянные затраты'!AJ5</f>
        <v>13225</v>
      </c>
      <c r="AM25" s="102">
        <f>'Постоянные затраты'!AK5</f>
        <v>13225</v>
      </c>
      <c r="AN25" s="102">
        <f>'Постоянные затраты'!AL5</f>
        <v>13225</v>
      </c>
      <c r="AO25" s="102">
        <f>'Постоянные затраты'!AM5</f>
        <v>13225</v>
      </c>
      <c r="AP25" s="87">
        <f t="shared" si="4"/>
        <v>158700</v>
      </c>
      <c r="AQ25" s="44">
        <f t="shared" si="5"/>
        <v>416700</v>
      </c>
    </row>
    <row r="26" spans="1:43" ht="11.25" customHeight="1" outlineLevel="1">
      <c r="A26" s="80" t="s">
        <v>53</v>
      </c>
      <c r="B26" s="94" t="str">
        <f>'Постоянные затраты'!A6</f>
        <v>Юридические</v>
      </c>
      <c r="C26" s="103"/>
      <c r="D26" s="95">
        <f>'Постоянные затраты'!B6</f>
        <v>10000</v>
      </c>
      <c r="E26" s="95">
        <f>'Постоянные затраты'!C6</f>
        <v>10000</v>
      </c>
      <c r="F26" s="95">
        <f>'Постоянные затраты'!D6</f>
        <v>10000</v>
      </c>
      <c r="G26" s="95">
        <f>'Постоянные затраты'!E6</f>
        <v>10000</v>
      </c>
      <c r="H26" s="95">
        <f>'Постоянные затраты'!F6</f>
        <v>10000</v>
      </c>
      <c r="I26" s="95">
        <f>'Постоянные затраты'!G6</f>
        <v>10000</v>
      </c>
      <c r="J26" s="95">
        <f>'Постоянные затраты'!H6</f>
        <v>10000</v>
      </c>
      <c r="K26" s="95">
        <f>'Постоянные затраты'!I6</f>
        <v>10000</v>
      </c>
      <c r="L26" s="95">
        <f>'Постоянные затраты'!J6</f>
        <v>10000</v>
      </c>
      <c r="M26" s="95">
        <f>'Постоянные затраты'!K6</f>
        <v>10000</v>
      </c>
      <c r="N26" s="95">
        <f>'Постоянные затраты'!L6</f>
        <v>10000</v>
      </c>
      <c r="O26" s="95">
        <f>'Постоянные затраты'!M6</f>
        <v>10000</v>
      </c>
      <c r="P26" s="84">
        <f t="shared" si="2"/>
        <v>120000</v>
      </c>
      <c r="Q26" s="101">
        <f>'Постоянные затраты'!O6</f>
        <v>11500</v>
      </c>
      <c r="R26" s="101">
        <f>'Постоянные затраты'!P6</f>
        <v>11500</v>
      </c>
      <c r="S26" s="101">
        <f>'Постоянные затраты'!Q6</f>
        <v>11500</v>
      </c>
      <c r="T26" s="101">
        <f>'Постоянные затраты'!R6</f>
        <v>11500</v>
      </c>
      <c r="U26" s="101">
        <f>'Постоянные затраты'!S6</f>
        <v>11500</v>
      </c>
      <c r="V26" s="101">
        <f>'Постоянные затраты'!T6</f>
        <v>11500</v>
      </c>
      <c r="W26" s="101">
        <f>'Постоянные затраты'!U6</f>
        <v>11500</v>
      </c>
      <c r="X26" s="101">
        <f>'Постоянные затраты'!V6</f>
        <v>11500</v>
      </c>
      <c r="Y26" s="101">
        <f>'Постоянные затраты'!W6</f>
        <v>11500</v>
      </c>
      <c r="Z26" s="101">
        <f>'Постоянные затраты'!X6</f>
        <v>11500</v>
      </c>
      <c r="AA26" s="101">
        <f>'Постоянные затраты'!Y6</f>
        <v>11500</v>
      </c>
      <c r="AB26" s="101">
        <f>'Постоянные затраты'!Z6</f>
        <v>11500</v>
      </c>
      <c r="AC26" s="86">
        <f t="shared" si="3"/>
        <v>138000</v>
      </c>
      <c r="AD26" s="102">
        <f>'Постоянные затраты'!AB6</f>
        <v>13225</v>
      </c>
      <c r="AE26" s="102">
        <f>'Постоянные затраты'!AC6</f>
        <v>13225</v>
      </c>
      <c r="AF26" s="102">
        <f>'Постоянные затраты'!AD6</f>
        <v>13225</v>
      </c>
      <c r="AG26" s="102">
        <f>'Постоянные затраты'!AE6</f>
        <v>13225</v>
      </c>
      <c r="AH26" s="102">
        <f>'Постоянные затраты'!AF6</f>
        <v>13225</v>
      </c>
      <c r="AI26" s="102">
        <f>'Постоянные затраты'!AG6</f>
        <v>13225</v>
      </c>
      <c r="AJ26" s="102">
        <f>'Постоянные затраты'!AH6</f>
        <v>13225</v>
      </c>
      <c r="AK26" s="102">
        <f>'Постоянные затраты'!AI6</f>
        <v>13225</v>
      </c>
      <c r="AL26" s="102">
        <f>'Постоянные затраты'!AJ6</f>
        <v>13225</v>
      </c>
      <c r="AM26" s="102">
        <f>'Постоянные затраты'!AK6</f>
        <v>13225</v>
      </c>
      <c r="AN26" s="102">
        <f>'Постоянные затраты'!AL6</f>
        <v>13225</v>
      </c>
      <c r="AO26" s="102">
        <f>'Постоянные затраты'!AM6</f>
        <v>13225</v>
      </c>
      <c r="AP26" s="87">
        <f t="shared" si="4"/>
        <v>158700</v>
      </c>
      <c r="AQ26" s="44">
        <f t="shared" si="5"/>
        <v>416700</v>
      </c>
    </row>
    <row r="27" spans="1:43" ht="11.25" customHeight="1" outlineLevel="1">
      <c r="A27" s="80" t="s">
        <v>54</v>
      </c>
      <c r="B27" s="94">
        <f>'Постоянные затраты'!A7</f>
        <v>0</v>
      </c>
      <c r="C27" s="104"/>
      <c r="D27" s="95">
        <f>'Постоянные затраты'!B7</f>
        <v>0</v>
      </c>
      <c r="E27" s="95">
        <f>'Постоянные затраты'!C7</f>
        <v>0</v>
      </c>
      <c r="F27" s="95">
        <f>'Постоянные затраты'!D7</f>
        <v>0</v>
      </c>
      <c r="G27" s="95">
        <f>'Постоянные затраты'!E7</f>
        <v>0</v>
      </c>
      <c r="H27" s="95">
        <f>'Постоянные затраты'!F7</f>
        <v>0</v>
      </c>
      <c r="I27" s="95">
        <f>'Постоянные затраты'!G7</f>
        <v>0</v>
      </c>
      <c r="J27" s="95">
        <f>'Постоянные затраты'!H7</f>
        <v>0</v>
      </c>
      <c r="K27" s="95">
        <f>'Постоянные затраты'!I7</f>
        <v>0</v>
      </c>
      <c r="L27" s="95">
        <f>'Постоянные затраты'!J7</f>
        <v>0</v>
      </c>
      <c r="M27" s="95">
        <f>'Постоянные затраты'!K7</f>
        <v>0</v>
      </c>
      <c r="N27" s="95">
        <f>'Постоянные затраты'!L7</f>
        <v>0</v>
      </c>
      <c r="O27" s="95">
        <f>'Постоянные затраты'!M7</f>
        <v>0</v>
      </c>
      <c r="P27" s="84">
        <f t="shared" si="2"/>
        <v>0</v>
      </c>
      <c r="Q27" s="101">
        <f>'Постоянные затраты'!O7</f>
        <v>0</v>
      </c>
      <c r="R27" s="101">
        <f>'Постоянные затраты'!P7</f>
        <v>0</v>
      </c>
      <c r="S27" s="101">
        <f>'Постоянные затраты'!Q7</f>
        <v>0</v>
      </c>
      <c r="T27" s="101">
        <f>'Постоянные затраты'!R7</f>
        <v>0</v>
      </c>
      <c r="U27" s="101">
        <f>'Постоянные затраты'!S7</f>
        <v>0</v>
      </c>
      <c r="V27" s="101">
        <f>'Постоянные затраты'!T7</f>
        <v>0</v>
      </c>
      <c r="W27" s="101">
        <f>'Постоянные затраты'!U7</f>
        <v>0</v>
      </c>
      <c r="X27" s="101">
        <f>'Постоянные затраты'!V7</f>
        <v>0</v>
      </c>
      <c r="Y27" s="101">
        <f>'Постоянные затраты'!W7</f>
        <v>0</v>
      </c>
      <c r="Z27" s="101">
        <f>'Постоянные затраты'!X7</f>
        <v>0</v>
      </c>
      <c r="AA27" s="101">
        <f>'Постоянные затраты'!Y7</f>
        <v>0</v>
      </c>
      <c r="AB27" s="101">
        <f>'Постоянные затраты'!Z7</f>
        <v>0</v>
      </c>
      <c r="AC27" s="86">
        <f t="shared" si="3"/>
        <v>0</v>
      </c>
      <c r="AD27" s="102">
        <f>'Постоянные затраты'!AB7</f>
        <v>0</v>
      </c>
      <c r="AE27" s="102">
        <f>'Постоянные затраты'!AC7</f>
        <v>0</v>
      </c>
      <c r="AF27" s="102">
        <f>'Постоянные затраты'!AD7</f>
        <v>0</v>
      </c>
      <c r="AG27" s="102">
        <f>'Постоянные затраты'!AE7</f>
        <v>0</v>
      </c>
      <c r="AH27" s="102">
        <f>'Постоянные затраты'!AF7</f>
        <v>0</v>
      </c>
      <c r="AI27" s="102">
        <f>'Постоянные затраты'!AG7</f>
        <v>0</v>
      </c>
      <c r="AJ27" s="102">
        <f>'Постоянные затраты'!AH7</f>
        <v>0</v>
      </c>
      <c r="AK27" s="102">
        <f>'Постоянные затраты'!AI7</f>
        <v>0</v>
      </c>
      <c r="AL27" s="102">
        <f>'Постоянные затраты'!AJ7</f>
        <v>0</v>
      </c>
      <c r="AM27" s="102">
        <f>'Постоянные затраты'!AK7</f>
        <v>0</v>
      </c>
      <c r="AN27" s="102">
        <f>'Постоянные затраты'!AL7</f>
        <v>0</v>
      </c>
      <c r="AO27" s="102">
        <f>'Постоянные затраты'!AM7</f>
        <v>0</v>
      </c>
      <c r="AP27" s="87">
        <f t="shared" si="4"/>
        <v>0</v>
      </c>
      <c r="AQ27" s="44">
        <f t="shared" si="5"/>
        <v>0</v>
      </c>
    </row>
    <row r="28" spans="1:43" ht="11.25" customHeight="1" outlineLevel="1">
      <c r="A28" s="80" t="s">
        <v>55</v>
      </c>
      <c r="B28" s="94" t="str">
        <f>'Постоянные затраты'!A8</f>
        <v>Офис аренда</v>
      </c>
      <c r="C28" s="104"/>
      <c r="D28" s="95">
        <f>'Постоянные затраты'!B8</f>
        <v>30000</v>
      </c>
      <c r="E28" s="95">
        <f>'Постоянные затраты'!C8</f>
        <v>30000</v>
      </c>
      <c r="F28" s="95">
        <f>'Постоянные затраты'!D8</f>
        <v>30000</v>
      </c>
      <c r="G28" s="95">
        <f>'Постоянные затраты'!E8</f>
        <v>30000</v>
      </c>
      <c r="H28" s="95">
        <f>'Постоянные затраты'!F8</f>
        <v>30000</v>
      </c>
      <c r="I28" s="95">
        <f>'Постоянные затраты'!G8</f>
        <v>30000</v>
      </c>
      <c r="J28" s="95">
        <f>'Постоянные затраты'!H8</f>
        <v>30000</v>
      </c>
      <c r="K28" s="95">
        <f>'Постоянные затраты'!I8</f>
        <v>30000</v>
      </c>
      <c r="L28" s="95">
        <f>'Постоянные затраты'!J8</f>
        <v>30000</v>
      </c>
      <c r="M28" s="95">
        <f>'Постоянные затраты'!K8</f>
        <v>30000</v>
      </c>
      <c r="N28" s="95">
        <f>'Постоянные затраты'!L8</f>
        <v>30000</v>
      </c>
      <c r="O28" s="95">
        <f>'Постоянные затраты'!M8</f>
        <v>30000</v>
      </c>
      <c r="P28" s="84">
        <f t="shared" si="2"/>
        <v>360000</v>
      </c>
      <c r="Q28" s="101">
        <f>'Постоянные затраты'!O8</f>
        <v>34500</v>
      </c>
      <c r="R28" s="101">
        <f>'Постоянные затраты'!P8</f>
        <v>34500</v>
      </c>
      <c r="S28" s="101">
        <f>'Постоянные затраты'!Q8</f>
        <v>34500</v>
      </c>
      <c r="T28" s="101">
        <f>'Постоянные затраты'!R8</f>
        <v>34500</v>
      </c>
      <c r="U28" s="101">
        <f>'Постоянные затраты'!S8</f>
        <v>34500</v>
      </c>
      <c r="V28" s="101">
        <f>'Постоянные затраты'!T8</f>
        <v>34500</v>
      </c>
      <c r="W28" s="101">
        <f>'Постоянные затраты'!U8</f>
        <v>34500</v>
      </c>
      <c r="X28" s="101">
        <f>'Постоянные затраты'!V8</f>
        <v>34500</v>
      </c>
      <c r="Y28" s="101">
        <f>'Постоянные затраты'!W8</f>
        <v>34500</v>
      </c>
      <c r="Z28" s="101">
        <f>'Постоянные затраты'!X8</f>
        <v>34500</v>
      </c>
      <c r="AA28" s="101">
        <f>'Постоянные затраты'!Y8</f>
        <v>34500</v>
      </c>
      <c r="AB28" s="101">
        <f>'Постоянные затраты'!Z8</f>
        <v>34500</v>
      </c>
      <c r="AC28" s="86">
        <f t="shared" si="3"/>
        <v>414000</v>
      </c>
      <c r="AD28" s="102">
        <f>'Постоянные затраты'!AB8</f>
        <v>39675</v>
      </c>
      <c r="AE28" s="102">
        <f>'Постоянные затраты'!AC8</f>
        <v>39675</v>
      </c>
      <c r="AF28" s="102">
        <f>'Постоянные затраты'!AD8</f>
        <v>39675</v>
      </c>
      <c r="AG28" s="102">
        <f>'Постоянные затраты'!AE8</f>
        <v>39675</v>
      </c>
      <c r="AH28" s="102">
        <f>'Постоянные затраты'!AF8</f>
        <v>39675</v>
      </c>
      <c r="AI28" s="102">
        <f>'Постоянные затраты'!AG8</f>
        <v>39675</v>
      </c>
      <c r="AJ28" s="102">
        <f>'Постоянные затраты'!AH8</f>
        <v>39675</v>
      </c>
      <c r="AK28" s="102">
        <f>'Постоянные затраты'!AI8</f>
        <v>39675</v>
      </c>
      <c r="AL28" s="102">
        <f>'Постоянные затраты'!AJ8</f>
        <v>39675</v>
      </c>
      <c r="AM28" s="102">
        <f>'Постоянные затраты'!AK8</f>
        <v>39675</v>
      </c>
      <c r="AN28" s="102">
        <f>'Постоянные затраты'!AL8</f>
        <v>39675</v>
      </c>
      <c r="AO28" s="102">
        <f>'Постоянные затраты'!AM8</f>
        <v>39675</v>
      </c>
      <c r="AP28" s="87">
        <f t="shared" si="4"/>
        <v>476100</v>
      </c>
      <c r="AQ28" s="44">
        <f t="shared" si="5"/>
        <v>1250100</v>
      </c>
    </row>
    <row r="29" spans="1:43" ht="11.25" customHeight="1" outlineLevel="1">
      <c r="A29" s="80" t="s">
        <v>56</v>
      </c>
      <c r="B29" s="94" t="str">
        <f>'Постоянные затраты'!A9</f>
        <v>Прочее (связь, интернет, канцелярия)</v>
      </c>
      <c r="C29" s="104"/>
      <c r="D29" s="95">
        <f>'Постоянные затраты'!B9</f>
        <v>4000</v>
      </c>
      <c r="E29" s="95">
        <f>'Постоянные затраты'!C9</f>
        <v>4000</v>
      </c>
      <c r="F29" s="95">
        <f>'Постоянные затраты'!D9</f>
        <v>4000</v>
      </c>
      <c r="G29" s="95">
        <f>'Постоянные затраты'!E9</f>
        <v>4000</v>
      </c>
      <c r="H29" s="95">
        <f>'Постоянные затраты'!F9</f>
        <v>4000</v>
      </c>
      <c r="I29" s="95">
        <f>'Постоянные затраты'!G9</f>
        <v>4000</v>
      </c>
      <c r="J29" s="95">
        <f>'Постоянные затраты'!H9</f>
        <v>4000</v>
      </c>
      <c r="K29" s="95">
        <f>'Постоянные затраты'!I9</f>
        <v>4000</v>
      </c>
      <c r="L29" s="95">
        <f>'Постоянные затраты'!J9</f>
        <v>4000</v>
      </c>
      <c r="M29" s="95">
        <f>'Постоянные затраты'!K9</f>
        <v>4000</v>
      </c>
      <c r="N29" s="95">
        <f>'Постоянные затраты'!L9</f>
        <v>4000</v>
      </c>
      <c r="O29" s="95">
        <f>'Постоянные затраты'!M9</f>
        <v>4000</v>
      </c>
      <c r="P29" s="84">
        <f t="shared" si="2"/>
        <v>48000</v>
      </c>
      <c r="Q29" s="101">
        <f>'Постоянные затраты'!O9</f>
        <v>4600</v>
      </c>
      <c r="R29" s="101">
        <f>'Постоянные затраты'!P9</f>
        <v>4600</v>
      </c>
      <c r="S29" s="101">
        <f>'Постоянные затраты'!Q9</f>
        <v>4600</v>
      </c>
      <c r="T29" s="101">
        <f>'Постоянные затраты'!R9</f>
        <v>4600</v>
      </c>
      <c r="U29" s="101">
        <f>'Постоянные затраты'!S9</f>
        <v>4600</v>
      </c>
      <c r="V29" s="101">
        <f>'Постоянные затраты'!T9</f>
        <v>4600</v>
      </c>
      <c r="W29" s="101">
        <f>'Постоянные затраты'!U9</f>
        <v>4600</v>
      </c>
      <c r="X29" s="101">
        <f>'Постоянные затраты'!V9</f>
        <v>4600</v>
      </c>
      <c r="Y29" s="101">
        <f>'Постоянные затраты'!W9</f>
        <v>4600</v>
      </c>
      <c r="Z29" s="101">
        <f>'Постоянные затраты'!X9</f>
        <v>4600</v>
      </c>
      <c r="AA29" s="101">
        <f>'Постоянные затраты'!Y9</f>
        <v>4600</v>
      </c>
      <c r="AB29" s="101">
        <f>'Постоянные затраты'!Z9</f>
        <v>4600</v>
      </c>
      <c r="AC29" s="86">
        <f t="shared" si="3"/>
        <v>55200</v>
      </c>
      <c r="AD29" s="102">
        <f>'Постоянные затраты'!AB9</f>
        <v>5290</v>
      </c>
      <c r="AE29" s="102">
        <f>'Постоянные затраты'!AC9</f>
        <v>5290</v>
      </c>
      <c r="AF29" s="102">
        <f>'Постоянные затраты'!AD9</f>
        <v>5290</v>
      </c>
      <c r="AG29" s="102">
        <f>'Постоянные затраты'!AE9</f>
        <v>5290</v>
      </c>
      <c r="AH29" s="102">
        <f>'Постоянные затраты'!AF9</f>
        <v>5290</v>
      </c>
      <c r="AI29" s="102">
        <f>'Постоянные затраты'!AG9</f>
        <v>5290</v>
      </c>
      <c r="AJ29" s="102">
        <f>'Постоянные затраты'!AH9</f>
        <v>5290</v>
      </c>
      <c r="AK29" s="102">
        <f>'Постоянные затраты'!AI9</f>
        <v>5290</v>
      </c>
      <c r="AL29" s="102">
        <f>'Постоянные затраты'!AJ9</f>
        <v>5290</v>
      </c>
      <c r="AM29" s="102">
        <f>'Постоянные затраты'!AK9</f>
        <v>5290</v>
      </c>
      <c r="AN29" s="102">
        <f>'Постоянные затраты'!AL9</f>
        <v>5290</v>
      </c>
      <c r="AO29" s="102">
        <f>'Постоянные затраты'!AM9</f>
        <v>5290</v>
      </c>
      <c r="AP29" s="87">
        <f t="shared" si="4"/>
        <v>63480</v>
      </c>
      <c r="AQ29" s="44">
        <f t="shared" si="5"/>
        <v>166680</v>
      </c>
    </row>
    <row r="30" spans="1:43" ht="11.25" customHeight="1" outlineLevel="1">
      <c r="A30" s="80" t="s">
        <v>57</v>
      </c>
      <c r="B30" s="94" t="str">
        <f>'Постоянные затраты'!A10</f>
        <v>Хостинг и облака</v>
      </c>
      <c r="C30" s="104"/>
      <c r="D30" s="95">
        <f>'Постоянные затраты'!B10</f>
        <v>15000</v>
      </c>
      <c r="E30" s="95">
        <f>'Постоянные затраты'!C10</f>
        <v>15000</v>
      </c>
      <c r="F30" s="95">
        <f>'Постоянные затраты'!D10</f>
        <v>15000</v>
      </c>
      <c r="G30" s="95">
        <f>'Постоянные затраты'!E10</f>
        <v>15000</v>
      </c>
      <c r="H30" s="95">
        <f>'Постоянные затраты'!F10</f>
        <v>15000</v>
      </c>
      <c r="I30" s="95">
        <f>'Постоянные затраты'!G10</f>
        <v>15000</v>
      </c>
      <c r="J30" s="95">
        <f>'Постоянные затраты'!H10</f>
        <v>15000</v>
      </c>
      <c r="K30" s="95">
        <f>'Постоянные затраты'!I10</f>
        <v>15000</v>
      </c>
      <c r="L30" s="95">
        <f>'Постоянные затраты'!J10</f>
        <v>15000</v>
      </c>
      <c r="M30" s="95">
        <f>'Постоянные затраты'!K10</f>
        <v>15000</v>
      </c>
      <c r="N30" s="95">
        <f>'Постоянные затраты'!L10</f>
        <v>15000</v>
      </c>
      <c r="O30" s="95">
        <f>'Постоянные затраты'!M10</f>
        <v>15000</v>
      </c>
      <c r="P30" s="84">
        <f t="shared" si="2"/>
        <v>180000</v>
      </c>
      <c r="Q30" s="101">
        <f>'Постоянные затраты'!O10</f>
        <v>17250</v>
      </c>
      <c r="R30" s="101">
        <f>'Постоянные затраты'!P10</f>
        <v>17250</v>
      </c>
      <c r="S30" s="101">
        <f>'Постоянные затраты'!Q10</f>
        <v>17250</v>
      </c>
      <c r="T30" s="101">
        <f>'Постоянные затраты'!R10</f>
        <v>17250</v>
      </c>
      <c r="U30" s="101">
        <f>'Постоянные затраты'!S10</f>
        <v>17250</v>
      </c>
      <c r="V30" s="101">
        <f>'Постоянные затраты'!T10</f>
        <v>17250</v>
      </c>
      <c r="W30" s="101">
        <f>'Постоянные затраты'!U10</f>
        <v>17250</v>
      </c>
      <c r="X30" s="101">
        <f>'Постоянные затраты'!V10</f>
        <v>17250</v>
      </c>
      <c r="Y30" s="101">
        <f>'Постоянные затраты'!W10</f>
        <v>17250</v>
      </c>
      <c r="Z30" s="101">
        <f>'Постоянные затраты'!X10</f>
        <v>17250</v>
      </c>
      <c r="AA30" s="101">
        <f>'Постоянные затраты'!Y10</f>
        <v>17250</v>
      </c>
      <c r="AB30" s="101">
        <f>'Постоянные затраты'!Z10</f>
        <v>17250</v>
      </c>
      <c r="AC30" s="86">
        <f t="shared" si="3"/>
        <v>207000</v>
      </c>
      <c r="AD30" s="102">
        <f>'Постоянные затраты'!AB10</f>
        <v>19837.5</v>
      </c>
      <c r="AE30" s="102">
        <f>'Постоянные затраты'!AC10</f>
        <v>19837.5</v>
      </c>
      <c r="AF30" s="102">
        <f>'Постоянные затраты'!AD10</f>
        <v>19837.5</v>
      </c>
      <c r="AG30" s="102">
        <f>'Постоянные затраты'!AE10</f>
        <v>19837.5</v>
      </c>
      <c r="AH30" s="102">
        <f>'Постоянные затраты'!AF10</f>
        <v>19837.5</v>
      </c>
      <c r="AI30" s="102">
        <f>'Постоянные затраты'!AG10</f>
        <v>19837.5</v>
      </c>
      <c r="AJ30" s="102">
        <f>'Постоянные затраты'!AH10</f>
        <v>19837.5</v>
      </c>
      <c r="AK30" s="102">
        <f>'Постоянные затраты'!AI10</f>
        <v>19837.5</v>
      </c>
      <c r="AL30" s="102">
        <f>'Постоянные затраты'!AJ10</f>
        <v>19837.5</v>
      </c>
      <c r="AM30" s="102">
        <f>'Постоянные затраты'!AK10</f>
        <v>19837.5</v>
      </c>
      <c r="AN30" s="102">
        <f>'Постоянные затраты'!AL10</f>
        <v>19837.5</v>
      </c>
      <c r="AO30" s="102">
        <f>'Постоянные затраты'!AM10</f>
        <v>19837.5</v>
      </c>
      <c r="AP30" s="87">
        <f t="shared" si="4"/>
        <v>238050</v>
      </c>
      <c r="AQ30" s="44">
        <f t="shared" si="5"/>
        <v>625050</v>
      </c>
    </row>
    <row r="31" spans="1:43" ht="11.25" customHeight="1" outlineLevel="1">
      <c r="A31" s="80" t="s">
        <v>58</v>
      </c>
      <c r="B31" s="94" t="str">
        <f>'Постоянные затраты'!A11</f>
        <v>Домены, SSL, почта</v>
      </c>
      <c r="C31" s="104"/>
      <c r="D31" s="95">
        <f>'Постоянные затраты'!B11</f>
        <v>5000</v>
      </c>
      <c r="E31" s="95">
        <f>'Постоянные затраты'!C11</f>
        <v>5000</v>
      </c>
      <c r="F31" s="95">
        <f>'Постоянные затраты'!D11</f>
        <v>5000</v>
      </c>
      <c r="G31" s="95">
        <f>'Постоянные затраты'!E11</f>
        <v>5000</v>
      </c>
      <c r="H31" s="95">
        <f>'Постоянные затраты'!F11</f>
        <v>5000</v>
      </c>
      <c r="I31" s="95">
        <f>'Постоянные затраты'!G11</f>
        <v>5000</v>
      </c>
      <c r="J31" s="95">
        <f>'Постоянные затраты'!H11</f>
        <v>5000</v>
      </c>
      <c r="K31" s="95">
        <f>'Постоянные затраты'!I11</f>
        <v>5000</v>
      </c>
      <c r="L31" s="95">
        <f>'Постоянные затраты'!J11</f>
        <v>5000</v>
      </c>
      <c r="M31" s="95">
        <f>'Постоянные затраты'!K11</f>
        <v>5000</v>
      </c>
      <c r="N31" s="95">
        <f>'Постоянные затраты'!L11</f>
        <v>5000</v>
      </c>
      <c r="O31" s="95">
        <f>'Постоянные затраты'!M11</f>
        <v>5000</v>
      </c>
      <c r="P31" s="84">
        <f t="shared" si="2"/>
        <v>60000</v>
      </c>
      <c r="Q31" s="101">
        <f>'Постоянные затраты'!O11</f>
        <v>5750</v>
      </c>
      <c r="R31" s="101">
        <f>'Постоянные затраты'!P11</f>
        <v>5750</v>
      </c>
      <c r="S31" s="101">
        <f>'Постоянные затраты'!Q11</f>
        <v>5750</v>
      </c>
      <c r="T31" s="101">
        <f>'Постоянные затраты'!R11</f>
        <v>5750</v>
      </c>
      <c r="U31" s="101">
        <f>'Постоянные затраты'!S11</f>
        <v>5750</v>
      </c>
      <c r="V31" s="101">
        <f>'Постоянные затраты'!T11</f>
        <v>5750</v>
      </c>
      <c r="W31" s="101">
        <f>'Постоянные затраты'!U11</f>
        <v>5750</v>
      </c>
      <c r="X31" s="101">
        <f>'Постоянные затраты'!V11</f>
        <v>5750</v>
      </c>
      <c r="Y31" s="101">
        <f>'Постоянные затраты'!W11</f>
        <v>5750</v>
      </c>
      <c r="Z31" s="101">
        <f>'Постоянные затраты'!X11</f>
        <v>5750</v>
      </c>
      <c r="AA31" s="101">
        <f>'Постоянные затраты'!Y11</f>
        <v>5750</v>
      </c>
      <c r="AB31" s="101">
        <f>'Постоянные затраты'!Z11</f>
        <v>5750</v>
      </c>
      <c r="AC31" s="86">
        <f t="shared" si="3"/>
        <v>69000</v>
      </c>
      <c r="AD31" s="102">
        <f>'Постоянные затраты'!AB11</f>
        <v>6612.5</v>
      </c>
      <c r="AE31" s="102">
        <f>'Постоянные затраты'!AC11</f>
        <v>6612.5</v>
      </c>
      <c r="AF31" s="102">
        <f>'Постоянные затраты'!AD11</f>
        <v>6612.5</v>
      </c>
      <c r="AG31" s="102">
        <f>'Постоянные затраты'!AE11</f>
        <v>6612.5</v>
      </c>
      <c r="AH31" s="102">
        <f>'Постоянные затраты'!AF11</f>
        <v>6612.5</v>
      </c>
      <c r="AI31" s="102">
        <f>'Постоянные затраты'!AG11</f>
        <v>6612.5</v>
      </c>
      <c r="AJ31" s="102">
        <f>'Постоянные затраты'!AH11</f>
        <v>6612.5</v>
      </c>
      <c r="AK31" s="102">
        <f>'Постоянные затраты'!AI11</f>
        <v>6612.5</v>
      </c>
      <c r="AL31" s="102">
        <f>'Постоянные затраты'!AJ11</f>
        <v>6612.5</v>
      </c>
      <c r="AM31" s="102">
        <f>'Постоянные затраты'!AK11</f>
        <v>6612.5</v>
      </c>
      <c r="AN31" s="102">
        <f>'Постоянные затраты'!AL11</f>
        <v>6612.5</v>
      </c>
      <c r="AO31" s="102">
        <f>'Постоянные затраты'!AM11</f>
        <v>6612.5</v>
      </c>
      <c r="AP31" s="87">
        <f t="shared" si="4"/>
        <v>79350</v>
      </c>
      <c r="AQ31" s="44">
        <f t="shared" si="5"/>
        <v>208350</v>
      </c>
    </row>
    <row r="32" spans="1:43" ht="11.25" customHeight="1" outlineLevel="1">
      <c r="A32" s="80" t="s">
        <v>59</v>
      </c>
      <c r="B32" s="94" t="str">
        <f>'Постоянные затраты'!A12</f>
        <v>SaaS-сервисы</v>
      </c>
      <c r="C32" s="104"/>
      <c r="D32" s="95">
        <f>'Постоянные затраты'!B12</f>
        <v>10000</v>
      </c>
      <c r="E32" s="95">
        <f>'Постоянные затраты'!C12</f>
        <v>10000</v>
      </c>
      <c r="F32" s="95">
        <f>'Постоянные затраты'!D12</f>
        <v>10000</v>
      </c>
      <c r="G32" s="95">
        <f>'Постоянные затраты'!E12</f>
        <v>10000</v>
      </c>
      <c r="H32" s="95">
        <f>'Постоянные затраты'!F12</f>
        <v>10000</v>
      </c>
      <c r="I32" s="95">
        <f>'Постоянные затраты'!G12</f>
        <v>10000</v>
      </c>
      <c r="J32" s="95">
        <f>'Постоянные затраты'!H12</f>
        <v>10000</v>
      </c>
      <c r="K32" s="95">
        <f>'Постоянные затраты'!I12</f>
        <v>10000</v>
      </c>
      <c r="L32" s="95">
        <f>'Постоянные затраты'!J12</f>
        <v>10000</v>
      </c>
      <c r="M32" s="95">
        <f>'Постоянные затраты'!K12</f>
        <v>10000</v>
      </c>
      <c r="N32" s="95">
        <f>'Постоянные затраты'!L12</f>
        <v>10000</v>
      </c>
      <c r="O32" s="95">
        <f>'Постоянные затраты'!M12</f>
        <v>10000</v>
      </c>
      <c r="P32" s="84">
        <f t="shared" si="2"/>
        <v>120000</v>
      </c>
      <c r="Q32" s="101">
        <f>'Постоянные затраты'!O12</f>
        <v>11500</v>
      </c>
      <c r="R32" s="101">
        <f>'Постоянные затраты'!P12</f>
        <v>11500</v>
      </c>
      <c r="S32" s="101">
        <f>'Постоянные затраты'!Q12</f>
        <v>11500</v>
      </c>
      <c r="T32" s="101">
        <f>'Постоянные затраты'!R12</f>
        <v>11500</v>
      </c>
      <c r="U32" s="101">
        <f>'Постоянные затраты'!S12</f>
        <v>11500</v>
      </c>
      <c r="V32" s="101">
        <f>'Постоянные затраты'!T12</f>
        <v>11500</v>
      </c>
      <c r="W32" s="101">
        <f>'Постоянные затраты'!U12</f>
        <v>11500</v>
      </c>
      <c r="X32" s="101">
        <f>'Постоянные затраты'!V12</f>
        <v>11500</v>
      </c>
      <c r="Y32" s="101">
        <f>'Постоянные затраты'!W12</f>
        <v>11500</v>
      </c>
      <c r="Z32" s="101">
        <f>'Постоянные затраты'!X12</f>
        <v>11500</v>
      </c>
      <c r="AA32" s="101">
        <f>'Постоянные затраты'!Y12</f>
        <v>11500</v>
      </c>
      <c r="AB32" s="101">
        <f>'Постоянные затраты'!Z12</f>
        <v>11500</v>
      </c>
      <c r="AC32" s="86">
        <f t="shared" si="3"/>
        <v>138000</v>
      </c>
      <c r="AD32" s="102">
        <f>'Постоянные затраты'!AB12</f>
        <v>13225</v>
      </c>
      <c r="AE32" s="102">
        <f>'Постоянные затраты'!AC12</f>
        <v>13225</v>
      </c>
      <c r="AF32" s="102">
        <f>'Постоянные затраты'!AD12</f>
        <v>13225</v>
      </c>
      <c r="AG32" s="102">
        <f>'Постоянные затраты'!AE12</f>
        <v>13225</v>
      </c>
      <c r="AH32" s="102">
        <f>'Постоянные затраты'!AF12</f>
        <v>13225</v>
      </c>
      <c r="AI32" s="102">
        <f>'Постоянные затраты'!AG12</f>
        <v>13225</v>
      </c>
      <c r="AJ32" s="102">
        <f>'Постоянные затраты'!AH12</f>
        <v>13225</v>
      </c>
      <c r="AK32" s="102">
        <f>'Постоянные затраты'!AI12</f>
        <v>13225</v>
      </c>
      <c r="AL32" s="102">
        <f>'Постоянные затраты'!AJ12</f>
        <v>13225</v>
      </c>
      <c r="AM32" s="102">
        <f>'Постоянные затраты'!AK12</f>
        <v>13225</v>
      </c>
      <c r="AN32" s="102">
        <f>'Постоянные затраты'!AL12</f>
        <v>13225</v>
      </c>
      <c r="AO32" s="102">
        <f>'Постоянные затраты'!AM12</f>
        <v>13225</v>
      </c>
      <c r="AP32" s="87">
        <f t="shared" si="4"/>
        <v>158700</v>
      </c>
      <c r="AQ32" s="44">
        <f t="shared" si="5"/>
        <v>416700</v>
      </c>
    </row>
    <row r="33" spans="1:43" ht="11.25" customHeight="1" outlineLevel="1">
      <c r="A33" s="80" t="s">
        <v>60</v>
      </c>
      <c r="B33" s="94" t="str">
        <f>'Постоянные затраты'!A13</f>
        <v>Мониторинг и аналитика</v>
      </c>
      <c r="C33" s="104"/>
      <c r="D33" s="95">
        <f>'Постоянные затраты'!B13</f>
        <v>5000</v>
      </c>
      <c r="E33" s="95">
        <f>'Постоянные затраты'!C13</f>
        <v>5000</v>
      </c>
      <c r="F33" s="95">
        <f>'Постоянные затраты'!D13</f>
        <v>5000</v>
      </c>
      <c r="G33" s="95">
        <f>'Постоянные затраты'!E13</f>
        <v>5000</v>
      </c>
      <c r="H33" s="95">
        <f>'Постоянные затраты'!F13</f>
        <v>5000</v>
      </c>
      <c r="I33" s="95">
        <f>'Постоянные затраты'!G13</f>
        <v>5000</v>
      </c>
      <c r="J33" s="95">
        <f>'Постоянные затраты'!H13</f>
        <v>5000</v>
      </c>
      <c r="K33" s="95">
        <f>'Постоянные затраты'!I13</f>
        <v>5000</v>
      </c>
      <c r="L33" s="95">
        <f>'Постоянные затраты'!J13</f>
        <v>5000</v>
      </c>
      <c r="M33" s="95">
        <f>'Постоянные затраты'!K13</f>
        <v>5000</v>
      </c>
      <c r="N33" s="95">
        <f>'Постоянные затраты'!L13</f>
        <v>5000</v>
      </c>
      <c r="O33" s="95">
        <f>'Постоянные затраты'!M13</f>
        <v>5000</v>
      </c>
      <c r="P33" s="84">
        <f t="shared" si="2"/>
        <v>60000</v>
      </c>
      <c r="Q33" s="101">
        <f>'Постоянные затраты'!O13</f>
        <v>5750</v>
      </c>
      <c r="R33" s="101">
        <f>'Постоянные затраты'!P13</f>
        <v>5750</v>
      </c>
      <c r="S33" s="101">
        <f>'Постоянные затраты'!Q13</f>
        <v>5750</v>
      </c>
      <c r="T33" s="101">
        <f>'Постоянные затраты'!R13</f>
        <v>5750</v>
      </c>
      <c r="U33" s="101">
        <f>'Постоянные затраты'!S13</f>
        <v>5750</v>
      </c>
      <c r="V33" s="101">
        <f>'Постоянные затраты'!T13</f>
        <v>5750</v>
      </c>
      <c r="W33" s="101">
        <f>'Постоянные затраты'!U13</f>
        <v>5750</v>
      </c>
      <c r="X33" s="101">
        <f>'Постоянные затраты'!V13</f>
        <v>5750</v>
      </c>
      <c r="Y33" s="101">
        <f>'Постоянные затраты'!W13</f>
        <v>5750</v>
      </c>
      <c r="Z33" s="101">
        <f>'Постоянные затраты'!X13</f>
        <v>5750</v>
      </c>
      <c r="AA33" s="101">
        <f>'Постоянные затраты'!Y13</f>
        <v>5750</v>
      </c>
      <c r="AB33" s="101">
        <f>'Постоянные затраты'!Z13</f>
        <v>5750</v>
      </c>
      <c r="AC33" s="86">
        <f t="shared" si="3"/>
        <v>69000</v>
      </c>
      <c r="AD33" s="102">
        <f>'Постоянные затраты'!AB13</f>
        <v>6612.5</v>
      </c>
      <c r="AE33" s="102">
        <f>'Постоянные затраты'!AC13</f>
        <v>6612.5</v>
      </c>
      <c r="AF33" s="102">
        <f>'Постоянные затраты'!AD13</f>
        <v>6612.5</v>
      </c>
      <c r="AG33" s="102">
        <f>'Постоянные затраты'!AE13</f>
        <v>6612.5</v>
      </c>
      <c r="AH33" s="102">
        <f>'Постоянные затраты'!AF13</f>
        <v>6612.5</v>
      </c>
      <c r="AI33" s="102">
        <f>'Постоянные затраты'!AG13</f>
        <v>6612.5</v>
      </c>
      <c r="AJ33" s="102">
        <f>'Постоянные затраты'!AH13</f>
        <v>6612.5</v>
      </c>
      <c r="AK33" s="102">
        <f>'Постоянные затраты'!AI13</f>
        <v>6612.5</v>
      </c>
      <c r="AL33" s="102">
        <f>'Постоянные затраты'!AJ13</f>
        <v>6612.5</v>
      </c>
      <c r="AM33" s="102">
        <f>'Постоянные затраты'!AK13</f>
        <v>6612.5</v>
      </c>
      <c r="AN33" s="102">
        <f>'Постоянные затраты'!AL13</f>
        <v>6612.5</v>
      </c>
      <c r="AO33" s="102">
        <f>'Постоянные затраты'!AM13</f>
        <v>6612.5</v>
      </c>
      <c r="AP33" s="87">
        <f t="shared" si="4"/>
        <v>79350</v>
      </c>
      <c r="AQ33" s="44">
        <f t="shared" si="5"/>
        <v>208350</v>
      </c>
    </row>
    <row r="34" spans="1:43" ht="11.25" customHeight="1" outlineLevel="1">
      <c r="A34" s="80" t="s">
        <v>61</v>
      </c>
      <c r="B34" s="94" t="str">
        <f>'Постоянные затраты'!A14</f>
        <v>Расходы 10</v>
      </c>
      <c r="C34" s="104"/>
      <c r="D34" s="95">
        <f>'Постоянные затраты'!B14</f>
        <v>0</v>
      </c>
      <c r="E34" s="95">
        <f>'Постоянные затраты'!C14</f>
        <v>0</v>
      </c>
      <c r="F34" s="95">
        <f>'Постоянные затраты'!D14</f>
        <v>0</v>
      </c>
      <c r="G34" s="95">
        <f>'Постоянные затраты'!E14</f>
        <v>0</v>
      </c>
      <c r="H34" s="95">
        <f>'Постоянные затраты'!F14</f>
        <v>0</v>
      </c>
      <c r="I34" s="95">
        <f>'Постоянные затраты'!G14</f>
        <v>0</v>
      </c>
      <c r="J34" s="95">
        <f>'Постоянные затраты'!H14</f>
        <v>0</v>
      </c>
      <c r="K34" s="95">
        <f>'Постоянные затраты'!I14</f>
        <v>0</v>
      </c>
      <c r="L34" s="95">
        <f>'Постоянные затраты'!J14</f>
        <v>0</v>
      </c>
      <c r="M34" s="95">
        <f>'Постоянные затраты'!K14</f>
        <v>0</v>
      </c>
      <c r="N34" s="95">
        <f>'Постоянные затраты'!L14</f>
        <v>0</v>
      </c>
      <c r="O34" s="95">
        <f>'Постоянные затраты'!M14</f>
        <v>0</v>
      </c>
      <c r="P34" s="84">
        <f t="shared" si="2"/>
        <v>0</v>
      </c>
      <c r="Q34" s="101">
        <f>'Постоянные затраты'!O14</f>
        <v>0</v>
      </c>
      <c r="R34" s="101">
        <f>'Постоянные затраты'!P14</f>
        <v>0</v>
      </c>
      <c r="S34" s="101">
        <f>'Постоянные затраты'!Q14</f>
        <v>0</v>
      </c>
      <c r="T34" s="101">
        <f>'Постоянные затраты'!R14</f>
        <v>0</v>
      </c>
      <c r="U34" s="101">
        <f>'Постоянные затраты'!S14</f>
        <v>0</v>
      </c>
      <c r="V34" s="101">
        <f>'Постоянные затраты'!T14</f>
        <v>0</v>
      </c>
      <c r="W34" s="101">
        <f>'Постоянные затраты'!U14</f>
        <v>0</v>
      </c>
      <c r="X34" s="101">
        <f>'Постоянные затраты'!V14</f>
        <v>0</v>
      </c>
      <c r="Y34" s="101">
        <f>'Постоянные затраты'!W14</f>
        <v>0</v>
      </c>
      <c r="Z34" s="101">
        <f>'Постоянные затраты'!X14</f>
        <v>0</v>
      </c>
      <c r="AA34" s="101">
        <f>'Постоянные затраты'!Y14</f>
        <v>0</v>
      </c>
      <c r="AB34" s="101">
        <f>'Постоянные затраты'!Z14</f>
        <v>0</v>
      </c>
      <c r="AC34" s="86">
        <f t="shared" si="3"/>
        <v>0</v>
      </c>
      <c r="AD34" s="102">
        <f>'Постоянные затраты'!AB14</f>
        <v>0</v>
      </c>
      <c r="AE34" s="102">
        <f>'Постоянные затраты'!AC14</f>
        <v>0</v>
      </c>
      <c r="AF34" s="102">
        <f>'Постоянные затраты'!AD14</f>
        <v>0</v>
      </c>
      <c r="AG34" s="102">
        <f>'Постоянные затраты'!AE14</f>
        <v>0</v>
      </c>
      <c r="AH34" s="102">
        <f>'Постоянные затраты'!AF14</f>
        <v>0</v>
      </c>
      <c r="AI34" s="102">
        <f>'Постоянные затраты'!AG14</f>
        <v>0</v>
      </c>
      <c r="AJ34" s="102">
        <f>'Постоянные затраты'!AH14</f>
        <v>0</v>
      </c>
      <c r="AK34" s="102">
        <f>'Постоянные затраты'!AI14</f>
        <v>0</v>
      </c>
      <c r="AL34" s="102">
        <f>'Постоянные затраты'!AJ14</f>
        <v>0</v>
      </c>
      <c r="AM34" s="102">
        <f>'Постоянные затраты'!AK14</f>
        <v>0</v>
      </c>
      <c r="AN34" s="102">
        <f>'Постоянные затраты'!AL14</f>
        <v>0</v>
      </c>
      <c r="AO34" s="102">
        <f>'Постоянные затраты'!AM14</f>
        <v>0</v>
      </c>
      <c r="AP34" s="87">
        <f t="shared" si="4"/>
        <v>0</v>
      </c>
      <c r="AQ34" s="44">
        <f t="shared" si="5"/>
        <v>0</v>
      </c>
    </row>
    <row r="35" spans="1:43" ht="11.25" customHeight="1" outlineLevel="1">
      <c r="A35" s="80" t="s">
        <v>62</v>
      </c>
      <c r="B35" s="94" t="str">
        <f>'Постоянные затраты'!A15</f>
        <v>Расходы 11</v>
      </c>
      <c r="C35" s="104"/>
      <c r="D35" s="95">
        <f>'Постоянные затраты'!B15</f>
        <v>0</v>
      </c>
      <c r="E35" s="95">
        <f>'Постоянные затраты'!C15</f>
        <v>0</v>
      </c>
      <c r="F35" s="95">
        <f>'Постоянные затраты'!D15</f>
        <v>0</v>
      </c>
      <c r="G35" s="95">
        <f>'Постоянные затраты'!E15</f>
        <v>0</v>
      </c>
      <c r="H35" s="95">
        <f>'Постоянные затраты'!F15</f>
        <v>0</v>
      </c>
      <c r="I35" s="95">
        <f>'Постоянные затраты'!G15</f>
        <v>0</v>
      </c>
      <c r="J35" s="95">
        <f>'Постоянные затраты'!H15</f>
        <v>0</v>
      </c>
      <c r="K35" s="95">
        <f>'Постоянные затраты'!I15</f>
        <v>0</v>
      </c>
      <c r="L35" s="95">
        <f>'Постоянные затраты'!J15</f>
        <v>0</v>
      </c>
      <c r="M35" s="95">
        <f>'Постоянные затраты'!K15</f>
        <v>0</v>
      </c>
      <c r="N35" s="95">
        <f>'Постоянные затраты'!L15</f>
        <v>0</v>
      </c>
      <c r="O35" s="95">
        <f>'Постоянные затраты'!M15</f>
        <v>0</v>
      </c>
      <c r="P35" s="84">
        <f t="shared" si="2"/>
        <v>0</v>
      </c>
      <c r="Q35" s="101">
        <f>'Постоянные затраты'!O15</f>
        <v>0</v>
      </c>
      <c r="R35" s="101">
        <f>'Постоянные затраты'!P15</f>
        <v>0</v>
      </c>
      <c r="S35" s="101">
        <f>'Постоянные затраты'!Q15</f>
        <v>0</v>
      </c>
      <c r="T35" s="101">
        <f>'Постоянные затраты'!R15</f>
        <v>0</v>
      </c>
      <c r="U35" s="101">
        <f>'Постоянные затраты'!S15</f>
        <v>0</v>
      </c>
      <c r="V35" s="101">
        <f>'Постоянные затраты'!T15</f>
        <v>0</v>
      </c>
      <c r="W35" s="101">
        <f>'Постоянные затраты'!U15</f>
        <v>0</v>
      </c>
      <c r="X35" s="101">
        <f>'Постоянные затраты'!V15</f>
        <v>0</v>
      </c>
      <c r="Y35" s="101">
        <f>'Постоянные затраты'!W15</f>
        <v>0</v>
      </c>
      <c r="Z35" s="101">
        <f>'Постоянные затраты'!X15</f>
        <v>0</v>
      </c>
      <c r="AA35" s="101">
        <f>'Постоянные затраты'!Y15</f>
        <v>0</v>
      </c>
      <c r="AB35" s="101">
        <f>'Постоянные затраты'!Z15</f>
        <v>0</v>
      </c>
      <c r="AC35" s="86">
        <f t="shared" si="3"/>
        <v>0</v>
      </c>
      <c r="AD35" s="102">
        <f>'Постоянные затраты'!AB15</f>
        <v>0</v>
      </c>
      <c r="AE35" s="102">
        <f>'Постоянные затраты'!AC15</f>
        <v>0</v>
      </c>
      <c r="AF35" s="102">
        <f>'Постоянные затраты'!AD15</f>
        <v>0</v>
      </c>
      <c r="AG35" s="102">
        <f>'Постоянные затраты'!AE15</f>
        <v>0</v>
      </c>
      <c r="AH35" s="102">
        <f>'Постоянные затраты'!AF15</f>
        <v>0</v>
      </c>
      <c r="AI35" s="102">
        <f>'Постоянные затраты'!AG15</f>
        <v>0</v>
      </c>
      <c r="AJ35" s="102">
        <f>'Постоянные затраты'!AH15</f>
        <v>0</v>
      </c>
      <c r="AK35" s="102">
        <f>'Постоянные затраты'!AI15</f>
        <v>0</v>
      </c>
      <c r="AL35" s="102">
        <f>'Постоянные затраты'!AJ15</f>
        <v>0</v>
      </c>
      <c r="AM35" s="102">
        <f>'Постоянные затраты'!AK15</f>
        <v>0</v>
      </c>
      <c r="AN35" s="102">
        <f>'Постоянные затраты'!AL15</f>
        <v>0</v>
      </c>
      <c r="AO35" s="102">
        <f>'Постоянные затраты'!AM15</f>
        <v>0</v>
      </c>
      <c r="AP35" s="87">
        <f t="shared" si="4"/>
        <v>0</v>
      </c>
      <c r="AQ35" s="44">
        <f t="shared" si="5"/>
        <v>0</v>
      </c>
    </row>
    <row r="36" spans="1:43" ht="11.25" customHeight="1" outlineLevel="1">
      <c r="A36" s="80" t="s">
        <v>63</v>
      </c>
      <c r="B36" s="94" t="str">
        <f>'Постоянные затраты'!A16</f>
        <v>Расходы 12</v>
      </c>
      <c r="C36" s="104"/>
      <c r="D36" s="95">
        <f>'Постоянные затраты'!B16</f>
        <v>0</v>
      </c>
      <c r="E36" s="95">
        <f>'Постоянные затраты'!C16</f>
        <v>0</v>
      </c>
      <c r="F36" s="95">
        <f>'Постоянные затраты'!D16</f>
        <v>0</v>
      </c>
      <c r="G36" s="95">
        <f>'Постоянные затраты'!E16</f>
        <v>0</v>
      </c>
      <c r="H36" s="95">
        <f>'Постоянные затраты'!F16</f>
        <v>0</v>
      </c>
      <c r="I36" s="95">
        <f>'Постоянные затраты'!G16</f>
        <v>0</v>
      </c>
      <c r="J36" s="95">
        <f>'Постоянные затраты'!H16</f>
        <v>0</v>
      </c>
      <c r="K36" s="95">
        <f>'Постоянные затраты'!I16</f>
        <v>0</v>
      </c>
      <c r="L36" s="95">
        <f>'Постоянные затраты'!J16</f>
        <v>0</v>
      </c>
      <c r="M36" s="95">
        <f>'Постоянные затраты'!K16</f>
        <v>0</v>
      </c>
      <c r="N36" s="95">
        <f>'Постоянные затраты'!L16</f>
        <v>0</v>
      </c>
      <c r="O36" s="95">
        <f>'Постоянные затраты'!M16</f>
        <v>0</v>
      </c>
      <c r="P36" s="84">
        <f t="shared" si="2"/>
        <v>0</v>
      </c>
      <c r="Q36" s="101">
        <f>'Постоянные затраты'!O16</f>
        <v>0</v>
      </c>
      <c r="R36" s="101">
        <f>'Постоянные затраты'!P16</f>
        <v>0</v>
      </c>
      <c r="S36" s="101">
        <f>'Постоянные затраты'!Q16</f>
        <v>0</v>
      </c>
      <c r="T36" s="101">
        <f>'Постоянные затраты'!R16</f>
        <v>0</v>
      </c>
      <c r="U36" s="101">
        <f>'Постоянные затраты'!S16</f>
        <v>0</v>
      </c>
      <c r="V36" s="101">
        <f>'Постоянные затраты'!T16</f>
        <v>0</v>
      </c>
      <c r="W36" s="101">
        <f>'Постоянные затраты'!U16</f>
        <v>0</v>
      </c>
      <c r="X36" s="101">
        <f>'Постоянные затраты'!V16</f>
        <v>0</v>
      </c>
      <c r="Y36" s="101">
        <f>'Постоянные затраты'!W16</f>
        <v>0</v>
      </c>
      <c r="Z36" s="101">
        <f>'Постоянные затраты'!X16</f>
        <v>0</v>
      </c>
      <c r="AA36" s="101">
        <f>'Постоянные затраты'!Y16</f>
        <v>0</v>
      </c>
      <c r="AB36" s="101">
        <f>'Постоянные затраты'!Z16</f>
        <v>0</v>
      </c>
      <c r="AC36" s="86">
        <f t="shared" si="3"/>
        <v>0</v>
      </c>
      <c r="AD36" s="102">
        <f>'Постоянные затраты'!AB16</f>
        <v>0</v>
      </c>
      <c r="AE36" s="102">
        <f>'Постоянные затраты'!AC16</f>
        <v>0</v>
      </c>
      <c r="AF36" s="102">
        <f>'Постоянные затраты'!AD16</f>
        <v>0</v>
      </c>
      <c r="AG36" s="102">
        <f>'Постоянные затраты'!AE16</f>
        <v>0</v>
      </c>
      <c r="AH36" s="102">
        <f>'Постоянные затраты'!AF16</f>
        <v>0</v>
      </c>
      <c r="AI36" s="102">
        <f>'Постоянные затраты'!AG16</f>
        <v>0</v>
      </c>
      <c r="AJ36" s="102">
        <f>'Постоянные затраты'!AH16</f>
        <v>0</v>
      </c>
      <c r="AK36" s="102">
        <f>'Постоянные затраты'!AI16</f>
        <v>0</v>
      </c>
      <c r="AL36" s="102">
        <f>'Постоянные затраты'!AJ16</f>
        <v>0</v>
      </c>
      <c r="AM36" s="102">
        <f>'Постоянные затраты'!AK16</f>
        <v>0</v>
      </c>
      <c r="AN36" s="102">
        <f>'Постоянные затраты'!AL16</f>
        <v>0</v>
      </c>
      <c r="AO36" s="102">
        <f>'Постоянные затраты'!AM16</f>
        <v>0</v>
      </c>
      <c r="AP36" s="87">
        <f t="shared" si="4"/>
        <v>0</v>
      </c>
      <c r="AQ36" s="44">
        <f t="shared" si="5"/>
        <v>0</v>
      </c>
    </row>
    <row r="37" spans="1:43" ht="11.25" customHeight="1" outlineLevel="1">
      <c r="A37" s="80" t="s">
        <v>64</v>
      </c>
      <c r="B37" s="94" t="str">
        <f>'Постоянные затраты'!A17</f>
        <v>Расходы 13</v>
      </c>
      <c r="C37" s="104"/>
      <c r="D37" s="95">
        <f>'Постоянные затраты'!B17</f>
        <v>0</v>
      </c>
      <c r="E37" s="95">
        <f>'Постоянные затраты'!C17</f>
        <v>0</v>
      </c>
      <c r="F37" s="95">
        <f>'Постоянные затраты'!D17</f>
        <v>0</v>
      </c>
      <c r="G37" s="95">
        <f>'Постоянные затраты'!E17</f>
        <v>0</v>
      </c>
      <c r="H37" s="95">
        <f>'Постоянные затраты'!F17</f>
        <v>0</v>
      </c>
      <c r="I37" s="95">
        <f>'Постоянные затраты'!G17</f>
        <v>0</v>
      </c>
      <c r="J37" s="95">
        <f>'Постоянные затраты'!H17</f>
        <v>0</v>
      </c>
      <c r="K37" s="95">
        <f>'Постоянные затраты'!I17</f>
        <v>0</v>
      </c>
      <c r="L37" s="95">
        <f>'Постоянные затраты'!J17</f>
        <v>0</v>
      </c>
      <c r="M37" s="95">
        <f>'Постоянные затраты'!K17</f>
        <v>0</v>
      </c>
      <c r="N37" s="95">
        <f>'Постоянные затраты'!L17</f>
        <v>0</v>
      </c>
      <c r="O37" s="95">
        <f>'Постоянные затраты'!M17</f>
        <v>0</v>
      </c>
      <c r="P37" s="84">
        <f t="shared" si="2"/>
        <v>0</v>
      </c>
      <c r="Q37" s="101">
        <f>'Постоянные затраты'!O17</f>
        <v>0</v>
      </c>
      <c r="R37" s="101">
        <f>'Постоянные затраты'!P17</f>
        <v>0</v>
      </c>
      <c r="S37" s="101">
        <f>'Постоянные затраты'!Q17</f>
        <v>0</v>
      </c>
      <c r="T37" s="101">
        <f>'Постоянные затраты'!R17</f>
        <v>0</v>
      </c>
      <c r="U37" s="101">
        <f>'Постоянные затраты'!S17</f>
        <v>0</v>
      </c>
      <c r="V37" s="101">
        <f>'Постоянные затраты'!T17</f>
        <v>0</v>
      </c>
      <c r="W37" s="101">
        <f>'Постоянные затраты'!U17</f>
        <v>0</v>
      </c>
      <c r="X37" s="101">
        <f>'Постоянные затраты'!V17</f>
        <v>0</v>
      </c>
      <c r="Y37" s="101">
        <f>'Постоянные затраты'!W17</f>
        <v>0</v>
      </c>
      <c r="Z37" s="101">
        <f>'Постоянные затраты'!X17</f>
        <v>0</v>
      </c>
      <c r="AA37" s="101">
        <f>'Постоянные затраты'!Y17</f>
        <v>0</v>
      </c>
      <c r="AB37" s="101">
        <f>'Постоянные затраты'!Z17</f>
        <v>0</v>
      </c>
      <c r="AC37" s="86">
        <f t="shared" si="3"/>
        <v>0</v>
      </c>
      <c r="AD37" s="102">
        <f>'Постоянные затраты'!AB17</f>
        <v>0</v>
      </c>
      <c r="AE37" s="102">
        <f>'Постоянные затраты'!AC17</f>
        <v>0</v>
      </c>
      <c r="AF37" s="102">
        <f>'Постоянные затраты'!AD17</f>
        <v>0</v>
      </c>
      <c r="AG37" s="102">
        <f>'Постоянные затраты'!AE17</f>
        <v>0</v>
      </c>
      <c r="AH37" s="102">
        <f>'Постоянные затраты'!AF17</f>
        <v>0</v>
      </c>
      <c r="AI37" s="102">
        <f>'Постоянные затраты'!AG17</f>
        <v>0</v>
      </c>
      <c r="AJ37" s="102">
        <f>'Постоянные затраты'!AH17</f>
        <v>0</v>
      </c>
      <c r="AK37" s="102">
        <f>'Постоянные затраты'!AI17</f>
        <v>0</v>
      </c>
      <c r="AL37" s="102">
        <f>'Постоянные затраты'!AJ17</f>
        <v>0</v>
      </c>
      <c r="AM37" s="102">
        <f>'Постоянные затраты'!AK17</f>
        <v>0</v>
      </c>
      <c r="AN37" s="102">
        <f>'Постоянные затраты'!AL17</f>
        <v>0</v>
      </c>
      <c r="AO37" s="102">
        <f>'Постоянные затраты'!AM17</f>
        <v>0</v>
      </c>
      <c r="AP37" s="87">
        <f t="shared" si="4"/>
        <v>0</v>
      </c>
      <c r="AQ37" s="44">
        <f t="shared" si="5"/>
        <v>0</v>
      </c>
    </row>
    <row r="38" spans="1:43" ht="11.25" customHeight="1" outlineLevel="1">
      <c r="A38" s="80" t="s">
        <v>65</v>
      </c>
      <c r="B38" s="94" t="str">
        <f>'Постоянные затраты'!A18</f>
        <v>Расходы 14</v>
      </c>
      <c r="C38" s="104"/>
      <c r="D38" s="95">
        <f>'Постоянные затраты'!B18</f>
        <v>0</v>
      </c>
      <c r="E38" s="95">
        <f>'Постоянные затраты'!C18</f>
        <v>0</v>
      </c>
      <c r="F38" s="95">
        <f>'Постоянные затраты'!D18</f>
        <v>0</v>
      </c>
      <c r="G38" s="95">
        <f>'Постоянные затраты'!E18</f>
        <v>0</v>
      </c>
      <c r="H38" s="95">
        <f>'Постоянные затраты'!F18</f>
        <v>0</v>
      </c>
      <c r="I38" s="95">
        <f>'Постоянные затраты'!G18</f>
        <v>0</v>
      </c>
      <c r="J38" s="95">
        <f>'Постоянные затраты'!H18</f>
        <v>0</v>
      </c>
      <c r="K38" s="95">
        <f>'Постоянные затраты'!I18</f>
        <v>0</v>
      </c>
      <c r="L38" s="95">
        <f>'Постоянные затраты'!J18</f>
        <v>0</v>
      </c>
      <c r="M38" s="95">
        <f>'Постоянные затраты'!K18</f>
        <v>0</v>
      </c>
      <c r="N38" s="95">
        <f>'Постоянные затраты'!L18</f>
        <v>0</v>
      </c>
      <c r="O38" s="95">
        <f>'Постоянные затраты'!M18</f>
        <v>0</v>
      </c>
      <c r="P38" s="84">
        <f t="shared" si="2"/>
        <v>0</v>
      </c>
      <c r="Q38" s="101">
        <f>'Постоянные затраты'!O18</f>
        <v>0</v>
      </c>
      <c r="R38" s="101">
        <f>'Постоянные затраты'!P18</f>
        <v>0</v>
      </c>
      <c r="S38" s="101">
        <f>'Постоянные затраты'!Q18</f>
        <v>0</v>
      </c>
      <c r="T38" s="101">
        <f>'Постоянные затраты'!R18</f>
        <v>0</v>
      </c>
      <c r="U38" s="101">
        <f>'Постоянные затраты'!S18</f>
        <v>0</v>
      </c>
      <c r="V38" s="101">
        <f>'Постоянные затраты'!T18</f>
        <v>0</v>
      </c>
      <c r="W38" s="101">
        <f>'Постоянные затраты'!U18</f>
        <v>0</v>
      </c>
      <c r="X38" s="101">
        <f>'Постоянные затраты'!V18</f>
        <v>0</v>
      </c>
      <c r="Y38" s="101">
        <f>'Постоянные затраты'!W18</f>
        <v>0</v>
      </c>
      <c r="Z38" s="101">
        <f>'Постоянные затраты'!X18</f>
        <v>0</v>
      </c>
      <c r="AA38" s="101">
        <f>'Постоянные затраты'!Y18</f>
        <v>0</v>
      </c>
      <c r="AB38" s="101">
        <f>'Постоянные затраты'!Z18</f>
        <v>0</v>
      </c>
      <c r="AC38" s="86">
        <f t="shared" si="3"/>
        <v>0</v>
      </c>
      <c r="AD38" s="102">
        <f>'Постоянные затраты'!AB18</f>
        <v>0</v>
      </c>
      <c r="AE38" s="102">
        <f>'Постоянные затраты'!AC18</f>
        <v>0</v>
      </c>
      <c r="AF38" s="102">
        <f>'Постоянные затраты'!AD18</f>
        <v>0</v>
      </c>
      <c r="AG38" s="102">
        <f>'Постоянные затраты'!AE18</f>
        <v>0</v>
      </c>
      <c r="AH38" s="102">
        <f>'Постоянные затраты'!AF18</f>
        <v>0</v>
      </c>
      <c r="AI38" s="102">
        <f>'Постоянные затраты'!AG18</f>
        <v>0</v>
      </c>
      <c r="AJ38" s="102">
        <f>'Постоянные затраты'!AH18</f>
        <v>0</v>
      </c>
      <c r="AK38" s="102">
        <f>'Постоянные затраты'!AI18</f>
        <v>0</v>
      </c>
      <c r="AL38" s="102">
        <f>'Постоянные затраты'!AJ18</f>
        <v>0</v>
      </c>
      <c r="AM38" s="102">
        <f>'Постоянные затраты'!AK18</f>
        <v>0</v>
      </c>
      <c r="AN38" s="102">
        <f>'Постоянные затраты'!AL18</f>
        <v>0</v>
      </c>
      <c r="AO38" s="102">
        <f>'Постоянные затраты'!AM18</f>
        <v>0</v>
      </c>
      <c r="AP38" s="87">
        <f t="shared" si="4"/>
        <v>0</v>
      </c>
      <c r="AQ38" s="44">
        <f t="shared" si="5"/>
        <v>0</v>
      </c>
    </row>
    <row r="39" spans="1:43" ht="11.25" customHeight="1" outlineLevel="1">
      <c r="A39" s="80" t="s">
        <v>66</v>
      </c>
      <c r="B39" s="94" t="str">
        <f>'Постоянные затраты'!A19</f>
        <v>Расходы 15</v>
      </c>
      <c r="C39" s="104"/>
      <c r="D39" s="95">
        <f>'Постоянные затраты'!B19</f>
        <v>0</v>
      </c>
      <c r="E39" s="95">
        <f>'Постоянные затраты'!C19</f>
        <v>0</v>
      </c>
      <c r="F39" s="95">
        <f>'Постоянные затраты'!D19</f>
        <v>0</v>
      </c>
      <c r="G39" s="95">
        <f>'Постоянные затраты'!E19</f>
        <v>0</v>
      </c>
      <c r="H39" s="95">
        <f>'Постоянные затраты'!F19</f>
        <v>0</v>
      </c>
      <c r="I39" s="95">
        <f>'Постоянные затраты'!G19</f>
        <v>0</v>
      </c>
      <c r="J39" s="95">
        <f>'Постоянные затраты'!H19</f>
        <v>0</v>
      </c>
      <c r="K39" s="95">
        <f>'Постоянные затраты'!I19</f>
        <v>0</v>
      </c>
      <c r="L39" s="95">
        <f>'Постоянные затраты'!J19</f>
        <v>0</v>
      </c>
      <c r="M39" s="95">
        <f>'Постоянные затраты'!K19</f>
        <v>0</v>
      </c>
      <c r="N39" s="95">
        <f>'Постоянные затраты'!L19</f>
        <v>0</v>
      </c>
      <c r="O39" s="95">
        <f>'Постоянные затраты'!M19</f>
        <v>0</v>
      </c>
      <c r="P39" s="84">
        <f t="shared" si="2"/>
        <v>0</v>
      </c>
      <c r="Q39" s="101">
        <f>'Постоянные затраты'!O19</f>
        <v>0</v>
      </c>
      <c r="R39" s="101">
        <f>'Постоянные затраты'!P19</f>
        <v>0</v>
      </c>
      <c r="S39" s="101">
        <f>'Постоянные затраты'!Q19</f>
        <v>0</v>
      </c>
      <c r="T39" s="101">
        <f>'Постоянные затраты'!R19</f>
        <v>0</v>
      </c>
      <c r="U39" s="101">
        <f>'Постоянные затраты'!S19</f>
        <v>0</v>
      </c>
      <c r="V39" s="101">
        <f>'Постоянные затраты'!T19</f>
        <v>0</v>
      </c>
      <c r="W39" s="101">
        <f>'Постоянные затраты'!U19</f>
        <v>0</v>
      </c>
      <c r="X39" s="101">
        <f>'Постоянные затраты'!V19</f>
        <v>0</v>
      </c>
      <c r="Y39" s="101">
        <f>'Постоянные затраты'!W19</f>
        <v>0</v>
      </c>
      <c r="Z39" s="101">
        <f>'Постоянные затраты'!X19</f>
        <v>0</v>
      </c>
      <c r="AA39" s="101">
        <f>'Постоянные затраты'!Y19</f>
        <v>0</v>
      </c>
      <c r="AB39" s="101">
        <f>'Постоянные затраты'!Z19</f>
        <v>0</v>
      </c>
      <c r="AC39" s="86">
        <f t="shared" si="3"/>
        <v>0</v>
      </c>
      <c r="AD39" s="102">
        <f>'Постоянные затраты'!AB19</f>
        <v>0</v>
      </c>
      <c r="AE39" s="102">
        <f>'Постоянные затраты'!AC19</f>
        <v>0</v>
      </c>
      <c r="AF39" s="102">
        <f>'Постоянные затраты'!AD19</f>
        <v>0</v>
      </c>
      <c r="AG39" s="102">
        <f>'Постоянные затраты'!AE19</f>
        <v>0</v>
      </c>
      <c r="AH39" s="102">
        <f>'Постоянные затраты'!AF19</f>
        <v>0</v>
      </c>
      <c r="AI39" s="102">
        <f>'Постоянные затраты'!AG19</f>
        <v>0</v>
      </c>
      <c r="AJ39" s="102">
        <f>'Постоянные затраты'!AH19</f>
        <v>0</v>
      </c>
      <c r="AK39" s="102">
        <f>'Постоянные затраты'!AI19</f>
        <v>0</v>
      </c>
      <c r="AL39" s="102">
        <f>'Постоянные затраты'!AJ19</f>
        <v>0</v>
      </c>
      <c r="AM39" s="102">
        <f>'Постоянные затраты'!AK19</f>
        <v>0</v>
      </c>
      <c r="AN39" s="102">
        <f>'Постоянные затраты'!AL19</f>
        <v>0</v>
      </c>
      <c r="AO39" s="102">
        <f>'Постоянные затраты'!AM19</f>
        <v>0</v>
      </c>
      <c r="AP39" s="87">
        <f t="shared" si="4"/>
        <v>0</v>
      </c>
      <c r="AQ39" s="44">
        <f t="shared" si="5"/>
        <v>0</v>
      </c>
    </row>
    <row r="40" spans="1:43">
      <c r="A40" s="105" t="s">
        <v>67</v>
      </c>
      <c r="B40" s="37" t="s">
        <v>68</v>
      </c>
      <c r="C40" s="106"/>
      <c r="D40" s="107">
        <f>D6*5%</f>
        <v>16200</v>
      </c>
      <c r="E40" s="107">
        <f t="shared" ref="E40:O40" si="46">E6*5%</f>
        <v>3950</v>
      </c>
      <c r="F40" s="107">
        <f t="shared" si="46"/>
        <v>35450</v>
      </c>
      <c r="G40" s="107">
        <f t="shared" si="46"/>
        <v>13200</v>
      </c>
      <c r="H40" s="107">
        <f t="shared" si="46"/>
        <v>28200</v>
      </c>
      <c r="I40" s="107">
        <f t="shared" si="46"/>
        <v>35700</v>
      </c>
      <c r="J40" s="107">
        <f t="shared" si="46"/>
        <v>38200</v>
      </c>
      <c r="K40" s="107">
        <f t="shared" si="46"/>
        <v>39550</v>
      </c>
      <c r="L40" s="107">
        <f t="shared" si="46"/>
        <v>60300</v>
      </c>
      <c r="M40" s="107">
        <f t="shared" si="46"/>
        <v>38800</v>
      </c>
      <c r="N40" s="107">
        <f t="shared" si="46"/>
        <v>53800</v>
      </c>
      <c r="O40" s="107">
        <f t="shared" si="46"/>
        <v>59550</v>
      </c>
      <c r="P40" s="97">
        <f t="shared" si="2"/>
        <v>422900</v>
      </c>
      <c r="Q40" s="98">
        <f>Q6*5%</f>
        <v>94990</v>
      </c>
      <c r="R40" s="98">
        <f t="shared" ref="R40:AB40" si="47">R6*5%</f>
        <v>117702.5</v>
      </c>
      <c r="S40" s="98">
        <f t="shared" si="47"/>
        <v>112815</v>
      </c>
      <c r="T40" s="98">
        <f t="shared" si="47"/>
        <v>152125.83333333326</v>
      </c>
      <c r="U40" s="98">
        <f t="shared" si="47"/>
        <v>132892.08333333326</v>
      </c>
      <c r="V40" s="98">
        <f t="shared" si="47"/>
        <v>156610.83333333326</v>
      </c>
      <c r="W40" s="98">
        <f t="shared" si="47"/>
        <v>153419.58333333326</v>
      </c>
      <c r="X40" s="98">
        <f t="shared" si="47"/>
        <v>192548.33333333326</v>
      </c>
      <c r="Y40" s="98">
        <f t="shared" si="47"/>
        <v>173199.58333333326</v>
      </c>
      <c r="Z40" s="98">
        <f t="shared" si="47"/>
        <v>196918.33333333326</v>
      </c>
      <c r="AA40" s="98">
        <f t="shared" si="47"/>
        <v>192174.58333333326</v>
      </c>
      <c r="AB40" s="98">
        <f t="shared" si="47"/>
        <v>231820.83333333326</v>
      </c>
      <c r="AC40" s="98">
        <f t="shared" si="3"/>
        <v>1907217.4999999993</v>
      </c>
      <c r="AD40" s="98">
        <f>AD6*5%</f>
        <v>256763.375</v>
      </c>
      <c r="AE40" s="98">
        <f t="shared" ref="AE40:AO40" si="48">AE6*5%</f>
        <v>272104.375</v>
      </c>
      <c r="AF40" s="98">
        <f t="shared" si="48"/>
        <v>251605.625</v>
      </c>
      <c r="AG40" s="98">
        <f t="shared" si="48"/>
        <v>299744.625</v>
      </c>
      <c r="AH40" s="98">
        <f t="shared" si="48"/>
        <v>281428</v>
      </c>
      <c r="AI40" s="98">
        <f t="shared" si="48"/>
        <v>328112.25</v>
      </c>
      <c r="AJ40" s="98">
        <f t="shared" si="48"/>
        <v>314027.625</v>
      </c>
      <c r="AK40" s="98">
        <f t="shared" si="48"/>
        <v>360844.125</v>
      </c>
      <c r="AL40" s="98">
        <f t="shared" si="48"/>
        <v>341337.25</v>
      </c>
      <c r="AM40" s="98">
        <f t="shared" si="48"/>
        <v>388021.5</v>
      </c>
      <c r="AN40" s="98">
        <f t="shared" si="48"/>
        <v>369837.125</v>
      </c>
      <c r="AO40" s="98">
        <f t="shared" si="48"/>
        <v>417843.875</v>
      </c>
      <c r="AP40" s="100">
        <f t="shared" si="4"/>
        <v>3881669.75</v>
      </c>
      <c r="AQ40" s="44">
        <f t="shared" si="5"/>
        <v>6211787.2499999991</v>
      </c>
    </row>
    <row r="41" spans="1:43" s="25" customFormat="1" ht="21">
      <c r="A41" s="36">
        <v>9</v>
      </c>
      <c r="B41" s="37" t="s">
        <v>69</v>
      </c>
      <c r="C41" s="106"/>
      <c r="D41" s="108">
        <f>D7+D9+D13+D15+D22+D23+D40</f>
        <v>897930.6</v>
      </c>
      <c r="E41" s="108">
        <f t="shared" ref="E41:O41" si="49">E7+E9+E13+E15+E22+E23+E40</f>
        <v>840150.4</v>
      </c>
      <c r="F41" s="108">
        <f t="shared" si="49"/>
        <v>976741</v>
      </c>
      <c r="G41" s="108">
        <f t="shared" si="49"/>
        <v>869521.2</v>
      </c>
      <c r="H41" s="108">
        <f t="shared" si="49"/>
        <v>935381.6</v>
      </c>
      <c r="I41" s="108">
        <f t="shared" si="49"/>
        <v>959572.2</v>
      </c>
      <c r="J41" s="108">
        <f t="shared" si="49"/>
        <v>967932.6</v>
      </c>
      <c r="K41" s="108">
        <f t="shared" si="49"/>
        <v>985312.8</v>
      </c>
      <c r="L41" s="108">
        <f t="shared" si="49"/>
        <v>1069883.6000000001</v>
      </c>
      <c r="M41" s="108">
        <f t="shared" si="49"/>
        <v>965844</v>
      </c>
      <c r="N41" s="108">
        <f t="shared" si="49"/>
        <v>1031704.4</v>
      </c>
      <c r="O41" s="108">
        <f t="shared" si="49"/>
        <v>1050414.8</v>
      </c>
      <c r="P41" s="109">
        <f t="shared" si="2"/>
        <v>11550389.200000001</v>
      </c>
      <c r="Q41" s="110">
        <f>Q7+Q9+Q13+Q15+Q22+Q23+Q40</f>
        <v>1916159.1</v>
      </c>
      <c r="R41" s="110">
        <f t="shared" ref="R41:AB41" si="50">R7+R9+R13+R15+R22+R23+R40</f>
        <v>2010607.8</v>
      </c>
      <c r="S41" s="110">
        <f t="shared" si="50"/>
        <v>1975796.5</v>
      </c>
      <c r="T41" s="110">
        <f t="shared" si="50"/>
        <v>2158518.9333333336</v>
      </c>
      <c r="U41" s="110">
        <f t="shared" si="50"/>
        <v>2058203.7333333332</v>
      </c>
      <c r="V41" s="110">
        <f t="shared" si="50"/>
        <v>2155826.333333333</v>
      </c>
      <c r="W41" s="110">
        <f t="shared" si="50"/>
        <v>2126178.6333333328</v>
      </c>
      <c r="X41" s="110">
        <f t="shared" si="50"/>
        <v>2308061.5333333332</v>
      </c>
      <c r="Y41" s="110">
        <f t="shared" si="50"/>
        <v>2208896.333333333</v>
      </c>
      <c r="Z41" s="110">
        <f t="shared" si="50"/>
        <v>2306518.9333333336</v>
      </c>
      <c r="AA41" s="110">
        <f t="shared" si="50"/>
        <v>2271178.7333333334</v>
      </c>
      <c r="AB41" s="110">
        <f t="shared" si="50"/>
        <v>2454959.1333333328</v>
      </c>
      <c r="AC41" s="110">
        <f t="shared" si="3"/>
        <v>25950905.699999999</v>
      </c>
      <c r="AD41" s="110">
        <f>AD7+AD9+AD13+AD15+AD22+AD23+AD40</f>
        <v>2834476.4249999998</v>
      </c>
      <c r="AE41" s="110">
        <f t="shared" ref="AE41:AO41" si="51">AE7+AE9+AE13+AE15+AE22+AE23+AE40</f>
        <v>2902849.6749999998</v>
      </c>
      <c r="AF41" s="110">
        <f t="shared" si="51"/>
        <v>2792685.4249999998</v>
      </c>
      <c r="AG41" s="110">
        <f t="shared" si="51"/>
        <v>3006754.0916666668</v>
      </c>
      <c r="AH41" s="110">
        <f t="shared" si="51"/>
        <v>2912724.3416666668</v>
      </c>
      <c r="AI41" s="110">
        <f t="shared" si="51"/>
        <v>3120555.2166666668</v>
      </c>
      <c r="AJ41" s="110">
        <f t="shared" si="51"/>
        <v>3039085.1166666667</v>
      </c>
      <c r="AK41" s="110">
        <f t="shared" si="51"/>
        <v>3245593.4916666667</v>
      </c>
      <c r="AL41" s="110">
        <f t="shared" si="51"/>
        <v>3147199.4916666667</v>
      </c>
      <c r="AM41" s="110">
        <f t="shared" si="51"/>
        <v>3355030.3666666667</v>
      </c>
      <c r="AN41" s="110">
        <f t="shared" si="51"/>
        <v>3259678.1166666667</v>
      </c>
      <c r="AO41" s="110">
        <f t="shared" si="51"/>
        <v>3470550.7416666667</v>
      </c>
      <c r="AP41" s="111">
        <f t="shared" si="4"/>
        <v>37087182.5</v>
      </c>
      <c r="AQ41" s="44">
        <f t="shared" si="5"/>
        <v>74588477.400000006</v>
      </c>
    </row>
    <row r="42" spans="1:43">
      <c r="A42" s="112">
        <v>10</v>
      </c>
      <c r="B42" s="88" t="s">
        <v>70</v>
      </c>
      <c r="C42" s="106"/>
      <c r="D42" s="90">
        <f>D41+D19</f>
        <v>928640.43333333335</v>
      </c>
      <c r="E42" s="90">
        <f t="shared" ref="E42:O42" si="52">E41+E19</f>
        <v>856160.2333333334</v>
      </c>
      <c r="F42" s="90">
        <f t="shared" si="52"/>
        <v>1030550.8333333334</v>
      </c>
      <c r="G42" s="90">
        <f t="shared" si="52"/>
        <v>896631.03333333333</v>
      </c>
      <c r="H42" s="90">
        <f t="shared" si="52"/>
        <v>980491.43333333335</v>
      </c>
      <c r="I42" s="90">
        <f t="shared" si="52"/>
        <v>1013682.0333333333</v>
      </c>
      <c r="J42" s="90">
        <f t="shared" si="52"/>
        <v>1025042.4333333333</v>
      </c>
      <c r="K42" s="90">
        <f t="shared" si="52"/>
        <v>1044042.6333333334</v>
      </c>
      <c r="L42" s="90">
        <f t="shared" si="52"/>
        <v>1153513.4333333333</v>
      </c>
      <c r="M42" s="90">
        <f t="shared" si="52"/>
        <v>1023673.8333333334</v>
      </c>
      <c r="N42" s="90">
        <f t="shared" si="52"/>
        <v>1107534.2333333334</v>
      </c>
      <c r="O42" s="90">
        <f t="shared" si="52"/>
        <v>1133144.6333333333</v>
      </c>
      <c r="P42" s="91">
        <f>SUM(D42:O42)</f>
        <v>12193107.199999999</v>
      </c>
      <c r="Q42" s="92">
        <f>Q41+Q19</f>
        <v>2066466.5583333333</v>
      </c>
      <c r="R42" s="92">
        <f t="shared" ref="R42:AB42" si="53">R41+R19</f>
        <v>2188170.2583333333</v>
      </c>
      <c r="S42" s="92">
        <f t="shared" si="53"/>
        <v>2147493.9583333335</v>
      </c>
      <c r="T42" s="92">
        <f t="shared" si="53"/>
        <v>2377389.3916666666</v>
      </c>
      <c r="U42" s="92">
        <f t="shared" si="53"/>
        <v>2253993.6916666664</v>
      </c>
      <c r="V42" s="92">
        <f t="shared" si="53"/>
        <v>2380078.791666666</v>
      </c>
      <c r="W42" s="92">
        <f t="shared" si="53"/>
        <v>2346601.5916666659</v>
      </c>
      <c r="X42" s="92">
        <f t="shared" si="53"/>
        <v>2575438.9916666662</v>
      </c>
      <c r="Y42" s="92">
        <f t="shared" si="53"/>
        <v>2453055.291666666</v>
      </c>
      <c r="Z42" s="92">
        <f t="shared" si="53"/>
        <v>2579140.3916666666</v>
      </c>
      <c r="AA42" s="92">
        <f t="shared" si="53"/>
        <v>2538107.6916666664</v>
      </c>
      <c r="AB42" s="92">
        <f t="shared" si="53"/>
        <v>2769463.5916666659</v>
      </c>
      <c r="AC42" s="92">
        <f>SUM(Q42:AB42)</f>
        <v>28675400.199999996</v>
      </c>
      <c r="AD42" s="92">
        <f>AD41+AD19</f>
        <v>3212133.1374999997</v>
      </c>
      <c r="AE42" s="92">
        <f t="shared" ref="AE42:AO42" si="54">AE41+AE19</f>
        <v>3298915.5874999999</v>
      </c>
      <c r="AF42" s="92">
        <f t="shared" si="54"/>
        <v>3164152.8374999999</v>
      </c>
      <c r="AG42" s="92">
        <f>AG41+AG19</f>
        <v>3435988.3041666667</v>
      </c>
      <c r="AH42" s="92">
        <f t="shared" si="54"/>
        <v>3319978.604166667</v>
      </c>
      <c r="AI42" s="92">
        <f t="shared" si="54"/>
        <v>3583830.5791666666</v>
      </c>
      <c r="AJ42" s="92">
        <f t="shared" si="54"/>
        <v>3485458.9291666667</v>
      </c>
      <c r="AK42" s="92">
        <f t="shared" si="54"/>
        <v>3748147.104166667</v>
      </c>
      <c r="AL42" s="92">
        <f t="shared" si="54"/>
        <v>3626344.854166667</v>
      </c>
      <c r="AM42" s="92">
        <f t="shared" si="54"/>
        <v>3890196.8291666666</v>
      </c>
      <c r="AN42" s="92">
        <f t="shared" si="54"/>
        <v>3773023.3291666666</v>
      </c>
      <c r="AO42" s="92">
        <f t="shared" si="54"/>
        <v>4041504.0541666667</v>
      </c>
      <c r="AP42" s="93">
        <f t="shared" si="4"/>
        <v>42579674.150000006</v>
      </c>
      <c r="AQ42" s="44">
        <f t="shared" si="5"/>
        <v>83448181.549999997</v>
      </c>
    </row>
    <row r="43" spans="1:43" s="25" customFormat="1" ht="10.5">
      <c r="A43" s="36">
        <v>11</v>
      </c>
      <c r="B43" s="88" t="s">
        <v>71</v>
      </c>
      <c r="C43" s="113"/>
      <c r="D43" s="114">
        <f t="shared" ref="D43:AB43" si="55">D54/D6</f>
        <v>-1.8661741769547326</v>
      </c>
      <c r="E43" s="114">
        <f t="shared" si="55"/>
        <v>-9.8374713080168785</v>
      </c>
      <c r="F43" s="114">
        <f t="shared" si="55"/>
        <v>-0.45352726845322056</v>
      </c>
      <c r="G43" s="114">
        <f t="shared" si="55"/>
        <v>-2.3963296717171718</v>
      </c>
      <c r="H43" s="114">
        <f t="shared" si="55"/>
        <v>-0.73845998817966907</v>
      </c>
      <c r="I43" s="114">
        <f t="shared" si="55"/>
        <v>-0.41972273576097102</v>
      </c>
      <c r="J43" s="114">
        <f t="shared" si="55"/>
        <v>-0.34167857766143106</v>
      </c>
      <c r="K43" s="114">
        <f t="shared" si="55"/>
        <v>-0.3199021913190056</v>
      </c>
      <c r="L43" s="114">
        <f t="shared" si="55"/>
        <v>4.3521199557766711E-2</v>
      </c>
      <c r="M43" s="114">
        <f t="shared" si="55"/>
        <v>-0.31916731099656365</v>
      </c>
      <c r="N43" s="114">
        <f t="shared" si="55"/>
        <v>-2.9306908302354457E-2</v>
      </c>
      <c r="O43" s="114">
        <f t="shared" si="55"/>
        <v>4.8577134061013182E-2</v>
      </c>
      <c r="P43" s="115">
        <f>P54/P6</f>
        <v>-0.4416064317805628</v>
      </c>
      <c r="Q43" s="116">
        <f t="shared" si="55"/>
        <v>-8.7728475804470657E-2</v>
      </c>
      <c r="R43" s="116">
        <f t="shared" si="55"/>
        <v>7.0465683255099387E-2</v>
      </c>
      <c r="S43" s="116">
        <f t="shared" si="55"/>
        <v>4.8223215736677975E-2</v>
      </c>
      <c r="T43" s="116">
        <f t="shared" si="55"/>
        <v>0.21861088955962954</v>
      </c>
      <c r="U43" s="116">
        <f t="shared" si="55"/>
        <v>0.15194583637726058</v>
      </c>
      <c r="V43" s="116">
        <f t="shared" si="55"/>
        <v>0.24012958075484331</v>
      </c>
      <c r="W43" s="116">
        <f t="shared" si="55"/>
        <v>0.23523400967390612</v>
      </c>
      <c r="X43" s="116">
        <f t="shared" si="55"/>
        <v>0.33122272546287063</v>
      </c>
      <c r="Y43" s="116">
        <f t="shared" si="55"/>
        <v>0.29184145698964814</v>
      </c>
      <c r="Z43" s="116">
        <f t="shared" si="55"/>
        <v>0.34512435992924284</v>
      </c>
      <c r="AA43" s="116">
        <f t="shared" si="55"/>
        <v>0.33963491746870772</v>
      </c>
      <c r="AB43" s="116">
        <f t="shared" si="55"/>
        <v>0.40267154771105557</v>
      </c>
      <c r="AC43" s="116">
        <f>AC54/AC6</f>
        <v>0.24823990446815833</v>
      </c>
      <c r="AD43" s="116">
        <f>AD54/AD6</f>
        <v>0.37449545958414049</v>
      </c>
      <c r="AE43" s="116">
        <f t="shared" ref="AE43:AO43" si="56">AE54/AE6</f>
        <v>0.39381430609118284</v>
      </c>
      <c r="AF43" s="116">
        <f t="shared" si="56"/>
        <v>0.37120785008284296</v>
      </c>
      <c r="AG43" s="116">
        <f>AG54/AG6</f>
        <v>0.42684738647662712</v>
      </c>
      <c r="AH43" s="116">
        <f t="shared" si="56"/>
        <v>0.41015488789909549</v>
      </c>
      <c r="AI43" s="116">
        <f t="shared" si="56"/>
        <v>0.45387126217221901</v>
      </c>
      <c r="AJ43" s="116">
        <f t="shared" si="56"/>
        <v>0.44503944053223554</v>
      </c>
      <c r="AK43" s="116">
        <f t="shared" si="56"/>
        <v>0.48064180008935065</v>
      </c>
      <c r="AL43" s="116">
        <f t="shared" si="56"/>
        <v>0.46880323577830035</v>
      </c>
      <c r="AM43" s="116">
        <f t="shared" si="56"/>
        <v>0.49871375308241084</v>
      </c>
      <c r="AN43" s="116">
        <f t="shared" si="56"/>
        <v>0.48990743842080936</v>
      </c>
      <c r="AO43" s="116">
        <f t="shared" si="56"/>
        <v>0.51638586850571078</v>
      </c>
      <c r="AP43" s="117">
        <f>AP54/AP6</f>
        <v>0.45152889230208204</v>
      </c>
      <c r="AQ43" s="118">
        <f>AQ54/AQ6</f>
        <v>0.32830779458842535</v>
      </c>
    </row>
    <row r="44" spans="1:43" s="119" customFormat="1" ht="21">
      <c r="A44" s="120">
        <v>12</v>
      </c>
      <c r="B44" s="121" t="s">
        <v>72</v>
      </c>
      <c r="C44" s="122"/>
      <c r="D44" s="123">
        <f>D6-D42</f>
        <v>-604640.43333333335</v>
      </c>
      <c r="E44" s="123">
        <f t="shared" ref="E44:N44" si="57">E6-E42</f>
        <v>-777160.2333333334</v>
      </c>
      <c r="F44" s="123">
        <f t="shared" si="57"/>
        <v>-321550.83333333337</v>
      </c>
      <c r="G44" s="123">
        <f t="shared" si="57"/>
        <v>-632631.03333333333</v>
      </c>
      <c r="H44" s="123">
        <f t="shared" si="57"/>
        <v>-416491.43333333335</v>
      </c>
      <c r="I44" s="123">
        <f t="shared" si="57"/>
        <v>-299682.03333333333</v>
      </c>
      <c r="J44" s="123">
        <f t="shared" si="57"/>
        <v>-261042.43333333335</v>
      </c>
      <c r="K44" s="123">
        <f t="shared" si="57"/>
        <v>-253042.63333333342</v>
      </c>
      <c r="L44" s="123">
        <f t="shared" si="57"/>
        <v>52486.566666666651</v>
      </c>
      <c r="M44" s="123">
        <f t="shared" si="57"/>
        <v>-247673.83333333337</v>
      </c>
      <c r="N44" s="123">
        <f t="shared" si="57"/>
        <v>-31534.233333333395</v>
      </c>
      <c r="O44" s="123">
        <f>O6-O42</f>
        <v>57855.366666666698</v>
      </c>
      <c r="P44" s="124">
        <f>D44+E44+F44+G44+H44+I44+J44+K44+L44+M44+N44+O44</f>
        <v>-3735107.2</v>
      </c>
      <c r="Q44" s="125">
        <f>Q6-Q42</f>
        <v>-166666.55833333335</v>
      </c>
      <c r="R44" s="125">
        <f t="shared" ref="R44:AB44" si="58">R6-R42</f>
        <v>165879.7416666667</v>
      </c>
      <c r="S44" s="125">
        <f t="shared" si="58"/>
        <v>108806.04166666651</v>
      </c>
      <c r="T44" s="125">
        <f t="shared" si="58"/>
        <v>665127.27499999851</v>
      </c>
      <c r="U44" s="125">
        <f t="shared" si="58"/>
        <v>403847.9749999987</v>
      </c>
      <c r="V44" s="125">
        <f t="shared" si="58"/>
        <v>752137.87499999907</v>
      </c>
      <c r="W44" s="125">
        <f t="shared" si="58"/>
        <v>721790.07499999925</v>
      </c>
      <c r="X44" s="125">
        <f t="shared" si="58"/>
        <v>1275527.6749999989</v>
      </c>
      <c r="Y44" s="125">
        <f t="shared" si="58"/>
        <v>1010936.3749999991</v>
      </c>
      <c r="Z44" s="125">
        <f t="shared" si="58"/>
        <v>1359226.2749999985</v>
      </c>
      <c r="AA44" s="125">
        <f t="shared" si="58"/>
        <v>1305383.9749999987</v>
      </c>
      <c r="AB44" s="125">
        <f t="shared" si="58"/>
        <v>1866953.0749999993</v>
      </c>
      <c r="AC44" s="125">
        <f>SUM(Q44:AB44)</f>
        <v>9468949.7999999896</v>
      </c>
      <c r="AD44" s="125">
        <f>AD6-AD42</f>
        <v>1923134.3625000003</v>
      </c>
      <c r="AE44" s="125">
        <f t="shared" ref="AE44:AO44" si="59">AE6-AE42</f>
        <v>2143171.9125000001</v>
      </c>
      <c r="AF44" s="125">
        <f t="shared" si="59"/>
        <v>1867959.6625000001</v>
      </c>
      <c r="AG44" s="125">
        <f t="shared" si="59"/>
        <v>2558904.1958333333</v>
      </c>
      <c r="AH44" s="125">
        <f t="shared" si="59"/>
        <v>2308581.395833333</v>
      </c>
      <c r="AI44" s="125">
        <f t="shared" si="59"/>
        <v>2978414.4208333334</v>
      </c>
      <c r="AJ44" s="125">
        <f t="shared" si="59"/>
        <v>2795093.5708333333</v>
      </c>
      <c r="AK44" s="125">
        <f t="shared" si="59"/>
        <v>3468735.395833333</v>
      </c>
      <c r="AL44" s="125">
        <f t="shared" si="59"/>
        <v>3200400.145833333</v>
      </c>
      <c r="AM44" s="125">
        <f t="shared" si="59"/>
        <v>3870233.1708333334</v>
      </c>
      <c r="AN44" s="125">
        <f t="shared" si="59"/>
        <v>3623719.1708333334</v>
      </c>
      <c r="AO44" s="125">
        <f t="shared" si="59"/>
        <v>4315373.4458333328</v>
      </c>
      <c r="AP44" s="126">
        <f>SUM(AD44:AO44)</f>
        <v>35053720.849999994</v>
      </c>
      <c r="AQ44" s="44">
        <f>P44+AC44+AP44</f>
        <v>40787563.449999981</v>
      </c>
    </row>
    <row r="45" spans="1:43" s="127" customFormat="1" ht="10.5">
      <c r="A45" s="120">
        <v>13</v>
      </c>
      <c r="B45" s="128" t="s">
        <v>73</v>
      </c>
      <c r="C45" s="106">
        <f>SUM(C46:C46)</f>
        <v>2480000</v>
      </c>
      <c r="D45" s="129">
        <f>SUM(D46)</f>
        <v>0</v>
      </c>
      <c r="E45" s="129">
        <f t="shared" ref="E45:O45" si="60">SUM(E46)</f>
        <v>0</v>
      </c>
      <c r="F45" s="129">
        <f t="shared" si="60"/>
        <v>0</v>
      </c>
      <c r="G45" s="129">
        <f t="shared" si="60"/>
        <v>0</v>
      </c>
      <c r="H45" s="129">
        <f t="shared" si="60"/>
        <v>0</v>
      </c>
      <c r="I45" s="129">
        <f t="shared" si="60"/>
        <v>0</v>
      </c>
      <c r="J45" s="129">
        <f t="shared" si="60"/>
        <v>0</v>
      </c>
      <c r="K45" s="129">
        <f t="shared" si="60"/>
        <v>0</v>
      </c>
      <c r="L45" s="129">
        <f t="shared" si="60"/>
        <v>0</v>
      </c>
      <c r="M45" s="129">
        <f t="shared" si="60"/>
        <v>0</v>
      </c>
      <c r="N45" s="129">
        <f t="shared" si="60"/>
        <v>0</v>
      </c>
      <c r="O45" s="129">
        <f t="shared" si="60"/>
        <v>0</v>
      </c>
      <c r="P45" s="130">
        <f>SUM(P46)</f>
        <v>0</v>
      </c>
      <c r="Q45" s="131">
        <f>SUM(Q46)</f>
        <v>0</v>
      </c>
      <c r="R45" s="131">
        <f t="shared" ref="R45:AB45" si="61">SUM(R46)</f>
        <v>0</v>
      </c>
      <c r="S45" s="131">
        <f t="shared" si="61"/>
        <v>0</v>
      </c>
      <c r="T45" s="131">
        <f t="shared" si="61"/>
        <v>0</v>
      </c>
      <c r="U45" s="131">
        <f t="shared" si="61"/>
        <v>0</v>
      </c>
      <c r="V45" s="131">
        <f t="shared" si="61"/>
        <v>0</v>
      </c>
      <c r="W45" s="131">
        <f t="shared" si="61"/>
        <v>0</v>
      </c>
      <c r="X45" s="131">
        <f t="shared" si="61"/>
        <v>0</v>
      </c>
      <c r="Y45" s="131">
        <f t="shared" si="61"/>
        <v>0</v>
      </c>
      <c r="Z45" s="131">
        <f t="shared" si="61"/>
        <v>0</v>
      </c>
      <c r="AA45" s="131">
        <f t="shared" si="61"/>
        <v>0</v>
      </c>
      <c r="AB45" s="131">
        <f t="shared" si="61"/>
        <v>0</v>
      </c>
      <c r="AC45" s="131">
        <f>SUM(AC46)</f>
        <v>0</v>
      </c>
      <c r="AD45" s="131">
        <f t="shared" ref="AD45:AO45" si="62">SUM(AD46)</f>
        <v>0</v>
      </c>
      <c r="AE45" s="131">
        <f t="shared" si="62"/>
        <v>0</v>
      </c>
      <c r="AF45" s="131">
        <f t="shared" si="62"/>
        <v>0</v>
      </c>
      <c r="AG45" s="131">
        <f t="shared" si="62"/>
        <v>0</v>
      </c>
      <c r="AH45" s="131">
        <f t="shared" si="62"/>
        <v>0</v>
      </c>
      <c r="AI45" s="131">
        <f t="shared" si="62"/>
        <v>0</v>
      </c>
      <c r="AJ45" s="131">
        <f t="shared" si="62"/>
        <v>0</v>
      </c>
      <c r="AK45" s="131">
        <f t="shared" si="62"/>
        <v>0</v>
      </c>
      <c r="AL45" s="131">
        <f t="shared" si="62"/>
        <v>0</v>
      </c>
      <c r="AM45" s="131">
        <f t="shared" si="62"/>
        <v>0</v>
      </c>
      <c r="AN45" s="131">
        <f t="shared" si="62"/>
        <v>0</v>
      </c>
      <c r="AO45" s="131">
        <f t="shared" si="62"/>
        <v>0</v>
      </c>
      <c r="AP45" s="131">
        <f>SUM(AP46)</f>
        <v>0</v>
      </c>
      <c r="AQ45" s="44">
        <f>SUM(AQ46)</f>
        <v>0</v>
      </c>
    </row>
    <row r="46" spans="1:43" s="119" customFormat="1" outlineLevel="1">
      <c r="A46" s="132" t="s">
        <v>74</v>
      </c>
      <c r="B46" s="133" t="s">
        <v>75</v>
      </c>
      <c r="C46" s="83">
        <f>'План-график'!F19</f>
        <v>2480000</v>
      </c>
      <c r="D46" s="134">
        <v>0</v>
      </c>
      <c r="E46" s="134">
        <v>0</v>
      </c>
      <c r="F46" s="134">
        <v>0</v>
      </c>
      <c r="G46" s="134">
        <v>0</v>
      </c>
      <c r="H46" s="135">
        <v>0</v>
      </c>
      <c r="I46" s="135">
        <v>0</v>
      </c>
      <c r="J46" s="134">
        <v>0</v>
      </c>
      <c r="K46" s="134">
        <v>0</v>
      </c>
      <c r="L46" s="134">
        <v>0</v>
      </c>
      <c r="M46" s="134">
        <v>0</v>
      </c>
      <c r="N46" s="134">
        <v>0</v>
      </c>
      <c r="O46" s="134">
        <v>0</v>
      </c>
      <c r="P46" s="130">
        <f>SUM(D46:O46)</f>
        <v>0</v>
      </c>
      <c r="Q46" s="136">
        <v>0</v>
      </c>
      <c r="R46" s="136">
        <v>0</v>
      </c>
      <c r="S46" s="136">
        <v>0</v>
      </c>
      <c r="T46" s="136">
        <v>0</v>
      </c>
      <c r="U46" s="136">
        <v>0</v>
      </c>
      <c r="V46" s="136">
        <v>0</v>
      </c>
      <c r="W46" s="136">
        <v>0</v>
      </c>
      <c r="X46" s="136">
        <v>0</v>
      </c>
      <c r="Y46" s="136">
        <v>0</v>
      </c>
      <c r="Z46" s="136">
        <v>0</v>
      </c>
      <c r="AA46" s="136">
        <v>0</v>
      </c>
      <c r="AB46" s="136">
        <v>0</v>
      </c>
      <c r="AC46" s="131">
        <f>SUM(Q46:AB46)</f>
        <v>0</v>
      </c>
      <c r="AD46" s="136">
        <v>0</v>
      </c>
      <c r="AE46" s="136">
        <v>0</v>
      </c>
      <c r="AF46" s="136">
        <v>0</v>
      </c>
      <c r="AG46" s="136">
        <v>0</v>
      </c>
      <c r="AH46" s="136">
        <v>0</v>
      </c>
      <c r="AI46" s="136">
        <v>0</v>
      </c>
      <c r="AJ46" s="136">
        <v>0</v>
      </c>
      <c r="AK46" s="136">
        <v>0</v>
      </c>
      <c r="AL46" s="136">
        <v>0</v>
      </c>
      <c r="AM46" s="136">
        <v>0</v>
      </c>
      <c r="AN46" s="136">
        <v>0</v>
      </c>
      <c r="AO46" s="136">
        <v>0</v>
      </c>
      <c r="AP46" s="131">
        <f>SUM(AD46:AO46)</f>
        <v>0</v>
      </c>
      <c r="AQ46" s="44">
        <f t="shared" ref="AQ46:AQ53" si="63">P46+AC46+AP46</f>
        <v>0</v>
      </c>
    </row>
    <row r="47" spans="1:43" s="127" customFormat="1" ht="21" outlineLevel="1">
      <c r="A47" s="137" t="s">
        <v>76</v>
      </c>
      <c r="B47" s="138" t="s">
        <v>77</v>
      </c>
      <c r="C47" s="139">
        <f>SUM(C48:C50)</f>
        <v>500000</v>
      </c>
      <c r="D47" s="140">
        <f>SUM(D48:D50)-D51-D52-D53</f>
        <v>0</v>
      </c>
      <c r="E47" s="140">
        <f t="shared" ref="E47:AP47" si="64">SUM(E48:E50)-E51-E52-E53</f>
        <v>0</v>
      </c>
      <c r="F47" s="140">
        <f t="shared" si="64"/>
        <v>0</v>
      </c>
      <c r="G47" s="140">
        <f t="shared" si="64"/>
        <v>0</v>
      </c>
      <c r="H47" s="140">
        <f>SUM(H48:H50)-H51-H52-H53</f>
        <v>0</v>
      </c>
      <c r="I47" s="140">
        <f t="shared" si="64"/>
        <v>0</v>
      </c>
      <c r="J47" s="140">
        <f t="shared" si="64"/>
        <v>0</v>
      </c>
      <c r="K47" s="140">
        <f t="shared" si="64"/>
        <v>0</v>
      </c>
      <c r="L47" s="140">
        <f t="shared" si="64"/>
        <v>0</v>
      </c>
      <c r="M47" s="140">
        <f t="shared" si="64"/>
        <v>0</v>
      </c>
      <c r="N47" s="140">
        <f t="shared" si="64"/>
        <v>0</v>
      </c>
      <c r="O47" s="140">
        <f t="shared" si="64"/>
        <v>0</v>
      </c>
      <c r="P47" s="130">
        <f t="shared" si="64"/>
        <v>0</v>
      </c>
      <c r="Q47" s="140">
        <f t="shared" si="64"/>
        <v>0</v>
      </c>
      <c r="R47" s="140">
        <f t="shared" si="64"/>
        <v>0</v>
      </c>
      <c r="S47" s="140">
        <f t="shared" si="64"/>
        <v>0</v>
      </c>
      <c r="T47" s="140">
        <f t="shared" si="64"/>
        <v>0</v>
      </c>
      <c r="U47" s="140">
        <f t="shared" si="64"/>
        <v>0</v>
      </c>
      <c r="V47" s="140">
        <f t="shared" si="64"/>
        <v>0</v>
      </c>
      <c r="W47" s="140">
        <f t="shared" si="64"/>
        <v>0</v>
      </c>
      <c r="X47" s="140">
        <f t="shared" si="64"/>
        <v>0</v>
      </c>
      <c r="Y47" s="140">
        <f t="shared" si="64"/>
        <v>0</v>
      </c>
      <c r="Z47" s="140">
        <f t="shared" si="64"/>
        <v>0</v>
      </c>
      <c r="AA47" s="140">
        <f t="shared" si="64"/>
        <v>0</v>
      </c>
      <c r="AB47" s="140">
        <f t="shared" si="64"/>
        <v>0</v>
      </c>
      <c r="AC47" s="131">
        <f t="shared" si="64"/>
        <v>0</v>
      </c>
      <c r="AD47" s="140">
        <f t="shared" si="64"/>
        <v>0</v>
      </c>
      <c r="AE47" s="140">
        <f t="shared" si="64"/>
        <v>0</v>
      </c>
      <c r="AF47" s="140">
        <f t="shared" si="64"/>
        <v>0</v>
      </c>
      <c r="AG47" s="140">
        <f t="shared" si="64"/>
        <v>0</v>
      </c>
      <c r="AH47" s="140">
        <f t="shared" si="64"/>
        <v>0</v>
      </c>
      <c r="AI47" s="140">
        <f t="shared" si="64"/>
        <v>0</v>
      </c>
      <c r="AJ47" s="140">
        <f t="shared" si="64"/>
        <v>0</v>
      </c>
      <c r="AK47" s="140">
        <f t="shared" si="64"/>
        <v>0</v>
      </c>
      <c r="AL47" s="140">
        <f t="shared" si="64"/>
        <v>0</v>
      </c>
      <c r="AM47" s="140">
        <f t="shared" si="64"/>
        <v>0</v>
      </c>
      <c r="AN47" s="140">
        <f t="shared" si="64"/>
        <v>0</v>
      </c>
      <c r="AO47" s="140">
        <f t="shared" si="64"/>
        <v>0</v>
      </c>
      <c r="AP47" s="131">
        <f t="shared" si="64"/>
        <v>0</v>
      </c>
      <c r="AQ47" s="44">
        <f t="shared" si="63"/>
        <v>0</v>
      </c>
    </row>
    <row r="48" spans="1:43" s="119" customFormat="1" outlineLevel="1">
      <c r="A48" s="141" t="s">
        <v>78</v>
      </c>
      <c r="B48" s="142" t="s">
        <v>79</v>
      </c>
      <c r="C48" s="143">
        <v>500000</v>
      </c>
      <c r="D48" s="134">
        <v>0</v>
      </c>
      <c r="E48" s="134">
        <v>0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4">
        <v>0</v>
      </c>
      <c r="L48" s="134">
        <v>0</v>
      </c>
      <c r="M48" s="134">
        <v>0</v>
      </c>
      <c r="N48" s="134">
        <v>0</v>
      </c>
      <c r="O48" s="134">
        <v>0</v>
      </c>
      <c r="P48" s="130">
        <f t="shared" ref="P48:P53" si="65">SUM(D48:O48)</f>
        <v>0</v>
      </c>
      <c r="Q48" s="144">
        <v>0</v>
      </c>
      <c r="R48" s="144">
        <v>0</v>
      </c>
      <c r="S48" s="144">
        <v>0</v>
      </c>
      <c r="T48" s="144">
        <v>0</v>
      </c>
      <c r="U48" s="144">
        <v>0</v>
      </c>
      <c r="V48" s="144">
        <v>0</v>
      </c>
      <c r="W48" s="144">
        <v>0</v>
      </c>
      <c r="X48" s="144">
        <v>0</v>
      </c>
      <c r="Y48" s="144">
        <v>0</v>
      </c>
      <c r="Z48" s="144">
        <v>0</v>
      </c>
      <c r="AA48" s="144">
        <v>0</v>
      </c>
      <c r="AB48" s="144">
        <v>0</v>
      </c>
      <c r="AC48" s="131">
        <f t="shared" ref="AC48:AC53" si="66">SUM(Q48:AB48)</f>
        <v>0</v>
      </c>
      <c r="AD48" s="144">
        <v>0</v>
      </c>
      <c r="AE48" s="144">
        <v>0</v>
      </c>
      <c r="AF48" s="144">
        <v>0</v>
      </c>
      <c r="AG48" s="144">
        <v>0</v>
      </c>
      <c r="AH48" s="144">
        <v>0</v>
      </c>
      <c r="AI48" s="144">
        <v>0</v>
      </c>
      <c r="AJ48" s="144">
        <v>0</v>
      </c>
      <c r="AK48" s="144">
        <v>0</v>
      </c>
      <c r="AL48" s="144">
        <v>0</v>
      </c>
      <c r="AM48" s="144">
        <v>0</v>
      </c>
      <c r="AN48" s="144">
        <v>0</v>
      </c>
      <c r="AO48" s="144">
        <v>0</v>
      </c>
      <c r="AP48" s="131">
        <f t="shared" ref="AP48:AP53" si="67">SUM(AD48:AO48)</f>
        <v>0</v>
      </c>
      <c r="AQ48" s="44">
        <f t="shared" si="63"/>
        <v>0</v>
      </c>
    </row>
    <row r="49" spans="1:43" s="119" customFormat="1" outlineLevel="1">
      <c r="A49" s="141" t="s">
        <v>80</v>
      </c>
      <c r="B49" s="142" t="s">
        <v>81</v>
      </c>
      <c r="C49" s="143"/>
      <c r="D49" s="134">
        <v>0</v>
      </c>
      <c r="E49" s="134">
        <v>0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4">
        <v>0</v>
      </c>
      <c r="M49" s="134">
        <v>0</v>
      </c>
      <c r="N49" s="134">
        <v>0</v>
      </c>
      <c r="O49" s="134">
        <v>0</v>
      </c>
      <c r="P49" s="130">
        <f t="shared" si="65"/>
        <v>0</v>
      </c>
      <c r="Q49" s="144">
        <v>0</v>
      </c>
      <c r="R49" s="144">
        <v>0</v>
      </c>
      <c r="S49" s="144">
        <v>0</v>
      </c>
      <c r="T49" s="144">
        <v>0</v>
      </c>
      <c r="U49" s="144">
        <v>0</v>
      </c>
      <c r="V49" s="144">
        <v>0</v>
      </c>
      <c r="W49" s="144">
        <v>0</v>
      </c>
      <c r="X49" s="144">
        <v>0</v>
      </c>
      <c r="Y49" s="144">
        <v>0</v>
      </c>
      <c r="Z49" s="144">
        <v>0</v>
      </c>
      <c r="AA49" s="144">
        <v>0</v>
      </c>
      <c r="AB49" s="144">
        <v>0</v>
      </c>
      <c r="AC49" s="131">
        <f t="shared" si="66"/>
        <v>0</v>
      </c>
      <c r="AD49" s="144">
        <v>0</v>
      </c>
      <c r="AE49" s="144">
        <v>0</v>
      </c>
      <c r="AF49" s="144">
        <v>0</v>
      </c>
      <c r="AG49" s="144">
        <v>0</v>
      </c>
      <c r="AH49" s="144">
        <v>0</v>
      </c>
      <c r="AI49" s="144">
        <v>0</v>
      </c>
      <c r="AJ49" s="144">
        <v>0</v>
      </c>
      <c r="AK49" s="144">
        <v>0</v>
      </c>
      <c r="AL49" s="144">
        <v>0</v>
      </c>
      <c r="AM49" s="144">
        <v>0</v>
      </c>
      <c r="AN49" s="144">
        <v>0</v>
      </c>
      <c r="AO49" s="144">
        <v>0</v>
      </c>
      <c r="AP49" s="131">
        <f t="shared" si="67"/>
        <v>0</v>
      </c>
      <c r="AQ49" s="44">
        <f t="shared" si="63"/>
        <v>0</v>
      </c>
    </row>
    <row r="50" spans="1:43" s="119" customFormat="1" ht="22.5" outlineLevel="1">
      <c r="A50" s="141" t="s">
        <v>82</v>
      </c>
      <c r="B50" s="142" t="s">
        <v>83</v>
      </c>
      <c r="C50" s="143">
        <v>0</v>
      </c>
      <c r="D50" s="134">
        <v>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4">
        <v>0</v>
      </c>
      <c r="M50" s="134">
        <v>0</v>
      </c>
      <c r="N50" s="134">
        <v>0</v>
      </c>
      <c r="O50" s="134">
        <v>0</v>
      </c>
      <c r="P50" s="130">
        <f t="shared" si="65"/>
        <v>0</v>
      </c>
      <c r="Q50" s="144">
        <v>0</v>
      </c>
      <c r="R50" s="144">
        <v>0</v>
      </c>
      <c r="S50" s="144">
        <v>0</v>
      </c>
      <c r="T50" s="144">
        <v>0</v>
      </c>
      <c r="U50" s="144">
        <v>0</v>
      </c>
      <c r="V50" s="144">
        <v>0</v>
      </c>
      <c r="W50" s="144">
        <v>0</v>
      </c>
      <c r="X50" s="144">
        <v>0</v>
      </c>
      <c r="Y50" s="144">
        <v>0</v>
      </c>
      <c r="Z50" s="144">
        <v>0</v>
      </c>
      <c r="AA50" s="144">
        <v>0</v>
      </c>
      <c r="AB50" s="144">
        <v>0</v>
      </c>
      <c r="AC50" s="131">
        <f t="shared" si="66"/>
        <v>0</v>
      </c>
      <c r="AD50" s="144">
        <v>0</v>
      </c>
      <c r="AE50" s="144">
        <v>0</v>
      </c>
      <c r="AF50" s="144">
        <v>0</v>
      </c>
      <c r="AG50" s="144">
        <v>0</v>
      </c>
      <c r="AH50" s="144">
        <v>0</v>
      </c>
      <c r="AI50" s="144">
        <v>0</v>
      </c>
      <c r="AJ50" s="144">
        <v>0</v>
      </c>
      <c r="AK50" s="144">
        <v>0</v>
      </c>
      <c r="AL50" s="144">
        <v>0</v>
      </c>
      <c r="AM50" s="144">
        <v>0</v>
      </c>
      <c r="AN50" s="144">
        <v>0</v>
      </c>
      <c r="AO50" s="144">
        <v>0</v>
      </c>
      <c r="AP50" s="131">
        <f t="shared" si="67"/>
        <v>0</v>
      </c>
      <c r="AQ50" s="44">
        <f t="shared" si="63"/>
        <v>0</v>
      </c>
    </row>
    <row r="51" spans="1:43" s="119" customFormat="1" outlineLevel="1">
      <c r="A51" s="145" t="s">
        <v>84</v>
      </c>
      <c r="B51" s="146" t="s">
        <v>85</v>
      </c>
      <c r="C51" s="147"/>
      <c r="D51" s="134">
        <f>Кредит!B14</f>
        <v>0</v>
      </c>
      <c r="E51" s="134">
        <f>Кредит!B15</f>
        <v>0</v>
      </c>
      <c r="F51" s="134">
        <f>Кредит!B16</f>
        <v>0</v>
      </c>
      <c r="G51" s="134">
        <f>Кредит!B17</f>
        <v>0</v>
      </c>
      <c r="H51" s="134">
        <f>Кредит!B18</f>
        <v>0</v>
      </c>
      <c r="I51" s="134">
        <f>Кредит!B19</f>
        <v>0</v>
      </c>
      <c r="J51" s="134">
        <f>Кредит!B20</f>
        <v>0</v>
      </c>
      <c r="K51" s="134">
        <f>Кредит!B21</f>
        <v>0</v>
      </c>
      <c r="L51" s="134">
        <f>Кредит!B22</f>
        <v>0</v>
      </c>
      <c r="M51" s="134">
        <f>Кредит!B23</f>
        <v>0</v>
      </c>
      <c r="N51" s="134">
        <f>Кредит!B24</f>
        <v>0</v>
      </c>
      <c r="O51" s="134">
        <f>Кредит!B25</f>
        <v>0</v>
      </c>
      <c r="P51" s="130">
        <f t="shared" si="65"/>
        <v>0</v>
      </c>
      <c r="Q51" s="144">
        <f>Кредит!B26</f>
        <v>0</v>
      </c>
      <c r="R51" s="144">
        <f>Кредит!B27</f>
        <v>0</v>
      </c>
      <c r="S51" s="144">
        <f>Кредит!B28</f>
        <v>0</v>
      </c>
      <c r="T51" s="144">
        <f>Кредит!B29</f>
        <v>0</v>
      </c>
      <c r="U51" s="144">
        <f>Кредит!B30</f>
        <v>0</v>
      </c>
      <c r="V51" s="144">
        <f>Кредит!B31</f>
        <v>0</v>
      </c>
      <c r="W51" s="144">
        <f>Кредит!B32</f>
        <v>0</v>
      </c>
      <c r="X51" s="144">
        <f>Кредит!B33</f>
        <v>0</v>
      </c>
      <c r="Y51" s="144">
        <f>Кредит!B34</f>
        <v>0</v>
      </c>
      <c r="Z51" s="144">
        <f>Кредит!B35</f>
        <v>0</v>
      </c>
      <c r="AA51" s="144">
        <f>Кредит!B36</f>
        <v>0</v>
      </c>
      <c r="AB51" s="144">
        <f>Кредит!B37</f>
        <v>0</v>
      </c>
      <c r="AC51" s="131">
        <f t="shared" si="66"/>
        <v>0</v>
      </c>
      <c r="AD51" s="144">
        <f>Кредит!B38</f>
        <v>0</v>
      </c>
      <c r="AE51" s="144">
        <f>Кредит!B39</f>
        <v>0</v>
      </c>
      <c r="AF51" s="144">
        <f>Кредит!B40</f>
        <v>0</v>
      </c>
      <c r="AG51" s="144">
        <f>Кредит!B41</f>
        <v>0</v>
      </c>
      <c r="AH51" s="144">
        <f>Кредит!B42</f>
        <v>0</v>
      </c>
      <c r="AI51" s="144">
        <f>Кредит!B43</f>
        <v>0</v>
      </c>
      <c r="AJ51" s="144">
        <f>Кредит!B44</f>
        <v>0</v>
      </c>
      <c r="AK51" s="144">
        <f>Кредит!B45</f>
        <v>0</v>
      </c>
      <c r="AL51" s="144">
        <f>Кредит!B46</f>
        <v>0</v>
      </c>
      <c r="AM51" s="144">
        <f>Кредит!B47</f>
        <v>0</v>
      </c>
      <c r="AN51" s="144">
        <f>Кредит!B48</f>
        <v>0</v>
      </c>
      <c r="AO51" s="144">
        <f>Кредит!B49</f>
        <v>0</v>
      </c>
      <c r="AP51" s="131">
        <f t="shared" si="67"/>
        <v>0</v>
      </c>
      <c r="AQ51" s="44">
        <f t="shared" si="63"/>
        <v>0</v>
      </c>
    </row>
    <row r="52" spans="1:43" s="119" customFormat="1" outlineLevel="1">
      <c r="A52" s="145" t="s">
        <v>86</v>
      </c>
      <c r="B52" s="146" t="s">
        <v>87</v>
      </c>
      <c r="C52" s="147"/>
      <c r="D52" s="134">
        <f>Кредит!C14</f>
        <v>0</v>
      </c>
      <c r="E52" s="134">
        <f>Кредит!C15</f>
        <v>0</v>
      </c>
      <c r="F52" s="134">
        <f>Кредит!C16</f>
        <v>0</v>
      </c>
      <c r="G52" s="134">
        <f>Кредит!C17</f>
        <v>0</v>
      </c>
      <c r="H52" s="134">
        <f>Кредит!C18</f>
        <v>0</v>
      </c>
      <c r="I52" s="134">
        <f>Кредит!C19</f>
        <v>0</v>
      </c>
      <c r="J52" s="134">
        <f>Кредит!C20</f>
        <v>0</v>
      </c>
      <c r="K52" s="134">
        <f>Кредит!C21</f>
        <v>0</v>
      </c>
      <c r="L52" s="134">
        <f>Кредит!C22</f>
        <v>0</v>
      </c>
      <c r="M52" s="134">
        <f>Кредит!C23</f>
        <v>0</v>
      </c>
      <c r="N52" s="134">
        <f>Кредит!C24</f>
        <v>0</v>
      </c>
      <c r="O52" s="134">
        <f>Кредит!C25</f>
        <v>0</v>
      </c>
      <c r="P52" s="130">
        <f t="shared" si="65"/>
        <v>0</v>
      </c>
      <c r="Q52" s="144">
        <f>Кредит!C26</f>
        <v>0</v>
      </c>
      <c r="R52" s="144">
        <f>Кредит!C27</f>
        <v>0</v>
      </c>
      <c r="S52" s="144">
        <f>Кредит!C28</f>
        <v>0</v>
      </c>
      <c r="T52" s="144">
        <f>Кредит!C29</f>
        <v>0</v>
      </c>
      <c r="U52" s="144">
        <f>Кредит!C30</f>
        <v>0</v>
      </c>
      <c r="V52" s="144">
        <f>Кредит!C31</f>
        <v>0</v>
      </c>
      <c r="W52" s="144">
        <f>Кредит!C32</f>
        <v>0</v>
      </c>
      <c r="X52" s="144">
        <f>Кредит!C33</f>
        <v>0</v>
      </c>
      <c r="Y52" s="144">
        <f>Кредит!C34</f>
        <v>0</v>
      </c>
      <c r="Z52" s="144">
        <f>Кредит!C35</f>
        <v>0</v>
      </c>
      <c r="AA52" s="144">
        <f>Кредит!C36</f>
        <v>0</v>
      </c>
      <c r="AB52" s="144">
        <f>Кредит!C37</f>
        <v>0</v>
      </c>
      <c r="AC52" s="131">
        <f t="shared" si="66"/>
        <v>0</v>
      </c>
      <c r="AD52" s="144">
        <f>Кредит!C38</f>
        <v>0</v>
      </c>
      <c r="AE52" s="144">
        <f>Кредит!C39</f>
        <v>0</v>
      </c>
      <c r="AF52" s="144">
        <f>Кредит!C40</f>
        <v>0</v>
      </c>
      <c r="AG52" s="144">
        <f>Кредит!C41</f>
        <v>0</v>
      </c>
      <c r="AH52" s="144">
        <f>Кредит!C42</f>
        <v>0</v>
      </c>
      <c r="AI52" s="144">
        <f>Кредит!C43</f>
        <v>0</v>
      </c>
      <c r="AJ52" s="144">
        <f>Кредит!C44</f>
        <v>0</v>
      </c>
      <c r="AK52" s="144">
        <f>Кредит!C45</f>
        <v>0</v>
      </c>
      <c r="AL52" s="144">
        <f>Кредит!C46</f>
        <v>0</v>
      </c>
      <c r="AM52" s="144">
        <f>Кредит!C47</f>
        <v>0</v>
      </c>
      <c r="AN52" s="144">
        <f>Кредит!C48</f>
        <v>0</v>
      </c>
      <c r="AO52" s="144">
        <f>Кредит!C49</f>
        <v>0</v>
      </c>
      <c r="AP52" s="131">
        <f t="shared" si="67"/>
        <v>0</v>
      </c>
      <c r="AQ52" s="44">
        <f t="shared" si="63"/>
        <v>0</v>
      </c>
    </row>
    <row r="53" spans="1:43" s="148" customFormat="1" outlineLevel="1">
      <c r="A53" s="149" t="s">
        <v>88</v>
      </c>
      <c r="B53" s="150" t="s">
        <v>89</v>
      </c>
      <c r="C53" s="147"/>
      <c r="D53" s="151">
        <v>0</v>
      </c>
      <c r="E53" s="151">
        <v>0</v>
      </c>
      <c r="F53" s="151">
        <v>0</v>
      </c>
      <c r="G53" s="151">
        <v>0</v>
      </c>
      <c r="H53" s="151">
        <v>0</v>
      </c>
      <c r="I53" s="151">
        <v>0</v>
      </c>
      <c r="J53" s="151">
        <v>0</v>
      </c>
      <c r="K53" s="151">
        <v>0</v>
      </c>
      <c r="L53" s="151">
        <v>0</v>
      </c>
      <c r="M53" s="151">
        <v>0</v>
      </c>
      <c r="N53" s="151">
        <v>0</v>
      </c>
      <c r="O53" s="151">
        <v>0</v>
      </c>
      <c r="P53" s="152">
        <f t="shared" si="65"/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4">
        <f t="shared" si="66"/>
        <v>0</v>
      </c>
      <c r="AD53" s="153">
        <v>0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  <c r="AK53" s="153">
        <v>0</v>
      </c>
      <c r="AL53" s="153">
        <v>0</v>
      </c>
      <c r="AM53" s="153">
        <v>0</v>
      </c>
      <c r="AN53" s="153">
        <v>0</v>
      </c>
      <c r="AO53" s="153">
        <v>0</v>
      </c>
      <c r="AP53" s="154">
        <f t="shared" si="67"/>
        <v>0</v>
      </c>
      <c r="AQ53" s="58">
        <f t="shared" si="63"/>
        <v>0</v>
      </c>
    </row>
    <row r="54" spans="1:43" s="155" customFormat="1" ht="10.5">
      <c r="A54" s="156">
        <v>15</v>
      </c>
      <c r="B54" s="157" t="s">
        <v>90</v>
      </c>
      <c r="C54" s="158">
        <f>C44-C45+C47</f>
        <v>-1980000</v>
      </c>
      <c r="D54" s="158">
        <f>D44-D45+D47</f>
        <v>-604640.43333333335</v>
      </c>
      <c r="E54" s="158">
        <f t="shared" ref="E54:Q54" si="68">E44-E45+E47</f>
        <v>-777160.2333333334</v>
      </c>
      <c r="F54" s="158">
        <f t="shared" si="68"/>
        <v>-321550.83333333337</v>
      </c>
      <c r="G54" s="158">
        <f t="shared" si="68"/>
        <v>-632631.03333333333</v>
      </c>
      <c r="H54" s="158">
        <f t="shared" si="68"/>
        <v>-416491.43333333335</v>
      </c>
      <c r="I54" s="158">
        <f t="shared" si="68"/>
        <v>-299682.03333333333</v>
      </c>
      <c r="J54" s="158">
        <f t="shared" si="68"/>
        <v>-261042.43333333335</v>
      </c>
      <c r="K54" s="158">
        <f t="shared" si="68"/>
        <v>-253042.63333333342</v>
      </c>
      <c r="L54" s="158">
        <f t="shared" si="68"/>
        <v>52486.566666666651</v>
      </c>
      <c r="M54" s="158">
        <f t="shared" si="68"/>
        <v>-247673.83333333337</v>
      </c>
      <c r="N54" s="158">
        <f t="shared" si="68"/>
        <v>-31534.233333333395</v>
      </c>
      <c r="O54" s="158">
        <f t="shared" si="68"/>
        <v>57855.366666666698</v>
      </c>
      <c r="P54" s="158">
        <f t="shared" si="68"/>
        <v>-3735107.2</v>
      </c>
      <c r="Q54" s="158">
        <f t="shared" si="68"/>
        <v>-166666.55833333335</v>
      </c>
      <c r="R54" s="158">
        <f t="shared" ref="R54:AB54" si="69">R44-R45+R47</f>
        <v>165879.7416666667</v>
      </c>
      <c r="S54" s="158">
        <f t="shared" si="69"/>
        <v>108806.04166666651</v>
      </c>
      <c r="T54" s="158">
        <f t="shared" si="69"/>
        <v>665127.27499999851</v>
      </c>
      <c r="U54" s="158">
        <f t="shared" si="69"/>
        <v>403847.9749999987</v>
      </c>
      <c r="V54" s="158">
        <f t="shared" si="69"/>
        <v>752137.87499999907</v>
      </c>
      <c r="W54" s="158">
        <f t="shared" si="69"/>
        <v>721790.07499999925</v>
      </c>
      <c r="X54" s="158">
        <f t="shared" si="69"/>
        <v>1275527.6749999989</v>
      </c>
      <c r="Y54" s="158">
        <f t="shared" si="69"/>
        <v>1010936.3749999991</v>
      </c>
      <c r="Z54" s="158">
        <f t="shared" si="69"/>
        <v>1359226.2749999985</v>
      </c>
      <c r="AA54" s="158">
        <f t="shared" si="69"/>
        <v>1305383.9749999987</v>
      </c>
      <c r="AB54" s="158">
        <f t="shared" si="69"/>
        <v>1866953.0749999993</v>
      </c>
      <c r="AC54" s="158">
        <f>AC44-AC45+AC47</f>
        <v>9468949.7999999896</v>
      </c>
      <c r="AD54" s="158">
        <f>AD44-AD45+AD47</f>
        <v>1923134.3625000003</v>
      </c>
      <c r="AE54" s="158">
        <f>AE44-AE45+AE47</f>
        <v>2143171.9125000001</v>
      </c>
      <c r="AF54" s="158">
        <f t="shared" ref="AF54:AO54" si="70">AF44-AF45+AF47</f>
        <v>1867959.6625000001</v>
      </c>
      <c r="AG54" s="158">
        <f>AG44-AG45+AG47</f>
        <v>2558904.1958333333</v>
      </c>
      <c r="AH54" s="158">
        <f t="shared" si="70"/>
        <v>2308581.395833333</v>
      </c>
      <c r="AI54" s="158">
        <f t="shared" si="70"/>
        <v>2978414.4208333334</v>
      </c>
      <c r="AJ54" s="158">
        <f t="shared" si="70"/>
        <v>2795093.5708333333</v>
      </c>
      <c r="AK54" s="158">
        <f t="shared" si="70"/>
        <v>3468735.395833333</v>
      </c>
      <c r="AL54" s="158">
        <f t="shared" si="70"/>
        <v>3200400.145833333</v>
      </c>
      <c r="AM54" s="158">
        <f t="shared" si="70"/>
        <v>3870233.1708333334</v>
      </c>
      <c r="AN54" s="158">
        <f t="shared" si="70"/>
        <v>3623719.1708333334</v>
      </c>
      <c r="AO54" s="158">
        <f t="shared" si="70"/>
        <v>4315373.4458333328</v>
      </c>
      <c r="AP54" s="158">
        <f>AP44-AP45+AP47</f>
        <v>35053720.849999994</v>
      </c>
      <c r="AQ54" s="159">
        <f>AQ44-AQ45+AQ47</f>
        <v>40787563.449999981</v>
      </c>
    </row>
    <row r="55" spans="1:43" s="25" customFormat="1" ht="10.5">
      <c r="A55" s="160">
        <v>16</v>
      </c>
      <c r="B55" s="161" t="s">
        <v>91</v>
      </c>
      <c r="C55" s="162">
        <f>C54</f>
        <v>-1980000</v>
      </c>
      <c r="D55" s="163">
        <f>C55+D54</f>
        <v>-2584640.4333333336</v>
      </c>
      <c r="E55" s="163">
        <f>D55+E54</f>
        <v>-3361800.666666667</v>
      </c>
      <c r="F55" s="163">
        <f>E55+F54</f>
        <v>-3683351.5000000005</v>
      </c>
      <c r="G55" s="163">
        <f t="shared" ref="G55:O55" si="71">F55+G54</f>
        <v>-4315982.5333333341</v>
      </c>
      <c r="H55" s="163">
        <f t="shared" si="71"/>
        <v>-4732473.9666666677</v>
      </c>
      <c r="I55" s="163">
        <f t="shared" si="71"/>
        <v>-5032156.0000000009</v>
      </c>
      <c r="J55" s="163">
        <f t="shared" si="71"/>
        <v>-5293198.4333333345</v>
      </c>
      <c r="K55" s="163">
        <f t="shared" si="71"/>
        <v>-5546241.0666666683</v>
      </c>
      <c r="L55" s="163">
        <f t="shared" si="71"/>
        <v>-5493754.5000000019</v>
      </c>
      <c r="M55" s="163">
        <f t="shared" si="71"/>
        <v>-5741428.3333333349</v>
      </c>
      <c r="N55" s="163">
        <f t="shared" si="71"/>
        <v>-5772962.5666666683</v>
      </c>
      <c r="O55" s="163">
        <f t="shared" si="71"/>
        <v>-5715107.2000000011</v>
      </c>
      <c r="P55" s="164">
        <f>O55</f>
        <v>-5715107.2000000011</v>
      </c>
      <c r="Q55" s="165">
        <f>P55+Q54</f>
        <v>-5881773.7583333347</v>
      </c>
      <c r="R55" s="165">
        <f t="shared" ref="R55:AB55" si="72">Q55+R54</f>
        <v>-5715894.0166666675</v>
      </c>
      <c r="S55" s="165">
        <f t="shared" si="72"/>
        <v>-5607087.9750000015</v>
      </c>
      <c r="T55" s="165">
        <f t="shared" si="72"/>
        <v>-4941960.700000003</v>
      </c>
      <c r="U55" s="165">
        <f t="shared" si="72"/>
        <v>-4538112.7250000043</v>
      </c>
      <c r="V55" s="165">
        <f t="shared" si="72"/>
        <v>-3785974.8500000052</v>
      </c>
      <c r="W55" s="165">
        <f t="shared" si="72"/>
        <v>-3064184.775000006</v>
      </c>
      <c r="X55" s="165">
        <f t="shared" si="72"/>
        <v>-1788657.1000000071</v>
      </c>
      <c r="Y55" s="165">
        <f t="shared" si="72"/>
        <v>-777720.72500000801</v>
      </c>
      <c r="Z55" s="165">
        <f t="shared" si="72"/>
        <v>581505.5499999905</v>
      </c>
      <c r="AA55" s="165">
        <f t="shared" si="72"/>
        <v>1886889.5249999892</v>
      </c>
      <c r="AB55" s="165">
        <f t="shared" si="72"/>
        <v>3753842.5999999885</v>
      </c>
      <c r="AC55" s="165">
        <f>AB55</f>
        <v>3753842.5999999885</v>
      </c>
      <c r="AD55" s="165">
        <f t="shared" ref="AD55:AO55" si="73">AC55+AD54</f>
        <v>5676976.9624999892</v>
      </c>
      <c r="AE55" s="165">
        <f t="shared" si="73"/>
        <v>7820148.8749999888</v>
      </c>
      <c r="AF55" s="165">
        <f t="shared" si="73"/>
        <v>9688108.5374999885</v>
      </c>
      <c r="AG55" s="165">
        <f t="shared" si="73"/>
        <v>12247012.733333321</v>
      </c>
      <c r="AH55" s="165">
        <f t="shared" si="73"/>
        <v>14555594.129166655</v>
      </c>
      <c r="AI55" s="165">
        <f t="shared" si="73"/>
        <v>17534008.54999999</v>
      </c>
      <c r="AJ55" s="165">
        <f t="shared" si="73"/>
        <v>20329102.120833322</v>
      </c>
      <c r="AK55" s="165">
        <f t="shared" si="73"/>
        <v>23797837.516666654</v>
      </c>
      <c r="AL55" s="165">
        <f t="shared" si="73"/>
        <v>26998237.662499987</v>
      </c>
      <c r="AM55" s="165">
        <f t="shared" si="73"/>
        <v>30868470.833333321</v>
      </c>
      <c r="AN55" s="165">
        <f t="shared" si="73"/>
        <v>34492190.004166655</v>
      </c>
      <c r="AO55" s="165">
        <f t="shared" si="73"/>
        <v>38807563.449999988</v>
      </c>
      <c r="AP55" s="165">
        <f>AO55</f>
        <v>38807563.449999988</v>
      </c>
      <c r="AQ55" s="166">
        <f>AP55</f>
        <v>38807563.449999988</v>
      </c>
    </row>
    <row r="56" spans="1:43" s="25" customFormat="1" ht="10.5">
      <c r="A56" s="167"/>
      <c r="B56" s="168"/>
      <c r="C56" s="169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1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</row>
    <row r="57" spans="1:43" s="25" customFormat="1" ht="21">
      <c r="A57" s="167"/>
      <c r="B57" s="173" t="s">
        <v>92</v>
      </c>
      <c r="C57" s="174" t="str">
        <f>C4</f>
        <v>Инвестиционный месяц</v>
      </c>
      <c r="D57" s="175">
        <v>1</v>
      </c>
      <c r="E57" s="175">
        <v>2</v>
      </c>
      <c r="F57" s="175">
        <v>3</v>
      </c>
      <c r="G57" s="175">
        <v>4</v>
      </c>
      <c r="H57" s="175">
        <v>5</v>
      </c>
      <c r="I57" s="175">
        <v>6</v>
      </c>
      <c r="J57" s="175">
        <v>7</v>
      </c>
      <c r="K57" s="175">
        <v>8</v>
      </c>
      <c r="L57" s="175">
        <v>9</v>
      </c>
      <c r="M57" s="175">
        <v>10</v>
      </c>
      <c r="N57" s="175">
        <v>11</v>
      </c>
      <c r="O57" s="175">
        <v>12</v>
      </c>
      <c r="P57" s="175">
        <v>13</v>
      </c>
      <c r="Q57" s="175">
        <v>14</v>
      </c>
      <c r="R57" s="175">
        <v>15</v>
      </c>
      <c r="S57" s="175">
        <v>16</v>
      </c>
      <c r="T57" s="175">
        <v>17</v>
      </c>
      <c r="U57" s="175">
        <v>18</v>
      </c>
      <c r="V57" s="175">
        <v>19</v>
      </c>
      <c r="W57" s="175">
        <v>20</v>
      </c>
      <c r="X57" s="175">
        <v>21</v>
      </c>
      <c r="Y57" s="175">
        <v>22</v>
      </c>
      <c r="Z57" s="175">
        <v>23</v>
      </c>
      <c r="AA57" s="175">
        <v>24</v>
      </c>
      <c r="AB57" s="175">
        <v>25</v>
      </c>
      <c r="AC57" s="175">
        <v>26</v>
      </c>
      <c r="AD57" s="175">
        <v>27</v>
      </c>
      <c r="AE57" s="175">
        <v>28</v>
      </c>
      <c r="AF57" s="175">
        <v>29</v>
      </c>
      <c r="AG57" s="175">
        <v>30</v>
      </c>
      <c r="AH57" s="175">
        <v>31</v>
      </c>
      <c r="AI57" s="175">
        <v>32</v>
      </c>
      <c r="AJ57" s="175">
        <v>33</v>
      </c>
      <c r="AK57" s="175">
        <v>34</v>
      </c>
      <c r="AL57" s="175">
        <v>35</v>
      </c>
      <c r="AM57" s="175">
        <v>36</v>
      </c>
      <c r="AN57" s="172"/>
      <c r="AO57" s="172"/>
      <c r="AP57" s="172"/>
      <c r="AQ57" s="172"/>
    </row>
    <row r="58" spans="1:43">
      <c r="A58" s="176"/>
      <c r="B58" s="177" t="s">
        <v>93</v>
      </c>
      <c r="C58" s="177">
        <f>-C45</f>
        <v>-2480000</v>
      </c>
      <c r="D58" s="178">
        <f>D55+C58</f>
        <v>-5064640.4333333336</v>
      </c>
      <c r="E58" s="178">
        <f t="shared" ref="E58:O58" si="74">E55+D58</f>
        <v>-8426441.1000000015</v>
      </c>
      <c r="F58" s="178">
        <f t="shared" si="74"/>
        <v>-12109792.600000001</v>
      </c>
      <c r="G58" s="178">
        <f t="shared" si="74"/>
        <v>-16425775.133333337</v>
      </c>
      <c r="H58" s="178">
        <f t="shared" si="74"/>
        <v>-21158249.100000005</v>
      </c>
      <c r="I58" s="178">
        <f t="shared" si="74"/>
        <v>-26190405.100000005</v>
      </c>
      <c r="J58" s="178">
        <f t="shared" si="74"/>
        <v>-31483603.533333339</v>
      </c>
      <c r="K58" s="178">
        <f t="shared" si="74"/>
        <v>-37029844.600000009</v>
      </c>
      <c r="L58" s="178">
        <f t="shared" si="74"/>
        <v>-42523599.100000009</v>
      </c>
      <c r="M58" s="178">
        <f t="shared" si="74"/>
        <v>-48265027.433333345</v>
      </c>
      <c r="N58" s="178">
        <f t="shared" si="74"/>
        <v>-54037990.000000015</v>
      </c>
      <c r="O58" s="178">
        <f t="shared" si="74"/>
        <v>-59753097.200000018</v>
      </c>
      <c r="P58" s="178">
        <f t="shared" ref="P58:AA58" si="75">Q55+O58</f>
        <v>-65634870.958333351</v>
      </c>
      <c r="Q58" s="178">
        <f t="shared" si="75"/>
        <v>-71350764.975000024</v>
      </c>
      <c r="R58" s="178">
        <f t="shared" si="75"/>
        <v>-76957852.950000018</v>
      </c>
      <c r="S58" s="178">
        <f t="shared" si="75"/>
        <v>-81899813.650000021</v>
      </c>
      <c r="T58" s="178">
        <f t="shared" si="75"/>
        <v>-86437926.37500003</v>
      </c>
      <c r="U58" s="178">
        <f t="shared" si="75"/>
        <v>-90223901.225000039</v>
      </c>
      <c r="V58" s="178">
        <f t="shared" si="75"/>
        <v>-93288086.000000045</v>
      </c>
      <c r="W58" s="178">
        <f t="shared" si="75"/>
        <v>-95076743.100000054</v>
      </c>
      <c r="X58" s="178">
        <f t="shared" si="75"/>
        <v>-95854463.825000063</v>
      </c>
      <c r="Y58" s="178">
        <f t="shared" si="75"/>
        <v>-95272958.275000066</v>
      </c>
      <c r="Z58" s="178">
        <f t="shared" si="75"/>
        <v>-93386068.750000075</v>
      </c>
      <c r="AA58" s="178">
        <f t="shared" si="75"/>
        <v>-89632226.15000008</v>
      </c>
      <c r="AB58" s="178">
        <f t="shared" ref="AB58:AM58" si="76">AD55+AA58</f>
        <v>-83955249.187500089</v>
      </c>
      <c r="AC58" s="178">
        <f t="shared" si="76"/>
        <v>-76135100.312500104</v>
      </c>
      <c r="AD58" s="178">
        <f t="shared" si="76"/>
        <v>-66446991.775000118</v>
      </c>
      <c r="AE58" s="178">
        <f t="shared" si="76"/>
        <v>-54199979.041666798</v>
      </c>
      <c r="AF58" s="178">
        <f t="shared" si="76"/>
        <v>-39644384.912500143</v>
      </c>
      <c r="AG58" s="178">
        <f t="shared" si="76"/>
        <v>-22110376.362500153</v>
      </c>
      <c r="AH58" s="178">
        <f t="shared" si="76"/>
        <v>-1781274.2416668311</v>
      </c>
      <c r="AI58" s="178">
        <f t="shared" si="76"/>
        <v>22016563.274999823</v>
      </c>
      <c r="AJ58" s="178">
        <f t="shared" si="76"/>
        <v>49014800.937499806</v>
      </c>
      <c r="AK58" s="178">
        <f t="shared" si="76"/>
        <v>79883271.770833135</v>
      </c>
      <c r="AL58" s="178">
        <f t="shared" si="76"/>
        <v>114375461.7749998</v>
      </c>
      <c r="AM58" s="178">
        <f t="shared" si="76"/>
        <v>153183025.22499979</v>
      </c>
      <c r="AP58" s="20"/>
      <c r="AQ58" s="20"/>
    </row>
    <row r="59" spans="1:43">
      <c r="B59" s="179" t="str">
        <f>'Экономические показ.'!B9</f>
        <v>Срок окупаемости (Tок.), мес.</v>
      </c>
      <c r="C59" s="180">
        <f>SUM(D59:O59)</f>
        <v>12</v>
      </c>
      <c r="D59" s="179">
        <f>IF(D58&lt;0,1,IF(C58&lt;0,-C58/(D58-C58)*1+1,0))</f>
        <v>1</v>
      </c>
      <c r="E59" s="179">
        <f t="shared" ref="E59:O59" si="77">IF(E58&lt;0,1,IF(D58&lt;0,-D58/(E58-D58)*1+1,0))</f>
        <v>1</v>
      </c>
      <c r="F59" s="179">
        <f>IF(F58&lt;0,1,IF(E58&lt;0,-E58/(F58-E58)*1+1,0))</f>
        <v>1</v>
      </c>
      <c r="G59" s="179">
        <f>IF(G58&lt;0,1,IF(F58&lt;0,-F58/(G58-F58)*1+1,0))</f>
        <v>1</v>
      </c>
      <c r="H59" s="179">
        <f t="shared" si="77"/>
        <v>1</v>
      </c>
      <c r="I59" s="179">
        <f t="shared" si="77"/>
        <v>1</v>
      </c>
      <c r="J59" s="179">
        <f t="shared" si="77"/>
        <v>1</v>
      </c>
      <c r="K59" s="179">
        <f t="shared" si="77"/>
        <v>1</v>
      </c>
      <c r="L59" s="179">
        <f t="shared" si="77"/>
        <v>1</v>
      </c>
      <c r="M59" s="179">
        <f t="shared" si="77"/>
        <v>1</v>
      </c>
      <c r="N59" s="179">
        <f t="shared" si="77"/>
        <v>1</v>
      </c>
      <c r="O59" s="179">
        <f t="shared" si="77"/>
        <v>1</v>
      </c>
      <c r="P59" s="179">
        <f t="shared" ref="P59:AM59" si="78">IF(P58&lt;0,1,IF(O58&lt;0,-O58/(P58-O58)*1+1,0))</f>
        <v>1</v>
      </c>
      <c r="Q59" s="179">
        <f t="shared" si="78"/>
        <v>1</v>
      </c>
      <c r="R59" s="179">
        <f t="shared" si="78"/>
        <v>1</v>
      </c>
      <c r="S59" s="179">
        <f t="shared" si="78"/>
        <v>1</v>
      </c>
      <c r="T59" s="179">
        <f t="shared" si="78"/>
        <v>1</v>
      </c>
      <c r="U59" s="179">
        <f t="shared" si="78"/>
        <v>1</v>
      </c>
      <c r="V59" s="179">
        <f t="shared" si="78"/>
        <v>1</v>
      </c>
      <c r="W59" s="179">
        <f t="shared" si="78"/>
        <v>1</v>
      </c>
      <c r="X59" s="179">
        <f t="shared" si="78"/>
        <v>1</v>
      </c>
      <c r="Y59" s="179">
        <f t="shared" si="78"/>
        <v>1</v>
      </c>
      <c r="Z59" s="179">
        <f t="shared" si="78"/>
        <v>1</v>
      </c>
      <c r="AA59" s="179">
        <f t="shared" si="78"/>
        <v>1</v>
      </c>
      <c r="AB59" s="179">
        <f t="shared" si="78"/>
        <v>1</v>
      </c>
      <c r="AC59" s="179">
        <f t="shared" si="78"/>
        <v>1</v>
      </c>
      <c r="AD59" s="179">
        <f t="shared" si="78"/>
        <v>1</v>
      </c>
      <c r="AE59" s="179">
        <f t="shared" si="78"/>
        <v>1</v>
      </c>
      <c r="AF59" s="179">
        <f t="shared" si="78"/>
        <v>1</v>
      </c>
      <c r="AG59" s="179">
        <f t="shared" si="78"/>
        <v>1</v>
      </c>
      <c r="AH59" s="179">
        <f t="shared" si="78"/>
        <v>1</v>
      </c>
      <c r="AI59" s="179">
        <f t="shared" si="78"/>
        <v>1.074850256474746</v>
      </c>
      <c r="AJ59" s="179">
        <f t="shared" si="78"/>
        <v>0</v>
      </c>
      <c r="AK59" s="179">
        <f t="shared" si="78"/>
        <v>0</v>
      </c>
      <c r="AL59" s="179">
        <f t="shared" si="78"/>
        <v>0</v>
      </c>
      <c r="AM59" s="179">
        <f t="shared" si="78"/>
        <v>0</v>
      </c>
      <c r="AP59" s="20"/>
      <c r="AQ59" s="20"/>
    </row>
    <row r="60" spans="1:43">
      <c r="B60" s="181"/>
      <c r="C60" s="18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P60" s="20"/>
      <c r="AQ60" s="20"/>
    </row>
    <row r="61" spans="1:43" ht="21">
      <c r="B61" s="173" t="s">
        <v>94</v>
      </c>
      <c r="C61" s="37" t="str">
        <f>C57</f>
        <v>Инвестиционный месяц</v>
      </c>
      <c r="D61" s="183" t="s">
        <v>3</v>
      </c>
      <c r="E61" s="183" t="s">
        <v>4</v>
      </c>
      <c r="F61" s="183" t="s">
        <v>5</v>
      </c>
    </row>
    <row r="62" spans="1:43">
      <c r="B62" s="177" t="s">
        <v>95</v>
      </c>
      <c r="C62" s="179">
        <f>C58</f>
        <v>-2480000</v>
      </c>
      <c r="D62" s="178">
        <f>P54</f>
        <v>-3735107.2</v>
      </c>
      <c r="E62" s="178">
        <f>AC54</f>
        <v>9468949.7999999896</v>
      </c>
      <c r="F62" s="178">
        <f>AP54</f>
        <v>35053720.849999994</v>
      </c>
    </row>
    <row r="70" spans="1:1">
      <c r="A70" s="176"/>
    </row>
  </sheetData>
  <sheetProtection formatCells="0"/>
  <mergeCells count="11">
    <mergeCell ref="D2:K2"/>
    <mergeCell ref="A4:A5"/>
    <mergeCell ref="B4:B5"/>
    <mergeCell ref="C4:C5"/>
    <mergeCell ref="D4:O4"/>
    <mergeCell ref="AQ4:AQ5"/>
    <mergeCell ref="P4:P5"/>
    <mergeCell ref="Q4:AB4"/>
    <mergeCell ref="AC4:AC5"/>
    <mergeCell ref="AD4:AO4"/>
    <mergeCell ref="AP4:AP5"/>
  </mergeCells>
  <pageMargins left="0.74803149606299213" right="0.74803149606299213" top="0.19685039370078738" bottom="0.19685039370078738" header="0.15748031496062992" footer="0.15748031496062992"/>
  <pageSetup paperSize="9" scale="99"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"/>
  <sheetViews>
    <sheetView zoomScale="80" workbookViewId="0"/>
  </sheetViews>
  <sheetFormatPr defaultRowHeight="12.75"/>
  <sheetData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A9272"/>
  </sheetPr>
  <dimension ref="A2:J21"/>
  <sheetViews>
    <sheetView topLeftCell="A2" zoomScale="90" zoomScaleNormal="90" workbookViewId="0">
      <selection activeCell="E27" sqref="E27"/>
    </sheetView>
  </sheetViews>
  <sheetFormatPr defaultColWidth="9.140625" defaultRowHeight="15"/>
  <cols>
    <col min="1" max="1" width="5.28515625" style="185" customWidth="1"/>
    <col min="2" max="2" width="25.28515625" style="184" customWidth="1"/>
    <col min="3" max="3" width="17.140625" style="185" customWidth="1"/>
    <col min="4" max="4" width="16.28515625" style="186" customWidth="1"/>
    <col min="5" max="5" width="17.140625" style="185" customWidth="1"/>
    <col min="6" max="6" width="14.28515625" style="184" customWidth="1"/>
    <col min="7" max="16384" width="9.140625" style="184"/>
  </cols>
  <sheetData>
    <row r="2" spans="1:10" ht="18.75">
      <c r="B2" s="187" t="s">
        <v>96</v>
      </c>
    </row>
    <row r="3" spans="1:10" s="188" customFormat="1" ht="28.5">
      <c r="A3" s="189" t="s">
        <v>1</v>
      </c>
      <c r="B3" s="190" t="s">
        <v>97</v>
      </c>
      <c r="C3" s="191" t="s">
        <v>98</v>
      </c>
      <c r="D3" s="192" t="s">
        <v>99</v>
      </c>
      <c r="E3" s="191" t="s">
        <v>100</v>
      </c>
      <c r="F3" s="193" t="s">
        <v>101</v>
      </c>
    </row>
    <row r="4" spans="1:10" ht="30">
      <c r="A4" s="194">
        <v>1</v>
      </c>
      <c r="B4" s="195" t="s">
        <v>494</v>
      </c>
      <c r="C4" s="196">
        <v>45658</v>
      </c>
      <c r="D4" s="197">
        <v>14</v>
      </c>
      <c r="E4" s="198">
        <f t="shared" ref="E4:E18" si="0">C4+D4-1</f>
        <v>45671</v>
      </c>
      <c r="F4" s="199">
        <v>60000</v>
      </c>
    </row>
    <row r="5" spans="1:10" ht="30">
      <c r="A5" s="194">
        <v>2</v>
      </c>
      <c r="B5" s="195" t="s">
        <v>495</v>
      </c>
      <c r="C5" s="198">
        <f t="shared" ref="C5:C18" si="1">E4+1</f>
        <v>45672</v>
      </c>
      <c r="D5" s="197">
        <v>30</v>
      </c>
      <c r="E5" s="198">
        <f t="shared" si="0"/>
        <v>45701</v>
      </c>
      <c r="F5" s="199">
        <v>290000</v>
      </c>
    </row>
    <row r="6" spans="1:10">
      <c r="A6" s="194">
        <v>3</v>
      </c>
      <c r="B6" s="195" t="s">
        <v>496</v>
      </c>
      <c r="C6" s="198">
        <f t="shared" si="1"/>
        <v>45702</v>
      </c>
      <c r="D6" s="197">
        <v>90</v>
      </c>
      <c r="E6" s="198">
        <f t="shared" si="0"/>
        <v>45791</v>
      </c>
      <c r="F6" s="199">
        <v>900000</v>
      </c>
    </row>
    <row r="7" spans="1:10" ht="30">
      <c r="A7" s="194">
        <v>4</v>
      </c>
      <c r="B7" s="195" t="s">
        <v>497</v>
      </c>
      <c r="C7" s="198">
        <f t="shared" si="1"/>
        <v>45792</v>
      </c>
      <c r="D7" s="197">
        <v>14</v>
      </c>
      <c r="E7" s="198">
        <f t="shared" si="0"/>
        <v>45805</v>
      </c>
      <c r="F7" s="199">
        <v>120000</v>
      </c>
    </row>
    <row r="8" spans="1:10">
      <c r="A8" s="194">
        <v>5</v>
      </c>
      <c r="B8" s="195" t="s">
        <v>498</v>
      </c>
      <c r="C8" s="198">
        <f t="shared" si="1"/>
        <v>45806</v>
      </c>
      <c r="D8" s="197">
        <v>21</v>
      </c>
      <c r="E8" s="198">
        <f t="shared" si="0"/>
        <v>45826</v>
      </c>
      <c r="F8" s="199">
        <v>150000</v>
      </c>
    </row>
    <row r="9" spans="1:10" ht="30">
      <c r="A9" s="194">
        <v>6</v>
      </c>
      <c r="B9" s="195" t="s">
        <v>499</v>
      </c>
      <c r="C9" s="198">
        <f t="shared" si="1"/>
        <v>45827</v>
      </c>
      <c r="D9" s="197">
        <v>14</v>
      </c>
      <c r="E9" s="198">
        <f t="shared" si="0"/>
        <v>45840</v>
      </c>
      <c r="F9" s="200">
        <v>100000</v>
      </c>
    </row>
    <row r="10" spans="1:10" ht="30">
      <c r="A10" s="194">
        <v>7</v>
      </c>
      <c r="B10" s="195" t="s">
        <v>500</v>
      </c>
      <c r="C10" s="198">
        <f t="shared" si="1"/>
        <v>45841</v>
      </c>
      <c r="D10" s="197">
        <v>31</v>
      </c>
      <c r="E10" s="198">
        <f t="shared" si="0"/>
        <v>45871</v>
      </c>
      <c r="F10" s="199">
        <v>160000</v>
      </c>
      <c r="I10" s="201"/>
    </row>
    <row r="11" spans="1:10" ht="30">
      <c r="A11" s="194">
        <v>8</v>
      </c>
      <c r="B11" s="195" t="s">
        <v>501</v>
      </c>
      <c r="C11" s="198">
        <f t="shared" si="1"/>
        <v>45872</v>
      </c>
      <c r="D11" s="197">
        <v>150</v>
      </c>
      <c r="E11" s="198">
        <f t="shared" si="0"/>
        <v>46021</v>
      </c>
      <c r="F11" s="199">
        <v>700000</v>
      </c>
    </row>
    <row r="12" spans="1:10">
      <c r="A12" s="194">
        <v>9</v>
      </c>
      <c r="B12" s="195"/>
      <c r="C12" s="198">
        <f t="shared" si="1"/>
        <v>46022</v>
      </c>
      <c r="D12" s="197"/>
      <c r="E12" s="198">
        <f t="shared" si="0"/>
        <v>46021</v>
      </c>
      <c r="F12" s="199">
        <v>0</v>
      </c>
    </row>
    <row r="13" spans="1:10">
      <c r="A13" s="194">
        <v>10</v>
      </c>
      <c r="B13" s="195"/>
      <c r="C13" s="198">
        <f t="shared" si="1"/>
        <v>46022</v>
      </c>
      <c r="D13" s="197"/>
      <c r="E13" s="198">
        <f t="shared" si="0"/>
        <v>46021</v>
      </c>
      <c r="F13" s="199">
        <v>0</v>
      </c>
    </row>
    <row r="14" spans="1:10">
      <c r="A14" s="194">
        <v>11</v>
      </c>
      <c r="B14" s="195"/>
      <c r="C14" s="198">
        <f t="shared" si="1"/>
        <v>46022</v>
      </c>
      <c r="D14" s="197"/>
      <c r="E14" s="198">
        <f t="shared" si="0"/>
        <v>46021</v>
      </c>
      <c r="F14" s="199">
        <v>0</v>
      </c>
    </row>
    <row r="15" spans="1:10">
      <c r="A15" s="194">
        <v>12</v>
      </c>
      <c r="B15" s="195"/>
      <c r="C15" s="198">
        <f t="shared" si="1"/>
        <v>46022</v>
      </c>
      <c r="D15" s="197"/>
      <c r="E15" s="198">
        <f t="shared" si="0"/>
        <v>46021</v>
      </c>
      <c r="F15" s="199">
        <v>0</v>
      </c>
    </row>
    <row r="16" spans="1:10">
      <c r="A16" s="194">
        <v>13</v>
      </c>
      <c r="B16" s="195"/>
      <c r="C16" s="198">
        <f t="shared" si="1"/>
        <v>46022</v>
      </c>
      <c r="D16" s="197"/>
      <c r="E16" s="198">
        <f t="shared" si="0"/>
        <v>46021</v>
      </c>
      <c r="F16" s="199">
        <v>0</v>
      </c>
      <c r="J16" s="201"/>
    </row>
    <row r="17" spans="1:6">
      <c r="A17" s="194">
        <v>14</v>
      </c>
      <c r="B17" s="195"/>
      <c r="C17" s="198">
        <f t="shared" si="1"/>
        <v>46022</v>
      </c>
      <c r="D17" s="197"/>
      <c r="E17" s="198">
        <f t="shared" si="0"/>
        <v>46021</v>
      </c>
      <c r="F17" s="199">
        <v>0</v>
      </c>
    </row>
    <row r="18" spans="1:6">
      <c r="A18" s="194">
        <v>15</v>
      </c>
      <c r="B18" s="195"/>
      <c r="C18" s="198">
        <f t="shared" si="1"/>
        <v>46022</v>
      </c>
      <c r="D18" s="197"/>
      <c r="E18" s="198">
        <f t="shared" si="0"/>
        <v>46021</v>
      </c>
      <c r="F18" s="199">
        <v>0</v>
      </c>
    </row>
    <row r="19" spans="1:6">
      <c r="A19" s="450" t="s">
        <v>102</v>
      </c>
      <c r="B19" s="451"/>
      <c r="C19" s="452"/>
      <c r="D19" s="202">
        <f>SUM(D4:D18)</f>
        <v>364</v>
      </c>
      <c r="E19" s="203" t="s">
        <v>103</v>
      </c>
      <c r="F19" s="204">
        <f>SUM(F4:F18)</f>
        <v>2480000</v>
      </c>
    </row>
    <row r="21" spans="1:6">
      <c r="B21" s="184" t="s">
        <v>104</v>
      </c>
    </row>
  </sheetData>
  <sheetProtection formatCells="0"/>
  <mergeCells count="1">
    <mergeCell ref="A19:C19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9272"/>
  </sheetPr>
  <dimension ref="A1"/>
  <sheetViews>
    <sheetView zoomScale="80" workbookViewId="0"/>
  </sheetViews>
  <sheetFormatPr defaultRowHeight="12.75"/>
  <sheetData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A9272"/>
  </sheetPr>
  <dimension ref="A1"/>
  <sheetViews>
    <sheetView topLeftCell="A16" zoomScale="110" workbookViewId="0">
      <selection activeCell="L43" sqref="L43"/>
    </sheetView>
  </sheetViews>
  <sheetFormatPr defaultRowHeight="12.75"/>
  <sheetData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10">
    <tabColor rgb="FFFA9272"/>
  </sheetPr>
  <dimension ref="A2:E50"/>
  <sheetViews>
    <sheetView zoomScale="130" workbookViewId="0">
      <selection activeCell="E8" sqref="E8"/>
    </sheetView>
  </sheetViews>
  <sheetFormatPr defaultColWidth="9.140625" defaultRowHeight="15"/>
  <cols>
    <col min="1" max="1" width="11.140625" style="184" customWidth="1"/>
    <col min="2" max="2" width="27.42578125" style="184" customWidth="1"/>
    <col min="3" max="5" width="25.28515625" style="184" customWidth="1"/>
    <col min="6" max="16384" width="9.140625" style="184"/>
  </cols>
  <sheetData>
    <row r="2" spans="1:5" ht="18.75">
      <c r="B2" s="187" t="s">
        <v>105</v>
      </c>
    </row>
    <row r="4" spans="1:5">
      <c r="B4" s="186" t="s">
        <v>106</v>
      </c>
      <c r="C4" s="205"/>
    </row>
    <row r="5" spans="1:5">
      <c r="B5" s="186" t="s">
        <v>107</v>
      </c>
      <c r="C5" s="206">
        <v>0.09</v>
      </c>
    </row>
    <row r="6" spans="1:5">
      <c r="B6" s="186" t="s">
        <v>108</v>
      </c>
      <c r="C6" s="207">
        <v>36</v>
      </c>
    </row>
    <row r="7" spans="1:5">
      <c r="B7" s="186"/>
    </row>
    <row r="8" spans="1:5">
      <c r="B8" s="186" t="s">
        <v>109</v>
      </c>
      <c r="C8" s="208">
        <f>-(PMT(C5/12,C6,C4,0,0))</f>
        <v>0</v>
      </c>
    </row>
    <row r="9" spans="1:5">
      <c r="B9" s="186" t="s">
        <v>110</v>
      </c>
      <c r="C9" s="209">
        <f>C8*C6</f>
        <v>0</v>
      </c>
    </row>
    <row r="10" spans="1:5">
      <c r="B10" s="186" t="s">
        <v>111</v>
      </c>
      <c r="C10" s="209">
        <f>C9-C4</f>
        <v>0</v>
      </c>
    </row>
    <row r="13" spans="1:5" s="210" customFormat="1" ht="31.5" customHeight="1">
      <c r="A13" s="189" t="s">
        <v>94</v>
      </c>
      <c r="B13" s="192" t="s">
        <v>112</v>
      </c>
      <c r="C13" s="192" t="s">
        <v>113</v>
      </c>
      <c r="D13" s="191" t="s">
        <v>114</v>
      </c>
      <c r="E13" s="193" t="s">
        <v>115</v>
      </c>
    </row>
    <row r="14" spans="1:5">
      <c r="A14" s="211">
        <v>1</v>
      </c>
      <c r="B14" s="212">
        <f>-(PPMT($C$5/12,A14,$C$6,$C$4,0,0))</f>
        <v>0</v>
      </c>
      <c r="C14" s="212">
        <f>-(IPMT($C$5/12,A14,$C$6,$C$4,0,0))</f>
        <v>0</v>
      </c>
      <c r="D14" s="212">
        <f>B14+C14</f>
        <v>0</v>
      </c>
      <c r="E14" s="213">
        <f>C4-B14</f>
        <v>0</v>
      </c>
    </row>
    <row r="15" spans="1:5">
      <c r="A15" s="211">
        <f t="shared" ref="A15:A50" si="0">IF(A14&gt;=$C$6,"",A14+1)</f>
        <v>2</v>
      </c>
      <c r="B15" s="212">
        <f t="shared" ref="B15:B50" si="1">-(IF(A15&lt;&gt;"",PPMT($C$5/12,A15,$C$6,$C$4,0,0),0))</f>
        <v>0</v>
      </c>
      <c r="C15" s="212">
        <f t="shared" ref="C15:C50" si="2">-(IF(A15&lt;&gt;"",IPMT($C$5/12,A15,$C$6,$C$4,0,0),0))</f>
        <v>0</v>
      </c>
      <c r="D15" s="212">
        <f t="shared" ref="D15:D50" si="3">IF(A15&lt;&gt;"",B15+C15,0)</f>
        <v>0</v>
      </c>
      <c r="E15" s="213">
        <f t="shared" ref="E15:E50" si="4">IF(A15&lt;&gt;"",$C$4-SUM($B$14:B15),0)</f>
        <v>0</v>
      </c>
    </row>
    <row r="16" spans="1:5">
      <c r="A16" s="211">
        <f t="shared" si="0"/>
        <v>3</v>
      </c>
      <c r="B16" s="212">
        <f t="shared" si="1"/>
        <v>0</v>
      </c>
      <c r="C16" s="212">
        <f t="shared" si="2"/>
        <v>0</v>
      </c>
      <c r="D16" s="212">
        <f t="shared" si="3"/>
        <v>0</v>
      </c>
      <c r="E16" s="213">
        <f t="shared" si="4"/>
        <v>0</v>
      </c>
    </row>
    <row r="17" spans="1:5">
      <c r="A17" s="211">
        <f t="shared" si="0"/>
        <v>4</v>
      </c>
      <c r="B17" s="212">
        <f t="shared" si="1"/>
        <v>0</v>
      </c>
      <c r="C17" s="212">
        <f t="shared" si="2"/>
        <v>0</v>
      </c>
      <c r="D17" s="212">
        <f t="shared" si="3"/>
        <v>0</v>
      </c>
      <c r="E17" s="213">
        <f t="shared" si="4"/>
        <v>0</v>
      </c>
    </row>
    <row r="18" spans="1:5">
      <c r="A18" s="211">
        <f t="shared" si="0"/>
        <v>5</v>
      </c>
      <c r="B18" s="212">
        <f t="shared" si="1"/>
        <v>0</v>
      </c>
      <c r="C18" s="212">
        <f t="shared" si="2"/>
        <v>0</v>
      </c>
      <c r="D18" s="212">
        <f t="shared" si="3"/>
        <v>0</v>
      </c>
      <c r="E18" s="213">
        <f t="shared" si="4"/>
        <v>0</v>
      </c>
    </row>
    <row r="19" spans="1:5">
      <c r="A19" s="211">
        <f t="shared" si="0"/>
        <v>6</v>
      </c>
      <c r="B19" s="212">
        <f t="shared" si="1"/>
        <v>0</v>
      </c>
      <c r="C19" s="212">
        <f t="shared" si="2"/>
        <v>0</v>
      </c>
      <c r="D19" s="212">
        <f t="shared" si="3"/>
        <v>0</v>
      </c>
      <c r="E19" s="213">
        <f t="shared" si="4"/>
        <v>0</v>
      </c>
    </row>
    <row r="20" spans="1:5">
      <c r="A20" s="211">
        <f t="shared" si="0"/>
        <v>7</v>
      </c>
      <c r="B20" s="212">
        <f t="shared" si="1"/>
        <v>0</v>
      </c>
      <c r="C20" s="212">
        <f t="shared" si="2"/>
        <v>0</v>
      </c>
      <c r="D20" s="212">
        <f t="shared" si="3"/>
        <v>0</v>
      </c>
      <c r="E20" s="213">
        <f t="shared" si="4"/>
        <v>0</v>
      </c>
    </row>
    <row r="21" spans="1:5">
      <c r="A21" s="211">
        <f t="shared" si="0"/>
        <v>8</v>
      </c>
      <c r="B21" s="212">
        <f t="shared" si="1"/>
        <v>0</v>
      </c>
      <c r="C21" s="212">
        <f t="shared" si="2"/>
        <v>0</v>
      </c>
      <c r="D21" s="212">
        <f t="shared" si="3"/>
        <v>0</v>
      </c>
      <c r="E21" s="213">
        <f t="shared" si="4"/>
        <v>0</v>
      </c>
    </row>
    <row r="22" spans="1:5">
      <c r="A22" s="211">
        <f t="shared" si="0"/>
        <v>9</v>
      </c>
      <c r="B22" s="212">
        <f t="shared" si="1"/>
        <v>0</v>
      </c>
      <c r="C22" s="212">
        <f t="shared" si="2"/>
        <v>0</v>
      </c>
      <c r="D22" s="212">
        <f t="shared" si="3"/>
        <v>0</v>
      </c>
      <c r="E22" s="213">
        <f t="shared" si="4"/>
        <v>0</v>
      </c>
    </row>
    <row r="23" spans="1:5">
      <c r="A23" s="211">
        <f t="shared" si="0"/>
        <v>10</v>
      </c>
      <c r="B23" s="212">
        <f t="shared" si="1"/>
        <v>0</v>
      </c>
      <c r="C23" s="212">
        <f t="shared" si="2"/>
        <v>0</v>
      </c>
      <c r="D23" s="212">
        <f t="shared" si="3"/>
        <v>0</v>
      </c>
      <c r="E23" s="213">
        <f t="shared" si="4"/>
        <v>0</v>
      </c>
    </row>
    <row r="24" spans="1:5">
      <c r="A24" s="211">
        <f t="shared" si="0"/>
        <v>11</v>
      </c>
      <c r="B24" s="212">
        <f t="shared" si="1"/>
        <v>0</v>
      </c>
      <c r="C24" s="212">
        <f t="shared" si="2"/>
        <v>0</v>
      </c>
      <c r="D24" s="212">
        <f t="shared" si="3"/>
        <v>0</v>
      </c>
      <c r="E24" s="213">
        <f t="shared" si="4"/>
        <v>0</v>
      </c>
    </row>
    <row r="25" spans="1:5">
      <c r="A25" s="211">
        <f t="shared" si="0"/>
        <v>12</v>
      </c>
      <c r="B25" s="212">
        <f t="shared" si="1"/>
        <v>0</v>
      </c>
      <c r="C25" s="212">
        <f t="shared" si="2"/>
        <v>0</v>
      </c>
      <c r="D25" s="212">
        <f t="shared" si="3"/>
        <v>0</v>
      </c>
      <c r="E25" s="213">
        <f t="shared" si="4"/>
        <v>0</v>
      </c>
    </row>
    <row r="26" spans="1:5">
      <c r="A26" s="211">
        <f t="shared" si="0"/>
        <v>13</v>
      </c>
      <c r="B26" s="212">
        <f t="shared" si="1"/>
        <v>0</v>
      </c>
      <c r="C26" s="212">
        <f t="shared" si="2"/>
        <v>0</v>
      </c>
      <c r="D26" s="212">
        <f t="shared" si="3"/>
        <v>0</v>
      </c>
      <c r="E26" s="213">
        <f t="shared" si="4"/>
        <v>0</v>
      </c>
    </row>
    <row r="27" spans="1:5">
      <c r="A27" s="211">
        <f t="shared" si="0"/>
        <v>14</v>
      </c>
      <c r="B27" s="212">
        <f t="shared" si="1"/>
        <v>0</v>
      </c>
      <c r="C27" s="212">
        <f t="shared" si="2"/>
        <v>0</v>
      </c>
      <c r="D27" s="212">
        <f t="shared" si="3"/>
        <v>0</v>
      </c>
      <c r="E27" s="213">
        <f t="shared" si="4"/>
        <v>0</v>
      </c>
    </row>
    <row r="28" spans="1:5">
      <c r="A28" s="211">
        <f t="shared" si="0"/>
        <v>15</v>
      </c>
      <c r="B28" s="212">
        <f t="shared" si="1"/>
        <v>0</v>
      </c>
      <c r="C28" s="212">
        <f t="shared" si="2"/>
        <v>0</v>
      </c>
      <c r="D28" s="212">
        <f t="shared" si="3"/>
        <v>0</v>
      </c>
      <c r="E28" s="213">
        <f t="shared" si="4"/>
        <v>0</v>
      </c>
    </row>
    <row r="29" spans="1:5">
      <c r="A29" s="211">
        <f t="shared" si="0"/>
        <v>16</v>
      </c>
      <c r="B29" s="212">
        <f t="shared" si="1"/>
        <v>0</v>
      </c>
      <c r="C29" s="212">
        <f t="shared" si="2"/>
        <v>0</v>
      </c>
      <c r="D29" s="212">
        <f t="shared" si="3"/>
        <v>0</v>
      </c>
      <c r="E29" s="213">
        <f t="shared" si="4"/>
        <v>0</v>
      </c>
    </row>
    <row r="30" spans="1:5">
      <c r="A30" s="211">
        <f t="shared" si="0"/>
        <v>17</v>
      </c>
      <c r="B30" s="212">
        <f t="shared" si="1"/>
        <v>0</v>
      </c>
      <c r="C30" s="212">
        <f t="shared" si="2"/>
        <v>0</v>
      </c>
      <c r="D30" s="212">
        <f t="shared" si="3"/>
        <v>0</v>
      </c>
      <c r="E30" s="213">
        <f t="shared" si="4"/>
        <v>0</v>
      </c>
    </row>
    <row r="31" spans="1:5">
      <c r="A31" s="211">
        <f t="shared" si="0"/>
        <v>18</v>
      </c>
      <c r="B31" s="212">
        <f t="shared" si="1"/>
        <v>0</v>
      </c>
      <c r="C31" s="212">
        <f t="shared" si="2"/>
        <v>0</v>
      </c>
      <c r="D31" s="212">
        <f t="shared" si="3"/>
        <v>0</v>
      </c>
      <c r="E31" s="213">
        <f t="shared" si="4"/>
        <v>0</v>
      </c>
    </row>
    <row r="32" spans="1:5">
      <c r="A32" s="211">
        <f t="shared" si="0"/>
        <v>19</v>
      </c>
      <c r="B32" s="212">
        <f t="shared" si="1"/>
        <v>0</v>
      </c>
      <c r="C32" s="212">
        <f t="shared" si="2"/>
        <v>0</v>
      </c>
      <c r="D32" s="212">
        <f t="shared" si="3"/>
        <v>0</v>
      </c>
      <c r="E32" s="213">
        <f t="shared" si="4"/>
        <v>0</v>
      </c>
    </row>
    <row r="33" spans="1:5">
      <c r="A33" s="211">
        <f t="shared" si="0"/>
        <v>20</v>
      </c>
      <c r="B33" s="212">
        <f t="shared" si="1"/>
        <v>0</v>
      </c>
      <c r="C33" s="212">
        <f t="shared" si="2"/>
        <v>0</v>
      </c>
      <c r="D33" s="212">
        <f t="shared" si="3"/>
        <v>0</v>
      </c>
      <c r="E33" s="213">
        <f t="shared" si="4"/>
        <v>0</v>
      </c>
    </row>
    <row r="34" spans="1:5">
      <c r="A34" s="211">
        <f t="shared" si="0"/>
        <v>21</v>
      </c>
      <c r="B34" s="212">
        <f t="shared" si="1"/>
        <v>0</v>
      </c>
      <c r="C34" s="212">
        <f t="shared" si="2"/>
        <v>0</v>
      </c>
      <c r="D34" s="212">
        <f t="shared" si="3"/>
        <v>0</v>
      </c>
      <c r="E34" s="213">
        <f t="shared" si="4"/>
        <v>0</v>
      </c>
    </row>
    <row r="35" spans="1:5">
      <c r="A35" s="211">
        <f t="shared" si="0"/>
        <v>22</v>
      </c>
      <c r="B35" s="212">
        <f t="shared" si="1"/>
        <v>0</v>
      </c>
      <c r="C35" s="212">
        <f t="shared" si="2"/>
        <v>0</v>
      </c>
      <c r="D35" s="212">
        <f t="shared" si="3"/>
        <v>0</v>
      </c>
      <c r="E35" s="213">
        <f t="shared" si="4"/>
        <v>0</v>
      </c>
    </row>
    <row r="36" spans="1:5">
      <c r="A36" s="211">
        <f t="shared" si="0"/>
        <v>23</v>
      </c>
      <c r="B36" s="212">
        <f t="shared" si="1"/>
        <v>0</v>
      </c>
      <c r="C36" s="212">
        <f t="shared" si="2"/>
        <v>0</v>
      </c>
      <c r="D36" s="212">
        <f t="shared" si="3"/>
        <v>0</v>
      </c>
      <c r="E36" s="213">
        <f t="shared" si="4"/>
        <v>0</v>
      </c>
    </row>
    <row r="37" spans="1:5">
      <c r="A37" s="211">
        <f t="shared" si="0"/>
        <v>24</v>
      </c>
      <c r="B37" s="212">
        <f t="shared" si="1"/>
        <v>0</v>
      </c>
      <c r="C37" s="212">
        <f t="shared" si="2"/>
        <v>0</v>
      </c>
      <c r="D37" s="212">
        <f t="shared" si="3"/>
        <v>0</v>
      </c>
      <c r="E37" s="213">
        <f t="shared" si="4"/>
        <v>0</v>
      </c>
    </row>
    <row r="38" spans="1:5">
      <c r="A38" s="211">
        <f t="shared" si="0"/>
        <v>25</v>
      </c>
      <c r="B38" s="212">
        <f t="shared" si="1"/>
        <v>0</v>
      </c>
      <c r="C38" s="212">
        <f t="shared" si="2"/>
        <v>0</v>
      </c>
      <c r="D38" s="212">
        <f t="shared" si="3"/>
        <v>0</v>
      </c>
      <c r="E38" s="213">
        <f t="shared" si="4"/>
        <v>0</v>
      </c>
    </row>
    <row r="39" spans="1:5">
      <c r="A39" s="211">
        <f t="shared" si="0"/>
        <v>26</v>
      </c>
      <c r="B39" s="212">
        <f t="shared" si="1"/>
        <v>0</v>
      </c>
      <c r="C39" s="212">
        <f t="shared" si="2"/>
        <v>0</v>
      </c>
      <c r="D39" s="212">
        <f t="shared" si="3"/>
        <v>0</v>
      </c>
      <c r="E39" s="213">
        <f t="shared" si="4"/>
        <v>0</v>
      </c>
    </row>
    <row r="40" spans="1:5">
      <c r="A40" s="211">
        <f t="shared" si="0"/>
        <v>27</v>
      </c>
      <c r="B40" s="212">
        <f t="shared" si="1"/>
        <v>0</v>
      </c>
      <c r="C40" s="212">
        <f t="shared" si="2"/>
        <v>0</v>
      </c>
      <c r="D40" s="212">
        <f t="shared" si="3"/>
        <v>0</v>
      </c>
      <c r="E40" s="213">
        <f t="shared" si="4"/>
        <v>0</v>
      </c>
    </row>
    <row r="41" spans="1:5">
      <c r="A41" s="211">
        <f t="shared" si="0"/>
        <v>28</v>
      </c>
      <c r="B41" s="212">
        <f t="shared" si="1"/>
        <v>0</v>
      </c>
      <c r="C41" s="212">
        <f t="shared" si="2"/>
        <v>0</v>
      </c>
      <c r="D41" s="212">
        <f t="shared" si="3"/>
        <v>0</v>
      </c>
      <c r="E41" s="213">
        <f t="shared" si="4"/>
        <v>0</v>
      </c>
    </row>
    <row r="42" spans="1:5">
      <c r="A42" s="211">
        <f t="shared" si="0"/>
        <v>29</v>
      </c>
      <c r="B42" s="212">
        <f t="shared" si="1"/>
        <v>0</v>
      </c>
      <c r="C42" s="212">
        <f t="shared" si="2"/>
        <v>0</v>
      </c>
      <c r="D42" s="212">
        <f t="shared" si="3"/>
        <v>0</v>
      </c>
      <c r="E42" s="213">
        <f t="shared" si="4"/>
        <v>0</v>
      </c>
    </row>
    <row r="43" spans="1:5">
      <c r="A43" s="211">
        <f t="shared" si="0"/>
        <v>30</v>
      </c>
      <c r="B43" s="212">
        <f t="shared" si="1"/>
        <v>0</v>
      </c>
      <c r="C43" s="212">
        <f t="shared" si="2"/>
        <v>0</v>
      </c>
      <c r="D43" s="212">
        <f t="shared" si="3"/>
        <v>0</v>
      </c>
      <c r="E43" s="213">
        <f t="shared" si="4"/>
        <v>0</v>
      </c>
    </row>
    <row r="44" spans="1:5">
      <c r="A44" s="211">
        <f t="shared" si="0"/>
        <v>31</v>
      </c>
      <c r="B44" s="212">
        <f t="shared" si="1"/>
        <v>0</v>
      </c>
      <c r="C44" s="212">
        <f t="shared" si="2"/>
        <v>0</v>
      </c>
      <c r="D44" s="212">
        <f t="shared" si="3"/>
        <v>0</v>
      </c>
      <c r="E44" s="213">
        <f t="shared" si="4"/>
        <v>0</v>
      </c>
    </row>
    <row r="45" spans="1:5">
      <c r="A45" s="211">
        <f t="shared" si="0"/>
        <v>32</v>
      </c>
      <c r="B45" s="212">
        <f t="shared" si="1"/>
        <v>0</v>
      </c>
      <c r="C45" s="212">
        <f t="shared" si="2"/>
        <v>0</v>
      </c>
      <c r="D45" s="212">
        <f t="shared" si="3"/>
        <v>0</v>
      </c>
      <c r="E45" s="213">
        <f t="shared" si="4"/>
        <v>0</v>
      </c>
    </row>
    <row r="46" spans="1:5">
      <c r="A46" s="211">
        <f t="shared" si="0"/>
        <v>33</v>
      </c>
      <c r="B46" s="212">
        <f t="shared" si="1"/>
        <v>0</v>
      </c>
      <c r="C46" s="212">
        <f t="shared" si="2"/>
        <v>0</v>
      </c>
      <c r="D46" s="212">
        <f t="shared" si="3"/>
        <v>0</v>
      </c>
      <c r="E46" s="213">
        <f t="shared" si="4"/>
        <v>0</v>
      </c>
    </row>
    <row r="47" spans="1:5">
      <c r="A47" s="211">
        <f t="shared" si="0"/>
        <v>34</v>
      </c>
      <c r="B47" s="212">
        <f t="shared" si="1"/>
        <v>0</v>
      </c>
      <c r="C47" s="212">
        <f t="shared" si="2"/>
        <v>0</v>
      </c>
      <c r="D47" s="212">
        <f t="shared" si="3"/>
        <v>0</v>
      </c>
      <c r="E47" s="213">
        <f t="shared" si="4"/>
        <v>0</v>
      </c>
    </row>
    <row r="48" spans="1:5">
      <c r="A48" s="211">
        <f t="shared" si="0"/>
        <v>35</v>
      </c>
      <c r="B48" s="212">
        <f t="shared" si="1"/>
        <v>0</v>
      </c>
      <c r="C48" s="212">
        <f t="shared" si="2"/>
        <v>0</v>
      </c>
      <c r="D48" s="212">
        <f t="shared" si="3"/>
        <v>0</v>
      </c>
      <c r="E48" s="213">
        <f t="shared" si="4"/>
        <v>0</v>
      </c>
    </row>
    <row r="49" spans="1:5">
      <c r="A49" s="211">
        <f t="shared" si="0"/>
        <v>36</v>
      </c>
      <c r="B49" s="212">
        <f t="shared" si="1"/>
        <v>0</v>
      </c>
      <c r="C49" s="212">
        <f t="shared" si="2"/>
        <v>0</v>
      </c>
      <c r="D49" s="212">
        <f t="shared" si="3"/>
        <v>0</v>
      </c>
      <c r="E49" s="213">
        <f t="shared" si="4"/>
        <v>0</v>
      </c>
    </row>
    <row r="50" spans="1:5">
      <c r="A50" s="214" t="str">
        <f t="shared" si="0"/>
        <v/>
      </c>
      <c r="B50" s="215">
        <f t="shared" si="1"/>
        <v>0</v>
      </c>
      <c r="C50" s="215">
        <f t="shared" si="2"/>
        <v>0</v>
      </c>
      <c r="D50" s="215">
        <f t="shared" si="3"/>
        <v>0</v>
      </c>
      <c r="E50" s="216">
        <f t="shared" si="4"/>
        <v>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11">
    <tabColor theme="7"/>
  </sheetPr>
  <dimension ref="A2:E13"/>
  <sheetViews>
    <sheetView workbookViewId="0">
      <selection activeCell="G9" sqref="G9"/>
    </sheetView>
  </sheetViews>
  <sheetFormatPr defaultColWidth="9.140625" defaultRowHeight="15"/>
  <cols>
    <col min="1" max="1" width="34.140625" style="217" customWidth="1"/>
    <col min="2" max="2" width="15.140625" style="217" customWidth="1"/>
    <col min="3" max="5" width="16.7109375" style="217" customWidth="1"/>
    <col min="6" max="16384" width="9.140625" style="217"/>
  </cols>
  <sheetData>
    <row r="2" spans="1:5" ht="18.75">
      <c r="A2" s="218" t="s">
        <v>116</v>
      </c>
    </row>
    <row r="3" spans="1:5" s="219" customFormat="1" ht="20.100000000000001" customHeight="1">
      <c r="A3" s="220" t="s">
        <v>117</v>
      </c>
      <c r="B3" s="221" t="s">
        <v>118</v>
      </c>
      <c r="C3" s="221" t="s">
        <v>119</v>
      </c>
      <c r="D3" s="221" t="s">
        <v>119</v>
      </c>
      <c r="E3" s="222" t="s">
        <v>119</v>
      </c>
    </row>
    <row r="4" spans="1:5" ht="39.75" customHeight="1">
      <c r="A4" s="223" t="s">
        <v>507</v>
      </c>
      <c r="B4" s="224" t="s">
        <v>508</v>
      </c>
      <c r="C4" s="225">
        <v>35000</v>
      </c>
      <c r="D4" s="226">
        <f>C4+C4*'Вводные данные'!$D$4</f>
        <v>40250</v>
      </c>
      <c r="E4" s="227">
        <f>D4+D4*'Вводные данные'!$E$4</f>
        <v>46287.5</v>
      </c>
    </row>
    <row r="5" spans="1:5" ht="39.75" customHeight="1">
      <c r="A5" s="223" t="s">
        <v>502</v>
      </c>
      <c r="B5" s="224" t="s">
        <v>508</v>
      </c>
      <c r="C5" s="225">
        <v>15000</v>
      </c>
      <c r="D5" s="226">
        <f>C5+C5*'Вводные данные'!$D$4</f>
        <v>17250</v>
      </c>
      <c r="E5" s="227">
        <f>D5+D5*'Вводные данные'!$E$4</f>
        <v>19837.5</v>
      </c>
    </row>
    <row r="6" spans="1:5" ht="39.75" customHeight="1">
      <c r="A6" s="223" t="s">
        <v>503</v>
      </c>
      <c r="B6" s="224" t="s">
        <v>511</v>
      </c>
      <c r="C6" s="225">
        <v>9000</v>
      </c>
      <c r="D6" s="226">
        <f>C6+C6*'Вводные данные'!$D$4</f>
        <v>10350</v>
      </c>
      <c r="E6" s="227">
        <f>D6+D6*'Вводные данные'!$E$4</f>
        <v>11902.5</v>
      </c>
    </row>
    <row r="7" spans="1:5" ht="31.5" customHeight="1">
      <c r="A7" s="223" t="s">
        <v>512</v>
      </c>
      <c r="B7" s="224" t="s">
        <v>504</v>
      </c>
      <c r="C7" s="225">
        <v>250000</v>
      </c>
      <c r="D7" s="226">
        <f>C7+C7*'Вводные данные'!$D$4</f>
        <v>287500</v>
      </c>
      <c r="E7" s="227">
        <f>D7+D7*'Вводные данные'!$E$4</f>
        <v>330625</v>
      </c>
    </row>
    <row r="8" spans="1:5" ht="41.25" customHeight="1">
      <c r="A8" s="223" t="s">
        <v>505</v>
      </c>
      <c r="B8" s="228" t="s">
        <v>506</v>
      </c>
      <c r="C8" s="225">
        <v>20000</v>
      </c>
      <c r="D8" s="226">
        <f>C8+C8*'Вводные данные'!$D$4</f>
        <v>23000</v>
      </c>
      <c r="E8" s="227">
        <f>D8+D8*'Вводные данные'!$E$4</f>
        <v>26450</v>
      </c>
    </row>
    <row r="9" spans="1:5" ht="39.75" customHeight="1">
      <c r="A9" s="223"/>
      <c r="B9" s="224"/>
      <c r="C9" s="225"/>
      <c r="D9" s="226">
        <f>C9+C9*'Вводные данные'!$D$4</f>
        <v>0</v>
      </c>
      <c r="E9" s="227">
        <f>D9+D9*'Вводные данные'!$E$4</f>
        <v>0</v>
      </c>
    </row>
    <row r="10" spans="1:5" ht="39.75" customHeight="1">
      <c r="A10" s="223"/>
      <c r="B10" s="224"/>
      <c r="C10" s="225"/>
      <c r="D10" s="226">
        <f>C10+C10*'Вводные данные'!$D$4</f>
        <v>0</v>
      </c>
      <c r="E10" s="227">
        <f>D10+D10*'Вводные данные'!$E$4</f>
        <v>0</v>
      </c>
    </row>
    <row r="11" spans="1:5" ht="39.75" customHeight="1">
      <c r="A11" s="223" t="s">
        <v>509</v>
      </c>
      <c r="B11" s="224" t="s">
        <v>508</v>
      </c>
      <c r="C11" s="225">
        <v>65000</v>
      </c>
      <c r="D11" s="226">
        <f>C11+C11*'Вводные данные'!$D$4</f>
        <v>74750</v>
      </c>
      <c r="E11" s="227">
        <f>D11+D11*'Вводные данные'!$E$4</f>
        <v>85962.5</v>
      </c>
    </row>
    <row r="12" spans="1:5" ht="31.5" customHeight="1">
      <c r="A12" s="223" t="s">
        <v>510</v>
      </c>
      <c r="B12" s="224" t="s">
        <v>508</v>
      </c>
      <c r="C12" s="225">
        <v>12000</v>
      </c>
      <c r="D12" s="226">
        <f>C12+C12*'Вводные данные'!$D$4</f>
        <v>13800</v>
      </c>
      <c r="E12" s="227">
        <f>D12+D12*'Вводные данные'!$E$4</f>
        <v>15870</v>
      </c>
    </row>
    <row r="13" spans="1:5" ht="41.25" customHeight="1">
      <c r="A13" s="229"/>
      <c r="B13" s="230"/>
      <c r="C13" s="231"/>
      <c r="D13" s="232">
        <f>C13+C13*'Вводные данные'!$D$4</f>
        <v>0</v>
      </c>
      <c r="E13" s="233">
        <f>D13+D13*'Вводные данные'!$E$4</f>
        <v>0</v>
      </c>
    </row>
  </sheetData>
  <sheetProtection sheet="1" formatCells="0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16">
    <tabColor theme="7"/>
  </sheetPr>
  <dimension ref="A2:AN36"/>
  <sheetViews>
    <sheetView zoomScaleNormal="100" workbookViewId="0">
      <pane xSplit="1" ySplit="4" topLeftCell="X5" activePane="bottomRight" state="frozen"/>
      <selection activeCell="AB5" sqref="AB5:AM5"/>
      <selection pane="topRight"/>
      <selection pane="bottomLeft"/>
      <selection pane="bottomRight" activeCell="AG18" sqref="AG18"/>
    </sheetView>
  </sheetViews>
  <sheetFormatPr defaultColWidth="9.140625" defaultRowHeight="15"/>
  <cols>
    <col min="1" max="1" width="35.7109375" style="234" customWidth="1"/>
    <col min="2" max="2" width="12.42578125" style="234" customWidth="1"/>
    <col min="3" max="5" width="11.85546875" style="234" bestFit="1" customWidth="1"/>
    <col min="6" max="6" width="9.7109375" style="234" bestFit="1" customWidth="1"/>
    <col min="7" max="9" width="11.85546875" style="234" bestFit="1" customWidth="1"/>
    <col min="10" max="10" width="9.42578125" style="234" bestFit="1" customWidth="1"/>
    <col min="11" max="11" width="11.85546875" style="234" bestFit="1" customWidth="1"/>
    <col min="12" max="12" width="10.7109375" style="234" bestFit="1" customWidth="1"/>
    <col min="13" max="13" width="11.85546875" style="234" bestFit="1" customWidth="1"/>
    <col min="14" max="14" width="13.28515625" style="235" customWidth="1"/>
    <col min="15" max="15" width="10.140625" style="234" bestFit="1" customWidth="1"/>
    <col min="16" max="23" width="10.140625" style="234" customWidth="1"/>
    <col min="24" max="26" width="10.140625" style="234" bestFit="1" customWidth="1"/>
    <col min="27" max="27" width="13.28515625" style="234" customWidth="1"/>
    <col min="28" max="28" width="10.140625" style="234" bestFit="1" customWidth="1"/>
    <col min="29" max="36" width="10.140625" style="234" customWidth="1"/>
    <col min="37" max="39" width="10.140625" style="234" bestFit="1" customWidth="1"/>
    <col min="40" max="40" width="13.28515625" style="234" customWidth="1"/>
    <col min="41" max="16384" width="9.140625" style="234"/>
  </cols>
  <sheetData>
    <row r="2" spans="1:40" ht="18.75">
      <c r="A2" s="236" t="s">
        <v>120</v>
      </c>
    </row>
    <row r="3" spans="1:40" s="237" customFormat="1">
      <c r="A3" s="456" t="s">
        <v>117</v>
      </c>
      <c r="B3" s="466" t="s">
        <v>3</v>
      </c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8"/>
      <c r="N3" s="459" t="s">
        <v>121</v>
      </c>
      <c r="O3" s="453" t="s">
        <v>4</v>
      </c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9" t="s">
        <v>122</v>
      </c>
      <c r="AB3" s="453" t="s">
        <v>5</v>
      </c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4" t="s">
        <v>123</v>
      </c>
    </row>
    <row r="4" spans="1:40" s="235" customFormat="1" ht="14.25">
      <c r="A4" s="457"/>
      <c r="B4" s="238">
        <f>РДДС!D5</f>
        <v>45809</v>
      </c>
      <c r="C4" s="238">
        <f>РДДС!E5</f>
        <v>45839</v>
      </c>
      <c r="D4" s="238">
        <f>РДДС!F5</f>
        <v>45870</v>
      </c>
      <c r="E4" s="238">
        <f>РДДС!G5</f>
        <v>45901</v>
      </c>
      <c r="F4" s="238">
        <f>РДДС!H5</f>
        <v>45931</v>
      </c>
      <c r="G4" s="238">
        <f>РДДС!I5</f>
        <v>45962</v>
      </c>
      <c r="H4" s="238">
        <f>РДДС!J5</f>
        <v>45992</v>
      </c>
      <c r="I4" s="238">
        <f>РДДС!K5</f>
        <v>46023</v>
      </c>
      <c r="J4" s="238">
        <f>РДДС!L5</f>
        <v>46054</v>
      </c>
      <c r="K4" s="238">
        <f>РДДС!M5</f>
        <v>46082</v>
      </c>
      <c r="L4" s="238">
        <f>РДДС!N5</f>
        <v>46113</v>
      </c>
      <c r="M4" s="238">
        <f>РДДС!O5</f>
        <v>46143</v>
      </c>
      <c r="N4" s="460"/>
      <c r="O4" s="238">
        <f>РДДС!Q5</f>
        <v>46174</v>
      </c>
      <c r="P4" s="238">
        <f>РДДС!R5</f>
        <v>46204</v>
      </c>
      <c r="Q4" s="238">
        <f>РДДС!S5</f>
        <v>46235</v>
      </c>
      <c r="R4" s="238">
        <f>РДДС!T5</f>
        <v>46266</v>
      </c>
      <c r="S4" s="238">
        <f>РДДС!U5</f>
        <v>46296</v>
      </c>
      <c r="T4" s="238">
        <f>РДДС!V5</f>
        <v>46327</v>
      </c>
      <c r="U4" s="238">
        <f>РДДС!W5</f>
        <v>46357</v>
      </c>
      <c r="V4" s="238">
        <f>РДДС!X5</f>
        <v>46388</v>
      </c>
      <c r="W4" s="238">
        <f>РДДС!Y5</f>
        <v>46419</v>
      </c>
      <c r="X4" s="238">
        <f>РДДС!Z5</f>
        <v>46447</v>
      </c>
      <c r="Y4" s="238">
        <f>РДДС!AA5</f>
        <v>46478</v>
      </c>
      <c r="Z4" s="238">
        <f>РДДС!AB5</f>
        <v>46508</v>
      </c>
      <c r="AA4" s="460"/>
      <c r="AB4" s="238">
        <f>РДДС!AD5</f>
        <v>46539</v>
      </c>
      <c r="AC4" s="238">
        <f>РДДС!AE5</f>
        <v>46569</v>
      </c>
      <c r="AD4" s="238">
        <f>РДДС!AF5</f>
        <v>46600</v>
      </c>
      <c r="AE4" s="238">
        <f>РДДС!AG5</f>
        <v>46631</v>
      </c>
      <c r="AF4" s="238">
        <f>РДДС!AH5</f>
        <v>46661</v>
      </c>
      <c r="AG4" s="238">
        <f>РДДС!AI5</f>
        <v>46692</v>
      </c>
      <c r="AH4" s="238">
        <f>РДДС!AJ5</f>
        <v>46722</v>
      </c>
      <c r="AI4" s="238">
        <f>РДДС!AK5</f>
        <v>46753</v>
      </c>
      <c r="AJ4" s="238">
        <f>РДДС!AL5</f>
        <v>46784</v>
      </c>
      <c r="AK4" s="238">
        <f>РДДС!AM5</f>
        <v>46813</v>
      </c>
      <c r="AL4" s="238">
        <f>РДДС!AN5</f>
        <v>46844</v>
      </c>
      <c r="AM4" s="238">
        <f>РДДС!AO5</f>
        <v>46874</v>
      </c>
      <c r="AN4" s="455"/>
    </row>
    <row r="5" spans="1:40">
      <c r="A5" s="239" t="str">
        <f>'Продукция и цена '!A4</f>
        <v>Аренда системы: "Базовый" тариф</v>
      </c>
      <c r="B5" s="225">
        <v>1</v>
      </c>
      <c r="C5" s="225">
        <v>2</v>
      </c>
      <c r="D5" s="225">
        <v>3</v>
      </c>
      <c r="E5" s="225">
        <v>4</v>
      </c>
      <c r="F5" s="225">
        <v>5</v>
      </c>
      <c r="G5" s="225">
        <v>7</v>
      </c>
      <c r="H5" s="225">
        <v>8</v>
      </c>
      <c r="I5" s="225">
        <v>8</v>
      </c>
      <c r="J5" s="225">
        <v>10</v>
      </c>
      <c r="K5" s="225">
        <v>12</v>
      </c>
      <c r="L5" s="225">
        <v>13</v>
      </c>
      <c r="M5" s="225">
        <v>14</v>
      </c>
      <c r="N5" s="240">
        <f t="shared" ref="N5:N14" si="0">SUM(B5:M5)</f>
        <v>87</v>
      </c>
      <c r="O5" s="225">
        <v>15</v>
      </c>
      <c r="P5" s="225">
        <v>16</v>
      </c>
      <c r="Q5" s="225">
        <v>18</v>
      </c>
      <c r="R5" s="225">
        <v>19.3333333333333</v>
      </c>
      <c r="S5" s="225">
        <v>20.8333333333333</v>
      </c>
      <c r="T5" s="225">
        <v>22.3333333333333</v>
      </c>
      <c r="U5" s="225">
        <v>23.8333333333333</v>
      </c>
      <c r="V5" s="225">
        <v>25.3333333333333</v>
      </c>
      <c r="W5" s="225">
        <v>26.8333333333333</v>
      </c>
      <c r="X5" s="225">
        <v>28.3333333333333</v>
      </c>
      <c r="Y5" s="225">
        <v>29.8333333333333</v>
      </c>
      <c r="Z5" s="225">
        <v>31.3333333333333</v>
      </c>
      <c r="AA5" s="240">
        <f t="shared" ref="AA5:AA14" si="1">SUM(O5:Z5)</f>
        <v>276.99999999999977</v>
      </c>
      <c r="AB5" s="225">
        <v>6</v>
      </c>
      <c r="AC5" s="225">
        <v>6</v>
      </c>
      <c r="AD5" s="225">
        <v>6</v>
      </c>
      <c r="AE5" s="225">
        <v>6</v>
      </c>
      <c r="AF5" s="225">
        <v>6</v>
      </c>
      <c r="AG5" s="225">
        <v>6</v>
      </c>
      <c r="AH5" s="225">
        <v>7</v>
      </c>
      <c r="AI5" s="225">
        <v>7</v>
      </c>
      <c r="AJ5" s="225">
        <v>7</v>
      </c>
      <c r="AK5" s="225">
        <v>7</v>
      </c>
      <c r="AL5" s="225">
        <v>7</v>
      </c>
      <c r="AM5" s="225">
        <v>7</v>
      </c>
      <c r="AN5" s="241">
        <f t="shared" ref="AN5:AN15" si="2">SUM(AB5:AM5)</f>
        <v>78</v>
      </c>
    </row>
    <row r="6" spans="1:40">
      <c r="A6" s="239" t="str">
        <f>'Продукция и цена '!A5</f>
        <v>Поддержка системы</v>
      </c>
      <c r="B6" s="225">
        <v>2</v>
      </c>
      <c r="C6" s="225">
        <v>0</v>
      </c>
      <c r="D6" s="225">
        <v>2</v>
      </c>
      <c r="E6" s="225">
        <v>2</v>
      </c>
      <c r="F6" s="225">
        <v>3</v>
      </c>
      <c r="G6" s="225">
        <v>4</v>
      </c>
      <c r="H6" s="225">
        <v>5</v>
      </c>
      <c r="I6" s="225">
        <v>6</v>
      </c>
      <c r="J6" s="225">
        <v>8</v>
      </c>
      <c r="K6" s="225">
        <v>8</v>
      </c>
      <c r="L6" s="225">
        <v>9</v>
      </c>
      <c r="M6" s="225">
        <v>10</v>
      </c>
      <c r="N6" s="240">
        <f t="shared" si="0"/>
        <v>59</v>
      </c>
      <c r="O6" s="225">
        <v>12</v>
      </c>
      <c r="P6" s="225">
        <v>15</v>
      </c>
      <c r="Q6" s="225">
        <v>17</v>
      </c>
      <c r="R6" s="225">
        <v>21</v>
      </c>
      <c r="S6" s="225">
        <v>23</v>
      </c>
      <c r="T6" s="225">
        <v>26</v>
      </c>
      <c r="U6" s="225">
        <v>28</v>
      </c>
      <c r="V6" s="225">
        <v>32</v>
      </c>
      <c r="W6" s="225">
        <v>34</v>
      </c>
      <c r="X6" s="225">
        <v>37</v>
      </c>
      <c r="Y6" s="225">
        <v>39</v>
      </c>
      <c r="Z6" s="225">
        <v>43</v>
      </c>
      <c r="AA6" s="240">
        <f t="shared" si="1"/>
        <v>327</v>
      </c>
      <c r="AB6" s="225">
        <v>49</v>
      </c>
      <c r="AC6" s="225">
        <v>55</v>
      </c>
      <c r="AD6" s="225">
        <v>59</v>
      </c>
      <c r="AE6" s="225">
        <v>65</v>
      </c>
      <c r="AF6" s="225">
        <v>69</v>
      </c>
      <c r="AG6" s="225">
        <v>75</v>
      </c>
      <c r="AH6" s="225">
        <v>79</v>
      </c>
      <c r="AI6" s="225">
        <v>85</v>
      </c>
      <c r="AJ6" s="225">
        <v>89</v>
      </c>
      <c r="AK6" s="225">
        <v>95</v>
      </c>
      <c r="AL6" s="225">
        <v>99</v>
      </c>
      <c r="AM6" s="225">
        <v>105</v>
      </c>
      <c r="AN6" s="241">
        <f t="shared" si="2"/>
        <v>924</v>
      </c>
    </row>
    <row r="7" spans="1:40">
      <c r="A7" s="239" t="str">
        <f>'Продукция и цена '!A6</f>
        <v>Встроенная коммерция (доп. услуги)</v>
      </c>
      <c r="B7" s="225">
        <v>1</v>
      </c>
      <c r="C7" s="225">
        <v>1</v>
      </c>
      <c r="D7" s="225">
        <v>1</v>
      </c>
      <c r="E7" s="225">
        <v>1</v>
      </c>
      <c r="F7" s="225">
        <v>1</v>
      </c>
      <c r="G7" s="225">
        <v>1</v>
      </c>
      <c r="H7" s="225">
        <v>1</v>
      </c>
      <c r="I7" s="225">
        <v>1</v>
      </c>
      <c r="J7" s="225">
        <v>1</v>
      </c>
      <c r="K7" s="225">
        <v>1</v>
      </c>
      <c r="L7" s="225">
        <v>1</v>
      </c>
      <c r="M7" s="225">
        <v>1</v>
      </c>
      <c r="N7" s="240">
        <f t="shared" si="0"/>
        <v>12</v>
      </c>
      <c r="O7" s="225">
        <v>10</v>
      </c>
      <c r="P7" s="225">
        <v>10</v>
      </c>
      <c r="Q7" s="225">
        <v>10</v>
      </c>
      <c r="R7" s="225">
        <v>10</v>
      </c>
      <c r="S7" s="225">
        <v>12</v>
      </c>
      <c r="T7" s="225">
        <v>12</v>
      </c>
      <c r="U7" s="225">
        <v>15</v>
      </c>
      <c r="V7" s="225">
        <v>14</v>
      </c>
      <c r="W7" s="225">
        <v>18</v>
      </c>
      <c r="X7" s="225">
        <v>18</v>
      </c>
      <c r="Y7" s="225">
        <v>18</v>
      </c>
      <c r="Z7" s="225">
        <v>18</v>
      </c>
      <c r="AA7" s="240">
        <f t="shared" si="1"/>
        <v>165</v>
      </c>
      <c r="AB7" s="225">
        <v>20</v>
      </c>
      <c r="AC7" s="225">
        <v>20</v>
      </c>
      <c r="AD7" s="225">
        <v>20</v>
      </c>
      <c r="AE7" s="225">
        <v>20</v>
      </c>
      <c r="AF7" s="225">
        <v>23</v>
      </c>
      <c r="AG7" s="225">
        <v>23</v>
      </c>
      <c r="AH7" s="225">
        <v>27</v>
      </c>
      <c r="AI7" s="225">
        <v>25</v>
      </c>
      <c r="AJ7" s="225">
        <v>26</v>
      </c>
      <c r="AK7" s="225">
        <v>26</v>
      </c>
      <c r="AL7" s="225">
        <v>27</v>
      </c>
      <c r="AM7" s="225">
        <v>27</v>
      </c>
      <c r="AN7" s="241">
        <f t="shared" si="2"/>
        <v>284</v>
      </c>
    </row>
    <row r="8" spans="1:40">
      <c r="A8" s="239" t="str">
        <f>'Продукция и цена '!A7</f>
        <v>Установка и настройка системы, онбординг</v>
      </c>
      <c r="B8" s="225">
        <v>1</v>
      </c>
      <c r="C8" s="225">
        <v>0</v>
      </c>
      <c r="D8" s="225">
        <v>2</v>
      </c>
      <c r="E8" s="225">
        <v>0</v>
      </c>
      <c r="F8" s="225">
        <v>1</v>
      </c>
      <c r="G8" s="225">
        <v>1</v>
      </c>
      <c r="H8" s="225">
        <v>1</v>
      </c>
      <c r="I8" s="225">
        <v>1</v>
      </c>
      <c r="J8" s="225">
        <v>2</v>
      </c>
      <c r="K8" s="225">
        <v>0</v>
      </c>
      <c r="L8" s="225">
        <v>1</v>
      </c>
      <c r="M8" s="225">
        <v>1</v>
      </c>
      <c r="N8" s="240">
        <f t="shared" si="0"/>
        <v>11</v>
      </c>
      <c r="O8" s="225">
        <v>2</v>
      </c>
      <c r="P8" s="225">
        <v>3</v>
      </c>
      <c r="Q8" s="225">
        <v>2</v>
      </c>
      <c r="R8" s="225">
        <v>4</v>
      </c>
      <c r="S8" s="225">
        <v>2</v>
      </c>
      <c r="T8" s="225">
        <v>3</v>
      </c>
      <c r="U8" s="225">
        <v>2</v>
      </c>
      <c r="V8" s="225">
        <v>4</v>
      </c>
      <c r="W8" s="225">
        <v>2</v>
      </c>
      <c r="X8" s="225">
        <v>3</v>
      </c>
      <c r="Y8" s="225">
        <v>2</v>
      </c>
      <c r="Z8" s="225">
        <v>4</v>
      </c>
      <c r="AA8" s="240">
        <f t="shared" si="1"/>
        <v>33</v>
      </c>
      <c r="AB8" s="225">
        <v>6</v>
      </c>
      <c r="AC8" s="225">
        <v>6</v>
      </c>
      <c r="AD8" s="225">
        <v>4</v>
      </c>
      <c r="AE8" s="225">
        <v>6</v>
      </c>
      <c r="AF8" s="225">
        <v>4</v>
      </c>
      <c r="AG8" s="225">
        <v>6</v>
      </c>
      <c r="AH8" s="225">
        <v>4</v>
      </c>
      <c r="AI8" s="225">
        <v>6</v>
      </c>
      <c r="AJ8" s="225">
        <v>4</v>
      </c>
      <c r="AK8" s="225">
        <v>6</v>
      </c>
      <c r="AL8" s="225">
        <v>4</v>
      </c>
      <c r="AM8" s="225">
        <v>6</v>
      </c>
      <c r="AN8" s="241">
        <f t="shared" si="2"/>
        <v>62</v>
      </c>
    </row>
    <row r="9" spans="1:40">
      <c r="A9" s="239" t="str">
        <f>'Продукция и цена '!A8</f>
        <v>Реклама/партнёрства</v>
      </c>
      <c r="B9" s="225">
        <v>0</v>
      </c>
      <c r="C9" s="225">
        <v>0</v>
      </c>
      <c r="D9" s="225">
        <v>0</v>
      </c>
      <c r="E9" s="225">
        <v>1</v>
      </c>
      <c r="F9" s="225">
        <v>1</v>
      </c>
      <c r="G9" s="225">
        <v>1</v>
      </c>
      <c r="H9" s="225">
        <v>1</v>
      </c>
      <c r="I9" s="225">
        <v>1</v>
      </c>
      <c r="J9" s="225">
        <v>1</v>
      </c>
      <c r="K9" s="225">
        <v>1</v>
      </c>
      <c r="L9" s="225">
        <v>1</v>
      </c>
      <c r="M9" s="225">
        <v>1</v>
      </c>
      <c r="N9" s="240">
        <f t="shared" si="0"/>
        <v>9</v>
      </c>
      <c r="O9" s="225">
        <v>1</v>
      </c>
      <c r="P9" s="225">
        <v>1</v>
      </c>
      <c r="Q9" s="225">
        <v>1</v>
      </c>
      <c r="R9" s="225">
        <v>1</v>
      </c>
      <c r="S9" s="225">
        <v>1</v>
      </c>
      <c r="T9" s="225">
        <v>1</v>
      </c>
      <c r="U9" s="225">
        <v>2</v>
      </c>
      <c r="V9" s="225">
        <v>2</v>
      </c>
      <c r="W9" s="225">
        <v>1</v>
      </c>
      <c r="X9" s="225">
        <v>1</v>
      </c>
      <c r="Y9" s="225">
        <v>2</v>
      </c>
      <c r="Z9" s="225">
        <v>2</v>
      </c>
      <c r="AA9" s="240">
        <f t="shared" si="1"/>
        <v>16</v>
      </c>
      <c r="AB9" s="225">
        <v>2</v>
      </c>
      <c r="AC9" s="225">
        <v>2</v>
      </c>
      <c r="AD9" s="225">
        <v>2</v>
      </c>
      <c r="AE9" s="225">
        <v>2</v>
      </c>
      <c r="AF9" s="225">
        <v>2</v>
      </c>
      <c r="AG9" s="225">
        <v>1</v>
      </c>
      <c r="AH9" s="225">
        <v>2</v>
      </c>
      <c r="AI9" s="225">
        <v>2</v>
      </c>
      <c r="AJ9" s="225">
        <v>2</v>
      </c>
      <c r="AK9" s="225">
        <v>1</v>
      </c>
      <c r="AL9" s="225">
        <v>2</v>
      </c>
      <c r="AM9" s="225">
        <v>2</v>
      </c>
      <c r="AN9" s="241">
        <f t="shared" si="2"/>
        <v>22</v>
      </c>
    </row>
    <row r="10" spans="1:40" ht="30">
      <c r="A10" s="239">
        <f>'Продукция и цена '!A9</f>
        <v>0</v>
      </c>
      <c r="B10" s="225">
        <v>0</v>
      </c>
      <c r="C10" s="225">
        <v>0</v>
      </c>
      <c r="D10" s="225">
        <v>0</v>
      </c>
      <c r="E10" s="225">
        <v>0</v>
      </c>
      <c r="F10" s="225">
        <v>0</v>
      </c>
      <c r="G10" s="225">
        <v>0</v>
      </c>
      <c r="H10" s="225">
        <v>0</v>
      </c>
      <c r="I10" s="225">
        <v>0</v>
      </c>
      <c r="J10" s="225">
        <v>0</v>
      </c>
      <c r="K10" s="225">
        <v>0</v>
      </c>
      <c r="L10" s="225">
        <v>0</v>
      </c>
      <c r="M10" s="225">
        <v>0</v>
      </c>
      <c r="N10" s="240">
        <f t="shared" si="0"/>
        <v>0</v>
      </c>
      <c r="O10" s="225">
        <v>0</v>
      </c>
      <c r="P10" s="225">
        <v>0</v>
      </c>
      <c r="Q10" s="225">
        <v>0</v>
      </c>
      <c r="R10" s="225">
        <v>0</v>
      </c>
      <c r="S10" s="225">
        <v>0</v>
      </c>
      <c r="T10" s="225">
        <v>0</v>
      </c>
      <c r="U10" s="225">
        <v>0</v>
      </c>
      <c r="V10" s="225">
        <v>0</v>
      </c>
      <c r="W10" s="225">
        <v>3</v>
      </c>
      <c r="X10" s="225">
        <v>3</v>
      </c>
      <c r="Y10" s="225">
        <v>0</v>
      </c>
      <c r="Z10" s="225">
        <v>0</v>
      </c>
      <c r="AA10" s="240">
        <f t="shared" si="1"/>
        <v>6</v>
      </c>
      <c r="AB10" s="225">
        <v>0</v>
      </c>
      <c r="AC10" s="225">
        <v>0</v>
      </c>
      <c r="AD10" s="225">
        <v>0</v>
      </c>
      <c r="AE10" s="225">
        <v>0</v>
      </c>
      <c r="AF10" s="225">
        <v>0</v>
      </c>
      <c r="AG10" s="225">
        <v>0</v>
      </c>
      <c r="AH10" s="225">
        <v>0</v>
      </c>
      <c r="AI10" s="225">
        <v>0</v>
      </c>
      <c r="AJ10" s="225">
        <v>0</v>
      </c>
      <c r="AK10" s="225">
        <v>0</v>
      </c>
      <c r="AL10" s="225">
        <v>0</v>
      </c>
      <c r="AM10" s="225">
        <v>0</v>
      </c>
      <c r="AN10" s="241">
        <f t="shared" si="2"/>
        <v>0</v>
      </c>
    </row>
    <row r="11" spans="1:40" ht="30">
      <c r="A11" s="239">
        <f>'Продукция и цена '!A10</f>
        <v>0</v>
      </c>
      <c r="B11" s="225">
        <v>0</v>
      </c>
      <c r="C11" s="225">
        <v>0</v>
      </c>
      <c r="D11" s="225">
        <v>0</v>
      </c>
      <c r="E11" s="225">
        <v>0</v>
      </c>
      <c r="F11" s="225">
        <v>0</v>
      </c>
      <c r="G11" s="225">
        <v>0</v>
      </c>
      <c r="H11" s="225">
        <v>0</v>
      </c>
      <c r="I11" s="225">
        <v>0</v>
      </c>
      <c r="J11" s="225">
        <v>0</v>
      </c>
      <c r="K11" s="225">
        <v>0</v>
      </c>
      <c r="L11" s="225">
        <v>0</v>
      </c>
      <c r="M11" s="225">
        <v>0</v>
      </c>
      <c r="N11" s="240">
        <f t="shared" si="0"/>
        <v>0</v>
      </c>
      <c r="O11" s="225">
        <v>0</v>
      </c>
      <c r="P11" s="225">
        <v>0</v>
      </c>
      <c r="Q11" s="225">
        <v>0</v>
      </c>
      <c r="R11" s="225">
        <v>0</v>
      </c>
      <c r="S11" s="225">
        <v>0</v>
      </c>
      <c r="T11" s="225">
        <v>0</v>
      </c>
      <c r="U11" s="225">
        <v>0</v>
      </c>
      <c r="V11" s="225">
        <v>0</v>
      </c>
      <c r="W11" s="225">
        <v>0</v>
      </c>
      <c r="X11" s="225">
        <v>0</v>
      </c>
      <c r="Y11" s="225">
        <v>0</v>
      </c>
      <c r="Z11" s="225">
        <v>0</v>
      </c>
      <c r="AA11" s="240">
        <f t="shared" si="1"/>
        <v>0</v>
      </c>
      <c r="AB11" s="225">
        <v>0</v>
      </c>
      <c r="AC11" s="225">
        <v>0</v>
      </c>
      <c r="AD11" s="225">
        <v>0</v>
      </c>
      <c r="AE11" s="225">
        <v>0</v>
      </c>
      <c r="AF11" s="225">
        <v>0</v>
      </c>
      <c r="AG11" s="225">
        <v>0</v>
      </c>
      <c r="AH11" s="225">
        <v>0</v>
      </c>
      <c r="AI11" s="225">
        <v>0</v>
      </c>
      <c r="AJ11" s="225">
        <v>0</v>
      </c>
      <c r="AK11" s="225">
        <v>0</v>
      </c>
      <c r="AL11" s="225">
        <v>0</v>
      </c>
      <c r="AM11" s="225">
        <v>0</v>
      </c>
      <c r="AN11" s="241">
        <f t="shared" si="2"/>
        <v>0</v>
      </c>
    </row>
    <row r="12" spans="1:40">
      <c r="A12" s="239" t="str">
        <f>'Продукция и цена '!A11</f>
        <v>Аренда системы: "Продвинутый" тариф</v>
      </c>
      <c r="B12" s="225">
        <v>0</v>
      </c>
      <c r="C12" s="225">
        <v>0</v>
      </c>
      <c r="D12" s="225">
        <v>1</v>
      </c>
      <c r="E12" s="225">
        <v>1</v>
      </c>
      <c r="F12" s="225">
        <v>1</v>
      </c>
      <c r="G12" s="225">
        <v>2</v>
      </c>
      <c r="H12" s="225">
        <v>2</v>
      </c>
      <c r="I12" s="225">
        <v>2</v>
      </c>
      <c r="J12" s="225">
        <v>3</v>
      </c>
      <c r="K12" s="225">
        <v>3</v>
      </c>
      <c r="L12" s="225">
        <v>3</v>
      </c>
      <c r="M12" s="225">
        <v>4</v>
      </c>
      <c r="N12" s="240">
        <f t="shared" si="0"/>
        <v>22</v>
      </c>
      <c r="O12" s="225">
        <v>5</v>
      </c>
      <c r="P12" s="225">
        <v>6</v>
      </c>
      <c r="Q12" s="225">
        <v>7</v>
      </c>
      <c r="R12" s="225">
        <v>8</v>
      </c>
      <c r="S12" s="225">
        <v>9</v>
      </c>
      <c r="T12" s="225">
        <v>10</v>
      </c>
      <c r="U12" s="225">
        <v>11</v>
      </c>
      <c r="V12" s="225">
        <v>12</v>
      </c>
      <c r="W12" s="225">
        <v>13</v>
      </c>
      <c r="X12" s="225">
        <v>14</v>
      </c>
      <c r="Y12" s="225">
        <v>15</v>
      </c>
      <c r="Z12" s="225">
        <v>16</v>
      </c>
      <c r="AA12" s="240">
        <f t="shared" si="1"/>
        <v>126</v>
      </c>
      <c r="AB12" s="225">
        <v>18</v>
      </c>
      <c r="AC12" s="225">
        <v>20</v>
      </c>
      <c r="AD12" s="225">
        <v>22</v>
      </c>
      <c r="AE12" s="225">
        <v>24</v>
      </c>
      <c r="AF12" s="225">
        <v>26</v>
      </c>
      <c r="AG12" s="225">
        <v>28</v>
      </c>
      <c r="AH12" s="225">
        <v>30</v>
      </c>
      <c r="AI12" s="225">
        <v>32</v>
      </c>
      <c r="AJ12" s="225">
        <v>34</v>
      </c>
      <c r="AK12" s="225">
        <v>36</v>
      </c>
      <c r="AL12" s="225">
        <v>38</v>
      </c>
      <c r="AM12" s="225">
        <v>40</v>
      </c>
      <c r="AN12" s="241">
        <f t="shared" si="2"/>
        <v>348</v>
      </c>
    </row>
    <row r="13" spans="1:40">
      <c r="A13" s="239" t="str">
        <f>'Продукция и цена '!A12</f>
        <v>Аренда системы: "Бизнес" тариф</v>
      </c>
      <c r="B13" s="225">
        <v>0</v>
      </c>
      <c r="C13" s="225">
        <v>0</v>
      </c>
      <c r="D13" s="225">
        <v>0</v>
      </c>
      <c r="E13" s="225">
        <v>0</v>
      </c>
      <c r="F13" s="225">
        <v>0</v>
      </c>
      <c r="G13" s="225">
        <v>0</v>
      </c>
      <c r="H13" s="225">
        <v>0</v>
      </c>
      <c r="I13" s="225">
        <v>1</v>
      </c>
      <c r="J13" s="225">
        <v>1</v>
      </c>
      <c r="K13" s="225">
        <v>1</v>
      </c>
      <c r="L13" s="225">
        <v>1</v>
      </c>
      <c r="M13" s="225">
        <v>1</v>
      </c>
      <c r="N13" s="240">
        <f t="shared" si="0"/>
        <v>5</v>
      </c>
      <c r="O13" s="225">
        <v>1</v>
      </c>
      <c r="P13" s="225">
        <v>1</v>
      </c>
      <c r="Q13" s="225">
        <v>1</v>
      </c>
      <c r="R13" s="225">
        <v>2</v>
      </c>
      <c r="S13" s="225">
        <v>2</v>
      </c>
      <c r="T13" s="225">
        <v>2</v>
      </c>
      <c r="U13" s="225">
        <v>2</v>
      </c>
      <c r="V13" s="225">
        <v>3</v>
      </c>
      <c r="W13" s="225">
        <v>3</v>
      </c>
      <c r="X13" s="225">
        <v>3</v>
      </c>
      <c r="Y13" s="225">
        <v>3</v>
      </c>
      <c r="Z13" s="225">
        <v>4</v>
      </c>
      <c r="AA13" s="240">
        <f t="shared" si="1"/>
        <v>27</v>
      </c>
      <c r="AB13" s="225">
        <v>4</v>
      </c>
      <c r="AC13" s="225">
        <v>5</v>
      </c>
      <c r="AD13" s="225">
        <v>5</v>
      </c>
      <c r="AE13" s="225">
        <v>5.6666666666666696</v>
      </c>
      <c r="AF13" s="225">
        <v>6.1666666666666696</v>
      </c>
      <c r="AG13" s="225">
        <v>6.6666666666666696</v>
      </c>
      <c r="AH13" s="225">
        <v>7.1666666666666696</v>
      </c>
      <c r="AI13" s="225">
        <v>7.6666666666666696</v>
      </c>
      <c r="AJ13" s="225">
        <v>8.1666666666666696</v>
      </c>
      <c r="AK13" s="225">
        <v>8.6666666666666696</v>
      </c>
      <c r="AL13" s="225">
        <v>9.1666666666666696</v>
      </c>
      <c r="AM13" s="225">
        <v>9.6666666666666696</v>
      </c>
      <c r="AN13" s="241">
        <f t="shared" si="2"/>
        <v>83.000000000000043</v>
      </c>
    </row>
    <row r="14" spans="1:40">
      <c r="A14" s="239">
        <f>'Продукция и цена '!A13</f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40">
        <f t="shared" si="0"/>
        <v>0</v>
      </c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40">
        <f t="shared" si="1"/>
        <v>0</v>
      </c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41">
        <f t="shared" si="2"/>
        <v>0</v>
      </c>
    </row>
    <row r="15" spans="1:40" s="242" customFormat="1" ht="20.100000000000001" customHeight="1">
      <c r="A15" s="243" t="s">
        <v>124</v>
      </c>
      <c r="B15" s="244">
        <f>SUM(B5:B14)</f>
        <v>5</v>
      </c>
      <c r="C15" s="244">
        <f t="shared" ref="C15:M15" si="3">SUM(C5:C14)</f>
        <v>3</v>
      </c>
      <c r="D15" s="244">
        <f t="shared" si="3"/>
        <v>9</v>
      </c>
      <c r="E15" s="244">
        <f t="shared" si="3"/>
        <v>9</v>
      </c>
      <c r="F15" s="244">
        <f t="shared" si="3"/>
        <v>12</v>
      </c>
      <c r="G15" s="244">
        <f t="shared" si="3"/>
        <v>16</v>
      </c>
      <c r="H15" s="244">
        <f t="shared" si="3"/>
        <v>18</v>
      </c>
      <c r="I15" s="244">
        <f t="shared" si="3"/>
        <v>20</v>
      </c>
      <c r="J15" s="244">
        <f t="shared" si="3"/>
        <v>26</v>
      </c>
      <c r="K15" s="244">
        <f t="shared" si="3"/>
        <v>26</v>
      </c>
      <c r="L15" s="244">
        <f t="shared" si="3"/>
        <v>29</v>
      </c>
      <c r="M15" s="244">
        <f t="shared" si="3"/>
        <v>32</v>
      </c>
      <c r="N15" s="244">
        <f>SUM(B15:M15)</f>
        <v>205</v>
      </c>
      <c r="O15" s="244">
        <f>SUM(O5:O14)</f>
        <v>46</v>
      </c>
      <c r="P15" s="244">
        <f t="shared" ref="P15:Z15" si="4">SUM(P5:P14)</f>
        <v>52</v>
      </c>
      <c r="Q15" s="244">
        <f t="shared" si="4"/>
        <v>56</v>
      </c>
      <c r="R15" s="244">
        <f t="shared" si="4"/>
        <v>65.3333333333333</v>
      </c>
      <c r="S15" s="244">
        <f t="shared" si="4"/>
        <v>69.8333333333333</v>
      </c>
      <c r="T15" s="244">
        <f t="shared" si="4"/>
        <v>76.3333333333333</v>
      </c>
      <c r="U15" s="244">
        <f t="shared" si="4"/>
        <v>83.8333333333333</v>
      </c>
      <c r="V15" s="244">
        <f t="shared" si="4"/>
        <v>92.3333333333333</v>
      </c>
      <c r="W15" s="244">
        <f t="shared" si="4"/>
        <v>100.8333333333333</v>
      </c>
      <c r="X15" s="244">
        <f t="shared" si="4"/>
        <v>107.3333333333333</v>
      </c>
      <c r="Y15" s="244">
        <f t="shared" si="4"/>
        <v>108.8333333333333</v>
      </c>
      <c r="Z15" s="244">
        <f t="shared" si="4"/>
        <v>118.3333333333333</v>
      </c>
      <c r="AA15" s="244">
        <f>SUM(O15:Z15)</f>
        <v>976.99999999999955</v>
      </c>
      <c r="AB15" s="244">
        <f>SUM(AB5:AB14)</f>
        <v>105</v>
      </c>
      <c r="AC15" s="244">
        <f t="shared" ref="AC15:AM15" si="5">SUM(AC5:AC14)</f>
        <v>114</v>
      </c>
      <c r="AD15" s="244">
        <f t="shared" si="5"/>
        <v>118</v>
      </c>
      <c r="AE15" s="244">
        <f t="shared" si="5"/>
        <v>128.66666666666666</v>
      </c>
      <c r="AF15" s="244">
        <f t="shared" si="5"/>
        <v>136.16666666666666</v>
      </c>
      <c r="AG15" s="244">
        <f t="shared" si="5"/>
        <v>145.66666666666666</v>
      </c>
      <c r="AH15" s="244">
        <f t="shared" si="5"/>
        <v>156.16666666666666</v>
      </c>
      <c r="AI15" s="244">
        <f t="shared" si="5"/>
        <v>164.66666666666666</v>
      </c>
      <c r="AJ15" s="244">
        <f t="shared" si="5"/>
        <v>170.16666666666666</v>
      </c>
      <c r="AK15" s="244">
        <f t="shared" si="5"/>
        <v>179.66666666666666</v>
      </c>
      <c r="AL15" s="244">
        <f t="shared" si="5"/>
        <v>186.16666666666666</v>
      </c>
      <c r="AM15" s="244">
        <f t="shared" si="5"/>
        <v>196.66666666666666</v>
      </c>
      <c r="AN15" s="245">
        <f t="shared" si="2"/>
        <v>1801.0000000000002</v>
      </c>
    </row>
    <row r="18" spans="1:40" ht="18.75">
      <c r="A18" s="236" t="s">
        <v>125</v>
      </c>
    </row>
    <row r="19" spans="1:40" s="246" customFormat="1" ht="14.25">
      <c r="A19" s="456" t="s">
        <v>117</v>
      </c>
      <c r="B19" s="458" t="s">
        <v>3</v>
      </c>
      <c r="C19" s="458"/>
      <c r="D19" s="458"/>
      <c r="E19" s="458"/>
      <c r="F19" s="458"/>
      <c r="G19" s="458"/>
      <c r="H19" s="458"/>
      <c r="I19" s="458"/>
      <c r="J19" s="458"/>
      <c r="K19" s="458"/>
      <c r="L19" s="458"/>
      <c r="M19" s="458"/>
      <c r="N19" s="459" t="s">
        <v>121</v>
      </c>
      <c r="O19" s="461" t="str">
        <f>O3</f>
        <v>2 год</v>
      </c>
      <c r="P19" s="461"/>
      <c r="Q19" s="461"/>
      <c r="R19" s="461"/>
      <c r="S19" s="461"/>
      <c r="T19" s="461"/>
      <c r="U19" s="461"/>
      <c r="V19" s="461"/>
      <c r="W19" s="461"/>
      <c r="X19" s="461"/>
      <c r="Y19" s="461"/>
      <c r="Z19" s="461"/>
      <c r="AA19" s="462" t="str">
        <f>AA3</f>
        <v>ИТОГО за 2 год</v>
      </c>
      <c r="AB19" s="461" t="str">
        <f>AB3</f>
        <v>3 год</v>
      </c>
      <c r="AC19" s="461"/>
      <c r="AD19" s="461"/>
      <c r="AE19" s="461"/>
      <c r="AF19" s="461"/>
      <c r="AG19" s="461"/>
      <c r="AH19" s="461"/>
      <c r="AI19" s="461"/>
      <c r="AJ19" s="461"/>
      <c r="AK19" s="461"/>
      <c r="AL19" s="461"/>
      <c r="AM19" s="461"/>
      <c r="AN19" s="464" t="str">
        <f>AN3</f>
        <v>ИТОГО за 3 год</v>
      </c>
    </row>
    <row r="20" spans="1:40">
      <c r="A20" s="457"/>
      <c r="B20" s="247">
        <f>B4</f>
        <v>45809</v>
      </c>
      <c r="C20" s="247">
        <f t="shared" ref="C20:AM20" si="6">C4</f>
        <v>45839</v>
      </c>
      <c r="D20" s="247">
        <f t="shared" si="6"/>
        <v>45870</v>
      </c>
      <c r="E20" s="247">
        <f t="shared" si="6"/>
        <v>45901</v>
      </c>
      <c r="F20" s="247">
        <f t="shared" si="6"/>
        <v>45931</v>
      </c>
      <c r="G20" s="247">
        <f t="shared" si="6"/>
        <v>45962</v>
      </c>
      <c r="H20" s="247">
        <f t="shared" si="6"/>
        <v>45992</v>
      </c>
      <c r="I20" s="247">
        <f t="shared" si="6"/>
        <v>46023</v>
      </c>
      <c r="J20" s="247">
        <f t="shared" si="6"/>
        <v>46054</v>
      </c>
      <c r="K20" s="247">
        <f t="shared" si="6"/>
        <v>46082</v>
      </c>
      <c r="L20" s="247">
        <f t="shared" si="6"/>
        <v>46113</v>
      </c>
      <c r="M20" s="247">
        <f t="shared" si="6"/>
        <v>46143</v>
      </c>
      <c r="N20" s="460"/>
      <c r="O20" s="247">
        <f t="shared" si="6"/>
        <v>46174</v>
      </c>
      <c r="P20" s="247">
        <f t="shared" si="6"/>
        <v>46204</v>
      </c>
      <c r="Q20" s="247">
        <f t="shared" si="6"/>
        <v>46235</v>
      </c>
      <c r="R20" s="247">
        <f t="shared" si="6"/>
        <v>46266</v>
      </c>
      <c r="S20" s="247">
        <f t="shared" si="6"/>
        <v>46296</v>
      </c>
      <c r="T20" s="247">
        <f t="shared" si="6"/>
        <v>46327</v>
      </c>
      <c r="U20" s="247">
        <f t="shared" si="6"/>
        <v>46357</v>
      </c>
      <c r="V20" s="247">
        <f t="shared" si="6"/>
        <v>46388</v>
      </c>
      <c r="W20" s="247">
        <f t="shared" si="6"/>
        <v>46419</v>
      </c>
      <c r="X20" s="247">
        <f t="shared" si="6"/>
        <v>46447</v>
      </c>
      <c r="Y20" s="247">
        <f t="shared" si="6"/>
        <v>46478</v>
      </c>
      <c r="Z20" s="247">
        <f t="shared" si="6"/>
        <v>46508</v>
      </c>
      <c r="AA20" s="463"/>
      <c r="AB20" s="247">
        <f t="shared" si="6"/>
        <v>46539</v>
      </c>
      <c r="AC20" s="247">
        <f t="shared" si="6"/>
        <v>46569</v>
      </c>
      <c r="AD20" s="247">
        <f t="shared" si="6"/>
        <v>46600</v>
      </c>
      <c r="AE20" s="247">
        <f t="shared" si="6"/>
        <v>46631</v>
      </c>
      <c r="AF20" s="247">
        <f t="shared" si="6"/>
        <v>46661</v>
      </c>
      <c r="AG20" s="247">
        <f t="shared" si="6"/>
        <v>46692</v>
      </c>
      <c r="AH20" s="247">
        <f t="shared" si="6"/>
        <v>46722</v>
      </c>
      <c r="AI20" s="247">
        <f t="shared" si="6"/>
        <v>46753</v>
      </c>
      <c r="AJ20" s="247">
        <f t="shared" si="6"/>
        <v>46784</v>
      </c>
      <c r="AK20" s="247">
        <f t="shared" si="6"/>
        <v>46813</v>
      </c>
      <c r="AL20" s="247">
        <f t="shared" si="6"/>
        <v>46844</v>
      </c>
      <c r="AM20" s="247">
        <f t="shared" si="6"/>
        <v>46874</v>
      </c>
      <c r="AN20" s="465"/>
    </row>
    <row r="21" spans="1:40">
      <c r="A21" s="248" t="str">
        <f>'Продукция и цена '!A4</f>
        <v>Аренда системы: "Базовый" тариф</v>
      </c>
      <c r="B21" s="226">
        <f>(B5*'Продукция и цена '!$C$4)-((B5*'Продукция и цена '!$C$4)*'Вводные данные'!$C$5)</f>
        <v>35000</v>
      </c>
      <c r="C21" s="226">
        <f>(C5*'Продукция и цена '!$C$4)-((C5*'Продукция и цена '!$C$4)*'Вводные данные'!$C$5)</f>
        <v>70000</v>
      </c>
      <c r="D21" s="226">
        <f>(D5*'Продукция и цена '!$C$4)-((D5*'Продукция и цена '!$C$4)*'Вводные данные'!$C$5)</f>
        <v>105000</v>
      </c>
      <c r="E21" s="226">
        <f>(E5*'Продукция и цена '!$C$4)-((E5*'Продукция и цена '!$C$4)*'Вводные данные'!$C$5)</f>
        <v>140000</v>
      </c>
      <c r="F21" s="226">
        <f>(F5*'Продукция и цена '!$C$4)-((F5*'Продукция и цена '!$C$4)*'Вводные данные'!$C$5)</f>
        <v>175000</v>
      </c>
      <c r="G21" s="226">
        <f>(G5*'Продукция и цена '!$C$4)-((G5*'Продукция и цена '!$C$4)*'Вводные данные'!$C$5)</f>
        <v>245000</v>
      </c>
      <c r="H21" s="226">
        <f>(H5*'Продукция и цена '!$C$4)-((H5*'Продукция и цена '!$C$4)*'Вводные данные'!$C$5)</f>
        <v>280000</v>
      </c>
      <c r="I21" s="226">
        <f>(I5*'Продукция и цена '!$C$4)-((I5*'Продукция и цена '!$C$4)*'Вводные данные'!$C$5)</f>
        <v>280000</v>
      </c>
      <c r="J21" s="226">
        <f>(J5*'Продукция и цена '!$C$4)-((J5*'Продукция и цена '!$C$4)*'Вводные данные'!$C$5)</f>
        <v>350000</v>
      </c>
      <c r="K21" s="226">
        <f>(K5*'Продукция и цена '!$C$4)-((K5*'Продукция и цена '!$C$4)*'Вводные данные'!$C$5)</f>
        <v>420000</v>
      </c>
      <c r="L21" s="226">
        <f>(L5*'Продукция и цена '!$C$4)-((L5*'Продукция и цена '!$C$4)*'Вводные данные'!$C$5)</f>
        <v>455000</v>
      </c>
      <c r="M21" s="226">
        <f>(M5*'Продукция и цена '!$C$4)-((M5*'Продукция и цена '!$C$4)*'Вводные данные'!$C$5)</f>
        <v>490000</v>
      </c>
      <c r="N21" s="240">
        <f t="shared" ref="N21:N31" si="7">SUM(B21:M21)</f>
        <v>3045000</v>
      </c>
      <c r="O21" s="226">
        <f>(O5*'Продукция и цена '!$D$4)-((O5*'Продукция и цена '!$D$4)*'Вводные данные'!$D$5)</f>
        <v>603750</v>
      </c>
      <c r="P21" s="226">
        <f>(P5*'Продукция и цена '!$D$4)-((P5*'Продукция и цена '!$D$4)*'Вводные данные'!$D$5)</f>
        <v>644000</v>
      </c>
      <c r="Q21" s="226">
        <f>(Q5*'Продукция и цена '!$D$4)-((Q5*'Продукция и цена '!$D$4)*'Вводные данные'!$D$5)</f>
        <v>724500</v>
      </c>
      <c r="R21" s="226">
        <f>(R5*'Продукция и цена '!$D$4)-((R5*'Продукция и цена '!$D$4)*'Вводные данные'!$D$5)</f>
        <v>778166.66666666535</v>
      </c>
      <c r="S21" s="226">
        <f>(S5*'Продукция и цена '!$D$4)-((S5*'Продукция и цена '!$D$4)*'Вводные данные'!$D$5)</f>
        <v>838541.66666666535</v>
      </c>
      <c r="T21" s="226">
        <f>(T5*'Продукция и цена '!$D$4)-((T5*'Продукция и цена '!$D$4)*'Вводные данные'!$D$5)</f>
        <v>898916.66666666535</v>
      </c>
      <c r="U21" s="226">
        <f>(U5*'Продукция и цена '!$D$4)-((U5*'Продукция и цена '!$D$4)*'Вводные данные'!$D$5)</f>
        <v>959291.66666666535</v>
      </c>
      <c r="V21" s="226">
        <f>(V5*'Продукция и цена '!$D$4)-((V5*'Продукция и цена '!$D$4)*'Вводные данные'!$D$5)</f>
        <v>1019666.6666666653</v>
      </c>
      <c r="W21" s="226">
        <f>(W5*'Продукция и цена '!$D$4)-((W5*'Продукция и цена '!$D$4)*'Вводные данные'!$D$5)</f>
        <v>1080041.6666666653</v>
      </c>
      <c r="X21" s="226">
        <f>(X5*'Продукция и цена '!$D$4)-((X5*'Продукция и цена '!$D$4)*'Вводные данные'!$D$5)</f>
        <v>1140416.6666666653</v>
      </c>
      <c r="Y21" s="226">
        <f>(Y5*'Продукция и цена '!$D$4)-((Y5*'Продукция и цена '!$D$4)*'Вводные данные'!$D$5)</f>
        <v>1200791.6666666653</v>
      </c>
      <c r="Z21" s="226">
        <f>(Z5*'Продукция и цена '!$D$4)-((Z5*'Продукция и цена '!$D$4)*'Вводные данные'!$D$5)</f>
        <v>1261166.6666666653</v>
      </c>
      <c r="AA21" s="240">
        <f t="shared" ref="AA21:AA31" si="8">SUM(O21:Z21)</f>
        <v>11149249.999999989</v>
      </c>
      <c r="AB21" s="226">
        <f>(AB5*'Продукция и цена '!$E$4)-((AB5*'Продукция и цена '!$E$4)*'Вводные данные'!$E$5)</f>
        <v>277725</v>
      </c>
      <c r="AC21" s="226">
        <f>(AC5*'Продукция и цена '!$E$4)-((AC5*'Продукция и цена '!$E$4)*'Вводные данные'!$E$5)</f>
        <v>277725</v>
      </c>
      <c r="AD21" s="226">
        <f>(AD5*'Продукция и цена '!$E$4)-((AD5*'Продукция и цена '!$E$4)*'Вводные данные'!$E$5)</f>
        <v>277725</v>
      </c>
      <c r="AE21" s="226">
        <f>(AE5*'Продукция и цена '!$E$4)-((AE5*'Продукция и цена '!$E$4)*'Вводные данные'!$E$5)</f>
        <v>277725</v>
      </c>
      <c r="AF21" s="226">
        <f>(AF5*'Продукция и цена '!$E$4)-((AF5*'Продукция и цена '!$E$4)*'Вводные данные'!$E$5)</f>
        <v>277725</v>
      </c>
      <c r="AG21" s="226">
        <f>(AG5*'Продукция и цена '!$E$4)-((AG5*'Продукция и цена '!$E$4)*'Вводные данные'!$E$5)</f>
        <v>277725</v>
      </c>
      <c r="AH21" s="226">
        <f>(AH5*'Продукция и цена '!$E$4)-((AH5*'Продукция и цена '!$E$4)*'Вводные данные'!$E$5)</f>
        <v>324012.5</v>
      </c>
      <c r="AI21" s="226">
        <f>(AI5*'Продукция и цена '!$E$4)-((AI5*'Продукция и цена '!$E$4)*'Вводные данные'!$E$5)</f>
        <v>324012.5</v>
      </c>
      <c r="AJ21" s="226">
        <f>(AJ5*'Продукция и цена '!$E$4)-((AJ5*'Продукция и цена '!$E$4)*'Вводные данные'!$E$5)</f>
        <v>324012.5</v>
      </c>
      <c r="AK21" s="226">
        <f>(AK5*'Продукция и цена '!$E$4)-((AK5*'Продукция и цена '!$E$4)*'Вводные данные'!$E$5)</f>
        <v>324012.5</v>
      </c>
      <c r="AL21" s="226">
        <f>(AL5*'Продукция и цена '!$E$4)-((AL5*'Продукция и цена '!$E$4)*'Вводные данные'!$E$5)</f>
        <v>324012.5</v>
      </c>
      <c r="AM21" s="226">
        <f>(AM5*'Продукция и цена '!$E$4)-((AM5*'Продукция и цена '!$E$4)*'Вводные данные'!$E$5)</f>
        <v>324012.5</v>
      </c>
      <c r="AN21" s="241">
        <f t="shared" ref="AN21:AN31" si="9">SUM(AB21:AM21)</f>
        <v>3610425</v>
      </c>
    </row>
    <row r="22" spans="1:40">
      <c r="A22" s="248" t="str">
        <f>'Продукция и цена '!A5</f>
        <v>Поддержка системы</v>
      </c>
      <c r="B22" s="226">
        <f>(B6*'Продукция и цена '!$C$5)-((B6*'Продукция и цена '!$C$5)*'Вводные данные'!$C$5)</f>
        <v>30000</v>
      </c>
      <c r="C22" s="226">
        <f>(C6*'Продукция и цена '!$C$5)-((C6*'Продукция и цена '!$C$5)*'Вводные данные'!$C$5)</f>
        <v>0</v>
      </c>
      <c r="D22" s="226">
        <f>(D6*'Продукция и цена '!$C$5)-((D6*'Продукция и цена '!$C$5)*'Вводные данные'!$C$5)</f>
        <v>30000</v>
      </c>
      <c r="E22" s="226">
        <f>(E6*'Продукция и цена '!$C$5)-((E6*'Продукция и цена '!$C$5)*'Вводные данные'!$C$5)</f>
        <v>30000</v>
      </c>
      <c r="F22" s="226">
        <f>(F6*'Продукция и цена '!$C$5)-((F6*'Продукция и цена '!$C$5)*'Вводные данные'!$C$5)</f>
        <v>45000</v>
      </c>
      <c r="G22" s="226">
        <f>(G6*'Продукция и цена '!$C$5)-((G6*'Продукция и цена '!$C$5)*'Вводные данные'!$C$5)</f>
        <v>60000</v>
      </c>
      <c r="H22" s="226">
        <f>(H6*'Продукция и цена '!$C$5)-((H6*'Продукция и цена '!$C$5)*'Вводные данные'!$C$5)</f>
        <v>75000</v>
      </c>
      <c r="I22" s="226">
        <f>(I6*'Продукция и цена '!$C$5)-((I6*'Продукция и цена '!$C$5)*'Вводные данные'!$C$5)</f>
        <v>90000</v>
      </c>
      <c r="J22" s="226">
        <f>(J6*'Продукция и цена '!$C$5)-((J6*'Продукция и цена '!$C$5)*'Вводные данные'!$C$5)</f>
        <v>120000</v>
      </c>
      <c r="K22" s="226">
        <f>(K6*'Продукция и цена '!$C$5)-((K6*'Продукция и цена '!$C$5)*'Вводные данные'!$C$5)</f>
        <v>120000</v>
      </c>
      <c r="L22" s="226">
        <f>(L6*'Продукция и цена '!$C$5)-((L6*'Продукция и цена '!$C$5)*'Вводные данные'!$C$5)</f>
        <v>135000</v>
      </c>
      <c r="M22" s="226">
        <f>(M6*'Продукция и цена '!$C$5)-((M6*'Продукция и цена '!$C$5)*'Вводные данные'!$C$5)</f>
        <v>150000</v>
      </c>
      <c r="N22" s="240">
        <f t="shared" si="7"/>
        <v>885000</v>
      </c>
      <c r="O22" s="226">
        <f>(O6*'Продукция и цена '!$D$5)-((O6*'Продукция и цена '!$D$5)*'Вводные данные'!$D$5)</f>
        <v>207000</v>
      </c>
      <c r="P22" s="226">
        <f>(P6*'Продукция и цена '!$D$5)-((P6*'Продукция и цена '!$D$5)*'Вводные данные'!$D$5)</f>
        <v>258750</v>
      </c>
      <c r="Q22" s="226">
        <f>(Q6*'Продукция и цена '!$D$5)-((Q6*'Продукция и цена '!$D$5)*'Вводные данные'!$D$5)</f>
        <v>293250</v>
      </c>
      <c r="R22" s="226">
        <f>(R6*'Продукция и цена '!$D$5)-((R6*'Продукция и цена '!$D$5)*'Вводные данные'!$D$5)</f>
        <v>362250</v>
      </c>
      <c r="S22" s="226">
        <f>(S6*'Продукция и цена '!$D$5)-((S6*'Продукция и цена '!$D$5)*'Вводные данные'!$D$5)</f>
        <v>396750</v>
      </c>
      <c r="T22" s="226">
        <f>(T6*'Продукция и цена '!$D$5)-((T6*'Продукция и цена '!$D$5)*'Вводные данные'!$D$5)</f>
        <v>448500</v>
      </c>
      <c r="U22" s="226">
        <f>(U6*'Продукция и цена '!$D$5)-((U6*'Продукция и цена '!$D$5)*'Вводные данные'!$D$5)</f>
        <v>483000</v>
      </c>
      <c r="V22" s="226">
        <f>(V6*'Продукция и цена '!$D$5)-((V6*'Продукция и цена '!$D$5)*'Вводные данные'!$D$5)</f>
        <v>552000</v>
      </c>
      <c r="W22" s="226">
        <f>(W6*'Продукция и цена '!$D$5)-((W6*'Продукция и цена '!$D$5)*'Вводные данные'!$D$5)</f>
        <v>586500</v>
      </c>
      <c r="X22" s="226">
        <f>(X6*'Продукция и цена '!$D$5)-((X6*'Продукция и цена '!$D$5)*'Вводные данные'!$D$5)</f>
        <v>638250</v>
      </c>
      <c r="Y22" s="226">
        <f>(Y6*'Продукция и цена '!$D$5)-((Y6*'Продукция и цена '!$D$5)*'Вводные данные'!$D$5)</f>
        <v>672750</v>
      </c>
      <c r="Z22" s="226">
        <f>(Z6*'Продукция и цена '!$D$5)-((Z6*'Продукция и цена '!$D$5)*'Вводные данные'!$D$5)</f>
        <v>741750</v>
      </c>
      <c r="AA22" s="240">
        <f t="shared" si="8"/>
        <v>5640750</v>
      </c>
      <c r="AB22" s="226">
        <f>(AB6*'Продукция и цена '!$E$5)-((AB6*'Продукция и цена '!$E$5)*'Вводные данные'!$E$5)</f>
        <v>972037.5</v>
      </c>
      <c r="AC22" s="226">
        <f>(AC6*'Продукция и цена '!$E$5)-((AC6*'Продукция и цена '!$E$5)*'Вводные данные'!$E$5)</f>
        <v>1091062.5</v>
      </c>
      <c r="AD22" s="226">
        <f>(AD6*'Продукция и цена '!$E$5)-((AD6*'Продукция и цена '!$E$5)*'Вводные данные'!$E$5)</f>
        <v>1170412.5</v>
      </c>
      <c r="AE22" s="226">
        <f>(AE6*'Продукция и цена '!$E$5)-((AE6*'Продукция и цена '!$E$5)*'Вводные данные'!$E$5)</f>
        <v>1289437.5</v>
      </c>
      <c r="AF22" s="226">
        <f>(AF6*'Продукция и цена '!$E$5)-((AF6*'Продукция и цена '!$E$5)*'Вводные данные'!$E$5)</f>
        <v>1368787.5</v>
      </c>
      <c r="AG22" s="226">
        <f>(AG6*'Продукция и цена '!$E$5)-((AG6*'Продукция и цена '!$E$5)*'Вводные данные'!$E$5)</f>
        <v>1487812.5</v>
      </c>
      <c r="AH22" s="226">
        <f>(AH6*'Продукция и цена '!$E$5)-((AH6*'Продукция и цена '!$E$5)*'Вводные данные'!$E$5)</f>
        <v>1567162.5</v>
      </c>
      <c r="AI22" s="226">
        <f>(AI6*'Продукция и цена '!$E$5)-((AI6*'Продукция и цена '!$E$5)*'Вводные данные'!$E$5)</f>
        <v>1686187.5</v>
      </c>
      <c r="AJ22" s="226">
        <f>(AJ6*'Продукция и цена '!$E$5)-((AJ6*'Продукция и цена '!$E$5)*'Вводные данные'!$E$5)</f>
        <v>1765537.5</v>
      </c>
      <c r="AK22" s="226">
        <f>(AK6*'Продукция и цена '!$E$5)-((AK6*'Продукция и цена '!$E$5)*'Вводные данные'!$E$5)</f>
        <v>1884562.5</v>
      </c>
      <c r="AL22" s="226">
        <f>(AL6*'Продукция и цена '!$E$5)-((AL6*'Продукция и цена '!$E$5)*'Вводные данные'!$E$5)</f>
        <v>1963912.5</v>
      </c>
      <c r="AM22" s="226">
        <f>(AM6*'Продукция и цена '!$E$5)-((AM6*'Продукция и цена '!$E$5)*'Вводные данные'!$E$5)</f>
        <v>2082937.5</v>
      </c>
      <c r="AN22" s="241">
        <f t="shared" si="9"/>
        <v>18329850</v>
      </c>
    </row>
    <row r="23" spans="1:40">
      <c r="A23" s="248" t="str">
        <f>'Продукция и цена '!A6</f>
        <v>Встроенная коммерция (доп. услуги)</v>
      </c>
      <c r="B23" s="226">
        <f>(B7*'Продукция и цена '!$C$6)-((B7*'Продукция и цена '!$C$6)*'Вводные данные'!$C$5)</f>
        <v>9000</v>
      </c>
      <c r="C23" s="226">
        <f>(C7*'Продукция и цена '!$C$6)-((C7*'Продукция и цена '!$C$6)*'Вводные данные'!$C$5)</f>
        <v>9000</v>
      </c>
      <c r="D23" s="226">
        <f>(D7*'Продукция и цена '!$C$6)-((D7*'Продукция и цена '!$C$6)*'Вводные данные'!$C$5)</f>
        <v>9000</v>
      </c>
      <c r="E23" s="226">
        <f>(E7*'Продукция и цена '!$C$6)-((E7*'Продукция и цена '!$C$6)*'Вводные данные'!$C$5)</f>
        <v>9000</v>
      </c>
      <c r="F23" s="226">
        <f>(F7*'Продукция и цена '!$C$6)-((F7*'Продукция и цена '!$C$6)*'Вводные данные'!$C$5)</f>
        <v>9000</v>
      </c>
      <c r="G23" s="226">
        <f>(G7*'Продукция и цена '!$C$6)-((G7*'Продукция и цена '!$C$6)*'Вводные данные'!$C$5)</f>
        <v>9000</v>
      </c>
      <c r="H23" s="226">
        <f>(H7*'Продукция и цена '!$C$6)-((H7*'Продукция и цена '!$C$6)*'Вводные данные'!$C$5)</f>
        <v>9000</v>
      </c>
      <c r="I23" s="226">
        <f>(I7*'Продукция и цена '!$C$6)-((I7*'Продукция и цена '!$C$6)*'Вводные данные'!$C$5)</f>
        <v>9000</v>
      </c>
      <c r="J23" s="226">
        <f>(J7*'Продукция и цена '!$C$6)-((J7*'Продукция и цена '!$C$6)*'Вводные данные'!$C$5)</f>
        <v>9000</v>
      </c>
      <c r="K23" s="226">
        <f>(K7*'Продукция и цена '!$C$6)-((K7*'Продукция и цена '!$C$6)*'Вводные данные'!$C$5)</f>
        <v>9000</v>
      </c>
      <c r="L23" s="226">
        <f>(L7*'Продукция и цена '!$C$6)-((L7*'Продукция и цена '!$C$6)*'Вводные данные'!$C$5)</f>
        <v>9000</v>
      </c>
      <c r="M23" s="226">
        <f>(M7*'Продукция и цена '!$C$6)-((M7*'Продукция и цена '!$C$6)*'Вводные данные'!$C$5)</f>
        <v>9000</v>
      </c>
      <c r="N23" s="240">
        <f t="shared" si="7"/>
        <v>108000</v>
      </c>
      <c r="O23" s="226">
        <f>(O7*'Продукция и цена '!$D$6)-((O7*'Продукция и цена '!$D$6)*'Вводные данные'!$D$5)</f>
        <v>103500</v>
      </c>
      <c r="P23" s="226">
        <f>(P7*'Продукция и цена '!$D$6)-((P7*'Продукция и цена '!$D$6)*'Вводные данные'!$D$5)</f>
        <v>103500</v>
      </c>
      <c r="Q23" s="226">
        <f>(Q7*'Продукция и цена '!$D$6)-((Q7*'Продукция и цена '!$D$6)*'Вводные данные'!$D$5)</f>
        <v>103500</v>
      </c>
      <c r="R23" s="226">
        <f>(R7*'Продукция и цена '!$D$6)-((R7*'Продукция и цена '!$D$6)*'Вводные данные'!$D$5)</f>
        <v>103500</v>
      </c>
      <c r="S23" s="226">
        <f>(S7*'Продукция и цена '!$D$6)-((S7*'Продукция и цена '!$D$6)*'Вводные данные'!$D$5)</f>
        <v>124200</v>
      </c>
      <c r="T23" s="226">
        <f>(T7*'Продукция и цена '!$D$6)-((T7*'Продукция и цена '!$D$6)*'Вводные данные'!$D$5)</f>
        <v>124200</v>
      </c>
      <c r="U23" s="226">
        <f>(U7*'Продукция и цена '!$D$6)-((U7*'Продукция и цена '!$D$6)*'Вводные данные'!$D$5)</f>
        <v>155250</v>
      </c>
      <c r="V23" s="226">
        <f>(V7*'Продукция и цена '!$D$6)-((V7*'Продукция и цена '!$D$6)*'Вводные данные'!$D$5)</f>
        <v>144900</v>
      </c>
      <c r="W23" s="226">
        <f>(W7*'Продукция и цена '!$D$6)-((W7*'Продукция и цена '!$D$6)*'Вводные данные'!$D$5)</f>
        <v>186300</v>
      </c>
      <c r="X23" s="226">
        <f>(X7*'Продукция и цена '!$D$6)-((X7*'Продукция и цена '!$D$6)*'Вводные данные'!$D$5)</f>
        <v>186300</v>
      </c>
      <c r="Y23" s="226">
        <f>(Y7*'Продукция и цена '!$D$6)-((Y7*'Продукция и цена '!$D$6)*'Вводные данные'!$D$5)</f>
        <v>186300</v>
      </c>
      <c r="Z23" s="226">
        <f>(Z7*'Продукция и цена '!$D$6)-((Z7*'Продукция и цена '!$D$6)*'Вводные данные'!$D$5)</f>
        <v>186300</v>
      </c>
      <c r="AA23" s="240">
        <f t="shared" si="8"/>
        <v>1707750</v>
      </c>
      <c r="AB23" s="226">
        <f>(AB7*'Продукция и цена '!$E$6)-((AB7*'Продукция и цена '!$E$6)*'Вводные данные'!$E$5)</f>
        <v>238050</v>
      </c>
      <c r="AC23" s="226">
        <f>(AC7*'Продукция и цена '!$E$6)-((AC7*'Продукция и цена '!$E$6)*'Вводные данные'!$E$5)</f>
        <v>238050</v>
      </c>
      <c r="AD23" s="226">
        <f>(AD7*'Продукция и цена '!$E$6)-((AD7*'Продукция и цена '!$E$6)*'Вводные данные'!$E$5)</f>
        <v>238050</v>
      </c>
      <c r="AE23" s="226">
        <f>(AE7*'Продукция и цена '!$E$6)-((AE7*'Продукция и цена '!$E$6)*'Вводные данные'!$E$5)</f>
        <v>238050</v>
      </c>
      <c r="AF23" s="226">
        <f>(AF7*'Продукция и цена '!$E$6)-((AF7*'Продукция и цена '!$E$6)*'Вводные данные'!$E$5)</f>
        <v>273757.5</v>
      </c>
      <c r="AG23" s="226">
        <f>(AG7*'Продукция и цена '!$E$6)-((AG7*'Продукция и цена '!$E$6)*'Вводные данные'!$E$5)</f>
        <v>273757.5</v>
      </c>
      <c r="AH23" s="226">
        <f>(AH7*'Продукция и цена '!$E$6)-((AH7*'Продукция и цена '!$E$6)*'Вводные данные'!$E$5)</f>
        <v>321367.5</v>
      </c>
      <c r="AI23" s="226">
        <f>(AI7*'Продукция и цена '!$E$6)-((AI7*'Продукция и цена '!$E$6)*'Вводные данные'!$E$5)</f>
        <v>297562.5</v>
      </c>
      <c r="AJ23" s="226">
        <f>(AJ7*'Продукция и цена '!$E$6)-((AJ7*'Продукция и цена '!$E$6)*'Вводные данные'!$E$5)</f>
        <v>309465</v>
      </c>
      <c r="AK23" s="226">
        <f>(AK7*'Продукция и цена '!$E$6)-((AK7*'Продукция и цена '!$E$6)*'Вводные данные'!$E$5)</f>
        <v>309465</v>
      </c>
      <c r="AL23" s="226">
        <f>(AL7*'Продукция и цена '!$E$6)-((AL7*'Продукция и цена '!$E$6)*'Вводные данные'!$E$5)</f>
        <v>321367.5</v>
      </c>
      <c r="AM23" s="226">
        <f>(AM7*'Продукция и цена '!$E$6)-((AM7*'Продукция и цена '!$E$6)*'Вводные данные'!$E$5)</f>
        <v>321367.5</v>
      </c>
      <c r="AN23" s="241">
        <f t="shared" si="9"/>
        <v>3380310</v>
      </c>
    </row>
    <row r="24" spans="1:40">
      <c r="A24" s="248" t="str">
        <f>'Продукция и цена '!A7</f>
        <v>Установка и настройка системы, онбординг</v>
      </c>
      <c r="B24" s="226">
        <f>(B8*'Продукция и цена '!$C$7)-((B8*'Продукция и цена '!$C$7)*'Вводные данные'!$C$5)</f>
        <v>250000</v>
      </c>
      <c r="C24" s="226">
        <f>(C8*'Продукция и цена '!$C$7)-((C8*'Продукция и цена '!$C$7)*'Вводные данные'!$C$5)</f>
        <v>0</v>
      </c>
      <c r="D24" s="226">
        <f>(D8*'Продукция и цена '!$C$7)-((D8*'Продукция и цена '!$C$7)*'Вводные данные'!$C$5)</f>
        <v>500000</v>
      </c>
      <c r="E24" s="226">
        <f>(E8*'Продукция и цена '!$C$7)-((E8*'Продукция и цена '!$C$7)*'Вводные данные'!$C$5)</f>
        <v>0</v>
      </c>
      <c r="F24" s="226">
        <f>(F8*'Продукция и цена '!$C$7)-((F8*'Продукция и цена '!$C$7)*'Вводные данные'!$C$5)</f>
        <v>250000</v>
      </c>
      <c r="G24" s="226">
        <f>(G8*'Продукция и цена '!$C$7)-((G8*'Продукция и цена '!$C$7)*'Вводные данные'!$C$5)</f>
        <v>250000</v>
      </c>
      <c r="H24" s="226">
        <f>(H8*'Продукция и цена '!$C$7)-((H8*'Продукция и цена '!$C$7)*'Вводные данные'!$C$5)</f>
        <v>250000</v>
      </c>
      <c r="I24" s="226">
        <f>(I8*'Продукция и цена '!$C$7)-((I8*'Продукция и цена '!$C$7)*'Вводные данные'!$C$5)</f>
        <v>250000</v>
      </c>
      <c r="J24" s="226">
        <f>(J8*'Продукция и цена '!$C$7)-((J8*'Продукция и цена '!$C$7)*'Вводные данные'!$C$5)</f>
        <v>500000</v>
      </c>
      <c r="K24" s="226">
        <f>(K8*'Продукция и цена '!$C$7)-((K8*'Продукция и цена '!$C$7)*'Вводные данные'!$C$5)</f>
        <v>0</v>
      </c>
      <c r="L24" s="226">
        <f>(L8*'Продукция и цена '!$C$7)-((L8*'Продукция и цена '!$C$7)*'Вводные данные'!$C$5)</f>
        <v>250000</v>
      </c>
      <c r="M24" s="226">
        <f>(M8*'Продукция и цена '!$C$7)-((M8*'Продукция и цена '!$C$7)*'Вводные данные'!$C$5)</f>
        <v>250000</v>
      </c>
      <c r="N24" s="240">
        <f t="shared" si="7"/>
        <v>2750000</v>
      </c>
      <c r="O24" s="226">
        <f>(O8*'Продукция и цена '!$D$7)-((O8*'Продукция и цена '!$D$7)*'Вводные данные'!$D$5)</f>
        <v>575000</v>
      </c>
      <c r="P24" s="226">
        <f>(P8*'Продукция и цена '!$D$7)-((P8*'Продукция и цена '!$D$7)*'Вводные данные'!$D$5)</f>
        <v>862500</v>
      </c>
      <c r="Q24" s="226">
        <f>(Q8*'Продукция и цена '!$D$7)-((Q8*'Продукция и цена '!$D$7)*'Вводные данные'!$D$5)</f>
        <v>575000</v>
      </c>
      <c r="R24" s="226">
        <f>(R8*'Продукция и цена '!$D$7)-((R8*'Продукция и цена '!$D$7)*'Вводные данные'!$D$5)</f>
        <v>1150000</v>
      </c>
      <c r="S24" s="226">
        <f>(S8*'Продукция и цена '!$D$7)-((S8*'Продукция и цена '!$D$7)*'Вводные данные'!$D$5)</f>
        <v>575000</v>
      </c>
      <c r="T24" s="226">
        <f>(T8*'Продукция и цена '!$D$7)-((T8*'Продукция и цена '!$D$7)*'Вводные данные'!$D$5)</f>
        <v>862500</v>
      </c>
      <c r="U24" s="226">
        <f>(U8*'Продукция и цена '!$D$7)-((U8*'Продукция и цена '!$D$7)*'Вводные данные'!$D$5)</f>
        <v>575000</v>
      </c>
      <c r="V24" s="226">
        <f>(V8*'Продукция и цена '!$D$7)-((V8*'Продукция и цена '!$D$7)*'Вводные данные'!$D$5)</f>
        <v>1150000</v>
      </c>
      <c r="W24" s="226">
        <f>(W8*'Продукция и цена '!$D$7)-((W8*'Продукция и цена '!$D$7)*'Вводные данные'!$D$5)</f>
        <v>575000</v>
      </c>
      <c r="X24" s="226">
        <f>(X8*'Продукция и цена '!$D$7)-((X8*'Продукция и цена '!$D$7)*'Вводные данные'!$D$5)</f>
        <v>862500</v>
      </c>
      <c r="Y24" s="226">
        <f>(Y8*'Продукция и цена '!$D$7)-((Y8*'Продукция и цена '!$D$7)*'Вводные данные'!$D$5)</f>
        <v>575000</v>
      </c>
      <c r="Z24" s="226">
        <f>(Z8*'Продукция и цена '!$D$7)-((Z8*'Продукция и цена '!$D$7)*'Вводные данные'!$D$5)</f>
        <v>1150000</v>
      </c>
      <c r="AA24" s="240">
        <f t="shared" si="8"/>
        <v>9487500</v>
      </c>
      <c r="AB24" s="226">
        <f>(AB8*'Продукция и цена '!$E$7)-((AB8*'Продукция и цена '!$E$7)*'Вводные данные'!$E$5)</f>
        <v>1983750</v>
      </c>
      <c r="AC24" s="226">
        <f>(AC8*'Продукция и цена '!$E$7)-((AC8*'Продукция и цена '!$E$7)*'Вводные данные'!$E$5)</f>
        <v>1983750</v>
      </c>
      <c r="AD24" s="226">
        <f>(AD8*'Продукция и цена '!$E$7)-((AD8*'Продукция и цена '!$E$7)*'Вводные данные'!$E$5)</f>
        <v>1322500</v>
      </c>
      <c r="AE24" s="226">
        <f>(AE8*'Продукция и цена '!$E$7)-((AE8*'Продукция и цена '!$E$7)*'Вводные данные'!$E$5)</f>
        <v>1983750</v>
      </c>
      <c r="AF24" s="226">
        <f>(AF8*'Продукция и цена '!$E$7)-((AF8*'Продукция и цена '!$E$7)*'Вводные данные'!$E$5)</f>
        <v>1322500</v>
      </c>
      <c r="AG24" s="226">
        <f>(AG8*'Продукция и цена '!$E$7)-((AG8*'Продукция и цена '!$E$7)*'Вводные данные'!$E$5)</f>
        <v>1983750</v>
      </c>
      <c r="AH24" s="226">
        <f>(AH8*'Продукция и цена '!$E$7)-((AH8*'Продукция и цена '!$E$7)*'Вводные данные'!$E$5)</f>
        <v>1322500</v>
      </c>
      <c r="AI24" s="226">
        <f>(AI8*'Продукция и цена '!$E$7)-((AI8*'Продукция и цена '!$E$7)*'Вводные данные'!$E$5)</f>
        <v>1983750</v>
      </c>
      <c r="AJ24" s="226">
        <f>(AJ8*'Продукция и цена '!$E$7)-((AJ8*'Продукция и цена '!$E$7)*'Вводные данные'!$E$5)</f>
        <v>1322500</v>
      </c>
      <c r="AK24" s="226">
        <f>(AK8*'Продукция и цена '!$E$7)-((AK8*'Продукция и цена '!$E$7)*'Вводные данные'!$E$5)</f>
        <v>1983750</v>
      </c>
      <c r="AL24" s="226">
        <f>(AL8*'Продукция и цена '!$E$7)-((AL8*'Продукция и цена '!$E$7)*'Вводные данные'!$E$5)</f>
        <v>1322500</v>
      </c>
      <c r="AM24" s="226">
        <f>(AM8*'Продукция и цена '!$E$7)-((AM8*'Продукция и цена '!$E$7)*'Вводные данные'!$E$5)</f>
        <v>1983750</v>
      </c>
      <c r="AN24" s="241">
        <f t="shared" si="9"/>
        <v>20498750</v>
      </c>
    </row>
    <row r="25" spans="1:40">
      <c r="A25" s="248" t="str">
        <f>'Продукция и цена '!A8</f>
        <v>Реклама/партнёрства</v>
      </c>
      <c r="B25" s="226">
        <f>(B9*'Продукция и цена '!$C$8)-((B9*'Продукция и цена '!$C$8)*'Вводные данные'!$C$5)</f>
        <v>0</v>
      </c>
      <c r="C25" s="226">
        <f>(C9*'Продукция и цена '!$C$8)-((C9*'Продукция и цена '!$C$8)*'Вводные данные'!$C$5)</f>
        <v>0</v>
      </c>
      <c r="D25" s="226">
        <f>(D9*'Продукция и цена '!$C$8)-((D9*'Продукция и цена '!$C$8)*'Вводные данные'!$C$5)</f>
        <v>0</v>
      </c>
      <c r="E25" s="226">
        <f>(E9*'Продукция и цена '!$C$8)-((E9*'Продукция и цена '!$C$8)*'Вводные данные'!$C$5)</f>
        <v>20000</v>
      </c>
      <c r="F25" s="226">
        <f>(F9*'Продукция и цена '!$C$8)-((F9*'Продукция и цена '!$C$8)*'Вводные данные'!$C$5)</f>
        <v>20000</v>
      </c>
      <c r="G25" s="226">
        <f>(G9*'Продукция и цена '!$C$8)-((G9*'Продукция и цена '!$C$8)*'Вводные данные'!$C$5)</f>
        <v>20000</v>
      </c>
      <c r="H25" s="226">
        <f>(H9*'Продукция и цена '!$C$8)-((H9*'Продукция и цена '!$C$8)*'Вводные данные'!$C$5)</f>
        <v>20000</v>
      </c>
      <c r="I25" s="226">
        <f>(I9*'Продукция и цена '!$C$8)-((I9*'Продукция и цена '!$C$8)*'Вводные данные'!$C$5)</f>
        <v>20000</v>
      </c>
      <c r="J25" s="226">
        <f>(J9*'Продукция и цена '!$C$8)-((J9*'Продукция и цена '!$C$8)*'Вводные данные'!$C$5)</f>
        <v>20000</v>
      </c>
      <c r="K25" s="226">
        <f>(K9*'Продукция и цена '!$C$8)-((K9*'Продукция и цена '!$C$8)*'Вводные данные'!$C$5)</f>
        <v>20000</v>
      </c>
      <c r="L25" s="226">
        <f>(L9*'Продукция и цена '!$C$8)-((L9*'Продукция и цена '!$C$8)*'Вводные данные'!$C$5)</f>
        <v>20000</v>
      </c>
      <c r="M25" s="226">
        <f>(M9*'Продукция и цена '!$C$8)-((M9*'Продукция и цена '!$C$8)*'Вводные данные'!$C$5)</f>
        <v>20000</v>
      </c>
      <c r="N25" s="240">
        <f t="shared" si="7"/>
        <v>180000</v>
      </c>
      <c r="O25" s="226">
        <f>(O9*'Продукция и цена '!$D$8)-((O9*'Продукция и цена '!$D$8)*'Вводные данные'!$D$5)</f>
        <v>23000</v>
      </c>
      <c r="P25" s="226">
        <f>(P9*'Продукция и цена '!$D$8)-((P9*'Продукция и цена '!$D$8)*'Вводные данные'!$D$5)</f>
        <v>23000</v>
      </c>
      <c r="Q25" s="226">
        <f>(Q9*'Продукция и цена '!$D$8)-((Q9*'Продукция и цена '!$D$8)*'Вводные данные'!$D$5)</f>
        <v>23000</v>
      </c>
      <c r="R25" s="226">
        <f>(R9*'Продукция и цена '!$D$8)-((R9*'Продукция и цена '!$D$8)*'Вводные данные'!$D$5)</f>
        <v>23000</v>
      </c>
      <c r="S25" s="226">
        <f>(S9*'Продукция и цена '!$D$8)-((S9*'Продукция и цена '!$D$8)*'Вводные данные'!$D$5)</f>
        <v>23000</v>
      </c>
      <c r="T25" s="226">
        <f>(T9*'Продукция и цена '!$D$8)-((T9*'Продукция и цена '!$D$8)*'Вводные данные'!$D$5)</f>
        <v>23000</v>
      </c>
      <c r="U25" s="226">
        <f>(U9*'Продукция и цена '!$D$8)-((U9*'Продукция и цена '!$D$8)*'Вводные данные'!$D$5)</f>
        <v>46000</v>
      </c>
      <c r="V25" s="226">
        <f>(V9*'Продукция и цена '!$D$8)-((V9*'Продукция и цена '!$D$8)*'Вводные данные'!$D$5)</f>
        <v>46000</v>
      </c>
      <c r="W25" s="226">
        <f>(W9*'Продукция и цена '!$D$8)-((W9*'Продукция и цена '!$D$8)*'Вводные данные'!$D$5)</f>
        <v>23000</v>
      </c>
      <c r="X25" s="226">
        <f>(X9*'Продукция и цена '!$D$8)-((X9*'Продукция и цена '!$D$8)*'Вводные данные'!$D$5)</f>
        <v>23000</v>
      </c>
      <c r="Y25" s="226">
        <f>(Y9*'Продукция и цена '!$D$8)-((Y9*'Продукция и цена '!$D$8)*'Вводные данные'!$D$5)</f>
        <v>46000</v>
      </c>
      <c r="Z25" s="226">
        <f>(Z9*'Продукция и цена '!$D$8)-((Z9*'Продукция и цена '!$D$8)*'Вводные данные'!$D$5)</f>
        <v>46000</v>
      </c>
      <c r="AA25" s="240">
        <f t="shared" si="8"/>
        <v>368000</v>
      </c>
      <c r="AB25" s="226">
        <f>(AB9*'Продукция и цена '!$E$8)-((AB9*'Продукция и цена '!$E$8)*'Вводные данные'!$E$5)</f>
        <v>52900</v>
      </c>
      <c r="AC25" s="226">
        <f>(AC9*'Продукция и цена '!$E$8)-((AC9*'Продукция и цена '!$E$8)*'Вводные данные'!$E$5)</f>
        <v>52900</v>
      </c>
      <c r="AD25" s="226">
        <f>(AD9*'Продукция и цена '!$E$8)-((AD9*'Продукция и цена '!$E$8)*'Вводные данные'!$E$5)</f>
        <v>52900</v>
      </c>
      <c r="AE25" s="226">
        <f>(AE9*'Продукция и цена '!$E$8)-((AE9*'Продукция и цена '!$E$8)*'Вводные данные'!$E$5)</f>
        <v>52900</v>
      </c>
      <c r="AF25" s="226">
        <f>(AF9*'Продукция и цена '!$E$8)-((AF9*'Продукция и цена '!$E$8)*'Вводные данные'!$E$5)</f>
        <v>52900</v>
      </c>
      <c r="AG25" s="226">
        <f>(AG9*'Продукция и цена '!$E$8)-((AG9*'Продукция и цена '!$E$8)*'Вводные данные'!$E$5)</f>
        <v>26450</v>
      </c>
      <c r="AH25" s="226">
        <f>(AH9*'Продукция и цена '!$E$8)-((AH9*'Продукция и цена '!$E$8)*'Вводные данные'!$E$5)</f>
        <v>52900</v>
      </c>
      <c r="AI25" s="226">
        <f>(AI9*'Продукция и цена '!$E$8)-((AI9*'Продукция и цена '!$E$8)*'Вводные данные'!$E$5)</f>
        <v>52900</v>
      </c>
      <c r="AJ25" s="226">
        <f>(AJ9*'Продукция и цена '!$E$8)-((AJ9*'Продукция и цена '!$E$8)*'Вводные данные'!$E$5)</f>
        <v>52900</v>
      </c>
      <c r="AK25" s="226">
        <f>(AK9*'Продукция и цена '!$E$8)-((AK9*'Продукция и цена '!$E$8)*'Вводные данные'!$E$5)</f>
        <v>26450</v>
      </c>
      <c r="AL25" s="226">
        <f>(AL9*'Продукция и цена '!$E$8)-((AL9*'Продукция и цена '!$E$8)*'Вводные данные'!$E$5)</f>
        <v>52900</v>
      </c>
      <c r="AM25" s="226">
        <f>(AM9*'Продукция и цена '!$E$8)-((AM9*'Продукция и цена '!$E$8)*'Вводные данные'!$E$5)</f>
        <v>52900</v>
      </c>
      <c r="AN25" s="241">
        <f t="shared" si="9"/>
        <v>581900</v>
      </c>
    </row>
    <row r="26" spans="1:40" ht="30">
      <c r="A26" s="248">
        <f>'Продукция и цена '!A9</f>
        <v>0</v>
      </c>
      <c r="B26" s="226">
        <f>(B10*'Продукция и цена '!$C$9)-((B10*'Продукция и цена '!$C$9)*'Вводные данные'!$C$5)</f>
        <v>0</v>
      </c>
      <c r="C26" s="226">
        <f>(C10*'Продукция и цена '!$C$9)-((C10*'Продукция и цена '!$C$9)*'Вводные данные'!$C$5)</f>
        <v>0</v>
      </c>
      <c r="D26" s="226">
        <f>(D10*'Продукция и цена '!$C$9)-((D10*'Продукция и цена '!$C$9)*'Вводные данные'!$C$5)</f>
        <v>0</v>
      </c>
      <c r="E26" s="226">
        <f>(E10*'Продукция и цена '!$C$9)-((E10*'Продукция и цена '!$C$9)*'Вводные данные'!$C$5)</f>
        <v>0</v>
      </c>
      <c r="F26" s="226">
        <f>(F10*'Продукция и цена '!$C$9)-((F10*'Продукция и цена '!$C$9)*'Вводные данные'!$C$5)</f>
        <v>0</v>
      </c>
      <c r="G26" s="226">
        <f>(G10*'Продукция и цена '!$C$9)-((G10*'Продукция и цена '!$C$9)*'Вводные данные'!$C$5)</f>
        <v>0</v>
      </c>
      <c r="H26" s="226">
        <f>(H10*'Продукция и цена '!$C$9)-((H10*'Продукция и цена '!$C$9)*'Вводные данные'!$C$5)</f>
        <v>0</v>
      </c>
      <c r="I26" s="226">
        <f>(I10*'Продукция и цена '!$C$9)-((I10*'Продукция и цена '!$C$9)*'Вводные данные'!$C$5)</f>
        <v>0</v>
      </c>
      <c r="J26" s="226">
        <f>(J10*'Продукция и цена '!$C$9)-((J10*'Продукция и цена '!$C$9)*'Вводные данные'!$C$5)</f>
        <v>0</v>
      </c>
      <c r="K26" s="226">
        <f>(K10*'Продукция и цена '!$C$9)-((K10*'Продукция и цена '!$C$9)*'Вводные данные'!$C$5)</f>
        <v>0</v>
      </c>
      <c r="L26" s="226">
        <f>(L10*'Продукция и цена '!$C$9)-((L10*'Продукция и цена '!$C$9)*'Вводные данные'!$C$5)</f>
        <v>0</v>
      </c>
      <c r="M26" s="226">
        <f>(M10*'Продукция и цена '!$C$9)-((M10*'Продукция и цена '!$C$9)*'Вводные данные'!$C$5)</f>
        <v>0</v>
      </c>
      <c r="N26" s="240">
        <f t="shared" si="7"/>
        <v>0</v>
      </c>
      <c r="O26" s="226">
        <f>(O10*'Продукция и цена '!$D$9)-((O10*'Продукция и цена '!$D$9)*'Вводные данные'!$D$5)</f>
        <v>0</v>
      </c>
      <c r="P26" s="226">
        <f>(P10*'Продукция и цена '!$D$9)-((P10*'Продукция и цена '!$D$9)*'Вводные данные'!$D$5)</f>
        <v>0</v>
      </c>
      <c r="Q26" s="226">
        <f>(Q10*'Продукция и цена '!$D$9)-((Q10*'Продукция и цена '!$D$9)*'Вводные данные'!$D$5)</f>
        <v>0</v>
      </c>
      <c r="R26" s="226">
        <f>(R10*'Продукция и цена '!$D$9)-((R10*'Продукция и цена '!$D$9)*'Вводные данные'!$D$5)</f>
        <v>0</v>
      </c>
      <c r="S26" s="226">
        <f>(S10*'Продукция и цена '!$D$9)-((S10*'Продукция и цена '!$D$9)*'Вводные данные'!$D$5)</f>
        <v>0</v>
      </c>
      <c r="T26" s="226">
        <f>(T10*'Продукция и цена '!$D$9)-((T10*'Продукция и цена '!$D$9)*'Вводные данные'!$D$5)</f>
        <v>0</v>
      </c>
      <c r="U26" s="226">
        <f>(U10*'Продукция и цена '!$D$9)-((U10*'Продукция и цена '!$D$9)*'Вводные данные'!$D$5)</f>
        <v>0</v>
      </c>
      <c r="V26" s="226">
        <f>(V10*'Продукция и цена '!$D$9)-((V10*'Продукция и цена '!$D$9)*'Вводные данные'!$D$5)</f>
        <v>0</v>
      </c>
      <c r="W26" s="226">
        <f>(W10*'Продукция и цена '!$D$9)-((W10*'Продукция и цена '!$D$9)*'Вводные данные'!$D$5)</f>
        <v>0</v>
      </c>
      <c r="X26" s="226">
        <f>(X10*'Продукция и цена '!$D$9)-((X10*'Продукция и цена '!$D$9)*'Вводные данные'!$D$5)</f>
        <v>0</v>
      </c>
      <c r="Y26" s="226">
        <f>(Y10*'Продукция и цена '!$D$9)-((Y10*'Продукция и цена '!$D$9)*'Вводные данные'!$D$5)</f>
        <v>0</v>
      </c>
      <c r="Z26" s="226">
        <f>(Z10*'Продукция и цена '!$D$9)-((Z10*'Продукция и цена '!$D$9)*'Вводные данные'!$D$5)</f>
        <v>0</v>
      </c>
      <c r="AA26" s="240">
        <f t="shared" si="8"/>
        <v>0</v>
      </c>
      <c r="AB26" s="226">
        <f>(AB10*'Продукция и цена '!$E$9)-((AB10*'Продукция и цена '!$E$9)*'Вводные данные'!$E$5)</f>
        <v>0</v>
      </c>
      <c r="AC26" s="226">
        <f>(AC10*'Продукция и цена '!$E$9)-((AC10*'Продукция и цена '!$E$9)*'Вводные данные'!$E$5)</f>
        <v>0</v>
      </c>
      <c r="AD26" s="226">
        <f>(AD10*'Продукция и цена '!$E$9)-((AD10*'Продукция и цена '!$E$9)*'Вводные данные'!$E$5)</f>
        <v>0</v>
      </c>
      <c r="AE26" s="226">
        <f>(AE10*'Продукция и цена '!$E$9)-((AE10*'Продукция и цена '!$E$9)*'Вводные данные'!$E$5)</f>
        <v>0</v>
      </c>
      <c r="AF26" s="226">
        <f>(AF10*'Продукция и цена '!$E$9)-((AF10*'Продукция и цена '!$E$9)*'Вводные данные'!$E$5)</f>
        <v>0</v>
      </c>
      <c r="AG26" s="226">
        <f>(AG10*'Продукция и цена '!$E$9)-((AG10*'Продукция и цена '!$E$9)*'Вводные данные'!$E$5)</f>
        <v>0</v>
      </c>
      <c r="AH26" s="226">
        <f>(AH10*'Продукция и цена '!$E$9)-((AH10*'Продукция и цена '!$E$9)*'Вводные данные'!$E$5)</f>
        <v>0</v>
      </c>
      <c r="AI26" s="226">
        <f>(AI10*'Продукция и цена '!$E$9)-((AI10*'Продукция и цена '!$E$9)*'Вводные данные'!$E$5)</f>
        <v>0</v>
      </c>
      <c r="AJ26" s="226">
        <f>(AJ10*'Продукция и цена '!$E$9)-((AJ10*'Продукция и цена '!$E$9)*'Вводные данные'!$E$5)</f>
        <v>0</v>
      </c>
      <c r="AK26" s="226">
        <f>(AK10*'Продукция и цена '!$E$9)-((AK10*'Продукция и цена '!$E$9)*'Вводные данные'!$E$5)</f>
        <v>0</v>
      </c>
      <c r="AL26" s="226">
        <f>(AL10*'Продукция и цена '!$E$9)-((AL10*'Продукция и цена '!$E$9)*'Вводные данные'!$E$5)</f>
        <v>0</v>
      </c>
      <c r="AM26" s="226">
        <f>(AM10*'Продукция и цена '!$E$9)-((AM10*'Продукция и цена '!$E$9)*'Вводные данные'!$E$5)</f>
        <v>0</v>
      </c>
      <c r="AN26" s="241">
        <f t="shared" si="9"/>
        <v>0</v>
      </c>
    </row>
    <row r="27" spans="1:40" ht="30">
      <c r="A27" s="248">
        <f>'Продукция и цена '!A10</f>
        <v>0</v>
      </c>
      <c r="B27" s="226">
        <f>(B11*'Продукция и цена '!$C$10)-((B11*'Продукция и цена '!$C$10)*'Вводные данные'!$C$5)</f>
        <v>0</v>
      </c>
      <c r="C27" s="226">
        <f>(C11*'Продукция и цена '!$C$10)-((C11*'Продукция и цена '!$C$10)*'Вводные данные'!$C$5)</f>
        <v>0</v>
      </c>
      <c r="D27" s="226">
        <f>(D11*'Продукция и цена '!$C$10)-((D11*'Продукция и цена '!$C$10)*'Вводные данные'!$C$5)</f>
        <v>0</v>
      </c>
      <c r="E27" s="226">
        <f>(E11*'Продукция и цена '!$C$10)-((E11*'Продукция и цена '!$C$10)*'Вводные данные'!$C$5)</f>
        <v>0</v>
      </c>
      <c r="F27" s="226">
        <f>(F11*'Продукция и цена '!$C$10)-((F11*'Продукция и цена '!$C$10)*'Вводные данные'!$C$5)</f>
        <v>0</v>
      </c>
      <c r="G27" s="226">
        <f>(G11*'Продукция и цена '!$C$10)-((G11*'Продукция и цена '!$C$10)*'Вводные данные'!$C$5)</f>
        <v>0</v>
      </c>
      <c r="H27" s="226">
        <f>(H11*'Продукция и цена '!$C$10)-((H11*'Продукция и цена '!$C$10)*'Вводные данные'!$C$5)</f>
        <v>0</v>
      </c>
      <c r="I27" s="226">
        <f>(I11*'Продукция и цена '!$C$10)-((I11*'Продукция и цена '!$C$10)*'Вводные данные'!$C$5)</f>
        <v>0</v>
      </c>
      <c r="J27" s="226">
        <f>(J11*'Продукция и цена '!$C$10)-((J11*'Продукция и цена '!$C$10)*'Вводные данные'!$C$5)</f>
        <v>0</v>
      </c>
      <c r="K27" s="226">
        <f>(K11*'Продукция и цена '!$C$10)-((K11*'Продукция и цена '!$C$10)*'Вводные данные'!$C$5)</f>
        <v>0</v>
      </c>
      <c r="L27" s="226">
        <f>(L11*'Продукция и цена '!$C$10)-((L11*'Продукция и цена '!$C$10)*'Вводные данные'!$C$5)</f>
        <v>0</v>
      </c>
      <c r="M27" s="226">
        <f>(M11*'Продукция и цена '!$C$10)-((M11*'Продукция и цена '!$C$10)*'Вводные данные'!$C$5)</f>
        <v>0</v>
      </c>
      <c r="N27" s="240">
        <f t="shared" si="7"/>
        <v>0</v>
      </c>
      <c r="O27" s="226">
        <f>(O11*'Продукция и цена '!$D$10)-((O11*'Продукция и цена '!$D$10)*'Вводные данные'!$D$5)</f>
        <v>0</v>
      </c>
      <c r="P27" s="226">
        <f>(P11*'Продукция и цена '!$D$10)-((P11*'Продукция и цена '!$D$10)*'Вводные данные'!$D$5)</f>
        <v>0</v>
      </c>
      <c r="Q27" s="226">
        <f>(Q11*'Продукция и цена '!$D$10)-((Q11*'Продукция и цена '!$D$10)*'Вводные данные'!$D$5)</f>
        <v>0</v>
      </c>
      <c r="R27" s="226">
        <f>(R11*'Продукция и цена '!$D$10)-((R11*'Продукция и цена '!$D$10)*'Вводные данные'!$D$5)</f>
        <v>0</v>
      </c>
      <c r="S27" s="226">
        <f>(S11*'Продукция и цена '!$D$10)-((S11*'Продукция и цена '!$D$10)*'Вводные данные'!$D$5)</f>
        <v>0</v>
      </c>
      <c r="T27" s="226">
        <f>(T11*'Продукция и цена '!$D$10)-((T11*'Продукция и цена '!$D$10)*'Вводные данные'!$D$5)</f>
        <v>0</v>
      </c>
      <c r="U27" s="226">
        <f>(U11*'Продукция и цена '!$D$10)-((U11*'Продукция и цена '!$D$10)*'Вводные данные'!$D$5)</f>
        <v>0</v>
      </c>
      <c r="V27" s="226">
        <f>(V11*'Продукция и цена '!$D$10)-((V11*'Продукция и цена '!$D$10)*'Вводные данные'!$D$5)</f>
        <v>0</v>
      </c>
      <c r="W27" s="226">
        <f>(W11*'Продукция и цена '!$D$10)-((W11*'Продукция и цена '!$D$10)*'Вводные данные'!$D$5)</f>
        <v>0</v>
      </c>
      <c r="X27" s="226">
        <f>(X11*'Продукция и цена '!$D$10)-((X11*'Продукция и цена '!$D$10)*'Вводные данные'!$D$5)</f>
        <v>0</v>
      </c>
      <c r="Y27" s="226">
        <f>(Y11*'Продукция и цена '!$D$10)-((Y11*'Продукция и цена '!$D$10)*'Вводные данные'!$D$5)</f>
        <v>0</v>
      </c>
      <c r="Z27" s="226">
        <f>(Z11*'Продукция и цена '!$D$10)-((Z11*'Продукция и цена '!$D$10)*'Вводные данные'!$D$5)</f>
        <v>0</v>
      </c>
      <c r="AA27" s="240">
        <f t="shared" si="8"/>
        <v>0</v>
      </c>
      <c r="AB27" s="226">
        <f>(AB11*'Продукция и цена '!$E$10)-((AB11*'Продукция и цена '!$E$10)*'Вводные данные'!$E$5)</f>
        <v>0</v>
      </c>
      <c r="AC27" s="226">
        <f>(AC11*'Продукция и цена '!$E$10)-((AC11*'Продукция и цена '!$E$10)*'Вводные данные'!$E$5)</f>
        <v>0</v>
      </c>
      <c r="AD27" s="226">
        <f>(AD11*'Продукция и цена '!$E$10)-((AD11*'Продукция и цена '!$E$10)*'Вводные данные'!$E$5)</f>
        <v>0</v>
      </c>
      <c r="AE27" s="226">
        <f>(AE11*'Продукция и цена '!$E$10)-((AE11*'Продукция и цена '!$E$10)*'Вводные данные'!$E$5)</f>
        <v>0</v>
      </c>
      <c r="AF27" s="226">
        <f>(AF11*'Продукция и цена '!$E$10)-((AF11*'Продукция и цена '!$E$10)*'Вводные данные'!$E$5)</f>
        <v>0</v>
      </c>
      <c r="AG27" s="226">
        <f>(AG11*'Продукция и цена '!$E$10)-((AG11*'Продукция и цена '!$E$10)*'Вводные данные'!$E$5)</f>
        <v>0</v>
      </c>
      <c r="AH27" s="226">
        <f>(AH11*'Продукция и цена '!$E$10)-((AH11*'Продукция и цена '!$E$10)*'Вводные данные'!$E$5)</f>
        <v>0</v>
      </c>
      <c r="AI27" s="226">
        <f>(AI11*'Продукция и цена '!$E$10)-((AI11*'Продукция и цена '!$E$10)*'Вводные данные'!$E$5)</f>
        <v>0</v>
      </c>
      <c r="AJ27" s="226">
        <f>(AJ11*'Продукция и цена '!$E$10)-((AJ11*'Продукция и цена '!$E$10)*'Вводные данные'!$E$5)</f>
        <v>0</v>
      </c>
      <c r="AK27" s="226">
        <f>(AK11*'Продукция и цена '!$E$10)-((AK11*'Продукция и цена '!$E$10)*'Вводные данные'!$E$5)</f>
        <v>0</v>
      </c>
      <c r="AL27" s="226">
        <f>(AL11*'Продукция и цена '!$E$10)-((AL11*'Продукция и цена '!$E$10)*'Вводные данные'!$E$5)</f>
        <v>0</v>
      </c>
      <c r="AM27" s="226">
        <f>(AM11*'Продукция и цена '!$E$10)-((AM11*'Продукция и цена '!$E$10)*'Вводные данные'!$E$5)</f>
        <v>0</v>
      </c>
      <c r="AN27" s="241">
        <f t="shared" si="9"/>
        <v>0</v>
      </c>
    </row>
    <row r="28" spans="1:40">
      <c r="A28" s="248" t="str">
        <f>'Продукция и цена '!A11</f>
        <v>Аренда системы: "Продвинутый" тариф</v>
      </c>
      <c r="B28" s="226">
        <f>(B12*'Продукция и цена '!$C$11)-((B12*'Продукция и цена '!$C$11)*'Вводные данные'!$C$5)</f>
        <v>0</v>
      </c>
      <c r="C28" s="226">
        <f>(C12*'Продукция и цена '!$C$11)-((C12*'Продукция и цена '!$C$11)*'Вводные данные'!$C$5)</f>
        <v>0</v>
      </c>
      <c r="D28" s="226">
        <f>(D12*'Продукция и цена '!$C$11)-((D12*'Продукция и цена '!$C$11)*'Вводные данные'!$C$5)</f>
        <v>65000</v>
      </c>
      <c r="E28" s="226">
        <f>(E12*'Продукция и цена '!$C$11)-((E12*'Продукция и цена '!$C$11)*'Вводные данные'!$C$5)</f>
        <v>65000</v>
      </c>
      <c r="F28" s="226">
        <f>(F12*'Продукция и цена '!$C$11)-((F12*'Продукция и цена '!$C$11)*'Вводные данные'!$C$5)</f>
        <v>65000</v>
      </c>
      <c r="G28" s="226">
        <f>(G12*'Продукция и цена '!$C$11)-((G12*'Продукция и цена '!$C$11)*'Вводные данные'!$C$5)</f>
        <v>130000</v>
      </c>
      <c r="H28" s="226">
        <f>(H12*'Продукция и цена '!$C$11)-((H12*'Продукция и цена '!$C$11)*'Вводные данные'!$C$5)</f>
        <v>130000</v>
      </c>
      <c r="I28" s="226">
        <f>(I12*'Продукция и цена '!$C$11)-((I12*'Продукция и цена '!$C$11)*'Вводные данные'!$C$5)</f>
        <v>130000</v>
      </c>
      <c r="J28" s="226">
        <f>(J12*'Продукция и цена '!$C$11)-((J12*'Продукция и цена '!$C$11)*'Вводные данные'!$C$5)</f>
        <v>195000</v>
      </c>
      <c r="K28" s="226">
        <f>(K12*'Продукция и цена '!$C$11)-((K12*'Продукция и цена '!$C$11)*'Вводные данные'!$C$5)</f>
        <v>195000</v>
      </c>
      <c r="L28" s="226">
        <f>(L12*'Продукция и цена '!$C$11)-((L12*'Продукция и цена '!$C$11)*'Вводные данные'!$C$5)</f>
        <v>195000</v>
      </c>
      <c r="M28" s="226">
        <f>(M12*'Продукция и цена '!$C$11)-((M12*'Продукция и цена '!$C$11)*'Вводные данные'!$C$5)</f>
        <v>260000</v>
      </c>
      <c r="N28" s="240">
        <f t="shared" si="7"/>
        <v>1430000</v>
      </c>
      <c r="O28" s="226">
        <f>(O12*'Продукция и цена '!$D$11)-((O12*'Продукция и цена '!$D$11)*'Вводные данные'!$D$5)</f>
        <v>373750</v>
      </c>
      <c r="P28" s="226">
        <f>(P12*'Продукция и цена '!$D$11)-((P12*'Продукция и цена '!$D$11)*'Вводные данные'!$D$5)</f>
        <v>448500</v>
      </c>
      <c r="Q28" s="226">
        <f>(Q12*'Продукция и цена '!$D$11)-((Q12*'Продукция и цена '!$D$11)*'Вводные данные'!$D$5)</f>
        <v>523250</v>
      </c>
      <c r="R28" s="226">
        <f>(R12*'Продукция и цена '!$D$11)-((R12*'Продукция и цена '!$D$11)*'Вводные данные'!$D$5)</f>
        <v>598000</v>
      </c>
      <c r="S28" s="226">
        <f>(S12*'Продукция и цена '!$D$11)-((S12*'Продукция и цена '!$D$11)*'Вводные данные'!$D$5)</f>
        <v>672750</v>
      </c>
      <c r="T28" s="226">
        <f>(T12*'Продукция и цена '!$D$11)-((T12*'Продукция и цена '!$D$11)*'Вводные данные'!$D$5)</f>
        <v>747500</v>
      </c>
      <c r="U28" s="226">
        <f>(U12*'Продукция и цена '!$D$11)-((U12*'Продукция и цена '!$D$11)*'Вводные данные'!$D$5)</f>
        <v>822250</v>
      </c>
      <c r="V28" s="226">
        <f>(V12*'Продукция и цена '!$D$11)-((V12*'Продукция и цена '!$D$11)*'Вводные данные'!$D$5)</f>
        <v>897000</v>
      </c>
      <c r="W28" s="226">
        <f>(W12*'Продукция и цена '!$D$11)-((W12*'Продукция и цена '!$D$11)*'Вводные данные'!$D$5)</f>
        <v>971750</v>
      </c>
      <c r="X28" s="226">
        <f>(X12*'Продукция и цена '!$D$11)-((X12*'Продукция и цена '!$D$11)*'Вводные данные'!$D$5)</f>
        <v>1046500</v>
      </c>
      <c r="Y28" s="226">
        <f>(Y12*'Продукция и цена '!$D$11)-((Y12*'Продукция и цена '!$D$11)*'Вводные данные'!$D$5)</f>
        <v>1121250</v>
      </c>
      <c r="Z28" s="226">
        <f>(Z12*'Продукция и цена '!$D$11)-((Z12*'Продукция и цена '!$D$11)*'Вводные данные'!$D$5)</f>
        <v>1196000</v>
      </c>
      <c r="AA28" s="240">
        <f t="shared" si="8"/>
        <v>9418500</v>
      </c>
      <c r="AB28" s="226">
        <f>(AB12*'Продукция и цена '!$E$11)-((AB12*'Продукция и цена '!$E$11)*'Вводные данные'!$E$5)</f>
        <v>1547325</v>
      </c>
      <c r="AC28" s="226">
        <f>(AC12*'Продукция и цена '!$E$11)-((AC12*'Продукция и цена '!$E$11)*'Вводные данные'!$E$5)</f>
        <v>1719250</v>
      </c>
      <c r="AD28" s="226">
        <f>(AD12*'Продукция и цена '!$E$11)-((AD12*'Продукция и цена '!$E$11)*'Вводные данные'!$E$5)</f>
        <v>1891175</v>
      </c>
      <c r="AE28" s="226">
        <f>(AE12*'Продукция и цена '!$E$11)-((AE12*'Продукция и цена '!$E$11)*'Вводные данные'!$E$5)</f>
        <v>2063100</v>
      </c>
      <c r="AF28" s="226">
        <f>(AF12*'Продукция и цена '!$E$11)-((AF12*'Продукция и цена '!$E$11)*'Вводные данные'!$E$5)</f>
        <v>2235025</v>
      </c>
      <c r="AG28" s="226">
        <f>(AG12*'Продукция и цена '!$E$11)-((AG12*'Продукция и цена '!$E$11)*'Вводные данные'!$E$5)</f>
        <v>2406950</v>
      </c>
      <c r="AH28" s="226">
        <f>(AH12*'Продукция и цена '!$E$11)-((AH12*'Продукция и цена '!$E$11)*'Вводные данные'!$E$5)</f>
        <v>2578875</v>
      </c>
      <c r="AI28" s="226">
        <f>(AI12*'Продукция и цена '!$E$11)-((AI12*'Продукция и цена '!$E$11)*'Вводные данные'!$E$5)</f>
        <v>2750800</v>
      </c>
      <c r="AJ28" s="226">
        <f>(AJ12*'Продукция и цена '!$E$11)-((AJ12*'Продукция и цена '!$E$11)*'Вводные данные'!$E$5)</f>
        <v>2922725</v>
      </c>
      <c r="AK28" s="226">
        <f>(AK12*'Продукция и цена '!$E$11)-((AK12*'Продукция и цена '!$E$11)*'Вводные данные'!$E$5)</f>
        <v>3094650</v>
      </c>
      <c r="AL28" s="226">
        <f>(AL12*'Продукция и цена '!$E$11)-((AL12*'Продукция и цена '!$E$11)*'Вводные данные'!$E$5)</f>
        <v>3266575</v>
      </c>
      <c r="AM28" s="226">
        <f>(AM12*'Продукция и цена '!$E$11)-((AM12*'Продукция и цена '!$E$11)*'Вводные данные'!$E$5)</f>
        <v>3438500</v>
      </c>
      <c r="AN28" s="241">
        <f t="shared" si="9"/>
        <v>29914950</v>
      </c>
    </row>
    <row r="29" spans="1:40">
      <c r="A29" s="248" t="str">
        <f>'Продукция и цена '!A12</f>
        <v>Аренда системы: "Бизнес" тариф</v>
      </c>
      <c r="B29" s="226">
        <f>(B13*'Продукция и цена '!$C$12)-((B13*'Продукция и цена '!$C$12)*'Вводные данные'!$C$5)</f>
        <v>0</v>
      </c>
      <c r="C29" s="226">
        <f>(C13*'Продукция и цена '!$C$12)-((C13*'Продукция и цена '!$C$12)*'Вводные данные'!$C$5)</f>
        <v>0</v>
      </c>
      <c r="D29" s="226">
        <f>(D13*'Продукция и цена '!$C$12)-((D13*'Продукция и цена '!$C$12)*'Вводные данные'!$C$5)</f>
        <v>0</v>
      </c>
      <c r="E29" s="226">
        <f>(E13*'Продукция и цена '!$C$12)-((E13*'Продукция и цена '!$C$12)*'Вводные данные'!$C$5)</f>
        <v>0</v>
      </c>
      <c r="F29" s="226">
        <f>(F13*'Продукция и цена '!$C$12)-((F13*'Продукция и цена '!$C$12)*'Вводные данные'!$C$5)</f>
        <v>0</v>
      </c>
      <c r="G29" s="226">
        <f>(G13*'Продукция и цена '!$C$12)-((G13*'Продукция и цена '!$C$12)*'Вводные данные'!$C$5)</f>
        <v>0</v>
      </c>
      <c r="H29" s="226">
        <f>(H13*'Продукция и цена '!$C$12)-((H13*'Продукция и цена '!$C$12)*'Вводные данные'!$C$5)</f>
        <v>0</v>
      </c>
      <c r="I29" s="226">
        <f>(I13*'Продукция и цена '!$C$12)-((I13*'Продукция и цена '!$C$12)*'Вводные данные'!$C$5)</f>
        <v>12000</v>
      </c>
      <c r="J29" s="226">
        <f>(J13*'Продукция и цена '!$C$12)-((J13*'Продукция и цена '!$C$12)*'Вводные данные'!$C$5)</f>
        <v>12000</v>
      </c>
      <c r="K29" s="226">
        <f>(K13*'Продукция и цена '!$C$12)-((K13*'Продукция и цена '!$C$12)*'Вводные данные'!$C$5)</f>
        <v>12000</v>
      </c>
      <c r="L29" s="226">
        <f>(L13*'Продукция и цена '!$C$12)-((L13*'Продукция и цена '!$C$12)*'Вводные данные'!$C$5)</f>
        <v>12000</v>
      </c>
      <c r="M29" s="226">
        <f>(M13*'Продукция и цена '!$C$12)-((M13*'Продукция и цена '!$C$12)*'Вводные данные'!$C$5)</f>
        <v>12000</v>
      </c>
      <c r="N29" s="240">
        <f t="shared" si="7"/>
        <v>60000</v>
      </c>
      <c r="O29" s="226">
        <f>(O13*'Продукция и цена '!$D$12)-((O13*'Продукция и цена '!$D$12)*'Вводные данные'!$D$5)</f>
        <v>13800</v>
      </c>
      <c r="P29" s="226">
        <f>(P13*'Продукция и цена '!$D$12)-((P13*'Продукция и цена '!$D$12)*'Вводные данные'!$D$5)</f>
        <v>13800</v>
      </c>
      <c r="Q29" s="226">
        <f>(Q13*'Продукция и цена '!$D$12)-((Q13*'Продукция и цена '!$D$12)*'Вводные данные'!$D$5)</f>
        <v>13800</v>
      </c>
      <c r="R29" s="226">
        <f>(R13*'Продукция и цена '!$D$12)-((R13*'Продукция и цена '!$D$12)*'Вводные данные'!$D$5)</f>
        <v>27600</v>
      </c>
      <c r="S29" s="226">
        <f>(S13*'Продукция и цена '!$D$12)-((S13*'Продукция и цена '!$D$12)*'Вводные данные'!$D$5)</f>
        <v>27600</v>
      </c>
      <c r="T29" s="226">
        <f>(T13*'Продукция и цена '!$D$12)-((T13*'Продукция и цена '!$D$12)*'Вводные данные'!$D$5)</f>
        <v>27600</v>
      </c>
      <c r="U29" s="226">
        <f>(U13*'Продукция и цена '!$D$12)-((U13*'Продукция и цена '!$D$12)*'Вводные данные'!$D$5)</f>
        <v>27600</v>
      </c>
      <c r="V29" s="226">
        <f>(V13*'Продукция и цена '!$D$12)-((V13*'Продукция и цена '!$D$12)*'Вводные данные'!$D$5)</f>
        <v>41400</v>
      </c>
      <c r="W29" s="226">
        <f>(W13*'Продукция и цена '!$D$12)-((W13*'Продукция и цена '!$D$12)*'Вводные данные'!$D$5)</f>
        <v>41400</v>
      </c>
      <c r="X29" s="226">
        <f>(X13*'Продукция и цена '!$D$12)-((X13*'Продукция и цена '!$D$12)*'Вводные данные'!$D$5)</f>
        <v>41400</v>
      </c>
      <c r="Y29" s="226">
        <f>(Y13*'Продукция и цена '!$D$12)-((Y13*'Продукция и цена '!$D$12)*'Вводные данные'!$D$5)</f>
        <v>41400</v>
      </c>
      <c r="Z29" s="226">
        <f>(Z13*'Продукция и цена '!$D$12)-((Z13*'Продукция и цена '!$D$12)*'Вводные данные'!$D$5)</f>
        <v>55200</v>
      </c>
      <c r="AA29" s="240">
        <f t="shared" si="8"/>
        <v>372600</v>
      </c>
      <c r="AB29" s="226">
        <f>(AB13*'Продукция и цена '!$E$12)-((AB13*'Продукция и цена '!$E$12)*'Вводные данные'!$E$5)</f>
        <v>63480</v>
      </c>
      <c r="AC29" s="226">
        <f>(AC13*'Продукция и цена '!$E$12)-((AC13*'Продукция и цена '!$E$12)*'Вводные данные'!$E$5)</f>
        <v>79350</v>
      </c>
      <c r="AD29" s="226">
        <f>(AD13*'Продукция и цена '!$E$12)-((AD13*'Продукция и цена '!$E$12)*'Вводные данные'!$E$5)</f>
        <v>79350</v>
      </c>
      <c r="AE29" s="226">
        <f>(AE13*'Продукция и цена '!$E$12)-((AE13*'Продукция и цена '!$E$12)*'Вводные данные'!$E$5)</f>
        <v>89930.000000000044</v>
      </c>
      <c r="AF29" s="226">
        <f>(AF13*'Продукция и цена '!$E$12)-((AF13*'Продукция и цена '!$E$12)*'Вводные данные'!$E$5)</f>
        <v>97865.000000000044</v>
      </c>
      <c r="AG29" s="226">
        <f>(AG13*'Продукция и цена '!$E$12)-((AG13*'Продукция и цена '!$E$12)*'Вводные данные'!$E$5)</f>
        <v>105800.00000000004</v>
      </c>
      <c r="AH29" s="226">
        <f>(AH13*'Продукция и цена '!$E$12)-((AH13*'Продукция и цена '!$E$12)*'Вводные данные'!$E$5)</f>
        <v>113735.00000000004</v>
      </c>
      <c r="AI29" s="226">
        <f>(AI13*'Продукция и цена '!$E$12)-((AI13*'Продукция и цена '!$E$12)*'Вводные данные'!$E$5)</f>
        <v>121670.00000000004</v>
      </c>
      <c r="AJ29" s="226">
        <f>(AJ13*'Продукция и цена '!$E$12)-((AJ13*'Продукция и цена '!$E$12)*'Вводные данные'!$E$5)</f>
        <v>129605.00000000004</v>
      </c>
      <c r="AK29" s="226">
        <f>(AK13*'Продукция и цена '!$E$12)-((AK13*'Продукция и цена '!$E$12)*'Вводные данные'!$E$5)</f>
        <v>137540.00000000006</v>
      </c>
      <c r="AL29" s="226">
        <f>(AL13*'Продукция и цена '!$E$12)-((AL13*'Продукция и цена '!$E$12)*'Вводные данные'!$E$5)</f>
        <v>145475.00000000006</v>
      </c>
      <c r="AM29" s="226">
        <f>(AM13*'Продукция и цена '!$E$12)-((AM13*'Продукция и цена '!$E$12)*'Вводные данные'!$E$5)</f>
        <v>153410.00000000006</v>
      </c>
      <c r="AN29" s="241">
        <f t="shared" si="9"/>
        <v>1317210.0000000002</v>
      </c>
    </row>
    <row r="30" spans="1:40">
      <c r="A30" s="248">
        <f>'Продукция и цена '!A13</f>
        <v>0</v>
      </c>
      <c r="B30" s="226">
        <f>(B14*'Продукция и цена '!$C$13)-((B14*'Продукция и цена '!$C$13)*'Вводные данные'!$C$5)</f>
        <v>0</v>
      </c>
      <c r="C30" s="226">
        <f>(C14*'Продукция и цена '!$C$13)-((C14*'Продукция и цена '!$C$13)*'Вводные данные'!$C$5)</f>
        <v>0</v>
      </c>
      <c r="D30" s="226">
        <f>(D14*'Продукция и цена '!$C$13)-((D14*'Продукция и цена '!$C$13)*'Вводные данные'!$C$5)</f>
        <v>0</v>
      </c>
      <c r="E30" s="226">
        <f>(E14*'Продукция и цена '!$C$13)-((E14*'Продукция и цена '!$C$13)*'Вводные данные'!$C$5)</f>
        <v>0</v>
      </c>
      <c r="F30" s="226">
        <f>(F14*'Продукция и цена '!$C$13)-((F14*'Продукция и цена '!$C$13)*'Вводные данные'!$C$5)</f>
        <v>0</v>
      </c>
      <c r="G30" s="226">
        <f>(G14*'Продукция и цена '!$C$13)-((G14*'Продукция и цена '!$C$13)*'Вводные данные'!$C$5)</f>
        <v>0</v>
      </c>
      <c r="H30" s="226">
        <f>(H14*'Продукция и цена '!$C$13)-((H14*'Продукция и цена '!$C$13)*'Вводные данные'!$C$5)</f>
        <v>0</v>
      </c>
      <c r="I30" s="226">
        <f>(I14*'Продукция и цена '!$C$13)-((I14*'Продукция и цена '!$C$13)*'Вводные данные'!$C$5)</f>
        <v>0</v>
      </c>
      <c r="J30" s="226">
        <f>(J14*'Продукция и цена '!$C$13)-((J14*'Продукция и цена '!$C$13)*'Вводные данные'!$C$5)</f>
        <v>0</v>
      </c>
      <c r="K30" s="226">
        <f>(K14*'Продукция и цена '!$C$13)-((K14*'Продукция и цена '!$C$13)*'Вводные данные'!$C$5)</f>
        <v>0</v>
      </c>
      <c r="L30" s="226">
        <f>(L14*'Продукция и цена '!$C$13)-((L14*'Продукция и цена '!$C$13)*'Вводные данные'!$C$5)</f>
        <v>0</v>
      </c>
      <c r="M30" s="226">
        <f>(M14*'Продукция и цена '!$C$13)-((M14*'Продукция и цена '!$C$13)*'Вводные данные'!$C$5)</f>
        <v>0</v>
      </c>
      <c r="N30" s="240">
        <f t="shared" si="7"/>
        <v>0</v>
      </c>
      <c r="O30" s="226">
        <f>(O14*'Продукция и цена '!$D$13)-((O14*'Продукция и цена '!$D$13)*'Вводные данные'!$D$5)</f>
        <v>0</v>
      </c>
      <c r="P30" s="226">
        <f>(P14*'Продукция и цена '!$D$13)-((P14*'Продукция и цена '!$D$13)*'Вводные данные'!$D$5)</f>
        <v>0</v>
      </c>
      <c r="Q30" s="226">
        <f>(Q14*'Продукция и цена '!$D$13)-((Q14*'Продукция и цена '!$D$13)*'Вводные данные'!$D$5)</f>
        <v>0</v>
      </c>
      <c r="R30" s="226">
        <f>(R14*'Продукция и цена '!$D$13)-((R14*'Продукция и цена '!$D$13)*'Вводные данные'!$D$5)</f>
        <v>0</v>
      </c>
      <c r="S30" s="226">
        <f>(S14*'Продукция и цена '!$D$13)-((S14*'Продукция и цена '!$D$13)*'Вводные данные'!$D$5)</f>
        <v>0</v>
      </c>
      <c r="T30" s="226">
        <f>(T14*'Продукция и цена '!$D$13)-((T14*'Продукция и цена '!$D$13)*'Вводные данные'!$D$5)</f>
        <v>0</v>
      </c>
      <c r="U30" s="226">
        <f>(U14*'Продукция и цена '!$D$13)-((U14*'Продукция и цена '!$D$13)*'Вводные данные'!$D$5)</f>
        <v>0</v>
      </c>
      <c r="V30" s="226">
        <f>(V14*'Продукция и цена '!$D$13)-((V14*'Продукция и цена '!$D$13)*'Вводные данные'!$D$5)</f>
        <v>0</v>
      </c>
      <c r="W30" s="226">
        <f>(W14*'Продукция и цена '!$D$13)-((W14*'Продукция и цена '!$D$13)*'Вводные данные'!$D$5)</f>
        <v>0</v>
      </c>
      <c r="X30" s="226">
        <f>(X14*'Продукция и цена '!$D$13)-((X14*'Продукция и цена '!$D$13)*'Вводные данные'!$D$5)</f>
        <v>0</v>
      </c>
      <c r="Y30" s="226">
        <f>(Y14*'Продукция и цена '!$D$13)-((Y14*'Продукция и цена '!$D$13)*'Вводные данные'!$D$5)</f>
        <v>0</v>
      </c>
      <c r="Z30" s="226">
        <f>(Z14*'Продукция и цена '!$D$13)-((Z14*'Продукция и цена '!$D$13)*'Вводные данные'!$D$5)</f>
        <v>0</v>
      </c>
      <c r="AA30" s="240">
        <f t="shared" si="8"/>
        <v>0</v>
      </c>
      <c r="AB30" s="226">
        <f>(AB14*'Продукция и цена '!$E$13)-((AB14*'Продукция и цена '!$E$13)*'Вводные данные'!$E$5)</f>
        <v>0</v>
      </c>
      <c r="AC30" s="226">
        <f>(AC14*'Продукция и цена '!$E$13)-((AC14*'Продукция и цена '!$E$13)*'Вводные данные'!$E$5)</f>
        <v>0</v>
      </c>
      <c r="AD30" s="226">
        <f>(AD14*'Продукция и цена '!$E$13)-((AD14*'Продукция и цена '!$E$13)*'Вводные данные'!$E$5)</f>
        <v>0</v>
      </c>
      <c r="AE30" s="226">
        <f>(AE14*'Продукция и цена '!$E$13)-((AE14*'Продукция и цена '!$E$13)*'Вводные данные'!$E$5)</f>
        <v>0</v>
      </c>
      <c r="AF30" s="226">
        <f>(AF14*'Продукция и цена '!$E$13)-((AF14*'Продукция и цена '!$E$13)*'Вводные данные'!$E$5)</f>
        <v>0</v>
      </c>
      <c r="AG30" s="226">
        <f>(AG14*'Продукция и цена '!$E$13)-((AG14*'Продукция и цена '!$E$13)*'Вводные данные'!$E$5)</f>
        <v>0</v>
      </c>
      <c r="AH30" s="226">
        <f>(AH14*'Продукция и цена '!$E$13)-((AH14*'Продукция и цена '!$E$13)*'Вводные данные'!$E$5)</f>
        <v>0</v>
      </c>
      <c r="AI30" s="226">
        <f>(AI14*'Продукция и цена '!$E$13)-((AI14*'Продукция и цена '!$E$13)*'Вводные данные'!$E$5)</f>
        <v>0</v>
      </c>
      <c r="AJ30" s="226">
        <f>(AJ14*'Продукция и цена '!$E$13)-((AJ14*'Продукция и цена '!$E$13)*'Вводные данные'!$E$5)</f>
        <v>0</v>
      </c>
      <c r="AK30" s="226">
        <f>(AK14*'Продукция и цена '!$E$13)-((AK14*'Продукция и цена '!$E$13)*'Вводные данные'!$E$5)</f>
        <v>0</v>
      </c>
      <c r="AL30" s="226">
        <f>(AL14*'Продукция и цена '!$E$13)-((AL14*'Продукция и цена '!$E$13)*'Вводные данные'!$E$5)</f>
        <v>0</v>
      </c>
      <c r="AM30" s="226">
        <f>(AM14*'Продукция и цена '!$E$13)-((AM14*'Продукция и цена '!$E$13)*'Вводные данные'!$E$5)</f>
        <v>0</v>
      </c>
      <c r="AN30" s="241">
        <f t="shared" si="9"/>
        <v>0</v>
      </c>
    </row>
    <row r="31" spans="1:40" s="242" customFormat="1" ht="20.100000000000001" customHeight="1">
      <c r="A31" s="243" t="s">
        <v>124</v>
      </c>
      <c r="B31" s="244">
        <f>SUM(B21:B30)</f>
        <v>324000</v>
      </c>
      <c r="C31" s="244">
        <f t="shared" ref="C31:M31" si="10">SUM(C21:C30)</f>
        <v>79000</v>
      </c>
      <c r="D31" s="244">
        <f t="shared" si="10"/>
        <v>709000</v>
      </c>
      <c r="E31" s="244">
        <f t="shared" si="10"/>
        <v>264000</v>
      </c>
      <c r="F31" s="244">
        <f t="shared" si="10"/>
        <v>564000</v>
      </c>
      <c r="G31" s="244">
        <f t="shared" si="10"/>
        <v>714000</v>
      </c>
      <c r="H31" s="244">
        <f t="shared" si="10"/>
        <v>764000</v>
      </c>
      <c r="I31" s="244">
        <f t="shared" si="10"/>
        <v>791000</v>
      </c>
      <c r="J31" s="244">
        <f t="shared" si="10"/>
        <v>1206000</v>
      </c>
      <c r="K31" s="244">
        <f t="shared" si="10"/>
        <v>776000</v>
      </c>
      <c r="L31" s="244">
        <f t="shared" si="10"/>
        <v>1076000</v>
      </c>
      <c r="M31" s="244">
        <f t="shared" si="10"/>
        <v>1191000</v>
      </c>
      <c r="N31" s="244">
        <f t="shared" si="7"/>
        <v>8458000</v>
      </c>
      <c r="O31" s="244">
        <f>SUM(O21:O30)</f>
        <v>1899800</v>
      </c>
      <c r="P31" s="244">
        <f t="shared" ref="P31:Z31" si="11">SUM(P21:P30)</f>
        <v>2354050</v>
      </c>
      <c r="Q31" s="244">
        <f t="shared" si="11"/>
        <v>2256300</v>
      </c>
      <c r="R31" s="244">
        <f t="shared" si="11"/>
        <v>3042516.6666666651</v>
      </c>
      <c r="S31" s="244">
        <f t="shared" si="11"/>
        <v>2657841.6666666651</v>
      </c>
      <c r="T31" s="244">
        <f t="shared" si="11"/>
        <v>3132216.6666666651</v>
      </c>
      <c r="U31" s="244">
        <f t="shared" si="11"/>
        <v>3068391.6666666651</v>
      </c>
      <c r="V31" s="244">
        <f t="shared" si="11"/>
        <v>3850966.6666666651</v>
      </c>
      <c r="W31" s="244">
        <f t="shared" si="11"/>
        <v>3463991.6666666651</v>
      </c>
      <c r="X31" s="244">
        <f t="shared" si="11"/>
        <v>3938366.6666666651</v>
      </c>
      <c r="Y31" s="244">
        <f t="shared" si="11"/>
        <v>3843491.6666666651</v>
      </c>
      <c r="Z31" s="244">
        <f t="shared" si="11"/>
        <v>4636416.6666666651</v>
      </c>
      <c r="AA31" s="244">
        <f t="shared" si="8"/>
        <v>38144349.999999978</v>
      </c>
      <c r="AB31" s="244">
        <f>SUM(AB21:AB30)</f>
        <v>5135267.5</v>
      </c>
      <c r="AC31" s="244">
        <f t="shared" ref="AC31:AM31" si="12">SUM(AC21:AC30)</f>
        <v>5442087.5</v>
      </c>
      <c r="AD31" s="244">
        <f t="shared" si="12"/>
        <v>5032112.5</v>
      </c>
      <c r="AE31" s="244">
        <f t="shared" si="12"/>
        <v>5994892.5</v>
      </c>
      <c r="AF31" s="244">
        <f t="shared" si="12"/>
        <v>5628560</v>
      </c>
      <c r="AG31" s="244">
        <f t="shared" si="12"/>
        <v>6562245</v>
      </c>
      <c r="AH31" s="244">
        <f t="shared" si="12"/>
        <v>6280552.5</v>
      </c>
      <c r="AI31" s="244">
        <f t="shared" si="12"/>
        <v>7216882.5</v>
      </c>
      <c r="AJ31" s="244">
        <f t="shared" si="12"/>
        <v>6826745</v>
      </c>
      <c r="AK31" s="244">
        <f t="shared" si="12"/>
        <v>7760430</v>
      </c>
      <c r="AL31" s="244">
        <f t="shared" si="12"/>
        <v>7396742.5</v>
      </c>
      <c r="AM31" s="244">
        <f t="shared" si="12"/>
        <v>8356877.5</v>
      </c>
      <c r="AN31" s="245">
        <f t="shared" si="9"/>
        <v>77633395</v>
      </c>
    </row>
    <row r="32" spans="1:4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sheetProtection sheet="1" formatCells="0" formatColumns="0"/>
  <mergeCells count="14">
    <mergeCell ref="AB3:AM3"/>
    <mergeCell ref="AN3:AN4"/>
    <mergeCell ref="A19:A20"/>
    <mergeCell ref="B19:M19"/>
    <mergeCell ref="N19:N20"/>
    <mergeCell ref="O19:Z19"/>
    <mergeCell ref="AA19:AA20"/>
    <mergeCell ref="AB19:AM19"/>
    <mergeCell ref="AN19:AN20"/>
    <mergeCell ref="A3:A4"/>
    <mergeCell ref="B3:M3"/>
    <mergeCell ref="N3:N4"/>
    <mergeCell ref="O3:Z3"/>
    <mergeCell ref="AA3:AA4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5">
    <tabColor theme="4"/>
  </sheetPr>
  <dimension ref="A2:AN18"/>
  <sheetViews>
    <sheetView zoomScale="140" workbookViewId="0">
      <pane xSplit="1" ySplit="4" topLeftCell="D5" activePane="bottomRight" state="frozen"/>
      <selection activeCell="A8" sqref="A5:M8"/>
      <selection pane="topRight"/>
      <selection pane="bottomLeft"/>
      <selection pane="bottomRight" activeCell="J22" sqref="J22"/>
    </sheetView>
  </sheetViews>
  <sheetFormatPr defaultColWidth="9.140625" defaultRowHeight="15"/>
  <cols>
    <col min="1" max="1" width="27.42578125" style="234" customWidth="1"/>
    <col min="2" max="12" width="9.42578125" style="234" bestFit="1" customWidth="1"/>
    <col min="13" max="13" width="9.7109375" style="234" customWidth="1"/>
    <col min="14" max="14" width="12.42578125" style="234" customWidth="1"/>
    <col min="15" max="25" width="9.7109375" style="234" customWidth="1"/>
    <col min="26" max="26" width="9.85546875" style="234" customWidth="1"/>
    <col min="27" max="27" width="12.42578125" style="234" customWidth="1"/>
    <col min="28" max="39" width="9.85546875" style="234" customWidth="1"/>
    <col min="40" max="40" width="12.42578125" style="234" customWidth="1"/>
    <col min="41" max="16384" width="9.140625" style="234"/>
  </cols>
  <sheetData>
    <row r="2" spans="1:40" ht="18.75">
      <c r="A2" s="236" t="s">
        <v>126</v>
      </c>
    </row>
    <row r="3" spans="1:40" ht="18.75" customHeight="1">
      <c r="A3" s="472" t="s">
        <v>127</v>
      </c>
      <c r="B3" s="474" t="s">
        <v>3</v>
      </c>
      <c r="C3" s="475"/>
      <c r="D3" s="475"/>
      <c r="E3" s="475"/>
      <c r="F3" s="475"/>
      <c r="G3" s="475"/>
      <c r="H3" s="475"/>
      <c r="I3" s="475"/>
      <c r="J3" s="475"/>
      <c r="K3" s="475"/>
      <c r="L3" s="475"/>
      <c r="M3" s="476"/>
      <c r="N3" s="477" t="s">
        <v>121</v>
      </c>
      <c r="O3" s="469" t="s">
        <v>4</v>
      </c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77" t="s">
        <v>122</v>
      </c>
      <c r="AB3" s="469" t="s">
        <v>128</v>
      </c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70" t="s">
        <v>123</v>
      </c>
    </row>
    <row r="4" spans="1:40">
      <c r="A4" s="473"/>
      <c r="B4" s="249">
        <f>РДДС!D5</f>
        <v>45809</v>
      </c>
      <c r="C4" s="249">
        <f>РДДС!E5</f>
        <v>45839</v>
      </c>
      <c r="D4" s="249">
        <f>РДДС!F5</f>
        <v>45870</v>
      </c>
      <c r="E4" s="249">
        <f>РДДС!G5</f>
        <v>45901</v>
      </c>
      <c r="F4" s="249">
        <f>РДДС!H5</f>
        <v>45931</v>
      </c>
      <c r="G4" s="249">
        <f>РДДС!I5</f>
        <v>45962</v>
      </c>
      <c r="H4" s="249">
        <f>РДДС!J5</f>
        <v>45992</v>
      </c>
      <c r="I4" s="249">
        <f>РДДС!K5</f>
        <v>46023</v>
      </c>
      <c r="J4" s="249">
        <f>РДДС!L5</f>
        <v>46054</v>
      </c>
      <c r="K4" s="249">
        <f>РДДС!M5</f>
        <v>46082</v>
      </c>
      <c r="L4" s="249">
        <f>РДДС!N5</f>
        <v>46113</v>
      </c>
      <c r="M4" s="249">
        <f>РДДС!O5</f>
        <v>46143</v>
      </c>
      <c r="N4" s="478"/>
      <c r="O4" s="251">
        <f>РДДС!Q5</f>
        <v>46174</v>
      </c>
      <c r="P4" s="251">
        <f>РДДС!R5</f>
        <v>46204</v>
      </c>
      <c r="Q4" s="251">
        <f>РДДС!S5</f>
        <v>46235</v>
      </c>
      <c r="R4" s="251">
        <f>РДДС!T5</f>
        <v>46266</v>
      </c>
      <c r="S4" s="251">
        <f>РДДС!U5</f>
        <v>46296</v>
      </c>
      <c r="T4" s="251">
        <f>РДДС!V5</f>
        <v>46327</v>
      </c>
      <c r="U4" s="251">
        <f>РДДС!W5</f>
        <v>46357</v>
      </c>
      <c r="V4" s="251">
        <f>РДДС!X5</f>
        <v>46388</v>
      </c>
      <c r="W4" s="251">
        <f>РДДС!Y5</f>
        <v>46419</v>
      </c>
      <c r="X4" s="251">
        <f>РДДС!Z5</f>
        <v>46447</v>
      </c>
      <c r="Y4" s="251">
        <f>РДДС!AA5</f>
        <v>46478</v>
      </c>
      <c r="Z4" s="251">
        <f>РДДС!AB5</f>
        <v>46508</v>
      </c>
      <c r="AA4" s="478"/>
      <c r="AB4" s="251">
        <f>РДДС!AD5</f>
        <v>46539</v>
      </c>
      <c r="AC4" s="251">
        <f>РДДС!AE5</f>
        <v>46569</v>
      </c>
      <c r="AD4" s="251">
        <f>РДДС!AF5</f>
        <v>46600</v>
      </c>
      <c r="AE4" s="251">
        <f>РДДС!AG5</f>
        <v>46631</v>
      </c>
      <c r="AF4" s="251">
        <f>РДДС!AH5</f>
        <v>46661</v>
      </c>
      <c r="AG4" s="251">
        <f>РДДС!AI5</f>
        <v>46692</v>
      </c>
      <c r="AH4" s="251">
        <f>РДДС!AJ5</f>
        <v>46722</v>
      </c>
      <c r="AI4" s="251">
        <f>РДДС!AK5</f>
        <v>46753</v>
      </c>
      <c r="AJ4" s="251">
        <f>РДДС!AL5</f>
        <v>46784</v>
      </c>
      <c r="AK4" s="251">
        <f>РДДС!AM5</f>
        <v>46813</v>
      </c>
      <c r="AL4" s="251">
        <f>РДДС!AN5</f>
        <v>46844</v>
      </c>
      <c r="AM4" s="251">
        <f>РДДС!AO5</f>
        <v>46874</v>
      </c>
      <c r="AN4" s="471"/>
    </row>
    <row r="5" spans="1:40">
      <c r="A5" s="252" t="s">
        <v>513</v>
      </c>
      <c r="B5" s="253">
        <v>25000</v>
      </c>
      <c r="C5" s="253">
        <v>25000</v>
      </c>
      <c r="D5" s="253">
        <v>25000</v>
      </c>
      <c r="E5" s="253">
        <v>25000</v>
      </c>
      <c r="F5" s="253">
        <v>25000</v>
      </c>
      <c r="G5" s="253">
        <v>25000</v>
      </c>
      <c r="H5" s="253">
        <v>25000</v>
      </c>
      <c r="I5" s="253">
        <v>25000</v>
      </c>
      <c r="J5" s="253">
        <v>25000</v>
      </c>
      <c r="K5" s="253">
        <v>25000</v>
      </c>
      <c r="L5" s="253">
        <v>25000</v>
      </c>
      <c r="M5" s="253">
        <v>25000</v>
      </c>
      <c r="N5" s="250">
        <f t="shared" ref="N5:N12" si="0">SUM(B5:M5)</f>
        <v>300000</v>
      </c>
      <c r="O5" s="254">
        <f>B5+B5*'Вводные данные'!$D$4</f>
        <v>28750</v>
      </c>
      <c r="P5" s="254">
        <f>C5+C5*'Вводные данные'!$D$4</f>
        <v>28750</v>
      </c>
      <c r="Q5" s="254">
        <f>D5+D5*'Вводные данные'!$D$4</f>
        <v>28750</v>
      </c>
      <c r="R5" s="254">
        <f>E5+E5*'Вводные данные'!$D$4</f>
        <v>28750</v>
      </c>
      <c r="S5" s="254">
        <f>F5+F5*'Вводные данные'!$D$4</f>
        <v>28750</v>
      </c>
      <c r="T5" s="254">
        <f>G5+G5*'Вводные данные'!$D$4</f>
        <v>28750</v>
      </c>
      <c r="U5" s="254">
        <f>H5+H5*'Вводные данные'!$D$4</f>
        <v>28750</v>
      </c>
      <c r="V5" s="254">
        <f>I5+I5*'Вводные данные'!$D$4</f>
        <v>28750</v>
      </c>
      <c r="W5" s="254">
        <f>J5+J5*'Вводные данные'!$D$4</f>
        <v>28750</v>
      </c>
      <c r="X5" s="254">
        <f>K5+K5*'Вводные данные'!$D$4</f>
        <v>28750</v>
      </c>
      <c r="Y5" s="254">
        <f>L5+L5*'Вводные данные'!$D$4</f>
        <v>28750</v>
      </c>
      <c r="Z5" s="254">
        <f>M5+M5*'Вводные данные'!$D$4</f>
        <v>28750</v>
      </c>
      <c r="AA5" s="255">
        <f t="shared" ref="AA5:AA12" si="1">SUM(O5:Z5)</f>
        <v>345000</v>
      </c>
      <c r="AB5" s="254">
        <f>O5+O5*'Вводные данные'!$E$4</f>
        <v>33062.5</v>
      </c>
      <c r="AC5" s="254">
        <f>P5+P5*'Вводные данные'!$E$4</f>
        <v>33062.5</v>
      </c>
      <c r="AD5" s="254">
        <f>Q5+Q5*'Вводные данные'!$E$4</f>
        <v>33062.5</v>
      </c>
      <c r="AE5" s="254">
        <f>R5+R5*'Вводные данные'!$E$4</f>
        <v>33062.5</v>
      </c>
      <c r="AF5" s="254">
        <f>S5+S5*'Вводные данные'!$E$4</f>
        <v>33062.5</v>
      </c>
      <c r="AG5" s="254">
        <f>T5+T5*'Вводные данные'!$E$4</f>
        <v>33062.5</v>
      </c>
      <c r="AH5" s="254">
        <f>U5+U5*'Вводные данные'!$E$4</f>
        <v>33062.5</v>
      </c>
      <c r="AI5" s="254">
        <f>V5+V5*'Вводные данные'!$E$4</f>
        <v>33062.5</v>
      </c>
      <c r="AJ5" s="254">
        <f>W5+W5*'Вводные данные'!$E$4</f>
        <v>33062.5</v>
      </c>
      <c r="AK5" s="254">
        <f>X5+X5*'Вводные данные'!$E$4</f>
        <v>33062.5</v>
      </c>
      <c r="AL5" s="254">
        <f>Y5+Y5*'Вводные данные'!$E$4</f>
        <v>33062.5</v>
      </c>
      <c r="AM5" s="254">
        <f>Z5+Z5*'Вводные данные'!$E$4</f>
        <v>33062.5</v>
      </c>
      <c r="AN5" s="256">
        <f t="shared" ref="AN5:AN12" si="2">SUM(AB5:AM5)</f>
        <v>396750</v>
      </c>
    </row>
    <row r="6" spans="1:40">
      <c r="A6" s="252" t="s">
        <v>516</v>
      </c>
      <c r="B6" s="253">
        <v>17000</v>
      </c>
      <c r="C6" s="253">
        <v>17000</v>
      </c>
      <c r="D6" s="253">
        <v>17000</v>
      </c>
      <c r="E6" s="253">
        <v>17000</v>
      </c>
      <c r="F6" s="253">
        <v>17000</v>
      </c>
      <c r="G6" s="253">
        <v>17000</v>
      </c>
      <c r="H6" s="253">
        <v>17000</v>
      </c>
      <c r="I6" s="253">
        <v>17000</v>
      </c>
      <c r="J6" s="253">
        <v>17000</v>
      </c>
      <c r="K6" s="253">
        <v>17000</v>
      </c>
      <c r="L6" s="253">
        <v>17000</v>
      </c>
      <c r="M6" s="253">
        <v>17000</v>
      </c>
      <c r="N6" s="250">
        <f t="shared" si="0"/>
        <v>204000</v>
      </c>
      <c r="O6" s="254">
        <f>B6+B6*'Вводные данные'!$D$4</f>
        <v>19550</v>
      </c>
      <c r="P6" s="254">
        <f>C6+C6*'Вводные данные'!$D$4</f>
        <v>19550</v>
      </c>
      <c r="Q6" s="254">
        <f>D6+D6*'Вводные данные'!$D$4</f>
        <v>19550</v>
      </c>
      <c r="R6" s="254">
        <f>E6+E6*'Вводные данные'!$D$4</f>
        <v>19550</v>
      </c>
      <c r="S6" s="254">
        <f>F6+F6*'Вводные данные'!$D$4</f>
        <v>19550</v>
      </c>
      <c r="T6" s="254">
        <f>G6+G6*'Вводные данные'!$D$4</f>
        <v>19550</v>
      </c>
      <c r="U6" s="254">
        <f>H6+H6*'Вводные данные'!$D$4</f>
        <v>19550</v>
      </c>
      <c r="V6" s="254">
        <f>I6+I6*'Вводные данные'!$D$4</f>
        <v>19550</v>
      </c>
      <c r="W6" s="254">
        <f>J6+J6*'Вводные данные'!$D$4</f>
        <v>19550</v>
      </c>
      <c r="X6" s="254">
        <f>K6+K6*'Вводные данные'!$D$4</f>
        <v>19550</v>
      </c>
      <c r="Y6" s="254">
        <f>L6+L6*'Вводные данные'!$D$4</f>
        <v>19550</v>
      </c>
      <c r="Z6" s="254">
        <f>M6+M6*'Вводные данные'!$D$4</f>
        <v>19550</v>
      </c>
      <c r="AA6" s="255">
        <f t="shared" si="1"/>
        <v>234600</v>
      </c>
      <c r="AB6" s="254">
        <f>O6+O6*'Вводные данные'!$E$4</f>
        <v>22482.5</v>
      </c>
      <c r="AC6" s="254">
        <f>P6+P6*'Вводные данные'!$E$4</f>
        <v>22482.5</v>
      </c>
      <c r="AD6" s="254">
        <f>Q6+Q6*'Вводные данные'!$E$4</f>
        <v>22482.5</v>
      </c>
      <c r="AE6" s="254">
        <f>R6+R6*'Вводные данные'!$E$4</f>
        <v>22482.5</v>
      </c>
      <c r="AF6" s="254">
        <f>S6+S6*'Вводные данные'!$E$4</f>
        <v>22482.5</v>
      </c>
      <c r="AG6" s="254">
        <f>T6+T6*'Вводные данные'!$E$4</f>
        <v>22482.5</v>
      </c>
      <c r="AH6" s="254">
        <f>U6+U6*'Вводные данные'!$E$4</f>
        <v>22482.5</v>
      </c>
      <c r="AI6" s="254">
        <f>V6+V6*'Вводные данные'!$E$4</f>
        <v>22482.5</v>
      </c>
      <c r="AJ6" s="254">
        <f>W6+W6*'Вводные данные'!$E$4</f>
        <v>22482.5</v>
      </c>
      <c r="AK6" s="254">
        <f>X6+X6*'Вводные данные'!$E$4</f>
        <v>22482.5</v>
      </c>
      <c r="AL6" s="254">
        <f>Y6+Y6*'Вводные данные'!$E$4</f>
        <v>22482.5</v>
      </c>
      <c r="AM6" s="254">
        <f>Z6+Z6*'Вводные данные'!$E$4</f>
        <v>22482.5</v>
      </c>
      <c r="AN6" s="256">
        <f t="shared" si="2"/>
        <v>269790</v>
      </c>
    </row>
    <row r="7" spans="1:40">
      <c r="A7" s="252" t="s">
        <v>514</v>
      </c>
      <c r="B7" s="253">
        <v>12500</v>
      </c>
      <c r="C7" s="253">
        <v>12500</v>
      </c>
      <c r="D7" s="253">
        <v>12500</v>
      </c>
      <c r="E7" s="253">
        <v>12500</v>
      </c>
      <c r="F7" s="253">
        <v>12500</v>
      </c>
      <c r="G7" s="253">
        <v>12500</v>
      </c>
      <c r="H7" s="253">
        <v>12500</v>
      </c>
      <c r="I7" s="253">
        <v>12500</v>
      </c>
      <c r="J7" s="253">
        <v>12500</v>
      </c>
      <c r="K7" s="253">
        <v>12500</v>
      </c>
      <c r="L7" s="253">
        <v>12500</v>
      </c>
      <c r="M7" s="253">
        <v>12500</v>
      </c>
      <c r="N7" s="250">
        <f t="shared" si="0"/>
        <v>150000</v>
      </c>
      <c r="O7" s="254">
        <f>B7+B7*'Вводные данные'!$D$4</f>
        <v>14375</v>
      </c>
      <c r="P7" s="254">
        <f>C7+C7*'Вводные данные'!$D$4</f>
        <v>14375</v>
      </c>
      <c r="Q7" s="254">
        <f>D7+D7*'Вводные данные'!$D$4</f>
        <v>14375</v>
      </c>
      <c r="R7" s="254">
        <f>E7+E7*'Вводные данные'!$D$4</f>
        <v>14375</v>
      </c>
      <c r="S7" s="254">
        <f>F7+F7*'Вводные данные'!$D$4</f>
        <v>14375</v>
      </c>
      <c r="T7" s="254">
        <f>G7+G7*'Вводные данные'!$D$4</f>
        <v>14375</v>
      </c>
      <c r="U7" s="254">
        <f>H7+H7*'Вводные данные'!$D$4</f>
        <v>14375</v>
      </c>
      <c r="V7" s="254">
        <f>I7+I7*'Вводные данные'!$D$4</f>
        <v>14375</v>
      </c>
      <c r="W7" s="254">
        <f>J7+J7*'Вводные данные'!$D$4</f>
        <v>14375</v>
      </c>
      <c r="X7" s="254">
        <f>K7+K7*'Вводные данные'!$D$4</f>
        <v>14375</v>
      </c>
      <c r="Y7" s="254">
        <f>L7+L7*'Вводные данные'!$D$4</f>
        <v>14375</v>
      </c>
      <c r="Z7" s="254">
        <f>M7+M7*'Вводные данные'!$D$4</f>
        <v>14375</v>
      </c>
      <c r="AA7" s="255">
        <f t="shared" si="1"/>
        <v>172500</v>
      </c>
      <c r="AB7" s="254">
        <f>O7+O7*'Вводные данные'!$E$4</f>
        <v>16531.25</v>
      </c>
      <c r="AC7" s="254">
        <f>P7+P7*'Вводные данные'!$E$4</f>
        <v>16531.25</v>
      </c>
      <c r="AD7" s="254">
        <f>Q7+Q7*'Вводные данные'!$E$4</f>
        <v>16531.25</v>
      </c>
      <c r="AE7" s="254">
        <f>R7+R7*'Вводные данные'!$E$4</f>
        <v>16531.25</v>
      </c>
      <c r="AF7" s="254">
        <f>S7+S7*'Вводные данные'!$E$4</f>
        <v>16531.25</v>
      </c>
      <c r="AG7" s="254">
        <f>T7+T7*'Вводные данные'!$E$4</f>
        <v>16531.25</v>
      </c>
      <c r="AH7" s="254">
        <f>U7+U7*'Вводные данные'!$E$4</f>
        <v>16531.25</v>
      </c>
      <c r="AI7" s="254">
        <f>V7+V7*'Вводные данные'!$E$4</f>
        <v>16531.25</v>
      </c>
      <c r="AJ7" s="254">
        <f>W7+W7*'Вводные данные'!$E$4</f>
        <v>16531.25</v>
      </c>
      <c r="AK7" s="254">
        <f>X7+X7*'Вводные данные'!$E$4</f>
        <v>16531.25</v>
      </c>
      <c r="AL7" s="254">
        <f>Y7+Y7*'Вводные данные'!$E$4</f>
        <v>16531.25</v>
      </c>
      <c r="AM7" s="254">
        <f>Z7+Z7*'Вводные данные'!$E$4</f>
        <v>16531.25</v>
      </c>
      <c r="AN7" s="256">
        <f t="shared" si="2"/>
        <v>198375</v>
      </c>
    </row>
    <row r="8" spans="1:40">
      <c r="A8" s="252" t="s">
        <v>515</v>
      </c>
      <c r="B8" s="253">
        <v>7000</v>
      </c>
      <c r="C8" s="253">
        <v>7000</v>
      </c>
      <c r="D8" s="253">
        <v>7000</v>
      </c>
      <c r="E8" s="253">
        <v>7000</v>
      </c>
      <c r="F8" s="253">
        <v>7000</v>
      </c>
      <c r="G8" s="253">
        <v>7000</v>
      </c>
      <c r="H8" s="253">
        <v>7000</v>
      </c>
      <c r="I8" s="253">
        <v>7000</v>
      </c>
      <c r="J8" s="253">
        <v>7000</v>
      </c>
      <c r="K8" s="253">
        <v>7000</v>
      </c>
      <c r="L8" s="253">
        <v>7000</v>
      </c>
      <c r="M8" s="253">
        <v>7000</v>
      </c>
      <c r="N8" s="250">
        <f t="shared" si="0"/>
        <v>84000</v>
      </c>
      <c r="O8" s="254">
        <f>B8+B8*'Вводные данные'!$D$4</f>
        <v>8050</v>
      </c>
      <c r="P8" s="254">
        <f>C8+C8*'Вводные данные'!$D$4</f>
        <v>8050</v>
      </c>
      <c r="Q8" s="254">
        <f>D8+D8*'Вводные данные'!$D$4</f>
        <v>8050</v>
      </c>
      <c r="R8" s="254">
        <f>E8+E8*'Вводные данные'!$D$4</f>
        <v>8050</v>
      </c>
      <c r="S8" s="254">
        <f>F8+F8*'Вводные данные'!$D$4</f>
        <v>8050</v>
      </c>
      <c r="T8" s="254">
        <f>G8+G8*'Вводные данные'!$D$4</f>
        <v>8050</v>
      </c>
      <c r="U8" s="254">
        <f>H8+H8*'Вводные данные'!$D$4</f>
        <v>8050</v>
      </c>
      <c r="V8" s="254">
        <f>I8+I8*'Вводные данные'!$D$4</f>
        <v>8050</v>
      </c>
      <c r="W8" s="254">
        <f>J8+J8*'Вводные данные'!$D$4</f>
        <v>8050</v>
      </c>
      <c r="X8" s="254">
        <f>K8+K8*'Вводные данные'!$D$4</f>
        <v>8050</v>
      </c>
      <c r="Y8" s="254">
        <f>L8+L8*'Вводные данные'!$D$4</f>
        <v>8050</v>
      </c>
      <c r="Z8" s="254">
        <f>M8+M8*'Вводные данные'!$D$4</f>
        <v>8050</v>
      </c>
      <c r="AA8" s="255">
        <f t="shared" si="1"/>
        <v>96600</v>
      </c>
      <c r="AB8" s="254">
        <f>O8+O8*'Вводные данные'!$E$4</f>
        <v>9257.5</v>
      </c>
      <c r="AC8" s="254">
        <f>P8+P8*'Вводные данные'!$E$4</f>
        <v>9257.5</v>
      </c>
      <c r="AD8" s="254">
        <f>Q8+Q8*'Вводные данные'!$E$4</f>
        <v>9257.5</v>
      </c>
      <c r="AE8" s="254">
        <f>R8+R8*'Вводные данные'!$E$4</f>
        <v>9257.5</v>
      </c>
      <c r="AF8" s="254">
        <f>S8+S8*'Вводные данные'!$E$4</f>
        <v>9257.5</v>
      </c>
      <c r="AG8" s="254">
        <f>T8+T8*'Вводные данные'!$E$4</f>
        <v>9257.5</v>
      </c>
      <c r="AH8" s="254">
        <f>U8+U8*'Вводные данные'!$E$4</f>
        <v>9257.5</v>
      </c>
      <c r="AI8" s="254">
        <f>V8+V8*'Вводные данные'!$E$4</f>
        <v>9257.5</v>
      </c>
      <c r="AJ8" s="254">
        <f>W8+W8*'Вводные данные'!$E$4</f>
        <v>9257.5</v>
      </c>
      <c r="AK8" s="254">
        <f>X8+X8*'Вводные данные'!$E$4</f>
        <v>9257.5</v>
      </c>
      <c r="AL8" s="254">
        <f>Y8+Y8*'Вводные данные'!$E$4</f>
        <v>9257.5</v>
      </c>
      <c r="AM8" s="254">
        <f>Z8+Z8*'Вводные данные'!$E$4</f>
        <v>9257.5</v>
      </c>
      <c r="AN8" s="256">
        <f t="shared" si="2"/>
        <v>111090</v>
      </c>
    </row>
    <row r="9" spans="1:40"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0">
        <f t="shared" si="0"/>
        <v>0</v>
      </c>
      <c r="O9" s="254">
        <f>B9+B9*'Вводные данные'!$D$4</f>
        <v>0</v>
      </c>
      <c r="P9" s="254">
        <f>C9+C9*'Вводные данные'!$D$4</f>
        <v>0</v>
      </c>
      <c r="Q9" s="254">
        <f>D9+D9*'Вводные данные'!$D$4</f>
        <v>0</v>
      </c>
      <c r="R9" s="254">
        <f>E9+E9*'Вводные данные'!$D$4</f>
        <v>0</v>
      </c>
      <c r="S9" s="254">
        <f>F9+F9*'Вводные данные'!$D$4</f>
        <v>0</v>
      </c>
      <c r="T9" s="254">
        <f>G9+G9*'Вводные данные'!$D$4</f>
        <v>0</v>
      </c>
      <c r="U9" s="254">
        <f>H9+H9*'Вводные данные'!$D$4</f>
        <v>0</v>
      </c>
      <c r="V9" s="254">
        <f>I9+I9*'Вводные данные'!$D$4</f>
        <v>0</v>
      </c>
      <c r="W9" s="254">
        <f>J9+J9*'Вводные данные'!$D$4</f>
        <v>0</v>
      </c>
      <c r="X9" s="254">
        <f>K9+K9*'Вводные данные'!$D$4</f>
        <v>0</v>
      </c>
      <c r="Y9" s="254">
        <f>L9+L9*'Вводные данные'!$D$4</f>
        <v>0</v>
      </c>
      <c r="Z9" s="254">
        <f>M9+M9*'Вводные данные'!$D$4</f>
        <v>0</v>
      </c>
      <c r="AA9" s="255">
        <f t="shared" si="1"/>
        <v>0</v>
      </c>
      <c r="AB9" s="254">
        <f>O9+O9*'Вводные данные'!$E$4</f>
        <v>0</v>
      </c>
      <c r="AC9" s="254">
        <f>P9+P9*'Вводные данные'!$E$4</f>
        <v>0</v>
      </c>
      <c r="AD9" s="254">
        <f>Q9+Q9*'Вводные данные'!$E$4</f>
        <v>0</v>
      </c>
      <c r="AE9" s="254">
        <f>R9+R9*'Вводные данные'!$E$4</f>
        <v>0</v>
      </c>
      <c r="AF9" s="254">
        <f>S9+S9*'Вводные данные'!$E$4</f>
        <v>0</v>
      </c>
      <c r="AG9" s="254">
        <f>T9+T9*'Вводные данные'!$E$4</f>
        <v>0</v>
      </c>
      <c r="AH9" s="254">
        <f>U9+U9*'Вводные данные'!$E$4</f>
        <v>0</v>
      </c>
      <c r="AI9" s="254">
        <f>V9+V9*'Вводные данные'!$E$4</f>
        <v>0</v>
      </c>
      <c r="AJ9" s="254">
        <f>W9+W9*'Вводные данные'!$E$4</f>
        <v>0</v>
      </c>
      <c r="AK9" s="254">
        <f>X9+X9*'Вводные данные'!$E$4</f>
        <v>0</v>
      </c>
      <c r="AL9" s="254">
        <f>Y9+Y9*'Вводные данные'!$E$4</f>
        <v>0</v>
      </c>
      <c r="AM9" s="254">
        <f>Z9+Z9*'Вводные данные'!$E$4</f>
        <v>0</v>
      </c>
      <c r="AN9" s="256">
        <f t="shared" si="2"/>
        <v>0</v>
      </c>
    </row>
    <row r="10" spans="1:40">
      <c r="A10" s="252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0">
        <f t="shared" si="0"/>
        <v>0</v>
      </c>
      <c r="O10" s="254">
        <f>B10+B10*'Вводные данные'!$D$4</f>
        <v>0</v>
      </c>
      <c r="P10" s="254">
        <f>C10+C10*'Вводные данные'!$D$4</f>
        <v>0</v>
      </c>
      <c r="Q10" s="254">
        <f>D10+D10*'Вводные данные'!$D$4</f>
        <v>0</v>
      </c>
      <c r="R10" s="254">
        <f>E10+E10*'Вводные данные'!$D$4</f>
        <v>0</v>
      </c>
      <c r="S10" s="254">
        <f>F10+F10*'Вводные данные'!$D$4</f>
        <v>0</v>
      </c>
      <c r="T10" s="254">
        <f>G10+G10*'Вводные данные'!$D$4</f>
        <v>0</v>
      </c>
      <c r="U10" s="254">
        <f>H10+H10*'Вводные данные'!$D$4</f>
        <v>0</v>
      </c>
      <c r="V10" s="254">
        <f>I10+I10*'Вводные данные'!$D$4</f>
        <v>0</v>
      </c>
      <c r="W10" s="254">
        <f>J10+J10*'Вводные данные'!$D$4</f>
        <v>0</v>
      </c>
      <c r="X10" s="254">
        <f>K10+K10*'Вводные данные'!$D$4</f>
        <v>0</v>
      </c>
      <c r="Y10" s="254">
        <f>L10+L10*'Вводные данные'!$D$4</f>
        <v>0</v>
      </c>
      <c r="Z10" s="254">
        <f>M10+M10*'Вводные данные'!$D$4</f>
        <v>0</v>
      </c>
      <c r="AA10" s="255">
        <f t="shared" si="1"/>
        <v>0</v>
      </c>
      <c r="AB10" s="254">
        <f>O10+O10*'Вводные данные'!$E$4</f>
        <v>0</v>
      </c>
      <c r="AC10" s="254">
        <f>P10+P10*'Вводные данные'!$E$4</f>
        <v>0</v>
      </c>
      <c r="AD10" s="254">
        <f>Q10+Q10*'Вводные данные'!$E$4</f>
        <v>0</v>
      </c>
      <c r="AE10" s="254">
        <f>R10+R10*'Вводные данные'!$E$4</f>
        <v>0</v>
      </c>
      <c r="AF10" s="254">
        <f>S10+S10*'Вводные данные'!$E$4</f>
        <v>0</v>
      </c>
      <c r="AG10" s="254">
        <f>T10+T10*'Вводные данные'!$E$4</f>
        <v>0</v>
      </c>
      <c r="AH10" s="254">
        <f>U10+U10*'Вводные данные'!$E$4</f>
        <v>0</v>
      </c>
      <c r="AI10" s="254">
        <f>V10+V10*'Вводные данные'!$E$4</f>
        <v>0</v>
      </c>
      <c r="AJ10" s="254">
        <f>W10+W10*'Вводные данные'!$E$4</f>
        <v>0</v>
      </c>
      <c r="AK10" s="254">
        <f>X10+X10*'Вводные данные'!$E$4</f>
        <v>0</v>
      </c>
      <c r="AL10" s="254">
        <f>Y10+Y10*'Вводные данные'!$E$4</f>
        <v>0</v>
      </c>
      <c r="AM10" s="254">
        <f>Z10+Z10*'Вводные данные'!$E$4</f>
        <v>0</v>
      </c>
      <c r="AN10" s="256">
        <f t="shared" si="2"/>
        <v>0</v>
      </c>
    </row>
    <row r="11" spans="1:40">
      <c r="A11" s="25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0">
        <f t="shared" si="0"/>
        <v>0</v>
      </c>
      <c r="O11" s="254">
        <f>B11+B11*'Вводные данные'!$D$4</f>
        <v>0</v>
      </c>
      <c r="P11" s="254">
        <f>C11+C11*'Вводные данные'!$D$4</f>
        <v>0</v>
      </c>
      <c r="Q11" s="254">
        <f>D11+D11*'Вводные данные'!$D$4</f>
        <v>0</v>
      </c>
      <c r="R11" s="254">
        <f>E11+E11*'Вводные данные'!$D$4</f>
        <v>0</v>
      </c>
      <c r="S11" s="254">
        <f>F11+F11*'Вводные данные'!$D$4</f>
        <v>0</v>
      </c>
      <c r="T11" s="254">
        <f>G11+G11*'Вводные данные'!$D$4</f>
        <v>0</v>
      </c>
      <c r="U11" s="254">
        <f>H11+H11*'Вводные данные'!$D$4</f>
        <v>0</v>
      </c>
      <c r="V11" s="254">
        <f>I11+I11*'Вводные данные'!$D$4</f>
        <v>0</v>
      </c>
      <c r="W11" s="254">
        <f>J11+J11*'Вводные данные'!$D$4</f>
        <v>0</v>
      </c>
      <c r="X11" s="254">
        <f>K11+K11*'Вводные данные'!$D$4</f>
        <v>0</v>
      </c>
      <c r="Y11" s="254">
        <f>L11+L11*'Вводные данные'!$D$4</f>
        <v>0</v>
      </c>
      <c r="Z11" s="254">
        <f>M11+M11*'Вводные данные'!$D$4</f>
        <v>0</v>
      </c>
      <c r="AA11" s="255">
        <f t="shared" si="1"/>
        <v>0</v>
      </c>
      <c r="AB11" s="254">
        <f>O11+O11*'Вводные данные'!$E$4</f>
        <v>0</v>
      </c>
      <c r="AC11" s="254">
        <f>P11+P11*'Вводные данные'!$E$4</f>
        <v>0</v>
      </c>
      <c r="AD11" s="254">
        <f>Q11+Q11*'Вводные данные'!$E$4</f>
        <v>0</v>
      </c>
      <c r="AE11" s="254">
        <f>R11+R11*'Вводные данные'!$E$4</f>
        <v>0</v>
      </c>
      <c r="AF11" s="254">
        <f>S11+S11*'Вводные данные'!$E$4</f>
        <v>0</v>
      </c>
      <c r="AG11" s="254">
        <f>T11+T11*'Вводные данные'!$E$4</f>
        <v>0</v>
      </c>
      <c r="AH11" s="254">
        <f>U11+U11*'Вводные данные'!$E$4</f>
        <v>0</v>
      </c>
      <c r="AI11" s="254">
        <f>V11+V11*'Вводные данные'!$E$4</f>
        <v>0</v>
      </c>
      <c r="AJ11" s="254">
        <f>W11+W11*'Вводные данные'!$E$4</f>
        <v>0</v>
      </c>
      <c r="AK11" s="254">
        <f>X11+X11*'Вводные данные'!$E$4</f>
        <v>0</v>
      </c>
      <c r="AL11" s="254">
        <f>Y11+Y11*'Вводные данные'!$E$4</f>
        <v>0</v>
      </c>
      <c r="AM11" s="254">
        <f>Z11+Z11*'Вводные данные'!$E$4</f>
        <v>0</v>
      </c>
      <c r="AN11" s="256">
        <f t="shared" si="2"/>
        <v>0</v>
      </c>
    </row>
    <row r="12" spans="1:40">
      <c r="A12" s="257" t="s">
        <v>102</v>
      </c>
      <c r="B12" s="258">
        <f t="shared" ref="B12:M12" si="3">SUM(B5:B11)</f>
        <v>61500</v>
      </c>
      <c r="C12" s="258">
        <f t="shared" si="3"/>
        <v>61500</v>
      </c>
      <c r="D12" s="258">
        <f t="shared" si="3"/>
        <v>61500</v>
      </c>
      <c r="E12" s="258">
        <f t="shared" si="3"/>
        <v>61500</v>
      </c>
      <c r="F12" s="258">
        <f t="shared" si="3"/>
        <v>61500</v>
      </c>
      <c r="G12" s="258">
        <f t="shared" si="3"/>
        <v>61500</v>
      </c>
      <c r="H12" s="258">
        <f t="shared" si="3"/>
        <v>61500</v>
      </c>
      <c r="I12" s="258">
        <f t="shared" si="3"/>
        <v>61500</v>
      </c>
      <c r="J12" s="258">
        <f t="shared" si="3"/>
        <v>61500</v>
      </c>
      <c r="K12" s="258">
        <f t="shared" si="3"/>
        <v>61500</v>
      </c>
      <c r="L12" s="258">
        <f t="shared" si="3"/>
        <v>61500</v>
      </c>
      <c r="M12" s="258">
        <f t="shared" si="3"/>
        <v>61500</v>
      </c>
      <c r="N12" s="258">
        <f t="shared" si="0"/>
        <v>738000</v>
      </c>
      <c r="O12" s="259">
        <f t="shared" ref="O12:Z12" si="4">SUM(O5:O11)</f>
        <v>70725</v>
      </c>
      <c r="P12" s="259">
        <f t="shared" si="4"/>
        <v>70725</v>
      </c>
      <c r="Q12" s="259">
        <f t="shared" si="4"/>
        <v>70725</v>
      </c>
      <c r="R12" s="259">
        <f t="shared" si="4"/>
        <v>70725</v>
      </c>
      <c r="S12" s="259">
        <f t="shared" si="4"/>
        <v>70725</v>
      </c>
      <c r="T12" s="259">
        <f t="shared" si="4"/>
        <v>70725</v>
      </c>
      <c r="U12" s="259">
        <f t="shared" si="4"/>
        <v>70725</v>
      </c>
      <c r="V12" s="259">
        <f t="shared" si="4"/>
        <v>70725</v>
      </c>
      <c r="W12" s="259">
        <f t="shared" si="4"/>
        <v>70725</v>
      </c>
      <c r="X12" s="259">
        <f t="shared" si="4"/>
        <v>70725</v>
      </c>
      <c r="Y12" s="259">
        <f t="shared" si="4"/>
        <v>70725</v>
      </c>
      <c r="Z12" s="259">
        <f t="shared" si="4"/>
        <v>70725</v>
      </c>
      <c r="AA12" s="259">
        <f t="shared" si="1"/>
        <v>848700</v>
      </c>
      <c r="AB12" s="259">
        <f>SUM(AB5:AB11)</f>
        <v>81333.75</v>
      </c>
      <c r="AC12" s="259">
        <f t="shared" ref="AC12:AM12" si="5">SUM(AC5:AC11)</f>
        <v>81333.75</v>
      </c>
      <c r="AD12" s="259">
        <f t="shared" si="5"/>
        <v>81333.75</v>
      </c>
      <c r="AE12" s="259">
        <f t="shared" si="5"/>
        <v>81333.75</v>
      </c>
      <c r="AF12" s="259">
        <f t="shared" si="5"/>
        <v>81333.75</v>
      </c>
      <c r="AG12" s="259">
        <f t="shared" si="5"/>
        <v>81333.75</v>
      </c>
      <c r="AH12" s="259">
        <f t="shared" si="5"/>
        <v>81333.75</v>
      </c>
      <c r="AI12" s="259">
        <f t="shared" si="5"/>
        <v>81333.75</v>
      </c>
      <c r="AJ12" s="259">
        <f t="shared" si="5"/>
        <v>81333.75</v>
      </c>
      <c r="AK12" s="259">
        <f t="shared" si="5"/>
        <v>81333.75</v>
      </c>
      <c r="AL12" s="259">
        <f t="shared" si="5"/>
        <v>81333.75</v>
      </c>
      <c r="AM12" s="259">
        <f t="shared" si="5"/>
        <v>81333.75</v>
      </c>
      <c r="AN12" s="260">
        <f t="shared" si="2"/>
        <v>976005</v>
      </c>
    </row>
    <row r="13" spans="1:40">
      <c r="AN13" s="261"/>
    </row>
    <row r="18" spans="2:2">
      <c r="B18" s="262"/>
    </row>
  </sheetData>
  <sheetProtection sheet="1" formatCells="0" formatColumns="0"/>
  <mergeCells count="7">
    <mergeCell ref="AB3:AM3"/>
    <mergeCell ref="AN3:AN4"/>
    <mergeCell ref="A3:A4"/>
    <mergeCell ref="B3:M3"/>
    <mergeCell ref="N3:N4"/>
    <mergeCell ref="O3:Z3"/>
    <mergeCell ref="AA3:AA4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4">
    <tabColor theme="4"/>
  </sheetPr>
  <dimension ref="A2:AN20"/>
  <sheetViews>
    <sheetView zoomScaleNormal="100" workbookViewId="0">
      <pane xSplit="1" ySplit="4" topLeftCell="B5" activePane="bottomRight" state="frozen"/>
      <selection activeCell="Q5" sqref="O5:Q5"/>
      <selection pane="topRight"/>
      <selection pane="bottomLeft"/>
      <selection pane="bottomRight" activeCell="F24" sqref="F24"/>
    </sheetView>
  </sheetViews>
  <sheetFormatPr defaultColWidth="9.140625" defaultRowHeight="15"/>
  <cols>
    <col min="1" max="1" width="34.42578125" style="263" customWidth="1"/>
    <col min="2" max="12" width="9.42578125" style="263" bestFit="1" customWidth="1"/>
    <col min="13" max="13" width="9.42578125" style="263" customWidth="1"/>
    <col min="14" max="14" width="12.42578125" style="263" customWidth="1"/>
    <col min="15" max="25" width="9.42578125" style="263" customWidth="1"/>
    <col min="26" max="26" width="10" style="263" customWidth="1"/>
    <col min="27" max="27" width="12.42578125" style="263" customWidth="1"/>
    <col min="28" max="39" width="10" style="263" customWidth="1"/>
    <col min="40" max="40" width="12.42578125" style="263" customWidth="1"/>
    <col min="41" max="16384" width="9.140625" style="263"/>
  </cols>
  <sheetData>
    <row r="2" spans="1:40" ht="18.75">
      <c r="A2" s="264" t="s">
        <v>129</v>
      </c>
    </row>
    <row r="3" spans="1:40" ht="17.25" customHeight="1">
      <c r="A3" s="472" t="s">
        <v>130</v>
      </c>
      <c r="B3" s="474" t="s">
        <v>3</v>
      </c>
      <c r="C3" s="475"/>
      <c r="D3" s="475"/>
      <c r="E3" s="475"/>
      <c r="F3" s="475"/>
      <c r="G3" s="475"/>
      <c r="H3" s="475"/>
      <c r="I3" s="475"/>
      <c r="J3" s="475"/>
      <c r="K3" s="475"/>
      <c r="L3" s="475"/>
      <c r="M3" s="476"/>
      <c r="N3" s="477" t="s">
        <v>121</v>
      </c>
      <c r="O3" s="469" t="s">
        <v>4</v>
      </c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77" t="s">
        <v>122</v>
      </c>
      <c r="AB3" s="469" t="s">
        <v>5</v>
      </c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70" t="s">
        <v>123</v>
      </c>
    </row>
    <row r="4" spans="1:40">
      <c r="A4" s="473"/>
      <c r="B4" s="249">
        <f>РДДС!D5</f>
        <v>45809</v>
      </c>
      <c r="C4" s="249">
        <f>РДДС!E5</f>
        <v>45839</v>
      </c>
      <c r="D4" s="249">
        <f>РДДС!F5</f>
        <v>45870</v>
      </c>
      <c r="E4" s="249">
        <f>РДДС!G5</f>
        <v>45901</v>
      </c>
      <c r="F4" s="249">
        <f>РДДС!H5</f>
        <v>45931</v>
      </c>
      <c r="G4" s="249">
        <f>РДДС!I5</f>
        <v>45962</v>
      </c>
      <c r="H4" s="249">
        <f>РДДС!J5</f>
        <v>45992</v>
      </c>
      <c r="I4" s="249">
        <f>РДДС!K5</f>
        <v>46023</v>
      </c>
      <c r="J4" s="249">
        <f>РДДС!L5</f>
        <v>46054</v>
      </c>
      <c r="K4" s="249">
        <f>РДДС!M5</f>
        <v>46082</v>
      </c>
      <c r="L4" s="249">
        <f>РДДС!N5</f>
        <v>46113</v>
      </c>
      <c r="M4" s="249">
        <f>РДДС!O5</f>
        <v>46143</v>
      </c>
      <c r="N4" s="478"/>
      <c r="O4" s="251">
        <f>РДДС!Q5</f>
        <v>46174</v>
      </c>
      <c r="P4" s="251">
        <f>РДДС!R5</f>
        <v>46204</v>
      </c>
      <c r="Q4" s="251">
        <f>РДДС!S5</f>
        <v>46235</v>
      </c>
      <c r="R4" s="251">
        <f>РДДС!T5</f>
        <v>46266</v>
      </c>
      <c r="S4" s="251">
        <f>РДДС!U5</f>
        <v>46296</v>
      </c>
      <c r="T4" s="251">
        <f>РДДС!V5</f>
        <v>46327</v>
      </c>
      <c r="U4" s="251">
        <f>РДДС!W5</f>
        <v>46357</v>
      </c>
      <c r="V4" s="251">
        <f>РДДС!X5</f>
        <v>46388</v>
      </c>
      <c r="W4" s="251">
        <f>РДДС!Y5</f>
        <v>46419</v>
      </c>
      <c r="X4" s="251">
        <f>РДДС!Z5</f>
        <v>46447</v>
      </c>
      <c r="Y4" s="251">
        <f>РДДС!AA5</f>
        <v>46478</v>
      </c>
      <c r="Z4" s="251">
        <f>РДДС!AB5</f>
        <v>46508</v>
      </c>
      <c r="AA4" s="478"/>
      <c r="AB4" s="251">
        <f>РДДС!AD5</f>
        <v>46539</v>
      </c>
      <c r="AC4" s="251">
        <f>РДДС!AE5</f>
        <v>46569</v>
      </c>
      <c r="AD4" s="251">
        <f>РДДС!AF5</f>
        <v>46600</v>
      </c>
      <c r="AE4" s="251">
        <f>РДДС!AG5</f>
        <v>46631</v>
      </c>
      <c r="AF4" s="251">
        <f>РДДС!AH5</f>
        <v>46661</v>
      </c>
      <c r="AG4" s="251">
        <f>РДДС!AI5</f>
        <v>46692</v>
      </c>
      <c r="AH4" s="251">
        <f>РДДС!AJ5</f>
        <v>46722</v>
      </c>
      <c r="AI4" s="251">
        <f>РДДС!AK5</f>
        <v>46753</v>
      </c>
      <c r="AJ4" s="251">
        <f>РДДС!AL5</f>
        <v>46784</v>
      </c>
      <c r="AK4" s="251">
        <f>РДДС!AM5</f>
        <v>46813</v>
      </c>
      <c r="AL4" s="251">
        <f>РДДС!AN5</f>
        <v>46844</v>
      </c>
      <c r="AM4" s="251">
        <f>РДДС!AO5</f>
        <v>46874</v>
      </c>
      <c r="AN4" s="471"/>
    </row>
    <row r="5" spans="1:40" ht="26.25" customHeight="1">
      <c r="A5" s="265" t="s">
        <v>517</v>
      </c>
      <c r="B5" s="253">
        <v>10000</v>
      </c>
      <c r="C5" s="253">
        <v>10000</v>
      </c>
      <c r="D5" s="253">
        <v>10000</v>
      </c>
      <c r="E5" s="253">
        <v>10000</v>
      </c>
      <c r="F5" s="253">
        <v>10000</v>
      </c>
      <c r="G5" s="253">
        <v>10000</v>
      </c>
      <c r="H5" s="253">
        <v>10000</v>
      </c>
      <c r="I5" s="253">
        <v>10000</v>
      </c>
      <c r="J5" s="253">
        <v>10000</v>
      </c>
      <c r="K5" s="253">
        <v>10000</v>
      </c>
      <c r="L5" s="253">
        <v>10000</v>
      </c>
      <c r="M5" s="253">
        <v>10000</v>
      </c>
      <c r="N5" s="250">
        <f t="shared" ref="N5:N20" si="0">SUM(B5:M5)</f>
        <v>120000</v>
      </c>
      <c r="O5" s="254">
        <f>B5+B5*'Вводные данные'!$D$4</f>
        <v>11500</v>
      </c>
      <c r="P5" s="254">
        <f>C5+C5*'Вводные данные'!$D$4</f>
        <v>11500</v>
      </c>
      <c r="Q5" s="254">
        <f>D5+D5*'Вводные данные'!$D$4</f>
        <v>11500</v>
      </c>
      <c r="R5" s="254">
        <f>E5+E5*'Вводные данные'!$D$4</f>
        <v>11500</v>
      </c>
      <c r="S5" s="254">
        <f>F5+F5*'Вводные данные'!$D$4</f>
        <v>11500</v>
      </c>
      <c r="T5" s="254">
        <f>G5+G5*'Вводные данные'!$D$4</f>
        <v>11500</v>
      </c>
      <c r="U5" s="254">
        <f>H5+H5*'Вводные данные'!$D$4</f>
        <v>11500</v>
      </c>
      <c r="V5" s="254">
        <f>I5+I5*'Вводные данные'!$D$4</f>
        <v>11500</v>
      </c>
      <c r="W5" s="254">
        <f>J5+J5*'Вводные данные'!$D$4</f>
        <v>11500</v>
      </c>
      <c r="X5" s="254">
        <f>K5+K5*'Вводные данные'!$D$4</f>
        <v>11500</v>
      </c>
      <c r="Y5" s="254">
        <f>L5+L5*'Вводные данные'!$D$4</f>
        <v>11500</v>
      </c>
      <c r="Z5" s="254">
        <f>M5+M5*'Вводные данные'!$D$4</f>
        <v>11500</v>
      </c>
      <c r="AA5" s="255">
        <f t="shared" ref="AA5:AA20" si="1">SUM(O5:Z5)</f>
        <v>138000</v>
      </c>
      <c r="AB5" s="254">
        <f>O5+O5*'Вводные данные'!$E$4</f>
        <v>13225</v>
      </c>
      <c r="AC5" s="254">
        <f>P5+P5*'Вводные данные'!$E$4</f>
        <v>13225</v>
      </c>
      <c r="AD5" s="254">
        <f>Q5+Q5*'Вводные данные'!$E$4</f>
        <v>13225</v>
      </c>
      <c r="AE5" s="254">
        <f>R5+R5*'Вводные данные'!$E$4</f>
        <v>13225</v>
      </c>
      <c r="AF5" s="254">
        <f>S5+S5*'Вводные данные'!$E$4</f>
        <v>13225</v>
      </c>
      <c r="AG5" s="254">
        <f>T5+T5*'Вводные данные'!$E$4</f>
        <v>13225</v>
      </c>
      <c r="AH5" s="254">
        <f>U5+U5*'Вводные данные'!$E$4</f>
        <v>13225</v>
      </c>
      <c r="AI5" s="254">
        <f>V5+V5*'Вводные данные'!$E$4</f>
        <v>13225</v>
      </c>
      <c r="AJ5" s="254">
        <f>W5+W5*'Вводные данные'!$E$4</f>
        <v>13225</v>
      </c>
      <c r="AK5" s="254">
        <f>X5+X5*'Вводные данные'!$E$4</f>
        <v>13225</v>
      </c>
      <c r="AL5" s="254">
        <f>Y5+Y5*'Вводные данные'!$E$4</f>
        <v>13225</v>
      </c>
      <c r="AM5" s="254">
        <f>Z5+Z5*'Вводные данные'!$E$4</f>
        <v>13225</v>
      </c>
      <c r="AN5" s="256">
        <f t="shared" ref="AN5:AN20" si="2">SUM(AB5:AM5)</f>
        <v>158700</v>
      </c>
    </row>
    <row r="6" spans="1:40" ht="20.100000000000001" customHeight="1">
      <c r="A6" s="265" t="s">
        <v>518</v>
      </c>
      <c r="B6" s="253">
        <v>10000</v>
      </c>
      <c r="C6" s="253">
        <v>10000</v>
      </c>
      <c r="D6" s="253">
        <v>10000</v>
      </c>
      <c r="E6" s="253">
        <v>10000</v>
      </c>
      <c r="F6" s="253">
        <v>10000</v>
      </c>
      <c r="G6" s="253">
        <v>10000</v>
      </c>
      <c r="H6" s="253">
        <v>10000</v>
      </c>
      <c r="I6" s="253">
        <v>10000</v>
      </c>
      <c r="J6" s="253">
        <v>10000</v>
      </c>
      <c r="K6" s="253">
        <v>10000</v>
      </c>
      <c r="L6" s="253">
        <v>10000</v>
      </c>
      <c r="M6" s="253">
        <v>10000</v>
      </c>
      <c r="N6" s="250">
        <f t="shared" si="0"/>
        <v>120000</v>
      </c>
      <c r="O6" s="254">
        <f>B6+B6*'Вводные данные'!$D$4</f>
        <v>11500</v>
      </c>
      <c r="P6" s="254">
        <f>C6+C6*'Вводные данные'!$D$4</f>
        <v>11500</v>
      </c>
      <c r="Q6" s="254">
        <f>D6+D6*'Вводные данные'!$D$4</f>
        <v>11500</v>
      </c>
      <c r="R6" s="254">
        <f>E6+E6*'Вводные данные'!$D$4</f>
        <v>11500</v>
      </c>
      <c r="S6" s="254">
        <f>F6+F6*'Вводные данные'!$D$4</f>
        <v>11500</v>
      </c>
      <c r="T6" s="254">
        <f>G6+G6*'Вводные данные'!$D$4</f>
        <v>11500</v>
      </c>
      <c r="U6" s="254">
        <f>H6+H6*'Вводные данные'!$D$4</f>
        <v>11500</v>
      </c>
      <c r="V6" s="254">
        <f>I6+I6*'Вводные данные'!$D$4</f>
        <v>11500</v>
      </c>
      <c r="W6" s="254">
        <f>J6+J6*'Вводные данные'!$D$4</f>
        <v>11500</v>
      </c>
      <c r="X6" s="254">
        <f>K6+K6*'Вводные данные'!$D$4</f>
        <v>11500</v>
      </c>
      <c r="Y6" s="254">
        <f>L6+L6*'Вводные данные'!$D$4</f>
        <v>11500</v>
      </c>
      <c r="Z6" s="254">
        <f>M6+M6*'Вводные данные'!$D$4</f>
        <v>11500</v>
      </c>
      <c r="AA6" s="255">
        <f t="shared" si="1"/>
        <v>138000</v>
      </c>
      <c r="AB6" s="254">
        <f>O6+O6*'Вводные данные'!$E$4</f>
        <v>13225</v>
      </c>
      <c r="AC6" s="254">
        <f>P6+P6*'Вводные данные'!$E$4</f>
        <v>13225</v>
      </c>
      <c r="AD6" s="254">
        <f>Q6+Q6*'Вводные данные'!$E$4</f>
        <v>13225</v>
      </c>
      <c r="AE6" s="254">
        <f>R6+R6*'Вводные данные'!$E$4</f>
        <v>13225</v>
      </c>
      <c r="AF6" s="254">
        <f>S6+S6*'Вводные данные'!$E$4</f>
        <v>13225</v>
      </c>
      <c r="AG6" s="254">
        <f>T6+T6*'Вводные данные'!$E$4</f>
        <v>13225</v>
      </c>
      <c r="AH6" s="254">
        <f>U6+U6*'Вводные данные'!$E$4</f>
        <v>13225</v>
      </c>
      <c r="AI6" s="254">
        <f>V6+V6*'Вводные данные'!$E$4</f>
        <v>13225</v>
      </c>
      <c r="AJ6" s="254">
        <f>W6+W6*'Вводные данные'!$E$4</f>
        <v>13225</v>
      </c>
      <c r="AK6" s="254">
        <f>X6+X6*'Вводные данные'!$E$4</f>
        <v>13225</v>
      </c>
      <c r="AL6" s="254">
        <f>Y6+Y6*'Вводные данные'!$E$4</f>
        <v>13225</v>
      </c>
      <c r="AM6" s="254">
        <f>Z6+Z6*'Вводные данные'!$E$4</f>
        <v>13225</v>
      </c>
      <c r="AN6" s="256">
        <f t="shared" si="2"/>
        <v>158700</v>
      </c>
    </row>
    <row r="7" spans="1:40" ht="21" customHeight="1">
      <c r="A7" s="265"/>
      <c r="B7" s="253">
        <v>0</v>
      </c>
      <c r="C7" s="253">
        <v>0</v>
      </c>
      <c r="D7" s="253">
        <v>0</v>
      </c>
      <c r="E7" s="253">
        <v>0</v>
      </c>
      <c r="F7" s="253">
        <v>0</v>
      </c>
      <c r="G7" s="253">
        <v>0</v>
      </c>
      <c r="H7" s="253">
        <v>0</v>
      </c>
      <c r="I7" s="253">
        <v>0</v>
      </c>
      <c r="J7" s="253">
        <v>0</v>
      </c>
      <c r="K7" s="253">
        <v>0</v>
      </c>
      <c r="L7" s="253">
        <v>0</v>
      </c>
      <c r="M7" s="253">
        <v>0</v>
      </c>
      <c r="N7" s="250">
        <f t="shared" si="0"/>
        <v>0</v>
      </c>
      <c r="O7" s="254">
        <f>B7+B7*'Вводные данные'!$D$4</f>
        <v>0</v>
      </c>
      <c r="P7" s="254">
        <f>C7+C7*'Вводные данные'!$D$4</f>
        <v>0</v>
      </c>
      <c r="Q7" s="254">
        <f>D7+D7*'Вводные данные'!$D$4</f>
        <v>0</v>
      </c>
      <c r="R7" s="254">
        <f>E7+E7*'Вводные данные'!$D$4</f>
        <v>0</v>
      </c>
      <c r="S7" s="254">
        <f>F7+F7*'Вводные данные'!$D$4</f>
        <v>0</v>
      </c>
      <c r="T7" s="254">
        <f>G7+G7*'Вводные данные'!$D$4</f>
        <v>0</v>
      </c>
      <c r="U7" s="254">
        <f>H7+H7*'Вводные данные'!$D$4</f>
        <v>0</v>
      </c>
      <c r="V7" s="254">
        <f>I7+I7*'Вводные данные'!$D$4</f>
        <v>0</v>
      </c>
      <c r="W7" s="254">
        <f>J7+J7*'Вводные данные'!$D$4</f>
        <v>0</v>
      </c>
      <c r="X7" s="254">
        <f>K7+K7*'Вводные данные'!$D$4</f>
        <v>0</v>
      </c>
      <c r="Y7" s="254">
        <f>L7+L7*'Вводные данные'!$D$4</f>
        <v>0</v>
      </c>
      <c r="Z7" s="254">
        <f>M7+M7*'Вводные данные'!$D$4</f>
        <v>0</v>
      </c>
      <c r="AA7" s="255">
        <f t="shared" si="1"/>
        <v>0</v>
      </c>
      <c r="AB7" s="254">
        <f>O7+O7*'Вводные данные'!$E$4</f>
        <v>0</v>
      </c>
      <c r="AC7" s="254">
        <f>P7+P7*'Вводные данные'!$E$4</f>
        <v>0</v>
      </c>
      <c r="AD7" s="254">
        <f>Q7+Q7*'Вводные данные'!$E$4</f>
        <v>0</v>
      </c>
      <c r="AE7" s="254">
        <f>R7+R7*'Вводные данные'!$E$4</f>
        <v>0</v>
      </c>
      <c r="AF7" s="254">
        <f>S7+S7*'Вводные данные'!$E$4</f>
        <v>0</v>
      </c>
      <c r="AG7" s="254">
        <f>T7+T7*'Вводные данные'!$E$4</f>
        <v>0</v>
      </c>
      <c r="AH7" s="254">
        <f>U7+U7*'Вводные данные'!$E$4</f>
        <v>0</v>
      </c>
      <c r="AI7" s="254">
        <f>V7+V7*'Вводные данные'!$E$4</f>
        <v>0</v>
      </c>
      <c r="AJ7" s="254">
        <f>W7+W7*'Вводные данные'!$E$4</f>
        <v>0</v>
      </c>
      <c r="AK7" s="254">
        <f>X7+X7*'Вводные данные'!$E$4</f>
        <v>0</v>
      </c>
      <c r="AL7" s="254">
        <f>Y7+Y7*'Вводные данные'!$E$4</f>
        <v>0</v>
      </c>
      <c r="AM7" s="254">
        <f>Z7+Z7*'Вводные данные'!$E$4</f>
        <v>0</v>
      </c>
      <c r="AN7" s="256">
        <f t="shared" si="2"/>
        <v>0</v>
      </c>
    </row>
    <row r="8" spans="1:40" ht="20.100000000000001" customHeight="1">
      <c r="A8" s="265" t="s">
        <v>519</v>
      </c>
      <c r="B8" s="253">
        <v>30000</v>
      </c>
      <c r="C8" s="253">
        <v>30000</v>
      </c>
      <c r="D8" s="253">
        <v>30000</v>
      </c>
      <c r="E8" s="253">
        <v>30000</v>
      </c>
      <c r="F8" s="253">
        <v>30000</v>
      </c>
      <c r="G8" s="253">
        <v>30000</v>
      </c>
      <c r="H8" s="253">
        <v>30000</v>
      </c>
      <c r="I8" s="253">
        <v>30000</v>
      </c>
      <c r="J8" s="253">
        <v>30000</v>
      </c>
      <c r="K8" s="253">
        <v>30000</v>
      </c>
      <c r="L8" s="253">
        <v>30000</v>
      </c>
      <c r="M8" s="253">
        <v>30000</v>
      </c>
      <c r="N8" s="250">
        <f t="shared" si="0"/>
        <v>360000</v>
      </c>
      <c r="O8" s="254">
        <f>B8+B8*'Вводные данные'!$D$4</f>
        <v>34500</v>
      </c>
      <c r="P8" s="254">
        <f>C8+C8*'Вводные данные'!$D$4</f>
        <v>34500</v>
      </c>
      <c r="Q8" s="254">
        <f>D8+D8*'Вводные данные'!$D$4</f>
        <v>34500</v>
      </c>
      <c r="R8" s="254">
        <f>E8+E8*'Вводные данные'!$D$4</f>
        <v>34500</v>
      </c>
      <c r="S8" s="254">
        <f>F8+F8*'Вводные данные'!$D$4</f>
        <v>34500</v>
      </c>
      <c r="T8" s="254">
        <f>G8+G8*'Вводные данные'!$D$4</f>
        <v>34500</v>
      </c>
      <c r="U8" s="254">
        <f>H8+H8*'Вводные данные'!$D$4</f>
        <v>34500</v>
      </c>
      <c r="V8" s="254">
        <f>I8+I8*'Вводные данные'!$D$4</f>
        <v>34500</v>
      </c>
      <c r="W8" s="254">
        <f>J8+J8*'Вводные данные'!$D$4</f>
        <v>34500</v>
      </c>
      <c r="X8" s="254">
        <f>K8+K8*'Вводные данные'!$D$4</f>
        <v>34500</v>
      </c>
      <c r="Y8" s="254">
        <f>L8+L8*'Вводные данные'!$D$4</f>
        <v>34500</v>
      </c>
      <c r="Z8" s="254">
        <f>M8+M8*'Вводные данные'!$D$4</f>
        <v>34500</v>
      </c>
      <c r="AA8" s="255">
        <f t="shared" si="1"/>
        <v>414000</v>
      </c>
      <c r="AB8" s="254">
        <f>O8+O8*'Вводные данные'!$E$4</f>
        <v>39675</v>
      </c>
      <c r="AC8" s="254">
        <f>P8+P8*'Вводные данные'!$E$4</f>
        <v>39675</v>
      </c>
      <c r="AD8" s="254">
        <f>Q8+Q8*'Вводные данные'!$E$4</f>
        <v>39675</v>
      </c>
      <c r="AE8" s="254">
        <f>R8+R8*'Вводные данные'!$E$4</f>
        <v>39675</v>
      </c>
      <c r="AF8" s="254">
        <f>S8+S8*'Вводные данные'!$E$4</f>
        <v>39675</v>
      </c>
      <c r="AG8" s="254">
        <f>T8+T8*'Вводные данные'!$E$4</f>
        <v>39675</v>
      </c>
      <c r="AH8" s="254">
        <f>U8+U8*'Вводные данные'!$E$4</f>
        <v>39675</v>
      </c>
      <c r="AI8" s="254">
        <f>V8+V8*'Вводные данные'!$E$4</f>
        <v>39675</v>
      </c>
      <c r="AJ8" s="254">
        <f>W8+W8*'Вводные данные'!$E$4</f>
        <v>39675</v>
      </c>
      <c r="AK8" s="254">
        <f>X8+X8*'Вводные данные'!$E$4</f>
        <v>39675</v>
      </c>
      <c r="AL8" s="254">
        <f>Y8+Y8*'Вводные данные'!$E$4</f>
        <v>39675</v>
      </c>
      <c r="AM8" s="254">
        <f>Z8+Z8*'Вводные данные'!$E$4</f>
        <v>39675</v>
      </c>
      <c r="AN8" s="256">
        <f t="shared" si="2"/>
        <v>476100</v>
      </c>
    </row>
    <row r="9" spans="1:40" ht="20.100000000000001" customHeight="1">
      <c r="A9" s="265" t="s">
        <v>520</v>
      </c>
      <c r="B9" s="253">
        <v>4000</v>
      </c>
      <c r="C9" s="253">
        <v>4000</v>
      </c>
      <c r="D9" s="253">
        <v>4000</v>
      </c>
      <c r="E9" s="253">
        <v>4000</v>
      </c>
      <c r="F9" s="253">
        <v>4000</v>
      </c>
      <c r="G9" s="253">
        <v>4000</v>
      </c>
      <c r="H9" s="253">
        <v>4000</v>
      </c>
      <c r="I9" s="253">
        <v>4000</v>
      </c>
      <c r="J9" s="253">
        <v>4000</v>
      </c>
      <c r="K9" s="253">
        <v>4000</v>
      </c>
      <c r="L9" s="253">
        <v>4000</v>
      </c>
      <c r="M9" s="253">
        <v>4000</v>
      </c>
      <c r="N9" s="250">
        <f t="shared" si="0"/>
        <v>48000</v>
      </c>
      <c r="O9" s="254">
        <f>B9+B9*'Вводные данные'!$D$4</f>
        <v>4600</v>
      </c>
      <c r="P9" s="254">
        <f>C9+C9*'Вводные данные'!$D$4</f>
        <v>4600</v>
      </c>
      <c r="Q9" s="254">
        <f>D9+D9*'Вводные данные'!$D$4</f>
        <v>4600</v>
      </c>
      <c r="R9" s="254">
        <f>E9+E9*'Вводные данные'!$D$4</f>
        <v>4600</v>
      </c>
      <c r="S9" s="254">
        <f>F9+F9*'Вводные данные'!$D$4</f>
        <v>4600</v>
      </c>
      <c r="T9" s="254">
        <f>G9+G9*'Вводные данные'!$D$4</f>
        <v>4600</v>
      </c>
      <c r="U9" s="254">
        <f>H9+H9*'Вводные данные'!$D$4</f>
        <v>4600</v>
      </c>
      <c r="V9" s="254">
        <f>I9+I9*'Вводные данные'!$D$4</f>
        <v>4600</v>
      </c>
      <c r="W9" s="254">
        <f>J9+J9*'Вводные данные'!$D$4</f>
        <v>4600</v>
      </c>
      <c r="X9" s="254">
        <f>K9+K9*'Вводные данные'!$D$4</f>
        <v>4600</v>
      </c>
      <c r="Y9" s="254">
        <f>L9+L9*'Вводные данные'!$D$4</f>
        <v>4600</v>
      </c>
      <c r="Z9" s="254">
        <f>M9+M9*'Вводные данные'!$D$4</f>
        <v>4600</v>
      </c>
      <c r="AA9" s="255">
        <f t="shared" si="1"/>
        <v>55200</v>
      </c>
      <c r="AB9" s="254">
        <f>O9+O9*'Вводные данные'!$E$4</f>
        <v>5290</v>
      </c>
      <c r="AC9" s="254">
        <f>P9+P9*'Вводные данные'!$E$4</f>
        <v>5290</v>
      </c>
      <c r="AD9" s="254">
        <f>Q9+Q9*'Вводные данные'!$E$4</f>
        <v>5290</v>
      </c>
      <c r="AE9" s="254">
        <f>R9+R9*'Вводные данные'!$E$4</f>
        <v>5290</v>
      </c>
      <c r="AF9" s="254">
        <f>S9+S9*'Вводные данные'!$E$4</f>
        <v>5290</v>
      </c>
      <c r="AG9" s="254">
        <f>T9+T9*'Вводные данные'!$E$4</f>
        <v>5290</v>
      </c>
      <c r="AH9" s="254">
        <f>U9+U9*'Вводные данные'!$E$4</f>
        <v>5290</v>
      </c>
      <c r="AI9" s="254">
        <f>V9+V9*'Вводные данные'!$E$4</f>
        <v>5290</v>
      </c>
      <c r="AJ9" s="254">
        <f>W9+W9*'Вводные данные'!$E$4</f>
        <v>5290</v>
      </c>
      <c r="AK9" s="254">
        <f>X9+X9*'Вводные данные'!$E$4</f>
        <v>5290</v>
      </c>
      <c r="AL9" s="254">
        <f>Y9+Y9*'Вводные данные'!$E$4</f>
        <v>5290</v>
      </c>
      <c r="AM9" s="254">
        <f>Z9+Z9*'Вводные данные'!$E$4</f>
        <v>5290</v>
      </c>
      <c r="AN9" s="256">
        <f t="shared" si="2"/>
        <v>63480</v>
      </c>
    </row>
    <row r="10" spans="1:40" ht="20.100000000000001" customHeight="1">
      <c r="A10" s="265" t="s">
        <v>521</v>
      </c>
      <c r="B10" s="253">
        <v>15000</v>
      </c>
      <c r="C10" s="253">
        <v>15000</v>
      </c>
      <c r="D10" s="253">
        <v>15000</v>
      </c>
      <c r="E10" s="253">
        <v>15000</v>
      </c>
      <c r="F10" s="253">
        <v>15000</v>
      </c>
      <c r="G10" s="253">
        <v>15000</v>
      </c>
      <c r="H10" s="253">
        <v>15000</v>
      </c>
      <c r="I10" s="253">
        <v>15000</v>
      </c>
      <c r="J10" s="253">
        <v>15000</v>
      </c>
      <c r="K10" s="253">
        <v>15000</v>
      </c>
      <c r="L10" s="253">
        <v>15000</v>
      </c>
      <c r="M10" s="253">
        <v>15000</v>
      </c>
      <c r="N10" s="250">
        <f t="shared" si="0"/>
        <v>180000</v>
      </c>
      <c r="O10" s="254">
        <f>B10+B10*'Вводные данные'!$D$4</f>
        <v>17250</v>
      </c>
      <c r="P10" s="254">
        <f>C10+C10*'Вводные данные'!$D$4</f>
        <v>17250</v>
      </c>
      <c r="Q10" s="254">
        <f>D10+D10*'Вводные данные'!$D$4</f>
        <v>17250</v>
      </c>
      <c r="R10" s="254">
        <f>E10+E10*'Вводные данные'!$D$4</f>
        <v>17250</v>
      </c>
      <c r="S10" s="254">
        <f>F10+F10*'Вводные данные'!$D$4</f>
        <v>17250</v>
      </c>
      <c r="T10" s="254">
        <f>G10+G10*'Вводные данные'!$D$4</f>
        <v>17250</v>
      </c>
      <c r="U10" s="254">
        <f>H10+H10*'Вводные данные'!$D$4</f>
        <v>17250</v>
      </c>
      <c r="V10" s="254">
        <f>I10+I10*'Вводные данные'!$D$4</f>
        <v>17250</v>
      </c>
      <c r="W10" s="254">
        <f>J10+J10*'Вводные данные'!$D$4</f>
        <v>17250</v>
      </c>
      <c r="X10" s="254">
        <f>K10+K10*'Вводные данные'!$D$4</f>
        <v>17250</v>
      </c>
      <c r="Y10" s="254">
        <f>L10+L10*'Вводные данные'!$D$4</f>
        <v>17250</v>
      </c>
      <c r="Z10" s="254">
        <f>M10+M10*'Вводные данные'!$D$4</f>
        <v>17250</v>
      </c>
      <c r="AA10" s="255">
        <f t="shared" si="1"/>
        <v>207000</v>
      </c>
      <c r="AB10" s="254">
        <f>O10+O10*'Вводные данные'!$E$4</f>
        <v>19837.5</v>
      </c>
      <c r="AC10" s="254">
        <f>P10+P10*'Вводные данные'!$E$4</f>
        <v>19837.5</v>
      </c>
      <c r="AD10" s="254">
        <f>Q10+Q10*'Вводные данные'!$E$4</f>
        <v>19837.5</v>
      </c>
      <c r="AE10" s="254">
        <f>R10+R10*'Вводные данные'!$E$4</f>
        <v>19837.5</v>
      </c>
      <c r="AF10" s="254">
        <f>S10+S10*'Вводные данные'!$E$4</f>
        <v>19837.5</v>
      </c>
      <c r="AG10" s="254">
        <f>T10+T10*'Вводные данные'!$E$4</f>
        <v>19837.5</v>
      </c>
      <c r="AH10" s="254">
        <f>U10+U10*'Вводные данные'!$E$4</f>
        <v>19837.5</v>
      </c>
      <c r="AI10" s="254">
        <f>V10+V10*'Вводные данные'!$E$4</f>
        <v>19837.5</v>
      </c>
      <c r="AJ10" s="254">
        <f>W10+W10*'Вводные данные'!$E$4</f>
        <v>19837.5</v>
      </c>
      <c r="AK10" s="254">
        <f>X10+X10*'Вводные данные'!$E$4</f>
        <v>19837.5</v>
      </c>
      <c r="AL10" s="254">
        <f>Y10+Y10*'Вводные данные'!$E$4</f>
        <v>19837.5</v>
      </c>
      <c r="AM10" s="254">
        <f>Z10+Z10*'Вводные данные'!$E$4</f>
        <v>19837.5</v>
      </c>
      <c r="AN10" s="256">
        <f t="shared" si="2"/>
        <v>238050</v>
      </c>
    </row>
    <row r="11" spans="1:40" ht="20.100000000000001" customHeight="1">
      <c r="A11" s="265" t="s">
        <v>522</v>
      </c>
      <c r="B11" s="253">
        <v>5000</v>
      </c>
      <c r="C11" s="253">
        <v>5000</v>
      </c>
      <c r="D11" s="253">
        <v>5000</v>
      </c>
      <c r="E11" s="253">
        <v>5000</v>
      </c>
      <c r="F11" s="253">
        <v>5000</v>
      </c>
      <c r="G11" s="253">
        <v>5000</v>
      </c>
      <c r="H11" s="253">
        <v>5000</v>
      </c>
      <c r="I11" s="253">
        <v>5000</v>
      </c>
      <c r="J11" s="253">
        <v>5000</v>
      </c>
      <c r="K11" s="253">
        <v>5000</v>
      </c>
      <c r="L11" s="253">
        <v>5000</v>
      </c>
      <c r="M11" s="253">
        <v>5000</v>
      </c>
      <c r="N11" s="250">
        <f t="shared" si="0"/>
        <v>60000</v>
      </c>
      <c r="O11" s="254">
        <f>B11+B11*'Вводные данные'!$D$4</f>
        <v>5750</v>
      </c>
      <c r="P11" s="254">
        <f>C11+C11*'Вводные данные'!$D$4</f>
        <v>5750</v>
      </c>
      <c r="Q11" s="254">
        <f>D11+D11*'Вводные данные'!$D$4</f>
        <v>5750</v>
      </c>
      <c r="R11" s="254">
        <f>E11+E11*'Вводные данные'!$D$4</f>
        <v>5750</v>
      </c>
      <c r="S11" s="254">
        <f>F11+F11*'Вводные данные'!$D$4</f>
        <v>5750</v>
      </c>
      <c r="T11" s="254">
        <f>G11+G11*'Вводные данные'!$D$4</f>
        <v>5750</v>
      </c>
      <c r="U11" s="254">
        <f>H11+H11*'Вводные данные'!$D$4</f>
        <v>5750</v>
      </c>
      <c r="V11" s="254">
        <f>I11+I11*'Вводные данные'!$D$4</f>
        <v>5750</v>
      </c>
      <c r="W11" s="254">
        <f>J11+J11*'Вводные данные'!$D$4</f>
        <v>5750</v>
      </c>
      <c r="X11" s="254">
        <f>K11+K11*'Вводные данные'!$D$4</f>
        <v>5750</v>
      </c>
      <c r="Y11" s="254">
        <f>L11+L11*'Вводные данные'!$D$4</f>
        <v>5750</v>
      </c>
      <c r="Z11" s="254">
        <f>M11+M11*'Вводные данные'!$D$4</f>
        <v>5750</v>
      </c>
      <c r="AA11" s="255">
        <f t="shared" si="1"/>
        <v>69000</v>
      </c>
      <c r="AB11" s="254">
        <f>O11+O11*'Вводные данные'!$E$4</f>
        <v>6612.5</v>
      </c>
      <c r="AC11" s="254">
        <f>P11+P11*'Вводные данные'!$E$4</f>
        <v>6612.5</v>
      </c>
      <c r="AD11" s="254">
        <f>Q11+Q11*'Вводные данные'!$E$4</f>
        <v>6612.5</v>
      </c>
      <c r="AE11" s="254">
        <f>R11+R11*'Вводные данные'!$E$4</f>
        <v>6612.5</v>
      </c>
      <c r="AF11" s="254">
        <f>S11+S11*'Вводные данные'!$E$4</f>
        <v>6612.5</v>
      </c>
      <c r="AG11" s="254">
        <f>T11+T11*'Вводные данные'!$E$4</f>
        <v>6612.5</v>
      </c>
      <c r="AH11" s="254">
        <f>U11+U11*'Вводные данные'!$E$4</f>
        <v>6612.5</v>
      </c>
      <c r="AI11" s="254">
        <f>V11+V11*'Вводные данные'!$E$4</f>
        <v>6612.5</v>
      </c>
      <c r="AJ11" s="254">
        <f>W11+W11*'Вводные данные'!$E$4</f>
        <v>6612.5</v>
      </c>
      <c r="AK11" s="254">
        <f>X11+X11*'Вводные данные'!$E$4</f>
        <v>6612.5</v>
      </c>
      <c r="AL11" s="254">
        <f>Y11+Y11*'Вводные данные'!$E$4</f>
        <v>6612.5</v>
      </c>
      <c r="AM11" s="254">
        <f>Z11+Z11*'Вводные данные'!$E$4</f>
        <v>6612.5</v>
      </c>
      <c r="AN11" s="256">
        <f t="shared" si="2"/>
        <v>79350</v>
      </c>
    </row>
    <row r="12" spans="1:40" ht="20.100000000000001" customHeight="1">
      <c r="A12" s="265" t="s">
        <v>523</v>
      </c>
      <c r="B12" s="253">
        <v>10000</v>
      </c>
      <c r="C12" s="253">
        <v>10000</v>
      </c>
      <c r="D12" s="253">
        <v>10000</v>
      </c>
      <c r="E12" s="253">
        <v>10000</v>
      </c>
      <c r="F12" s="253">
        <v>10000</v>
      </c>
      <c r="G12" s="253">
        <v>10000</v>
      </c>
      <c r="H12" s="253">
        <v>10000</v>
      </c>
      <c r="I12" s="253">
        <v>10000</v>
      </c>
      <c r="J12" s="253">
        <v>10000</v>
      </c>
      <c r="K12" s="253">
        <v>10000</v>
      </c>
      <c r="L12" s="253">
        <v>10000</v>
      </c>
      <c r="M12" s="253">
        <v>10000</v>
      </c>
      <c r="N12" s="250">
        <f t="shared" si="0"/>
        <v>120000</v>
      </c>
      <c r="O12" s="254">
        <f>B12+B12*'Вводные данные'!$D$4</f>
        <v>11500</v>
      </c>
      <c r="P12" s="254">
        <f>C12+C12*'Вводные данные'!$D$4</f>
        <v>11500</v>
      </c>
      <c r="Q12" s="254">
        <f>D12+D12*'Вводные данные'!$D$4</f>
        <v>11500</v>
      </c>
      <c r="R12" s="254">
        <f>E12+E12*'Вводные данные'!$D$4</f>
        <v>11500</v>
      </c>
      <c r="S12" s="254">
        <f>F12+F12*'Вводные данные'!$D$4</f>
        <v>11500</v>
      </c>
      <c r="T12" s="254">
        <f>G12+G12*'Вводные данные'!$D$4</f>
        <v>11500</v>
      </c>
      <c r="U12" s="254">
        <f>H12+H12*'Вводные данные'!$D$4</f>
        <v>11500</v>
      </c>
      <c r="V12" s="254">
        <f>I12+I12*'Вводные данные'!$D$4</f>
        <v>11500</v>
      </c>
      <c r="W12" s="254">
        <f>J12+J12*'Вводные данные'!$D$4</f>
        <v>11500</v>
      </c>
      <c r="X12" s="254">
        <f>K12+K12*'Вводные данные'!$D$4</f>
        <v>11500</v>
      </c>
      <c r="Y12" s="254">
        <f>L12+L12*'Вводные данные'!$D$4</f>
        <v>11500</v>
      </c>
      <c r="Z12" s="254">
        <f>M12+M12*'Вводные данные'!$D$4</f>
        <v>11500</v>
      </c>
      <c r="AA12" s="255">
        <f t="shared" si="1"/>
        <v>138000</v>
      </c>
      <c r="AB12" s="254">
        <f>O12+O12*'Вводные данные'!$E$4</f>
        <v>13225</v>
      </c>
      <c r="AC12" s="254">
        <f>P12+P12*'Вводные данные'!$E$4</f>
        <v>13225</v>
      </c>
      <c r="AD12" s="254">
        <f>Q12+Q12*'Вводные данные'!$E$4</f>
        <v>13225</v>
      </c>
      <c r="AE12" s="254">
        <f>R12+R12*'Вводные данные'!$E$4</f>
        <v>13225</v>
      </c>
      <c r="AF12" s="254">
        <f>S12+S12*'Вводные данные'!$E$4</f>
        <v>13225</v>
      </c>
      <c r="AG12" s="254">
        <f>T12+T12*'Вводные данные'!$E$4</f>
        <v>13225</v>
      </c>
      <c r="AH12" s="254">
        <f>U12+U12*'Вводные данные'!$E$4</f>
        <v>13225</v>
      </c>
      <c r="AI12" s="254">
        <f>V12+V12*'Вводные данные'!$E$4</f>
        <v>13225</v>
      </c>
      <c r="AJ12" s="254">
        <f>W12+W12*'Вводные данные'!$E$4</f>
        <v>13225</v>
      </c>
      <c r="AK12" s="254">
        <f>X12+X12*'Вводные данные'!$E$4</f>
        <v>13225</v>
      </c>
      <c r="AL12" s="254">
        <f>Y12+Y12*'Вводные данные'!$E$4</f>
        <v>13225</v>
      </c>
      <c r="AM12" s="254">
        <f>Z12+Z12*'Вводные данные'!$E$4</f>
        <v>13225</v>
      </c>
      <c r="AN12" s="256">
        <f t="shared" si="2"/>
        <v>158700</v>
      </c>
    </row>
    <row r="13" spans="1:40" ht="20.100000000000001" customHeight="1">
      <c r="A13" s="265" t="s">
        <v>524</v>
      </c>
      <c r="B13" s="253">
        <v>5000</v>
      </c>
      <c r="C13" s="253">
        <v>5000</v>
      </c>
      <c r="D13" s="253">
        <v>5000</v>
      </c>
      <c r="E13" s="253">
        <v>5000</v>
      </c>
      <c r="F13" s="253">
        <v>5000</v>
      </c>
      <c r="G13" s="253">
        <v>5000</v>
      </c>
      <c r="H13" s="253">
        <v>5000</v>
      </c>
      <c r="I13" s="253">
        <v>5000</v>
      </c>
      <c r="J13" s="253">
        <v>5000</v>
      </c>
      <c r="K13" s="253">
        <v>5000</v>
      </c>
      <c r="L13" s="253">
        <v>5000</v>
      </c>
      <c r="M13" s="253">
        <v>5000</v>
      </c>
      <c r="N13" s="250">
        <f t="shared" si="0"/>
        <v>60000</v>
      </c>
      <c r="O13" s="254">
        <f>B13+B13*'Вводные данные'!$D$4</f>
        <v>5750</v>
      </c>
      <c r="P13" s="254">
        <f>C13+C13*'Вводные данные'!$D$4</f>
        <v>5750</v>
      </c>
      <c r="Q13" s="254">
        <f>D13+D13*'Вводные данные'!$D$4</f>
        <v>5750</v>
      </c>
      <c r="R13" s="254">
        <f>E13+E13*'Вводные данные'!$D$4</f>
        <v>5750</v>
      </c>
      <c r="S13" s="254">
        <f>F13+F13*'Вводные данные'!$D$4</f>
        <v>5750</v>
      </c>
      <c r="T13" s="254">
        <f>G13+G13*'Вводные данные'!$D$4</f>
        <v>5750</v>
      </c>
      <c r="U13" s="254">
        <f>H13+H13*'Вводные данные'!$D$4</f>
        <v>5750</v>
      </c>
      <c r="V13" s="254">
        <f>I13+I13*'Вводные данные'!$D$4</f>
        <v>5750</v>
      </c>
      <c r="W13" s="254">
        <f>J13+J13*'Вводные данные'!$D$4</f>
        <v>5750</v>
      </c>
      <c r="X13" s="254">
        <f>K13+K13*'Вводные данные'!$D$4</f>
        <v>5750</v>
      </c>
      <c r="Y13" s="254">
        <f>L13+L13*'Вводные данные'!$D$4</f>
        <v>5750</v>
      </c>
      <c r="Z13" s="254">
        <f>M13+M13*'Вводные данные'!$D$4</f>
        <v>5750</v>
      </c>
      <c r="AA13" s="255">
        <f t="shared" si="1"/>
        <v>69000</v>
      </c>
      <c r="AB13" s="254">
        <f>O13+O13*'Вводные данные'!$E$4</f>
        <v>6612.5</v>
      </c>
      <c r="AC13" s="254">
        <f>P13+P13*'Вводные данные'!$E$4</f>
        <v>6612.5</v>
      </c>
      <c r="AD13" s="254">
        <f>Q13+Q13*'Вводные данные'!$E$4</f>
        <v>6612.5</v>
      </c>
      <c r="AE13" s="254">
        <f>R13+R13*'Вводные данные'!$E$4</f>
        <v>6612.5</v>
      </c>
      <c r="AF13" s="254">
        <f>S13+S13*'Вводные данные'!$E$4</f>
        <v>6612.5</v>
      </c>
      <c r="AG13" s="254">
        <f>T13+T13*'Вводные данные'!$E$4</f>
        <v>6612.5</v>
      </c>
      <c r="AH13" s="254">
        <f>U13+U13*'Вводные данные'!$E$4</f>
        <v>6612.5</v>
      </c>
      <c r="AI13" s="254">
        <f>V13+V13*'Вводные данные'!$E$4</f>
        <v>6612.5</v>
      </c>
      <c r="AJ13" s="254">
        <f>W13+W13*'Вводные данные'!$E$4</f>
        <v>6612.5</v>
      </c>
      <c r="AK13" s="254">
        <f>X13+X13*'Вводные данные'!$E$4</f>
        <v>6612.5</v>
      </c>
      <c r="AL13" s="254">
        <f>Y13+Y13*'Вводные данные'!$E$4</f>
        <v>6612.5</v>
      </c>
      <c r="AM13" s="254">
        <f>Z13+Z13*'Вводные данные'!$E$4</f>
        <v>6612.5</v>
      </c>
      <c r="AN13" s="256">
        <f t="shared" si="2"/>
        <v>79350</v>
      </c>
    </row>
    <row r="14" spans="1:40" ht="20.100000000000001" customHeight="1">
      <c r="A14" s="265" t="s">
        <v>131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0">
        <f t="shared" si="0"/>
        <v>0</v>
      </c>
      <c r="O14" s="254">
        <f>B14+B14*'Вводные данные'!$D$4</f>
        <v>0</v>
      </c>
      <c r="P14" s="254">
        <f>C14+C14*'Вводные данные'!$D$4</f>
        <v>0</v>
      </c>
      <c r="Q14" s="254">
        <f>D14+D14*'Вводные данные'!$D$4</f>
        <v>0</v>
      </c>
      <c r="R14" s="254">
        <f>E14+E14*'Вводные данные'!$D$4</f>
        <v>0</v>
      </c>
      <c r="S14" s="254">
        <f>F14+F14*'Вводные данные'!$D$4</f>
        <v>0</v>
      </c>
      <c r="T14" s="254">
        <f>G14+G14*'Вводные данные'!$D$4</f>
        <v>0</v>
      </c>
      <c r="U14" s="254">
        <f>H14+H14*'Вводные данные'!$D$4</f>
        <v>0</v>
      </c>
      <c r="V14" s="254">
        <f>I14+I14*'Вводные данные'!$D$4</f>
        <v>0</v>
      </c>
      <c r="W14" s="254">
        <f>J14+J14*'Вводные данные'!$D$4</f>
        <v>0</v>
      </c>
      <c r="X14" s="254">
        <f>K14+K14*'Вводные данные'!$D$4</f>
        <v>0</v>
      </c>
      <c r="Y14" s="254">
        <f>L14+L14*'Вводные данные'!$D$4</f>
        <v>0</v>
      </c>
      <c r="Z14" s="254">
        <f>M14+M14*'Вводные данные'!$D$4</f>
        <v>0</v>
      </c>
      <c r="AA14" s="255">
        <f t="shared" si="1"/>
        <v>0</v>
      </c>
      <c r="AB14" s="254">
        <f>O14+O14*'Вводные данные'!$E$4</f>
        <v>0</v>
      </c>
      <c r="AC14" s="254">
        <f>P14+P14*'Вводные данные'!$E$4</f>
        <v>0</v>
      </c>
      <c r="AD14" s="254">
        <f>Q14+Q14*'Вводные данные'!$E$4</f>
        <v>0</v>
      </c>
      <c r="AE14" s="254">
        <f>R14+R14*'Вводные данные'!$E$4</f>
        <v>0</v>
      </c>
      <c r="AF14" s="254">
        <f>S14+S14*'Вводные данные'!$E$4</f>
        <v>0</v>
      </c>
      <c r="AG14" s="254">
        <f>T14+T14*'Вводные данные'!$E$4</f>
        <v>0</v>
      </c>
      <c r="AH14" s="254">
        <f>U14+U14*'Вводные данные'!$E$4</f>
        <v>0</v>
      </c>
      <c r="AI14" s="254">
        <f>V14+V14*'Вводные данные'!$E$4</f>
        <v>0</v>
      </c>
      <c r="AJ14" s="254">
        <f>W14+W14*'Вводные данные'!$E$4</f>
        <v>0</v>
      </c>
      <c r="AK14" s="254">
        <f>X14+X14*'Вводные данные'!$E$4</f>
        <v>0</v>
      </c>
      <c r="AL14" s="254">
        <f>Y14+Y14*'Вводные данные'!$E$4</f>
        <v>0</v>
      </c>
      <c r="AM14" s="254">
        <f>Z14+Z14*'Вводные данные'!$E$4</f>
        <v>0</v>
      </c>
      <c r="AN14" s="256">
        <f t="shared" si="2"/>
        <v>0</v>
      </c>
    </row>
    <row r="15" spans="1:40" ht="20.100000000000001" customHeight="1">
      <c r="A15" s="265" t="s">
        <v>132</v>
      </c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0">
        <f t="shared" si="0"/>
        <v>0</v>
      </c>
      <c r="O15" s="254">
        <f>B15+B15*'Вводные данные'!$D$4</f>
        <v>0</v>
      </c>
      <c r="P15" s="254">
        <f>C15+C15*'Вводные данные'!$D$4</f>
        <v>0</v>
      </c>
      <c r="Q15" s="254">
        <f>D15+D15*'Вводные данные'!$D$4</f>
        <v>0</v>
      </c>
      <c r="R15" s="254">
        <f>E15+E15*'Вводные данные'!$D$4</f>
        <v>0</v>
      </c>
      <c r="S15" s="254">
        <f>F15+F15*'Вводные данные'!$D$4</f>
        <v>0</v>
      </c>
      <c r="T15" s="254">
        <f>G15+G15*'Вводные данные'!$D$4</f>
        <v>0</v>
      </c>
      <c r="U15" s="254">
        <f>H15+H15*'Вводные данные'!$D$4</f>
        <v>0</v>
      </c>
      <c r="V15" s="254">
        <f>I15+I15*'Вводные данные'!$D$4</f>
        <v>0</v>
      </c>
      <c r="W15" s="254">
        <f>J15+J15*'Вводные данные'!$D$4</f>
        <v>0</v>
      </c>
      <c r="X15" s="254">
        <f>K15+K15*'Вводные данные'!$D$4</f>
        <v>0</v>
      </c>
      <c r="Y15" s="254">
        <f>L15+L15*'Вводные данные'!$D$4</f>
        <v>0</v>
      </c>
      <c r="Z15" s="254">
        <f>M15+M15*'Вводные данные'!$D$4</f>
        <v>0</v>
      </c>
      <c r="AA15" s="255">
        <f t="shared" si="1"/>
        <v>0</v>
      </c>
      <c r="AB15" s="254">
        <f>O15+O15*'Вводные данные'!$E$4</f>
        <v>0</v>
      </c>
      <c r="AC15" s="254">
        <f>P15+P15*'Вводные данные'!$E$4</f>
        <v>0</v>
      </c>
      <c r="AD15" s="254">
        <f>Q15+Q15*'Вводные данные'!$E$4</f>
        <v>0</v>
      </c>
      <c r="AE15" s="254">
        <f>R15+R15*'Вводные данные'!$E$4</f>
        <v>0</v>
      </c>
      <c r="AF15" s="254">
        <f>S15+S15*'Вводные данные'!$E$4</f>
        <v>0</v>
      </c>
      <c r="AG15" s="254">
        <f>T15+T15*'Вводные данные'!$E$4</f>
        <v>0</v>
      </c>
      <c r="AH15" s="254">
        <f>U15+U15*'Вводные данные'!$E$4</f>
        <v>0</v>
      </c>
      <c r="AI15" s="254">
        <f>V15+V15*'Вводные данные'!$E$4</f>
        <v>0</v>
      </c>
      <c r="AJ15" s="254">
        <f>W15+W15*'Вводные данные'!$E$4</f>
        <v>0</v>
      </c>
      <c r="AK15" s="254">
        <f>X15+X15*'Вводные данные'!$E$4</f>
        <v>0</v>
      </c>
      <c r="AL15" s="254">
        <f>Y15+Y15*'Вводные данные'!$E$4</f>
        <v>0</v>
      </c>
      <c r="AM15" s="254">
        <f>Z15+Z15*'Вводные данные'!$E$4</f>
        <v>0</v>
      </c>
      <c r="AN15" s="256">
        <f t="shared" si="2"/>
        <v>0</v>
      </c>
    </row>
    <row r="16" spans="1:40" ht="20.100000000000001" customHeight="1">
      <c r="A16" s="265" t="s">
        <v>133</v>
      </c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0">
        <f t="shared" si="0"/>
        <v>0</v>
      </c>
      <c r="O16" s="254">
        <f>B16+B16*'Вводные данные'!$D$4</f>
        <v>0</v>
      </c>
      <c r="P16" s="254">
        <f>C16+C16*'Вводные данные'!$D$4</f>
        <v>0</v>
      </c>
      <c r="Q16" s="254">
        <f>D16+D16*'Вводные данные'!$D$4</f>
        <v>0</v>
      </c>
      <c r="R16" s="254">
        <f>E16+E16*'Вводные данные'!$D$4</f>
        <v>0</v>
      </c>
      <c r="S16" s="254">
        <f>F16+F16*'Вводные данные'!$D$4</f>
        <v>0</v>
      </c>
      <c r="T16" s="254">
        <f>G16+G16*'Вводные данные'!$D$4</f>
        <v>0</v>
      </c>
      <c r="U16" s="254">
        <f>H16+H16*'Вводные данные'!$D$4</f>
        <v>0</v>
      </c>
      <c r="V16" s="254">
        <f>I16+I16*'Вводные данные'!$D$4</f>
        <v>0</v>
      </c>
      <c r="W16" s="254">
        <f>J16+J16*'Вводные данные'!$D$4</f>
        <v>0</v>
      </c>
      <c r="X16" s="254">
        <f>K16+K16*'Вводные данные'!$D$4</f>
        <v>0</v>
      </c>
      <c r="Y16" s="254">
        <f>L16+L16*'Вводные данные'!$D$4</f>
        <v>0</v>
      </c>
      <c r="Z16" s="254">
        <f>M16+M16*'Вводные данные'!$D$4</f>
        <v>0</v>
      </c>
      <c r="AA16" s="255">
        <f>SUM(O16:Z16)</f>
        <v>0</v>
      </c>
      <c r="AB16" s="254">
        <f>O16+O16*'Вводные данные'!$E$4</f>
        <v>0</v>
      </c>
      <c r="AC16" s="254">
        <f>P16+P16*'Вводные данные'!$E$4</f>
        <v>0</v>
      </c>
      <c r="AD16" s="254">
        <f>Q16+Q16*'Вводные данные'!$E$4</f>
        <v>0</v>
      </c>
      <c r="AE16" s="254">
        <f>R16+R16*'Вводные данные'!$E$4</f>
        <v>0</v>
      </c>
      <c r="AF16" s="254">
        <f>S16+S16*'Вводные данные'!$E$4</f>
        <v>0</v>
      </c>
      <c r="AG16" s="254">
        <f>T16+T16*'Вводные данные'!$E$4</f>
        <v>0</v>
      </c>
      <c r="AH16" s="254">
        <f>U16+U16*'Вводные данные'!$E$4</f>
        <v>0</v>
      </c>
      <c r="AI16" s="254">
        <f>V16+V16*'Вводные данные'!$E$4</f>
        <v>0</v>
      </c>
      <c r="AJ16" s="254">
        <f>W16+W16*'Вводные данные'!$E$4</f>
        <v>0</v>
      </c>
      <c r="AK16" s="254">
        <f>X16+X16*'Вводные данные'!$E$4</f>
        <v>0</v>
      </c>
      <c r="AL16" s="254">
        <f>Y16+Y16*'Вводные данные'!$E$4</f>
        <v>0</v>
      </c>
      <c r="AM16" s="254">
        <f>Z16+Z16*'Вводные данные'!$E$4</f>
        <v>0</v>
      </c>
      <c r="AN16" s="256">
        <f t="shared" si="2"/>
        <v>0</v>
      </c>
    </row>
    <row r="17" spans="1:40" ht="20.100000000000001" customHeight="1">
      <c r="A17" s="265" t="s">
        <v>134</v>
      </c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0">
        <f t="shared" si="0"/>
        <v>0</v>
      </c>
      <c r="O17" s="254">
        <f>B17+B17*'Вводные данные'!$D$4</f>
        <v>0</v>
      </c>
      <c r="P17" s="254">
        <f>C17+C17*'Вводные данные'!$D$4</f>
        <v>0</v>
      </c>
      <c r="Q17" s="254">
        <f>D17+D17*'Вводные данные'!$D$4</f>
        <v>0</v>
      </c>
      <c r="R17" s="254">
        <f>E17+E17*'Вводные данные'!$D$4</f>
        <v>0</v>
      </c>
      <c r="S17" s="254">
        <f>F17+F17*'Вводные данные'!$D$4</f>
        <v>0</v>
      </c>
      <c r="T17" s="254">
        <f>G17+G17*'Вводные данные'!$D$4</f>
        <v>0</v>
      </c>
      <c r="U17" s="254">
        <f>H17+H17*'Вводные данные'!$D$4</f>
        <v>0</v>
      </c>
      <c r="V17" s="254">
        <f>I17+I17*'Вводные данные'!$D$4</f>
        <v>0</v>
      </c>
      <c r="W17" s="254">
        <f>J17+J17*'Вводные данные'!$D$4</f>
        <v>0</v>
      </c>
      <c r="X17" s="254">
        <f>K17+K17*'Вводные данные'!$D$4</f>
        <v>0</v>
      </c>
      <c r="Y17" s="254">
        <f>L17+L17*'Вводные данные'!$D$4</f>
        <v>0</v>
      </c>
      <c r="Z17" s="254">
        <f>M17+M17*'Вводные данные'!$D$4</f>
        <v>0</v>
      </c>
      <c r="AA17" s="255">
        <f>SUM(O17:Z17)</f>
        <v>0</v>
      </c>
      <c r="AB17" s="254">
        <f>O17+O17*'Вводные данные'!$E$4</f>
        <v>0</v>
      </c>
      <c r="AC17" s="254">
        <f>P17+P17*'Вводные данные'!$E$4</f>
        <v>0</v>
      </c>
      <c r="AD17" s="254">
        <f>Q17+Q17*'Вводные данные'!$E$4</f>
        <v>0</v>
      </c>
      <c r="AE17" s="254">
        <f>R17+R17*'Вводные данные'!$E$4</f>
        <v>0</v>
      </c>
      <c r="AF17" s="254">
        <f>S17+S17*'Вводные данные'!$E$4</f>
        <v>0</v>
      </c>
      <c r="AG17" s="254">
        <f>T17+T17*'Вводные данные'!$E$4</f>
        <v>0</v>
      </c>
      <c r="AH17" s="254">
        <f>U17+U17*'Вводные данные'!$E$4</f>
        <v>0</v>
      </c>
      <c r="AI17" s="254">
        <f>V17+V17*'Вводные данные'!$E$4</f>
        <v>0</v>
      </c>
      <c r="AJ17" s="254">
        <f>W17+W17*'Вводные данные'!$E$4</f>
        <v>0</v>
      </c>
      <c r="AK17" s="254">
        <f>X17+X17*'Вводные данные'!$E$4</f>
        <v>0</v>
      </c>
      <c r="AL17" s="254">
        <f>Y17+Y17*'Вводные данные'!$E$4</f>
        <v>0</v>
      </c>
      <c r="AM17" s="254">
        <f>Z17+Z17*'Вводные данные'!$E$4</f>
        <v>0</v>
      </c>
      <c r="AN17" s="256">
        <f t="shared" si="2"/>
        <v>0</v>
      </c>
    </row>
    <row r="18" spans="1:40" ht="20.100000000000001" customHeight="1">
      <c r="A18" s="265" t="s">
        <v>135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0">
        <f t="shared" si="0"/>
        <v>0</v>
      </c>
      <c r="O18" s="254">
        <f>B18+B18*'Вводные данные'!$D$4</f>
        <v>0</v>
      </c>
      <c r="P18" s="254">
        <f>C18+C18*'Вводные данные'!$D$4</f>
        <v>0</v>
      </c>
      <c r="Q18" s="254">
        <f>D18+D18*'Вводные данные'!$D$4</f>
        <v>0</v>
      </c>
      <c r="R18" s="254">
        <f>E18+E18*'Вводные данные'!$D$4</f>
        <v>0</v>
      </c>
      <c r="S18" s="254">
        <f>F18+F18*'Вводные данные'!$D$4</f>
        <v>0</v>
      </c>
      <c r="T18" s="254">
        <f>G18+G18*'Вводные данные'!$D$4</f>
        <v>0</v>
      </c>
      <c r="U18" s="254">
        <f>H18+H18*'Вводные данные'!$D$4</f>
        <v>0</v>
      </c>
      <c r="V18" s="254">
        <f>I18+I18*'Вводные данные'!$D$4</f>
        <v>0</v>
      </c>
      <c r="W18" s="254">
        <f>J18+J18*'Вводные данные'!$D$4</f>
        <v>0</v>
      </c>
      <c r="X18" s="254">
        <f>K18+K18*'Вводные данные'!$D$4</f>
        <v>0</v>
      </c>
      <c r="Y18" s="254">
        <f>L18+L18*'Вводные данные'!$D$4</f>
        <v>0</v>
      </c>
      <c r="Z18" s="254">
        <f>M18+M18*'Вводные данные'!$D$4</f>
        <v>0</v>
      </c>
      <c r="AA18" s="255">
        <f t="shared" si="1"/>
        <v>0</v>
      </c>
      <c r="AB18" s="254">
        <f>O18+O18*'Вводные данные'!$E$4</f>
        <v>0</v>
      </c>
      <c r="AC18" s="254">
        <f>P18+P18*'Вводные данные'!$E$4</f>
        <v>0</v>
      </c>
      <c r="AD18" s="254">
        <f>Q18+Q18*'Вводные данные'!$E$4</f>
        <v>0</v>
      </c>
      <c r="AE18" s="254">
        <f>R18+R18*'Вводные данные'!$E$4</f>
        <v>0</v>
      </c>
      <c r="AF18" s="254">
        <f>S18+S18*'Вводные данные'!$E$4</f>
        <v>0</v>
      </c>
      <c r="AG18" s="254">
        <f>T18+T18*'Вводные данные'!$E$4</f>
        <v>0</v>
      </c>
      <c r="AH18" s="254">
        <f>U18+U18*'Вводные данные'!$E$4</f>
        <v>0</v>
      </c>
      <c r="AI18" s="254">
        <f>V18+V18*'Вводные данные'!$E$4</f>
        <v>0</v>
      </c>
      <c r="AJ18" s="254">
        <f>W18+W18*'Вводные данные'!$E$4</f>
        <v>0</v>
      </c>
      <c r="AK18" s="254">
        <f>X18+X18*'Вводные данные'!$E$4</f>
        <v>0</v>
      </c>
      <c r="AL18" s="254">
        <f>Y18+Y18*'Вводные данные'!$E$4</f>
        <v>0</v>
      </c>
      <c r="AM18" s="254">
        <f>Z18+Z18*'Вводные данные'!$E$4</f>
        <v>0</v>
      </c>
      <c r="AN18" s="256">
        <f t="shared" si="2"/>
        <v>0</v>
      </c>
    </row>
    <row r="19" spans="1:40" ht="20.100000000000001" customHeight="1">
      <c r="A19" s="265" t="s">
        <v>136</v>
      </c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0">
        <f t="shared" si="0"/>
        <v>0</v>
      </c>
      <c r="O19" s="254">
        <f>B19+B19*'Вводные данные'!$D$4</f>
        <v>0</v>
      </c>
      <c r="P19" s="254">
        <f>C19+C19*'Вводные данные'!$D$4</f>
        <v>0</v>
      </c>
      <c r="Q19" s="254">
        <f>D19+D19*'Вводные данные'!$D$4</f>
        <v>0</v>
      </c>
      <c r="R19" s="254">
        <f>E19+E19*'Вводные данные'!$D$4</f>
        <v>0</v>
      </c>
      <c r="S19" s="254">
        <f>F19+F19*'Вводные данные'!$D$4</f>
        <v>0</v>
      </c>
      <c r="T19" s="254">
        <f>G19+G19*'Вводные данные'!$D$4</f>
        <v>0</v>
      </c>
      <c r="U19" s="254">
        <f>H19+H19*'Вводные данные'!$D$4</f>
        <v>0</v>
      </c>
      <c r="V19" s="254">
        <f>I19+I19*'Вводные данные'!$D$4</f>
        <v>0</v>
      </c>
      <c r="W19" s="254">
        <f>J19+J19*'Вводные данные'!$D$4</f>
        <v>0</v>
      </c>
      <c r="X19" s="254">
        <f>K19+K19*'Вводные данные'!$D$4</f>
        <v>0</v>
      </c>
      <c r="Y19" s="254">
        <f>L19+L19*'Вводные данные'!$D$4</f>
        <v>0</v>
      </c>
      <c r="Z19" s="254">
        <f>M19+M19*'Вводные данные'!$D$4</f>
        <v>0</v>
      </c>
      <c r="AA19" s="255">
        <f t="shared" si="1"/>
        <v>0</v>
      </c>
      <c r="AB19" s="254">
        <f>O19+O19*'Вводные данные'!$E$4</f>
        <v>0</v>
      </c>
      <c r="AC19" s="254">
        <f>P19+P19*'Вводные данные'!$E$4</f>
        <v>0</v>
      </c>
      <c r="AD19" s="254">
        <f>Q19+Q19*'Вводные данные'!$E$4</f>
        <v>0</v>
      </c>
      <c r="AE19" s="254">
        <f>R19+R19*'Вводные данные'!$E$4</f>
        <v>0</v>
      </c>
      <c r="AF19" s="254">
        <f>S19+S19*'Вводные данные'!$E$4</f>
        <v>0</v>
      </c>
      <c r="AG19" s="254">
        <f>T19+T19*'Вводные данные'!$E$4</f>
        <v>0</v>
      </c>
      <c r="AH19" s="254">
        <f>U19+U19*'Вводные данные'!$E$4</f>
        <v>0</v>
      </c>
      <c r="AI19" s="254">
        <f>V19+V19*'Вводные данные'!$E$4</f>
        <v>0</v>
      </c>
      <c r="AJ19" s="254">
        <f>W19+W19*'Вводные данные'!$E$4</f>
        <v>0</v>
      </c>
      <c r="AK19" s="254">
        <f>X19+X19*'Вводные данные'!$E$4</f>
        <v>0</v>
      </c>
      <c r="AL19" s="254">
        <f>Y19+Y19*'Вводные данные'!$E$4</f>
        <v>0</v>
      </c>
      <c r="AM19" s="254">
        <f>Z19+Z19*'Вводные данные'!$E$4</f>
        <v>0</v>
      </c>
      <c r="AN19" s="256">
        <f t="shared" si="2"/>
        <v>0</v>
      </c>
    </row>
    <row r="20" spans="1:40">
      <c r="A20" s="266" t="s">
        <v>102</v>
      </c>
      <c r="B20" s="258">
        <f>SUM(B5:B19)</f>
        <v>89000</v>
      </c>
      <c r="C20" s="258">
        <f t="shared" ref="C20:M20" si="3">SUM(C5:C19)</f>
        <v>89000</v>
      </c>
      <c r="D20" s="258">
        <f t="shared" si="3"/>
        <v>89000</v>
      </c>
      <c r="E20" s="258">
        <f t="shared" si="3"/>
        <v>89000</v>
      </c>
      <c r="F20" s="258">
        <f t="shared" si="3"/>
        <v>89000</v>
      </c>
      <c r="G20" s="258">
        <f t="shared" si="3"/>
        <v>89000</v>
      </c>
      <c r="H20" s="258">
        <f t="shared" si="3"/>
        <v>89000</v>
      </c>
      <c r="I20" s="258">
        <f t="shared" si="3"/>
        <v>89000</v>
      </c>
      <c r="J20" s="258">
        <f t="shared" si="3"/>
        <v>89000</v>
      </c>
      <c r="K20" s="258">
        <f t="shared" si="3"/>
        <v>89000</v>
      </c>
      <c r="L20" s="258">
        <f t="shared" si="3"/>
        <v>89000</v>
      </c>
      <c r="M20" s="258">
        <f t="shared" si="3"/>
        <v>89000</v>
      </c>
      <c r="N20" s="258">
        <f t="shared" si="0"/>
        <v>1068000</v>
      </c>
      <c r="O20" s="259">
        <f>SUM(O5:O19)</f>
        <v>102350</v>
      </c>
      <c r="P20" s="259">
        <f t="shared" ref="P20:Z20" si="4">SUM(P5:P19)</f>
        <v>102350</v>
      </c>
      <c r="Q20" s="259">
        <f t="shared" si="4"/>
        <v>102350</v>
      </c>
      <c r="R20" s="259">
        <f t="shared" si="4"/>
        <v>102350</v>
      </c>
      <c r="S20" s="259">
        <f t="shared" si="4"/>
        <v>102350</v>
      </c>
      <c r="T20" s="259">
        <f t="shared" si="4"/>
        <v>102350</v>
      </c>
      <c r="U20" s="259">
        <f t="shared" si="4"/>
        <v>102350</v>
      </c>
      <c r="V20" s="259">
        <f t="shared" si="4"/>
        <v>102350</v>
      </c>
      <c r="W20" s="259">
        <f t="shared" si="4"/>
        <v>102350</v>
      </c>
      <c r="X20" s="259">
        <f t="shared" si="4"/>
        <v>102350</v>
      </c>
      <c r="Y20" s="259">
        <f t="shared" si="4"/>
        <v>102350</v>
      </c>
      <c r="Z20" s="259">
        <f t="shared" si="4"/>
        <v>102350</v>
      </c>
      <c r="AA20" s="259">
        <f t="shared" si="1"/>
        <v>1228200</v>
      </c>
      <c r="AB20" s="259">
        <f>SUM(AB5:AB19)</f>
        <v>117702.5</v>
      </c>
      <c r="AC20" s="259">
        <f t="shared" ref="AC20:AM20" si="5">SUM(AC5:AC19)</f>
        <v>117702.5</v>
      </c>
      <c r="AD20" s="259">
        <f t="shared" si="5"/>
        <v>117702.5</v>
      </c>
      <c r="AE20" s="259">
        <f t="shared" si="5"/>
        <v>117702.5</v>
      </c>
      <c r="AF20" s="259">
        <f t="shared" si="5"/>
        <v>117702.5</v>
      </c>
      <c r="AG20" s="259">
        <f t="shared" si="5"/>
        <v>117702.5</v>
      </c>
      <c r="AH20" s="259">
        <f t="shared" si="5"/>
        <v>117702.5</v>
      </c>
      <c r="AI20" s="259">
        <f t="shared" si="5"/>
        <v>117702.5</v>
      </c>
      <c r="AJ20" s="259">
        <f t="shared" si="5"/>
        <v>117702.5</v>
      </c>
      <c r="AK20" s="259">
        <f t="shared" si="5"/>
        <v>117702.5</v>
      </c>
      <c r="AL20" s="259">
        <f t="shared" si="5"/>
        <v>117702.5</v>
      </c>
      <c r="AM20" s="259">
        <f t="shared" si="5"/>
        <v>117702.5</v>
      </c>
      <c r="AN20" s="260">
        <f t="shared" si="2"/>
        <v>1412430</v>
      </c>
    </row>
  </sheetData>
  <sheetProtection formatCells="0" formatColumns="0"/>
  <mergeCells count="7">
    <mergeCell ref="AB3:AM3"/>
    <mergeCell ref="AN3:AN4"/>
    <mergeCell ref="A3:A4"/>
    <mergeCell ref="B3:M3"/>
    <mergeCell ref="N3:N4"/>
    <mergeCell ref="O3:Z3"/>
    <mergeCell ref="AA3:AA4"/>
  </mergeCells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4"/>
  </sheetPr>
  <dimension ref="A2:AT126"/>
  <sheetViews>
    <sheetView zoomScale="130" workbookViewId="0">
      <pane xSplit="2" ySplit="6" topLeftCell="C76" activePane="bottomRight" state="frozen"/>
      <selection activeCell="B68" sqref="B67:B69"/>
      <selection pane="topRight"/>
      <selection pane="bottomLeft"/>
      <selection pane="bottomRight" activeCell="F129" sqref="F129"/>
    </sheetView>
  </sheetViews>
  <sheetFormatPr defaultColWidth="9.140625" defaultRowHeight="15" outlineLevelRow="1" outlineLevelCol="1"/>
  <cols>
    <col min="1" max="1" width="6.42578125" style="267" customWidth="1"/>
    <col min="2" max="2" width="24.7109375" style="267" customWidth="1"/>
    <col min="3" max="3" width="15.28515625" style="267" customWidth="1" outlineLevel="1"/>
    <col min="4" max="4" width="22.85546875" style="267" customWidth="1" outlineLevel="1"/>
    <col min="5" max="6" width="13.42578125" style="267" customWidth="1" outlineLevel="1"/>
    <col min="7" max="7" width="13.140625" style="267" customWidth="1" outlineLevel="1"/>
    <col min="8" max="9" width="9.140625" style="267"/>
    <col min="10" max="11" width="9.140625" style="267" customWidth="1"/>
    <col min="12" max="12" width="9.28515625" style="267" customWidth="1"/>
    <col min="13" max="13" width="9.140625" style="267" customWidth="1"/>
    <col min="14" max="19" width="9.140625" style="267"/>
    <col min="20" max="20" width="12.140625" style="268" customWidth="1"/>
    <col min="21" max="22" width="9.140625" style="267"/>
    <col min="23" max="24" width="9.140625" style="267" customWidth="1"/>
    <col min="25" max="25" width="6.85546875" style="267" customWidth="1"/>
    <col min="26" max="26" width="9.140625" style="267" customWidth="1"/>
    <col min="27" max="32" width="9.140625" style="267"/>
    <col min="33" max="33" width="12.140625" style="268" customWidth="1"/>
    <col min="34" max="35" width="9.140625" style="267"/>
    <col min="36" max="37" width="9.140625" style="267" customWidth="1"/>
    <col min="38" max="38" width="6.85546875" style="267" customWidth="1"/>
    <col min="39" max="39" width="9.140625" style="267" customWidth="1"/>
    <col min="40" max="45" width="9.140625" style="267"/>
    <col min="46" max="46" width="12.140625" style="268" customWidth="1"/>
    <col min="47" max="16384" width="9.140625" style="267"/>
  </cols>
  <sheetData>
    <row r="2" spans="1:46" s="269" customFormat="1" ht="18.75">
      <c r="A2" s="4" t="s">
        <v>137</v>
      </c>
      <c r="T2" s="270"/>
      <c r="AG2" s="270"/>
      <c r="AT2" s="270"/>
    </row>
    <row r="3" spans="1:46" s="269" customFormat="1">
      <c r="T3" s="270"/>
      <c r="AG3" s="270"/>
      <c r="AT3" s="270"/>
    </row>
    <row r="4" spans="1:46" s="269" customFormat="1" ht="21.75" customHeight="1">
      <c r="A4" s="491" t="s">
        <v>1</v>
      </c>
      <c r="B4" s="493" t="s">
        <v>138</v>
      </c>
      <c r="C4" s="495" t="s">
        <v>139</v>
      </c>
      <c r="D4" s="497" t="s">
        <v>140</v>
      </c>
      <c r="E4" s="499" t="s">
        <v>141</v>
      </c>
      <c r="F4" s="500"/>
      <c r="G4" s="501"/>
      <c r="H4" s="476" t="s">
        <v>3</v>
      </c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77" t="s">
        <v>121</v>
      </c>
      <c r="U4" s="489" t="s">
        <v>4</v>
      </c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77" t="s">
        <v>122</v>
      </c>
      <c r="AH4" s="489" t="s">
        <v>5</v>
      </c>
      <c r="AI4" s="489"/>
      <c r="AJ4" s="489"/>
      <c r="AK4" s="489"/>
      <c r="AL4" s="489"/>
      <c r="AM4" s="489"/>
      <c r="AN4" s="489"/>
      <c r="AO4" s="489"/>
      <c r="AP4" s="489"/>
      <c r="AQ4" s="489"/>
      <c r="AR4" s="489"/>
      <c r="AS4" s="489"/>
      <c r="AT4" s="470" t="s">
        <v>123</v>
      </c>
    </row>
    <row r="5" spans="1:46" s="269" customFormat="1" ht="23.25" customHeight="1">
      <c r="A5" s="492"/>
      <c r="B5" s="494"/>
      <c r="C5" s="496"/>
      <c r="D5" s="498"/>
      <c r="E5" s="502"/>
      <c r="F5" s="503"/>
      <c r="G5" s="504"/>
      <c r="H5" s="271">
        <f>РДДС!D5</f>
        <v>45809</v>
      </c>
      <c r="I5" s="272">
        <f>РДДС!E5</f>
        <v>45839</v>
      </c>
      <c r="J5" s="272">
        <f>РДДС!F5</f>
        <v>45870</v>
      </c>
      <c r="K5" s="272">
        <f>РДДС!G5</f>
        <v>45901</v>
      </c>
      <c r="L5" s="272">
        <f>РДДС!H5</f>
        <v>45931</v>
      </c>
      <c r="M5" s="272">
        <f>РДДС!I5</f>
        <v>45962</v>
      </c>
      <c r="N5" s="272">
        <f>РДДС!J5</f>
        <v>45992</v>
      </c>
      <c r="O5" s="272">
        <f>РДДС!K5</f>
        <v>46023</v>
      </c>
      <c r="P5" s="272">
        <f>РДДС!L5</f>
        <v>46054</v>
      </c>
      <c r="Q5" s="272">
        <f>РДДС!M5</f>
        <v>46082</v>
      </c>
      <c r="R5" s="272">
        <f>РДДС!N5</f>
        <v>46113</v>
      </c>
      <c r="S5" s="272">
        <f>РДДС!O5</f>
        <v>46143</v>
      </c>
      <c r="T5" s="490"/>
      <c r="U5" s="272">
        <f>РДДС!Q5</f>
        <v>46174</v>
      </c>
      <c r="V5" s="272">
        <f>РДДС!R5</f>
        <v>46204</v>
      </c>
      <c r="W5" s="272">
        <f>РДДС!S5</f>
        <v>46235</v>
      </c>
      <c r="X5" s="272">
        <f>РДДС!T5</f>
        <v>46266</v>
      </c>
      <c r="Y5" s="272">
        <f>РДДС!U5</f>
        <v>46296</v>
      </c>
      <c r="Z5" s="272">
        <f>РДДС!V5</f>
        <v>46327</v>
      </c>
      <c r="AA5" s="272">
        <f>РДДС!W5</f>
        <v>46357</v>
      </c>
      <c r="AB5" s="272">
        <f>РДДС!X5</f>
        <v>46388</v>
      </c>
      <c r="AC5" s="272">
        <f>РДДС!Y5</f>
        <v>46419</v>
      </c>
      <c r="AD5" s="272">
        <f>РДДС!Z5</f>
        <v>46447</v>
      </c>
      <c r="AE5" s="272">
        <f>РДДС!AA5</f>
        <v>46478</v>
      </c>
      <c r="AF5" s="272">
        <f>РДДС!AB5</f>
        <v>46508</v>
      </c>
      <c r="AG5" s="490"/>
      <c r="AH5" s="272">
        <f>РДДС!AD5</f>
        <v>46539</v>
      </c>
      <c r="AI5" s="272">
        <f>РДДС!AE5</f>
        <v>46569</v>
      </c>
      <c r="AJ5" s="272">
        <f>РДДС!AF5</f>
        <v>46600</v>
      </c>
      <c r="AK5" s="272">
        <f>РДДС!AG5</f>
        <v>46631</v>
      </c>
      <c r="AL5" s="272">
        <f>РДДС!AH5</f>
        <v>46661</v>
      </c>
      <c r="AM5" s="272">
        <f>РДДС!AI5</f>
        <v>46692</v>
      </c>
      <c r="AN5" s="272">
        <f>РДДС!AJ5</f>
        <v>46722</v>
      </c>
      <c r="AO5" s="272">
        <f>РДДС!AK5</f>
        <v>46753</v>
      </c>
      <c r="AP5" s="272">
        <f>РДДС!AL5</f>
        <v>46784</v>
      </c>
      <c r="AQ5" s="272">
        <f>РДДС!AM5</f>
        <v>46813</v>
      </c>
      <c r="AR5" s="272">
        <f>РДДС!AN5</f>
        <v>46844</v>
      </c>
      <c r="AS5" s="272">
        <f>РДДС!AO5</f>
        <v>46874</v>
      </c>
      <c r="AT5" s="488"/>
    </row>
    <row r="6" spans="1:46" s="270" customFormat="1" ht="14.25">
      <c r="A6" s="273">
        <v>1</v>
      </c>
      <c r="B6" s="274" t="str">
        <f>'Продукция и цена '!A4</f>
        <v>Аренда системы: "Базовый" тариф</v>
      </c>
      <c r="C6" s="275" t="s">
        <v>103</v>
      </c>
      <c r="D6" s="275" t="s">
        <v>103</v>
      </c>
      <c r="E6" s="275" t="s">
        <v>3</v>
      </c>
      <c r="F6" s="275" t="s">
        <v>4</v>
      </c>
      <c r="G6" s="276" t="s">
        <v>5</v>
      </c>
      <c r="H6" s="277">
        <f>SUM(H7:H16)</f>
        <v>3600</v>
      </c>
      <c r="I6" s="278">
        <f t="shared" ref="I6:S6" si="0">SUM(I7:I16)</f>
        <v>7200</v>
      </c>
      <c r="J6" s="278">
        <f t="shared" si="0"/>
        <v>10800</v>
      </c>
      <c r="K6" s="278">
        <f t="shared" si="0"/>
        <v>14400</v>
      </c>
      <c r="L6" s="278">
        <f t="shared" si="0"/>
        <v>18000</v>
      </c>
      <c r="M6" s="278">
        <f t="shared" si="0"/>
        <v>25200</v>
      </c>
      <c r="N6" s="278">
        <f t="shared" si="0"/>
        <v>28800</v>
      </c>
      <c r="O6" s="278">
        <f t="shared" si="0"/>
        <v>28800</v>
      </c>
      <c r="P6" s="278">
        <f t="shared" si="0"/>
        <v>36000</v>
      </c>
      <c r="Q6" s="278">
        <f t="shared" si="0"/>
        <v>43200</v>
      </c>
      <c r="R6" s="278">
        <f t="shared" si="0"/>
        <v>46800</v>
      </c>
      <c r="S6" s="278">
        <f t="shared" si="0"/>
        <v>50400</v>
      </c>
      <c r="T6" s="279">
        <f t="shared" ref="T6:T16" si="1">SUM(H6:S6)</f>
        <v>313200</v>
      </c>
      <c r="U6" s="280">
        <f t="shared" ref="U6:AF6" si="2">SUM(U7:U16)</f>
        <v>62100</v>
      </c>
      <c r="V6" s="281">
        <f t="shared" si="2"/>
        <v>66240</v>
      </c>
      <c r="W6" s="281">
        <f t="shared" si="2"/>
        <v>74520</v>
      </c>
      <c r="X6" s="281">
        <f t="shared" si="2"/>
        <v>80039.999999999869</v>
      </c>
      <c r="Y6" s="281">
        <f t="shared" si="2"/>
        <v>86249.999999999869</v>
      </c>
      <c r="Z6" s="281">
        <f t="shared" si="2"/>
        <v>92459.999999999869</v>
      </c>
      <c r="AA6" s="281">
        <f t="shared" si="2"/>
        <v>98669.999999999869</v>
      </c>
      <c r="AB6" s="281">
        <f t="shared" si="2"/>
        <v>104879.99999999987</v>
      </c>
      <c r="AC6" s="281">
        <f t="shared" si="2"/>
        <v>111089.99999999987</v>
      </c>
      <c r="AD6" s="281">
        <f t="shared" si="2"/>
        <v>117299.99999999987</v>
      </c>
      <c r="AE6" s="281">
        <f t="shared" si="2"/>
        <v>123509.99999999987</v>
      </c>
      <c r="AF6" s="281">
        <f t="shared" si="2"/>
        <v>129719.99999999987</v>
      </c>
      <c r="AG6" s="282">
        <f t="shared" ref="AG6:AG16" si="3">SUM(U6:AF6)</f>
        <v>1146779.9999999988</v>
      </c>
      <c r="AH6" s="280">
        <f t="shared" ref="AH6:AS6" si="4">SUM(AH7:AH16)</f>
        <v>28566</v>
      </c>
      <c r="AI6" s="281">
        <f t="shared" si="4"/>
        <v>28566</v>
      </c>
      <c r="AJ6" s="281">
        <f t="shared" si="4"/>
        <v>28566</v>
      </c>
      <c r="AK6" s="281">
        <f t="shared" si="4"/>
        <v>28566</v>
      </c>
      <c r="AL6" s="281">
        <f t="shared" si="4"/>
        <v>28566</v>
      </c>
      <c r="AM6" s="281">
        <f t="shared" si="4"/>
        <v>28566</v>
      </c>
      <c r="AN6" s="281">
        <f t="shared" si="4"/>
        <v>33327</v>
      </c>
      <c r="AO6" s="281">
        <f t="shared" si="4"/>
        <v>33327</v>
      </c>
      <c r="AP6" s="281">
        <f t="shared" si="4"/>
        <v>33327</v>
      </c>
      <c r="AQ6" s="281">
        <f t="shared" si="4"/>
        <v>33327</v>
      </c>
      <c r="AR6" s="281">
        <f t="shared" si="4"/>
        <v>33327</v>
      </c>
      <c r="AS6" s="281">
        <f t="shared" si="4"/>
        <v>33327</v>
      </c>
      <c r="AT6" s="282">
        <f t="shared" ref="AT6:AT16" si="5">SUM(AH6:AS6)</f>
        <v>371358</v>
      </c>
    </row>
    <row r="7" spans="1:46" s="269" customFormat="1" outlineLevel="1">
      <c r="A7" s="283" t="s">
        <v>142</v>
      </c>
      <c r="B7" s="284" t="s">
        <v>532</v>
      </c>
      <c r="C7" s="285">
        <v>800</v>
      </c>
      <c r="D7" s="285">
        <v>1</v>
      </c>
      <c r="E7" s="286">
        <f t="shared" ref="E7:E16" si="6">C7*D7</f>
        <v>800</v>
      </c>
      <c r="F7" s="286">
        <f>E7+E7*'Вводные данные'!$D$4</f>
        <v>920</v>
      </c>
      <c r="G7" s="287">
        <f>F7+F7*'Вводные данные'!$E$4</f>
        <v>1058</v>
      </c>
      <c r="H7" s="288">
        <f>$E$7*Продажи!B5</f>
        <v>800</v>
      </c>
      <c r="I7" s="289">
        <f>$E$7*Продажи!C5</f>
        <v>1600</v>
      </c>
      <c r="J7" s="289">
        <f>$E$7*Продажи!D5</f>
        <v>2400</v>
      </c>
      <c r="K7" s="289">
        <f>$E$7*Продажи!E5</f>
        <v>3200</v>
      </c>
      <c r="L7" s="289">
        <f>$E$7*Продажи!F5</f>
        <v>4000</v>
      </c>
      <c r="M7" s="289">
        <f>$E$7*Продажи!G5</f>
        <v>5600</v>
      </c>
      <c r="N7" s="289">
        <f>$E$7*Продажи!H5</f>
        <v>6400</v>
      </c>
      <c r="O7" s="289">
        <f>$E$7*Продажи!I5</f>
        <v>6400</v>
      </c>
      <c r="P7" s="289">
        <f>$E$7*Продажи!J5</f>
        <v>8000</v>
      </c>
      <c r="Q7" s="289">
        <f>$E$7*Продажи!K5</f>
        <v>9600</v>
      </c>
      <c r="R7" s="289">
        <f>$E$7*Продажи!L5</f>
        <v>10400</v>
      </c>
      <c r="S7" s="289">
        <f>$E$7*Продажи!M5</f>
        <v>11200</v>
      </c>
      <c r="T7" s="290">
        <f t="shared" si="1"/>
        <v>69600</v>
      </c>
      <c r="U7" s="291">
        <f>$F$7*Продажи!O5</f>
        <v>13800</v>
      </c>
      <c r="V7" s="292">
        <f>$F$7*Продажи!P5</f>
        <v>14720</v>
      </c>
      <c r="W7" s="292">
        <f>$F$7*Продажи!Q5</f>
        <v>16560</v>
      </c>
      <c r="X7" s="292">
        <f>$F$7*Продажи!R5</f>
        <v>17786.666666666635</v>
      </c>
      <c r="Y7" s="292">
        <f>$F$7*Продажи!S5</f>
        <v>19166.666666666635</v>
      </c>
      <c r="Z7" s="292">
        <f>$F$7*Продажи!T5</f>
        <v>20546.666666666635</v>
      </c>
      <c r="AA7" s="292">
        <f>$F$7*Продажи!U5</f>
        <v>21926.666666666635</v>
      </c>
      <c r="AB7" s="292">
        <f>$F$7*Продажи!V5</f>
        <v>23306.666666666635</v>
      </c>
      <c r="AC7" s="292">
        <f>$F$7*Продажи!W5</f>
        <v>24686.666666666635</v>
      </c>
      <c r="AD7" s="292">
        <f>$F$7*Продажи!X5</f>
        <v>26066.666666666635</v>
      </c>
      <c r="AE7" s="292">
        <f>$F$7*Продажи!Y5</f>
        <v>27446.666666666635</v>
      </c>
      <c r="AF7" s="292">
        <f>$F$7*Продажи!Z5</f>
        <v>28826.666666666635</v>
      </c>
      <c r="AG7" s="290">
        <f t="shared" si="3"/>
        <v>254839.99999999968</v>
      </c>
      <c r="AH7" s="291">
        <f>$G$7*Продажи!AB5</f>
        <v>6348</v>
      </c>
      <c r="AI7" s="293">
        <f>$G$7*Продажи!AC5</f>
        <v>6348</v>
      </c>
      <c r="AJ7" s="293">
        <f>$G$7*Продажи!AD5</f>
        <v>6348</v>
      </c>
      <c r="AK7" s="293">
        <f>$G$7*Продажи!AE5</f>
        <v>6348</v>
      </c>
      <c r="AL7" s="293">
        <f>$G$7*Продажи!AF5</f>
        <v>6348</v>
      </c>
      <c r="AM7" s="293">
        <f>$G$7*Продажи!AG5</f>
        <v>6348</v>
      </c>
      <c r="AN7" s="293">
        <f>$G$7*Продажи!AH5</f>
        <v>7406</v>
      </c>
      <c r="AO7" s="293">
        <f>$G$7*Продажи!AI5</f>
        <v>7406</v>
      </c>
      <c r="AP7" s="293">
        <f>$G$7*Продажи!AJ5</f>
        <v>7406</v>
      </c>
      <c r="AQ7" s="293">
        <f>$G$7*Продажи!AK5</f>
        <v>7406</v>
      </c>
      <c r="AR7" s="293">
        <f>$G$7*Продажи!AL5</f>
        <v>7406</v>
      </c>
      <c r="AS7" s="293">
        <f>$G$7*Продажи!AM5</f>
        <v>7406</v>
      </c>
      <c r="AT7" s="290">
        <f t="shared" si="5"/>
        <v>82524</v>
      </c>
    </row>
    <row r="8" spans="1:46" s="269" customFormat="1" outlineLevel="1">
      <c r="A8" s="283" t="s">
        <v>144</v>
      </c>
      <c r="B8" s="284" t="s">
        <v>533</v>
      </c>
      <c r="C8" s="285">
        <v>2500</v>
      </c>
      <c r="D8" s="285">
        <v>1</v>
      </c>
      <c r="E8" s="286">
        <f t="shared" si="6"/>
        <v>2500</v>
      </c>
      <c r="F8" s="286">
        <f>E8+E8*'Вводные данные'!$D$4</f>
        <v>2875</v>
      </c>
      <c r="G8" s="287">
        <f>F8+F8*'Вводные данные'!$E$4</f>
        <v>3306.25</v>
      </c>
      <c r="H8" s="288">
        <f>$E$8*Продажи!B5</f>
        <v>2500</v>
      </c>
      <c r="I8" s="289">
        <f>$E$8*Продажи!C5</f>
        <v>5000</v>
      </c>
      <c r="J8" s="289">
        <f>$E$8*Продажи!D5</f>
        <v>7500</v>
      </c>
      <c r="K8" s="289">
        <f>$E$8*Продажи!E5</f>
        <v>10000</v>
      </c>
      <c r="L8" s="289">
        <f>$E$8*Продажи!F5</f>
        <v>12500</v>
      </c>
      <c r="M8" s="289">
        <f>$E$8*Продажи!G5</f>
        <v>17500</v>
      </c>
      <c r="N8" s="289">
        <f>$E$8*Продажи!H5</f>
        <v>20000</v>
      </c>
      <c r="O8" s="289">
        <f>$E$8*Продажи!I5</f>
        <v>20000</v>
      </c>
      <c r="P8" s="289">
        <f>$E$8*Продажи!J5</f>
        <v>25000</v>
      </c>
      <c r="Q8" s="289">
        <f>$E$8*Продажи!K5</f>
        <v>30000</v>
      </c>
      <c r="R8" s="289">
        <f>$E$8*Продажи!L5</f>
        <v>32500</v>
      </c>
      <c r="S8" s="289">
        <f>$E$8*Продажи!M5</f>
        <v>35000</v>
      </c>
      <c r="T8" s="290">
        <f t="shared" si="1"/>
        <v>217500</v>
      </c>
      <c r="U8" s="291">
        <f>$F$8*Продажи!O5</f>
        <v>43125</v>
      </c>
      <c r="V8" s="292">
        <f>$F$8*Продажи!P5</f>
        <v>46000</v>
      </c>
      <c r="W8" s="292">
        <f>$F$8*Продажи!Q5</f>
        <v>51750</v>
      </c>
      <c r="X8" s="292">
        <f>$F$8*Продажи!R5</f>
        <v>55583.333333333241</v>
      </c>
      <c r="Y8" s="292">
        <f>$F$8*Продажи!S5</f>
        <v>59895.833333333241</v>
      </c>
      <c r="Z8" s="292">
        <f>$F$8*Продажи!T5</f>
        <v>64208.333333333241</v>
      </c>
      <c r="AA8" s="292">
        <f>$F$8*Продажи!U5</f>
        <v>68520.833333333241</v>
      </c>
      <c r="AB8" s="292">
        <f>$F$8*Продажи!V5</f>
        <v>72833.333333333241</v>
      </c>
      <c r="AC8" s="292">
        <f>$F$8*Продажи!W5</f>
        <v>77145.833333333241</v>
      </c>
      <c r="AD8" s="292">
        <f>$F$8*Продажи!X5</f>
        <v>81458.333333333241</v>
      </c>
      <c r="AE8" s="292">
        <f>$F$8*Продажи!Y5</f>
        <v>85770.833333333241</v>
      </c>
      <c r="AF8" s="292">
        <f>$F$8*Продажи!Z5</f>
        <v>90083.333333333241</v>
      </c>
      <c r="AG8" s="290">
        <f t="shared" si="3"/>
        <v>796374.9999999993</v>
      </c>
      <c r="AH8" s="291">
        <f>$G$8*Продажи!AB5</f>
        <v>19837.5</v>
      </c>
      <c r="AI8" s="293">
        <f>$G$8*Продажи!AC5</f>
        <v>19837.5</v>
      </c>
      <c r="AJ8" s="293">
        <f>$G$8*Продажи!AD5</f>
        <v>19837.5</v>
      </c>
      <c r="AK8" s="293">
        <f>$G$8*Продажи!AE5</f>
        <v>19837.5</v>
      </c>
      <c r="AL8" s="293">
        <f>$G$8*Продажи!AF5</f>
        <v>19837.5</v>
      </c>
      <c r="AM8" s="293">
        <f>$G$8*Продажи!AG5</f>
        <v>19837.5</v>
      </c>
      <c r="AN8" s="293">
        <f>$G$8*Продажи!AH5</f>
        <v>23143.75</v>
      </c>
      <c r="AO8" s="293">
        <f>$G$8*Продажи!AI5</f>
        <v>23143.75</v>
      </c>
      <c r="AP8" s="293">
        <f>$G$8*Продажи!AJ5</f>
        <v>23143.75</v>
      </c>
      <c r="AQ8" s="293">
        <f>$G$8*Продажи!AK5</f>
        <v>23143.75</v>
      </c>
      <c r="AR8" s="293">
        <f>$G$8*Продажи!AL5</f>
        <v>23143.75</v>
      </c>
      <c r="AS8" s="293">
        <f>$G$8*Продажи!AM5</f>
        <v>23143.75</v>
      </c>
      <c r="AT8" s="290">
        <f t="shared" si="5"/>
        <v>257887.5</v>
      </c>
    </row>
    <row r="9" spans="1:46" s="269" customFormat="1" outlineLevel="1">
      <c r="A9" s="283" t="s">
        <v>146</v>
      </c>
      <c r="B9" s="284" t="s">
        <v>534</v>
      </c>
      <c r="C9" s="285">
        <v>300</v>
      </c>
      <c r="D9" s="285">
        <v>1</v>
      </c>
      <c r="E9" s="286">
        <f t="shared" si="6"/>
        <v>300</v>
      </c>
      <c r="F9" s="286">
        <f>E9+E9*'Вводные данные'!$D$4</f>
        <v>345</v>
      </c>
      <c r="G9" s="287">
        <f>F9+F9*'Вводные данные'!$E$4</f>
        <v>396.75</v>
      </c>
      <c r="H9" s="288">
        <f>$E$9*Продажи!B5</f>
        <v>300</v>
      </c>
      <c r="I9" s="289">
        <f>$E$9*Продажи!C5</f>
        <v>600</v>
      </c>
      <c r="J9" s="289">
        <f>$E$9*Продажи!D5</f>
        <v>900</v>
      </c>
      <c r="K9" s="289">
        <f>$E$9*Продажи!E5</f>
        <v>1200</v>
      </c>
      <c r="L9" s="289">
        <f>$E$9*Продажи!F5</f>
        <v>1500</v>
      </c>
      <c r="M9" s="289">
        <f>$E$9*Продажи!G5</f>
        <v>2100</v>
      </c>
      <c r="N9" s="289">
        <f>$E$9*Продажи!H5</f>
        <v>2400</v>
      </c>
      <c r="O9" s="289">
        <f>$E$9*Продажи!I5</f>
        <v>2400</v>
      </c>
      <c r="P9" s="289">
        <f>$E$9*Продажи!J5</f>
        <v>3000</v>
      </c>
      <c r="Q9" s="289">
        <f>$E$9*Продажи!K5</f>
        <v>3600</v>
      </c>
      <c r="R9" s="289">
        <f>$E$9*Продажи!L5</f>
        <v>3900</v>
      </c>
      <c r="S9" s="289">
        <f>$E$9*Продажи!M5</f>
        <v>4200</v>
      </c>
      <c r="T9" s="290">
        <f t="shared" si="1"/>
        <v>26100</v>
      </c>
      <c r="U9" s="291">
        <f>$F$9*Продажи!O5</f>
        <v>5175</v>
      </c>
      <c r="V9" s="292">
        <f>$F$9*Продажи!P5</f>
        <v>5520</v>
      </c>
      <c r="W9" s="292">
        <f>$F$9*Продажи!Q5</f>
        <v>6210</v>
      </c>
      <c r="X9" s="292">
        <f>$F$9*Продажи!R5</f>
        <v>6669.9999999999882</v>
      </c>
      <c r="Y9" s="292">
        <f>$F$9*Продажи!S5</f>
        <v>7187.4999999999882</v>
      </c>
      <c r="Z9" s="292">
        <f>$F$9*Продажи!T5</f>
        <v>7704.9999999999882</v>
      </c>
      <c r="AA9" s="292">
        <f>$F$9*Продажи!U5</f>
        <v>8222.4999999999891</v>
      </c>
      <c r="AB9" s="292">
        <f>$F$9*Продажи!V5</f>
        <v>8739.9999999999891</v>
      </c>
      <c r="AC9" s="292">
        <f>$F$9*Продажи!W5</f>
        <v>9257.4999999999891</v>
      </c>
      <c r="AD9" s="292">
        <f>$F$9*Продажи!X5</f>
        <v>9774.9999999999891</v>
      </c>
      <c r="AE9" s="292">
        <f>$F$9*Продажи!Y5</f>
        <v>10292.499999999989</v>
      </c>
      <c r="AF9" s="292">
        <f>$F$9*Продажи!Z5</f>
        <v>10809.999999999989</v>
      </c>
      <c r="AG9" s="290">
        <f t="shared" si="3"/>
        <v>95564.999999999884</v>
      </c>
      <c r="AH9" s="291">
        <f>$G$9*Продажи!AB5</f>
        <v>2380.5</v>
      </c>
      <c r="AI9" s="293">
        <f>$G$9*Продажи!AC5</f>
        <v>2380.5</v>
      </c>
      <c r="AJ9" s="293">
        <f>$G$9*Продажи!AD5</f>
        <v>2380.5</v>
      </c>
      <c r="AK9" s="293">
        <f>$G$9*Продажи!AE5</f>
        <v>2380.5</v>
      </c>
      <c r="AL9" s="293">
        <f>$G$9*Продажи!AF5</f>
        <v>2380.5</v>
      </c>
      <c r="AM9" s="293">
        <f>$G$9*Продажи!AG5</f>
        <v>2380.5</v>
      </c>
      <c r="AN9" s="293">
        <f>$G$9*Продажи!AH5</f>
        <v>2777.25</v>
      </c>
      <c r="AO9" s="293">
        <f>$G$9*Продажи!AI5</f>
        <v>2777.25</v>
      </c>
      <c r="AP9" s="293">
        <f>$G$9*Продажи!AJ5</f>
        <v>2777.25</v>
      </c>
      <c r="AQ9" s="293">
        <f>$G$9*Продажи!AK5</f>
        <v>2777.25</v>
      </c>
      <c r="AR9" s="293">
        <f>$G$9*Продажи!AL5</f>
        <v>2777.25</v>
      </c>
      <c r="AS9" s="293">
        <f>$G$9*Продажи!AM5</f>
        <v>2777.25</v>
      </c>
      <c r="AT9" s="290">
        <f t="shared" si="5"/>
        <v>30946.5</v>
      </c>
    </row>
    <row r="10" spans="1:46" s="269" customFormat="1" outlineLevel="1">
      <c r="A10" s="283" t="s">
        <v>148</v>
      </c>
      <c r="B10" s="284"/>
      <c r="C10" s="285">
        <v>0</v>
      </c>
      <c r="D10" s="285">
        <v>0</v>
      </c>
      <c r="E10" s="286">
        <f t="shared" si="6"/>
        <v>0</v>
      </c>
      <c r="F10" s="286">
        <f>E10+E10*'Вводные данные'!$D$4</f>
        <v>0</v>
      </c>
      <c r="G10" s="287">
        <f>F10+F10*'Вводные данные'!$E$4</f>
        <v>0</v>
      </c>
      <c r="H10" s="288">
        <f>$E$10*Продажи!B5</f>
        <v>0</v>
      </c>
      <c r="I10" s="289">
        <f>$E$10*Продажи!C5</f>
        <v>0</v>
      </c>
      <c r="J10" s="289">
        <f>$E$10*Продажи!D5</f>
        <v>0</v>
      </c>
      <c r="K10" s="289">
        <f>$E$10*Продажи!E5</f>
        <v>0</v>
      </c>
      <c r="L10" s="289">
        <f>$E$10*Продажи!F5</f>
        <v>0</v>
      </c>
      <c r="M10" s="289">
        <f>$E$10*Продажи!G5</f>
        <v>0</v>
      </c>
      <c r="N10" s="289">
        <f>$E$10*Продажи!H5</f>
        <v>0</v>
      </c>
      <c r="O10" s="289">
        <f>$E$10*Продажи!I5</f>
        <v>0</v>
      </c>
      <c r="P10" s="289">
        <f>$E$10*Продажи!J5</f>
        <v>0</v>
      </c>
      <c r="Q10" s="289">
        <f>$E$10*Продажи!K5</f>
        <v>0</v>
      </c>
      <c r="R10" s="289">
        <f>$E$10*Продажи!L5</f>
        <v>0</v>
      </c>
      <c r="S10" s="289">
        <f>$E$10*Продажи!M5</f>
        <v>0</v>
      </c>
      <c r="T10" s="290">
        <f t="shared" si="1"/>
        <v>0</v>
      </c>
      <c r="U10" s="291">
        <f>$F$10*Продажи!O5</f>
        <v>0</v>
      </c>
      <c r="V10" s="292">
        <f>$F$10*Продажи!P5</f>
        <v>0</v>
      </c>
      <c r="W10" s="292">
        <f>$F$10*Продажи!Q5</f>
        <v>0</v>
      </c>
      <c r="X10" s="292">
        <f>$F$10*Продажи!R5</f>
        <v>0</v>
      </c>
      <c r="Y10" s="292">
        <f>$F$10*Продажи!S5</f>
        <v>0</v>
      </c>
      <c r="Z10" s="292">
        <f>$F$10*Продажи!T5</f>
        <v>0</v>
      </c>
      <c r="AA10" s="292">
        <f>$F$10*Продажи!U5</f>
        <v>0</v>
      </c>
      <c r="AB10" s="292">
        <f>$F$10*Продажи!V5</f>
        <v>0</v>
      </c>
      <c r="AC10" s="292">
        <f>$F$10*Продажи!W5</f>
        <v>0</v>
      </c>
      <c r="AD10" s="292">
        <f>$F$10*Продажи!X5</f>
        <v>0</v>
      </c>
      <c r="AE10" s="292">
        <f>$F$10*Продажи!Y5</f>
        <v>0</v>
      </c>
      <c r="AF10" s="292">
        <f>$F$10*Продажи!Z5</f>
        <v>0</v>
      </c>
      <c r="AG10" s="290">
        <f t="shared" si="3"/>
        <v>0</v>
      </c>
      <c r="AH10" s="291">
        <f>$G$10*Продажи!AB5</f>
        <v>0</v>
      </c>
      <c r="AI10" s="293">
        <f>$G$10*Продажи!AC5</f>
        <v>0</v>
      </c>
      <c r="AJ10" s="293">
        <f>$G$10*Продажи!AD5</f>
        <v>0</v>
      </c>
      <c r="AK10" s="293">
        <f>$G$10*Продажи!AE5</f>
        <v>0</v>
      </c>
      <c r="AL10" s="293">
        <f>$G$10*Продажи!AF5</f>
        <v>0</v>
      </c>
      <c r="AM10" s="293">
        <f>$G$10*Продажи!AG5</f>
        <v>0</v>
      </c>
      <c r="AN10" s="293">
        <f>$G$10*Продажи!AH5</f>
        <v>0</v>
      </c>
      <c r="AO10" s="293">
        <f>$G$10*Продажи!AI5</f>
        <v>0</v>
      </c>
      <c r="AP10" s="293">
        <f>$G$10*Продажи!AJ5</f>
        <v>0</v>
      </c>
      <c r="AQ10" s="293">
        <f>$G$10*Продажи!AK5</f>
        <v>0</v>
      </c>
      <c r="AR10" s="293">
        <f>$G$10*Продажи!AL5</f>
        <v>0</v>
      </c>
      <c r="AS10" s="293">
        <f>$G$10*Продажи!AM5</f>
        <v>0</v>
      </c>
      <c r="AT10" s="290">
        <f t="shared" si="5"/>
        <v>0</v>
      </c>
    </row>
    <row r="11" spans="1:46" s="269" customFormat="1" outlineLevel="1">
      <c r="A11" s="283" t="s">
        <v>150</v>
      </c>
      <c r="B11" s="284">
        <v>0</v>
      </c>
      <c r="C11" s="285">
        <v>0</v>
      </c>
      <c r="D11" s="285">
        <v>0</v>
      </c>
      <c r="E11" s="286">
        <f t="shared" si="6"/>
        <v>0</v>
      </c>
      <c r="F11" s="286">
        <f>E11+E11*'Вводные данные'!$D$4</f>
        <v>0</v>
      </c>
      <c r="G11" s="287">
        <f>F11+F11*'Вводные данные'!$E$4</f>
        <v>0</v>
      </c>
      <c r="H11" s="288">
        <f>$E$11*Продажи!B5</f>
        <v>0</v>
      </c>
      <c r="I11" s="289">
        <f>$E$11*Продажи!C5</f>
        <v>0</v>
      </c>
      <c r="J11" s="289">
        <f>$E$11*Продажи!D5</f>
        <v>0</v>
      </c>
      <c r="K11" s="289">
        <f>$E$11*Продажи!E5</f>
        <v>0</v>
      </c>
      <c r="L11" s="289">
        <f>$E$11*Продажи!F5</f>
        <v>0</v>
      </c>
      <c r="M11" s="289">
        <f>$E$11*Продажи!G5</f>
        <v>0</v>
      </c>
      <c r="N11" s="289">
        <f>$E$11*Продажи!H5</f>
        <v>0</v>
      </c>
      <c r="O11" s="289">
        <f>$E$11*Продажи!I5</f>
        <v>0</v>
      </c>
      <c r="P11" s="289">
        <f>$E$11*Продажи!J5</f>
        <v>0</v>
      </c>
      <c r="Q11" s="289">
        <f>$E$11*Продажи!K5</f>
        <v>0</v>
      </c>
      <c r="R11" s="289">
        <f>$E$11*Продажи!L5</f>
        <v>0</v>
      </c>
      <c r="S11" s="289">
        <f>$E$11*Продажи!M5</f>
        <v>0</v>
      </c>
      <c r="T11" s="290">
        <f t="shared" si="1"/>
        <v>0</v>
      </c>
      <c r="U11" s="291">
        <f>$F$11*Продажи!O5</f>
        <v>0</v>
      </c>
      <c r="V11" s="292">
        <f>$F$11*Продажи!P5</f>
        <v>0</v>
      </c>
      <c r="W11" s="292">
        <f>$F$11*Продажи!Q5</f>
        <v>0</v>
      </c>
      <c r="X11" s="292">
        <f>$F$11*Продажи!R5</f>
        <v>0</v>
      </c>
      <c r="Y11" s="292">
        <f>$F$11*Продажи!S5</f>
        <v>0</v>
      </c>
      <c r="Z11" s="292">
        <f>$F$11*Продажи!T5</f>
        <v>0</v>
      </c>
      <c r="AA11" s="292">
        <f>$F$11*Продажи!U5</f>
        <v>0</v>
      </c>
      <c r="AB11" s="292">
        <f>$F$11*Продажи!V5</f>
        <v>0</v>
      </c>
      <c r="AC11" s="292">
        <f>$F$11*Продажи!W5</f>
        <v>0</v>
      </c>
      <c r="AD11" s="292">
        <f>$F$11*Продажи!X5</f>
        <v>0</v>
      </c>
      <c r="AE11" s="292">
        <f>$F$11*Продажи!Y5</f>
        <v>0</v>
      </c>
      <c r="AF11" s="292">
        <f>$F$11*Продажи!Z5</f>
        <v>0</v>
      </c>
      <c r="AG11" s="290">
        <f t="shared" si="3"/>
        <v>0</v>
      </c>
      <c r="AH11" s="291">
        <f>$G$11*Продажи!AB5</f>
        <v>0</v>
      </c>
      <c r="AI11" s="293">
        <f>$G$11*Продажи!AC5</f>
        <v>0</v>
      </c>
      <c r="AJ11" s="293">
        <f>$G$11*Продажи!AD5</f>
        <v>0</v>
      </c>
      <c r="AK11" s="293">
        <f>$G$11*Продажи!AE5</f>
        <v>0</v>
      </c>
      <c r="AL11" s="293">
        <f>$G$11*Продажи!AF5</f>
        <v>0</v>
      </c>
      <c r="AM11" s="293">
        <f>$G$11*Продажи!AG5</f>
        <v>0</v>
      </c>
      <c r="AN11" s="293">
        <f>$G$11*Продажи!AH5</f>
        <v>0</v>
      </c>
      <c r="AO11" s="293">
        <f>$G$11*Продажи!AI5</f>
        <v>0</v>
      </c>
      <c r="AP11" s="293">
        <f>$G$11*Продажи!AJ5</f>
        <v>0</v>
      </c>
      <c r="AQ11" s="293">
        <f>$G$11*Продажи!AK5</f>
        <v>0</v>
      </c>
      <c r="AR11" s="293">
        <f>$G$11*Продажи!AL5</f>
        <v>0</v>
      </c>
      <c r="AS11" s="293">
        <f>$G$11*Продажи!AM5</f>
        <v>0</v>
      </c>
      <c r="AT11" s="290">
        <f t="shared" si="5"/>
        <v>0</v>
      </c>
    </row>
    <row r="12" spans="1:46" s="269" customFormat="1" outlineLevel="1">
      <c r="A12" s="283" t="s">
        <v>152</v>
      </c>
      <c r="B12" s="284">
        <v>0</v>
      </c>
      <c r="C12" s="285">
        <v>0</v>
      </c>
      <c r="D12" s="285">
        <v>0</v>
      </c>
      <c r="E12" s="286">
        <f t="shared" si="6"/>
        <v>0</v>
      </c>
      <c r="F12" s="286">
        <f>E12+E12*'Вводные данные'!$D$4</f>
        <v>0</v>
      </c>
      <c r="G12" s="287">
        <f>F12+F12*'Вводные данные'!$E$4</f>
        <v>0</v>
      </c>
      <c r="H12" s="288">
        <f>$E$12*Продажи!B5</f>
        <v>0</v>
      </c>
      <c r="I12" s="289">
        <f>$E$12*Продажи!C5</f>
        <v>0</v>
      </c>
      <c r="J12" s="289">
        <f>$E$12*Продажи!D5</f>
        <v>0</v>
      </c>
      <c r="K12" s="289">
        <f>$E$12*Продажи!E5</f>
        <v>0</v>
      </c>
      <c r="L12" s="289">
        <f>$E$12*Продажи!F5</f>
        <v>0</v>
      </c>
      <c r="M12" s="289">
        <f>$E$12*Продажи!G5</f>
        <v>0</v>
      </c>
      <c r="N12" s="289">
        <f>$E$12*Продажи!H5</f>
        <v>0</v>
      </c>
      <c r="O12" s="289">
        <f>$E$12*Продажи!I5</f>
        <v>0</v>
      </c>
      <c r="P12" s="289">
        <f>$E$12*Продажи!J5</f>
        <v>0</v>
      </c>
      <c r="Q12" s="289">
        <f>$E$12*Продажи!K5</f>
        <v>0</v>
      </c>
      <c r="R12" s="289">
        <f>$E$12*Продажи!L5</f>
        <v>0</v>
      </c>
      <c r="S12" s="289">
        <f>$E$12*Продажи!M5</f>
        <v>0</v>
      </c>
      <c r="T12" s="290">
        <f t="shared" si="1"/>
        <v>0</v>
      </c>
      <c r="U12" s="291">
        <f>$F$12*Продажи!O5</f>
        <v>0</v>
      </c>
      <c r="V12" s="292">
        <f>$F$12*Продажи!P5</f>
        <v>0</v>
      </c>
      <c r="W12" s="292">
        <f>$F$12*Продажи!Q5</f>
        <v>0</v>
      </c>
      <c r="X12" s="292">
        <f>$F$12*Продажи!R5</f>
        <v>0</v>
      </c>
      <c r="Y12" s="292">
        <f>$F$12*Продажи!S5</f>
        <v>0</v>
      </c>
      <c r="Z12" s="292">
        <f>$F$12*Продажи!T5</f>
        <v>0</v>
      </c>
      <c r="AA12" s="292">
        <f>$F$12*Продажи!U5</f>
        <v>0</v>
      </c>
      <c r="AB12" s="292">
        <f>$F$12*Продажи!V5</f>
        <v>0</v>
      </c>
      <c r="AC12" s="292">
        <f>$F$12*Продажи!W5</f>
        <v>0</v>
      </c>
      <c r="AD12" s="292">
        <f>$F$12*Продажи!X5</f>
        <v>0</v>
      </c>
      <c r="AE12" s="292">
        <f>$F$12*Продажи!Y5</f>
        <v>0</v>
      </c>
      <c r="AF12" s="292">
        <f>$F$12*Продажи!Z5</f>
        <v>0</v>
      </c>
      <c r="AG12" s="290">
        <f t="shared" si="3"/>
        <v>0</v>
      </c>
      <c r="AH12" s="291">
        <f>$G$12*Продажи!AB5</f>
        <v>0</v>
      </c>
      <c r="AI12" s="293">
        <f>$G$12*Продажи!AC5</f>
        <v>0</v>
      </c>
      <c r="AJ12" s="293">
        <f>$G$12*Продажи!AD5</f>
        <v>0</v>
      </c>
      <c r="AK12" s="293">
        <f>$G$12*Продажи!AE5</f>
        <v>0</v>
      </c>
      <c r="AL12" s="293">
        <f>$G$12*Продажи!AF5</f>
        <v>0</v>
      </c>
      <c r="AM12" s="293">
        <f>$G$12*Продажи!AG5</f>
        <v>0</v>
      </c>
      <c r="AN12" s="293">
        <f>$G$12*Продажи!AH5</f>
        <v>0</v>
      </c>
      <c r="AO12" s="293">
        <f>$G$12*Продажи!AI5</f>
        <v>0</v>
      </c>
      <c r="AP12" s="293">
        <f>$G$12*Продажи!AJ5</f>
        <v>0</v>
      </c>
      <c r="AQ12" s="293">
        <f>$G$12*Продажи!AK5</f>
        <v>0</v>
      </c>
      <c r="AR12" s="293">
        <f>$G$12*Продажи!AL5</f>
        <v>0</v>
      </c>
      <c r="AS12" s="293">
        <f>$G$12*Продажи!AM5</f>
        <v>0</v>
      </c>
      <c r="AT12" s="290">
        <f t="shared" si="5"/>
        <v>0</v>
      </c>
    </row>
    <row r="13" spans="1:46" s="269" customFormat="1" outlineLevel="1">
      <c r="A13" s="283" t="s">
        <v>154</v>
      </c>
      <c r="B13" s="284" t="s">
        <v>155</v>
      </c>
      <c r="C13" s="285"/>
      <c r="D13" s="285"/>
      <c r="E13" s="286">
        <f t="shared" si="6"/>
        <v>0</v>
      </c>
      <c r="F13" s="286">
        <f>E13+E13*'Вводные данные'!$D$4</f>
        <v>0</v>
      </c>
      <c r="G13" s="287">
        <f>F13+F13*'Вводные данные'!$E$4</f>
        <v>0</v>
      </c>
      <c r="H13" s="288">
        <f>$E$13*Продажи!B5</f>
        <v>0</v>
      </c>
      <c r="I13" s="289">
        <f>$E$13*Продажи!C5</f>
        <v>0</v>
      </c>
      <c r="J13" s="289">
        <f>$E$13*Продажи!D5</f>
        <v>0</v>
      </c>
      <c r="K13" s="289">
        <f>$E$13*Продажи!E5</f>
        <v>0</v>
      </c>
      <c r="L13" s="289">
        <f>$E$13*Продажи!F5</f>
        <v>0</v>
      </c>
      <c r="M13" s="289">
        <f>$E$13*Продажи!G5</f>
        <v>0</v>
      </c>
      <c r="N13" s="289">
        <f>$E$13*Продажи!H5</f>
        <v>0</v>
      </c>
      <c r="O13" s="289">
        <f>$E$13*Продажи!I5</f>
        <v>0</v>
      </c>
      <c r="P13" s="289">
        <f>$E$13*Продажи!J5</f>
        <v>0</v>
      </c>
      <c r="Q13" s="289">
        <f>$E$13*Продажи!K5</f>
        <v>0</v>
      </c>
      <c r="R13" s="289">
        <f>$E$13*Продажи!L5</f>
        <v>0</v>
      </c>
      <c r="S13" s="289">
        <f>$E$13*Продажи!M5</f>
        <v>0</v>
      </c>
      <c r="T13" s="290">
        <f t="shared" si="1"/>
        <v>0</v>
      </c>
      <c r="U13" s="291">
        <f>$F$13*Продажи!O5</f>
        <v>0</v>
      </c>
      <c r="V13" s="292">
        <f>$F$13*Продажи!P5</f>
        <v>0</v>
      </c>
      <c r="W13" s="292">
        <f>$F$13*Продажи!Q5</f>
        <v>0</v>
      </c>
      <c r="X13" s="292">
        <f>$F$13*Продажи!R5</f>
        <v>0</v>
      </c>
      <c r="Y13" s="292">
        <f>$F$13*Продажи!S5</f>
        <v>0</v>
      </c>
      <c r="Z13" s="292">
        <f>$F$13*Продажи!T5</f>
        <v>0</v>
      </c>
      <c r="AA13" s="292">
        <f>$F$13*Продажи!U5</f>
        <v>0</v>
      </c>
      <c r="AB13" s="292">
        <f>$F$13*Продажи!V5</f>
        <v>0</v>
      </c>
      <c r="AC13" s="292">
        <f>$F$13*Продажи!W5</f>
        <v>0</v>
      </c>
      <c r="AD13" s="292">
        <f>$F$13*Продажи!X5</f>
        <v>0</v>
      </c>
      <c r="AE13" s="292">
        <f>$F$13*Продажи!Y5</f>
        <v>0</v>
      </c>
      <c r="AF13" s="292">
        <f>$F$13*Продажи!Z5</f>
        <v>0</v>
      </c>
      <c r="AG13" s="290">
        <f t="shared" si="3"/>
        <v>0</v>
      </c>
      <c r="AH13" s="291">
        <f>$G$13*Продажи!AB5</f>
        <v>0</v>
      </c>
      <c r="AI13" s="293">
        <f>$G$13*Продажи!AC5</f>
        <v>0</v>
      </c>
      <c r="AJ13" s="293">
        <f>$G$13*Продажи!AD5</f>
        <v>0</v>
      </c>
      <c r="AK13" s="293">
        <f>$G$13*Продажи!AE5</f>
        <v>0</v>
      </c>
      <c r="AL13" s="293">
        <f>$G$13*Продажи!AF5</f>
        <v>0</v>
      </c>
      <c r="AM13" s="293">
        <f>$G$13*Продажи!AG5</f>
        <v>0</v>
      </c>
      <c r="AN13" s="293">
        <f>$G$13*Продажи!AH5</f>
        <v>0</v>
      </c>
      <c r="AO13" s="293">
        <f>$G$13*Продажи!AI5</f>
        <v>0</v>
      </c>
      <c r="AP13" s="293">
        <f>$G$13*Продажи!AJ5</f>
        <v>0</v>
      </c>
      <c r="AQ13" s="293">
        <f>$G$13*Продажи!AK5</f>
        <v>0</v>
      </c>
      <c r="AR13" s="293">
        <f>$G$13*Продажи!AL5</f>
        <v>0</v>
      </c>
      <c r="AS13" s="293">
        <f>$G$13*Продажи!AM5</f>
        <v>0</v>
      </c>
      <c r="AT13" s="290">
        <f t="shared" si="5"/>
        <v>0</v>
      </c>
    </row>
    <row r="14" spans="1:46" s="269" customFormat="1" outlineLevel="1">
      <c r="A14" s="283" t="s">
        <v>156</v>
      </c>
      <c r="B14" s="284" t="s">
        <v>157</v>
      </c>
      <c r="C14" s="285"/>
      <c r="D14" s="285"/>
      <c r="E14" s="286">
        <f t="shared" si="6"/>
        <v>0</v>
      </c>
      <c r="F14" s="286">
        <f>E14+E14*'Вводные данные'!$D$4</f>
        <v>0</v>
      </c>
      <c r="G14" s="287">
        <f>F14+F14*'Вводные данные'!$E$4</f>
        <v>0</v>
      </c>
      <c r="H14" s="288">
        <f>$E$14*Продажи!B5</f>
        <v>0</v>
      </c>
      <c r="I14" s="289">
        <f>$E$14*Продажи!C5</f>
        <v>0</v>
      </c>
      <c r="J14" s="289">
        <f>$E$14*Продажи!D5</f>
        <v>0</v>
      </c>
      <c r="K14" s="289">
        <f>$E$14*Продажи!E5</f>
        <v>0</v>
      </c>
      <c r="L14" s="289">
        <f>$E$14*Продажи!F5</f>
        <v>0</v>
      </c>
      <c r="M14" s="289">
        <f>$E$14*Продажи!G5</f>
        <v>0</v>
      </c>
      <c r="N14" s="289">
        <f>$E$14*Продажи!H5</f>
        <v>0</v>
      </c>
      <c r="O14" s="289">
        <f>$E$14*Продажи!I5</f>
        <v>0</v>
      </c>
      <c r="P14" s="289">
        <f>$E$14*Продажи!J5</f>
        <v>0</v>
      </c>
      <c r="Q14" s="289">
        <f>$E$14*Продажи!K5</f>
        <v>0</v>
      </c>
      <c r="R14" s="289">
        <f>$E$14*Продажи!L5</f>
        <v>0</v>
      </c>
      <c r="S14" s="289">
        <f>$E$14*Продажи!M5</f>
        <v>0</v>
      </c>
      <c r="T14" s="290">
        <f t="shared" si="1"/>
        <v>0</v>
      </c>
      <c r="U14" s="291">
        <f>$F$14*Продажи!O5</f>
        <v>0</v>
      </c>
      <c r="V14" s="292">
        <f>$F$14*Продажи!P5</f>
        <v>0</v>
      </c>
      <c r="W14" s="292">
        <f>$F$14*Продажи!Q5</f>
        <v>0</v>
      </c>
      <c r="X14" s="292">
        <f>$F$14*Продажи!R5</f>
        <v>0</v>
      </c>
      <c r="Y14" s="292">
        <f>$F$14*Продажи!S5</f>
        <v>0</v>
      </c>
      <c r="Z14" s="292">
        <f>$F$14*Продажи!T5</f>
        <v>0</v>
      </c>
      <c r="AA14" s="292">
        <f>$F$14*Продажи!U5</f>
        <v>0</v>
      </c>
      <c r="AB14" s="292">
        <f>$F$14*Продажи!V5</f>
        <v>0</v>
      </c>
      <c r="AC14" s="292">
        <f>$F$14*Продажи!W5</f>
        <v>0</v>
      </c>
      <c r="AD14" s="292">
        <f>$F$14*Продажи!X5</f>
        <v>0</v>
      </c>
      <c r="AE14" s="292">
        <f>$F$14*Продажи!Y5</f>
        <v>0</v>
      </c>
      <c r="AF14" s="292">
        <f>$F$14*Продажи!Z5</f>
        <v>0</v>
      </c>
      <c r="AG14" s="290">
        <f t="shared" si="3"/>
        <v>0</v>
      </c>
      <c r="AH14" s="291">
        <f>$G$14*Продажи!AB5</f>
        <v>0</v>
      </c>
      <c r="AI14" s="293">
        <f>$G$14*Продажи!AC5</f>
        <v>0</v>
      </c>
      <c r="AJ14" s="293">
        <f>$G$14*Продажи!AD5</f>
        <v>0</v>
      </c>
      <c r="AK14" s="293">
        <f>$G$14*Продажи!AE5</f>
        <v>0</v>
      </c>
      <c r="AL14" s="293">
        <f>$G$14*Продажи!AF5</f>
        <v>0</v>
      </c>
      <c r="AM14" s="293">
        <f>$G$14*Продажи!AG5</f>
        <v>0</v>
      </c>
      <c r="AN14" s="293">
        <f>$G$14*Продажи!AH5</f>
        <v>0</v>
      </c>
      <c r="AO14" s="293">
        <f>$G$14*Продажи!AI5</f>
        <v>0</v>
      </c>
      <c r="AP14" s="293">
        <f>$G$14*Продажи!AJ5</f>
        <v>0</v>
      </c>
      <c r="AQ14" s="293">
        <f>$G$14*Продажи!AK5</f>
        <v>0</v>
      </c>
      <c r="AR14" s="293">
        <f>$G$14*Продажи!AL5</f>
        <v>0</v>
      </c>
      <c r="AS14" s="293">
        <f>$G$14*Продажи!AM5</f>
        <v>0</v>
      </c>
      <c r="AT14" s="290">
        <f t="shared" si="5"/>
        <v>0</v>
      </c>
    </row>
    <row r="15" spans="1:46" s="269" customFormat="1" outlineLevel="1">
      <c r="A15" s="283" t="s">
        <v>158</v>
      </c>
      <c r="B15" s="284" t="s">
        <v>159</v>
      </c>
      <c r="C15" s="285"/>
      <c r="D15" s="285"/>
      <c r="E15" s="286">
        <f t="shared" si="6"/>
        <v>0</v>
      </c>
      <c r="F15" s="286">
        <f>E15+E15*'Вводные данные'!$D$4</f>
        <v>0</v>
      </c>
      <c r="G15" s="287">
        <f>F15+F15*'Вводные данные'!$E$4</f>
        <v>0</v>
      </c>
      <c r="H15" s="288">
        <f>$E$15*Продажи!B5</f>
        <v>0</v>
      </c>
      <c r="I15" s="289">
        <f>$E$15*Продажи!C5</f>
        <v>0</v>
      </c>
      <c r="J15" s="289">
        <f>$E$15*Продажи!D5</f>
        <v>0</v>
      </c>
      <c r="K15" s="289">
        <f>$E$15*Продажи!E5</f>
        <v>0</v>
      </c>
      <c r="L15" s="289">
        <f>$E$15*Продажи!F5</f>
        <v>0</v>
      </c>
      <c r="M15" s="289">
        <f>$E$15*Продажи!G5</f>
        <v>0</v>
      </c>
      <c r="N15" s="289">
        <f>$E$15*Продажи!H5</f>
        <v>0</v>
      </c>
      <c r="O15" s="289">
        <f>$E$15*Продажи!I5</f>
        <v>0</v>
      </c>
      <c r="P15" s="289">
        <f>$E$15*Продажи!J5</f>
        <v>0</v>
      </c>
      <c r="Q15" s="289">
        <f>$E$15*Продажи!K5</f>
        <v>0</v>
      </c>
      <c r="R15" s="289">
        <f>$E$15*Продажи!L5</f>
        <v>0</v>
      </c>
      <c r="S15" s="289">
        <f>$E$15*Продажи!M5</f>
        <v>0</v>
      </c>
      <c r="T15" s="290">
        <f t="shared" si="1"/>
        <v>0</v>
      </c>
      <c r="U15" s="291">
        <f>$F$15*Продажи!O5</f>
        <v>0</v>
      </c>
      <c r="V15" s="292">
        <f>$F$15*Продажи!P5</f>
        <v>0</v>
      </c>
      <c r="W15" s="292">
        <f>$F$15*Продажи!Q5</f>
        <v>0</v>
      </c>
      <c r="X15" s="292">
        <f>$F$15*Продажи!R5</f>
        <v>0</v>
      </c>
      <c r="Y15" s="292">
        <f>$F$15*Продажи!S5</f>
        <v>0</v>
      </c>
      <c r="Z15" s="292">
        <f>$F$15*Продажи!T5</f>
        <v>0</v>
      </c>
      <c r="AA15" s="292">
        <f>$F$15*Продажи!U5</f>
        <v>0</v>
      </c>
      <c r="AB15" s="292">
        <f>$F$15*Продажи!V5</f>
        <v>0</v>
      </c>
      <c r="AC15" s="292">
        <f>$F$15*Продажи!W5</f>
        <v>0</v>
      </c>
      <c r="AD15" s="292">
        <f>$F$15*Продажи!X5</f>
        <v>0</v>
      </c>
      <c r="AE15" s="292">
        <f>$F$15*Продажи!Y5</f>
        <v>0</v>
      </c>
      <c r="AF15" s="292">
        <f>$F$15*Продажи!Z5</f>
        <v>0</v>
      </c>
      <c r="AG15" s="290">
        <f t="shared" si="3"/>
        <v>0</v>
      </c>
      <c r="AH15" s="291">
        <f>$G$15*Продажи!AB5</f>
        <v>0</v>
      </c>
      <c r="AI15" s="293">
        <f>$G$15*Продажи!AC5</f>
        <v>0</v>
      </c>
      <c r="AJ15" s="293">
        <f>$G$15*Продажи!AD5</f>
        <v>0</v>
      </c>
      <c r="AK15" s="293">
        <f>$G$15*Продажи!AE5</f>
        <v>0</v>
      </c>
      <c r="AL15" s="293">
        <f>$G$15*Продажи!AF5</f>
        <v>0</v>
      </c>
      <c r="AM15" s="293">
        <f>$G$15*Продажи!AG5</f>
        <v>0</v>
      </c>
      <c r="AN15" s="293">
        <f>$G$15*Продажи!AH5</f>
        <v>0</v>
      </c>
      <c r="AO15" s="293">
        <f>$G$15*Продажи!AI5</f>
        <v>0</v>
      </c>
      <c r="AP15" s="293">
        <f>$G$15*Продажи!AJ5</f>
        <v>0</v>
      </c>
      <c r="AQ15" s="293">
        <f>$G$15*Продажи!AK5</f>
        <v>0</v>
      </c>
      <c r="AR15" s="293">
        <f>$G$15*Продажи!AL5</f>
        <v>0</v>
      </c>
      <c r="AS15" s="293">
        <f>$G$15*Продажи!AM5</f>
        <v>0</v>
      </c>
      <c r="AT15" s="290">
        <f t="shared" si="5"/>
        <v>0</v>
      </c>
    </row>
    <row r="16" spans="1:46" s="269" customFormat="1" outlineLevel="1">
      <c r="A16" s="283" t="s">
        <v>160</v>
      </c>
      <c r="B16" s="284" t="s">
        <v>161</v>
      </c>
      <c r="C16" s="285"/>
      <c r="D16" s="285"/>
      <c r="E16" s="286">
        <f t="shared" si="6"/>
        <v>0</v>
      </c>
      <c r="F16" s="286">
        <f>E16+E16*'Вводные данные'!$D$4</f>
        <v>0</v>
      </c>
      <c r="G16" s="287">
        <f>F16+F16*'Вводные данные'!$E$4</f>
        <v>0</v>
      </c>
      <c r="H16" s="288">
        <f>$E$16*Продажи!B5</f>
        <v>0</v>
      </c>
      <c r="I16" s="289">
        <f>$E$16*Продажи!C5</f>
        <v>0</v>
      </c>
      <c r="J16" s="289">
        <f>$E$16*Продажи!D5</f>
        <v>0</v>
      </c>
      <c r="K16" s="289">
        <f>$E$16*Продажи!E5</f>
        <v>0</v>
      </c>
      <c r="L16" s="289">
        <f>$E$16*Продажи!F5</f>
        <v>0</v>
      </c>
      <c r="M16" s="289">
        <f>$E$16*Продажи!G5</f>
        <v>0</v>
      </c>
      <c r="N16" s="289">
        <f>$E$16*Продажи!H5</f>
        <v>0</v>
      </c>
      <c r="O16" s="289">
        <f>$E$16*Продажи!I5</f>
        <v>0</v>
      </c>
      <c r="P16" s="289">
        <f>$E$16*Продажи!J5</f>
        <v>0</v>
      </c>
      <c r="Q16" s="289">
        <f>$E$16*Продажи!K5</f>
        <v>0</v>
      </c>
      <c r="R16" s="289">
        <f>$E$16*Продажи!L5</f>
        <v>0</v>
      </c>
      <c r="S16" s="289">
        <f>$E$16*Продажи!M5</f>
        <v>0</v>
      </c>
      <c r="T16" s="290">
        <f t="shared" si="1"/>
        <v>0</v>
      </c>
      <c r="U16" s="291">
        <f>$F$16*Продажи!O5</f>
        <v>0</v>
      </c>
      <c r="V16" s="292">
        <f>$F$16*Продажи!P5</f>
        <v>0</v>
      </c>
      <c r="W16" s="292">
        <f>$F$16*Продажи!Q5</f>
        <v>0</v>
      </c>
      <c r="X16" s="292">
        <f>$F$16*Продажи!R5</f>
        <v>0</v>
      </c>
      <c r="Y16" s="292">
        <f>$F$16*Продажи!S5</f>
        <v>0</v>
      </c>
      <c r="Z16" s="292">
        <f>$F$16*Продажи!T5</f>
        <v>0</v>
      </c>
      <c r="AA16" s="292">
        <f>$F$16*Продажи!U5</f>
        <v>0</v>
      </c>
      <c r="AB16" s="292">
        <f>$F$16*Продажи!V5</f>
        <v>0</v>
      </c>
      <c r="AC16" s="292">
        <f>$F$16*Продажи!W5</f>
        <v>0</v>
      </c>
      <c r="AD16" s="292">
        <f>$F$16*Продажи!X5</f>
        <v>0</v>
      </c>
      <c r="AE16" s="292">
        <f>$F$16*Продажи!Y5</f>
        <v>0</v>
      </c>
      <c r="AF16" s="292">
        <f>$F$16*Продажи!Z5</f>
        <v>0</v>
      </c>
      <c r="AG16" s="290">
        <f t="shared" si="3"/>
        <v>0</v>
      </c>
      <c r="AH16" s="291">
        <f>$G$16*Продажи!AB5</f>
        <v>0</v>
      </c>
      <c r="AI16" s="293">
        <f>$G$16*Продажи!AC5</f>
        <v>0</v>
      </c>
      <c r="AJ16" s="293">
        <f>$G$16*Продажи!AD5</f>
        <v>0</v>
      </c>
      <c r="AK16" s="293">
        <f>$G$16*Продажи!AE5</f>
        <v>0</v>
      </c>
      <c r="AL16" s="293">
        <f>$G$16*Продажи!AF5</f>
        <v>0</v>
      </c>
      <c r="AM16" s="293">
        <f>$G$16*Продажи!AG5</f>
        <v>0</v>
      </c>
      <c r="AN16" s="293">
        <f>$G$16*Продажи!AH5</f>
        <v>0</v>
      </c>
      <c r="AO16" s="293">
        <f>$G$16*Продажи!AI5</f>
        <v>0</v>
      </c>
      <c r="AP16" s="293">
        <f>$G$16*Продажи!AJ5</f>
        <v>0</v>
      </c>
      <c r="AQ16" s="293">
        <f>$G$16*Продажи!AK5</f>
        <v>0</v>
      </c>
      <c r="AR16" s="293">
        <f>$G$16*Продажи!AL5</f>
        <v>0</v>
      </c>
      <c r="AS16" s="293">
        <f>$G$16*Продажи!AM5</f>
        <v>0</v>
      </c>
      <c r="AT16" s="290">
        <f t="shared" si="5"/>
        <v>0</v>
      </c>
    </row>
    <row r="17" spans="1:46" s="269" customFormat="1" ht="24" customHeight="1" outlineLevel="1">
      <c r="A17" s="294" t="s">
        <v>162</v>
      </c>
      <c r="B17" s="485" t="s">
        <v>163</v>
      </c>
      <c r="C17" s="486"/>
      <c r="D17" s="486"/>
      <c r="E17" s="486"/>
      <c r="F17" s="486"/>
      <c r="G17" s="487"/>
      <c r="H17" s="295">
        <f>'Продукция и цена '!C4</f>
        <v>35000</v>
      </c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7">
        <f>H17</f>
        <v>35000</v>
      </c>
      <c r="U17" s="298">
        <f>'Продукция и цена '!D4</f>
        <v>40250</v>
      </c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7">
        <f t="shared" ref="AG17:AG80" si="7">SUM(U17:AF17)</f>
        <v>40250</v>
      </c>
      <c r="AH17" s="298">
        <f>'Продукция и цена '!E4</f>
        <v>46287.5</v>
      </c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7">
        <f t="shared" ref="AT17:AT80" si="8">SUM(AH17:AS17)</f>
        <v>46287.5</v>
      </c>
    </row>
    <row r="18" spans="1:46" s="270" customFormat="1" ht="14.25">
      <c r="A18" s="273">
        <v>2</v>
      </c>
      <c r="B18" s="274" t="str">
        <f>'Продукция и цена '!A5</f>
        <v>Поддержка системы</v>
      </c>
      <c r="C18" s="275" t="s">
        <v>103</v>
      </c>
      <c r="D18" s="275" t="s">
        <v>103</v>
      </c>
      <c r="E18" s="275" t="s">
        <v>3</v>
      </c>
      <c r="F18" s="275" t="s">
        <v>4</v>
      </c>
      <c r="G18" s="276" t="s">
        <v>5</v>
      </c>
      <c r="H18" s="277">
        <f t="shared" ref="H18:S18" si="9">SUM(H19:H28)</f>
        <v>4000</v>
      </c>
      <c r="I18" s="278">
        <f t="shared" si="9"/>
        <v>0</v>
      </c>
      <c r="J18" s="278">
        <f t="shared" si="9"/>
        <v>4000</v>
      </c>
      <c r="K18" s="278">
        <f t="shared" si="9"/>
        <v>4000</v>
      </c>
      <c r="L18" s="278">
        <f t="shared" si="9"/>
        <v>6000</v>
      </c>
      <c r="M18" s="278">
        <f t="shared" si="9"/>
        <v>8000</v>
      </c>
      <c r="N18" s="278">
        <f t="shared" si="9"/>
        <v>10000</v>
      </c>
      <c r="O18" s="278">
        <f t="shared" si="9"/>
        <v>12000</v>
      </c>
      <c r="P18" s="278">
        <f t="shared" si="9"/>
        <v>16000</v>
      </c>
      <c r="Q18" s="278">
        <f t="shared" si="9"/>
        <v>16000</v>
      </c>
      <c r="R18" s="278">
        <f t="shared" si="9"/>
        <v>18000</v>
      </c>
      <c r="S18" s="278">
        <f t="shared" si="9"/>
        <v>20000</v>
      </c>
      <c r="T18" s="279">
        <f t="shared" ref="T18:T28" si="10">SUM(H18:S18)</f>
        <v>118000</v>
      </c>
      <c r="U18" s="280">
        <f t="shared" ref="U18:AF18" si="11">SUM(U19:U28)</f>
        <v>27600</v>
      </c>
      <c r="V18" s="281">
        <f t="shared" si="11"/>
        <v>34500</v>
      </c>
      <c r="W18" s="281">
        <f t="shared" si="11"/>
        <v>39100</v>
      </c>
      <c r="X18" s="281">
        <f t="shared" si="11"/>
        <v>48300</v>
      </c>
      <c r="Y18" s="281">
        <f t="shared" si="11"/>
        <v>52900</v>
      </c>
      <c r="Z18" s="281">
        <f t="shared" si="11"/>
        <v>59800</v>
      </c>
      <c r="AA18" s="281">
        <f t="shared" si="11"/>
        <v>64400</v>
      </c>
      <c r="AB18" s="281">
        <f t="shared" si="11"/>
        <v>73600</v>
      </c>
      <c r="AC18" s="281">
        <f t="shared" si="11"/>
        <v>78200</v>
      </c>
      <c r="AD18" s="281">
        <f t="shared" si="11"/>
        <v>85100</v>
      </c>
      <c r="AE18" s="281">
        <f t="shared" si="11"/>
        <v>89700</v>
      </c>
      <c r="AF18" s="281">
        <f t="shared" si="11"/>
        <v>98900</v>
      </c>
      <c r="AG18" s="282">
        <f t="shared" si="7"/>
        <v>752100</v>
      </c>
      <c r="AH18" s="280">
        <f t="shared" ref="AH18:AS18" si="12">SUM(AH19:AH28)</f>
        <v>129605</v>
      </c>
      <c r="AI18" s="281">
        <f t="shared" si="12"/>
        <v>145475</v>
      </c>
      <c r="AJ18" s="281">
        <f t="shared" si="12"/>
        <v>156055</v>
      </c>
      <c r="AK18" s="281">
        <f t="shared" si="12"/>
        <v>171925</v>
      </c>
      <c r="AL18" s="281">
        <f t="shared" si="12"/>
        <v>182505</v>
      </c>
      <c r="AM18" s="281">
        <f t="shared" si="12"/>
        <v>198375</v>
      </c>
      <c r="AN18" s="281">
        <f t="shared" si="12"/>
        <v>208955</v>
      </c>
      <c r="AO18" s="281">
        <f t="shared" si="12"/>
        <v>224825</v>
      </c>
      <c r="AP18" s="281">
        <f t="shared" si="12"/>
        <v>235405</v>
      </c>
      <c r="AQ18" s="281">
        <f t="shared" si="12"/>
        <v>251275</v>
      </c>
      <c r="AR18" s="281">
        <f t="shared" si="12"/>
        <v>261855</v>
      </c>
      <c r="AS18" s="281">
        <f t="shared" si="12"/>
        <v>277725</v>
      </c>
      <c r="AT18" s="282">
        <f t="shared" si="8"/>
        <v>2443980</v>
      </c>
    </row>
    <row r="19" spans="1:46" s="269" customFormat="1" outlineLevel="1">
      <c r="A19" s="283" t="s">
        <v>23</v>
      </c>
      <c r="B19" s="284" t="s">
        <v>533</v>
      </c>
      <c r="C19" s="285">
        <v>2000</v>
      </c>
      <c r="D19" s="285">
        <v>1</v>
      </c>
      <c r="E19" s="286">
        <f t="shared" ref="E19:E82" si="13">C19*D19</f>
        <v>2000</v>
      </c>
      <c r="F19" s="286">
        <f>E19+E19*'Вводные данные'!$D$4</f>
        <v>2300</v>
      </c>
      <c r="G19" s="287">
        <f>F19+F19*'Вводные данные'!$E$4</f>
        <v>2645</v>
      </c>
      <c r="H19" s="288">
        <f>$E$19*Продажи!B6</f>
        <v>4000</v>
      </c>
      <c r="I19" s="288">
        <f>$E$19*Продажи!C6</f>
        <v>0</v>
      </c>
      <c r="J19" s="288">
        <f>$E$19*Продажи!D6</f>
        <v>4000</v>
      </c>
      <c r="K19" s="288">
        <f>$E$19*Продажи!E6</f>
        <v>4000</v>
      </c>
      <c r="L19" s="288">
        <f>$E$19*Продажи!F6</f>
        <v>6000</v>
      </c>
      <c r="M19" s="288">
        <f>$E$19*Продажи!G6</f>
        <v>8000</v>
      </c>
      <c r="N19" s="288">
        <f>$E$19*Продажи!H6</f>
        <v>10000</v>
      </c>
      <c r="O19" s="288">
        <f>$E$19*Продажи!I6</f>
        <v>12000</v>
      </c>
      <c r="P19" s="288">
        <f>$E$19*Продажи!J6</f>
        <v>16000</v>
      </c>
      <c r="Q19" s="288">
        <f>$E$19*Продажи!K6</f>
        <v>16000</v>
      </c>
      <c r="R19" s="288">
        <f>$E$19*Продажи!L6</f>
        <v>18000</v>
      </c>
      <c r="S19" s="288">
        <f>$E$19*Продажи!M6</f>
        <v>20000</v>
      </c>
      <c r="T19" s="290">
        <f t="shared" si="10"/>
        <v>118000</v>
      </c>
      <c r="U19" s="291">
        <f>$F$19*Продажи!O6</f>
        <v>27600</v>
      </c>
      <c r="V19" s="292">
        <f>$F$19*Продажи!P6</f>
        <v>34500</v>
      </c>
      <c r="W19" s="292">
        <f>$F$19*Продажи!Q6</f>
        <v>39100</v>
      </c>
      <c r="X19" s="292">
        <f>$F$19*Продажи!R6</f>
        <v>48300</v>
      </c>
      <c r="Y19" s="292">
        <f>$F$19*Продажи!S6</f>
        <v>52900</v>
      </c>
      <c r="Z19" s="292">
        <f>$F$19*Продажи!T6</f>
        <v>59800</v>
      </c>
      <c r="AA19" s="292">
        <f>$F$19*Продажи!U6</f>
        <v>64400</v>
      </c>
      <c r="AB19" s="292">
        <f>$F$19*Продажи!V6</f>
        <v>73600</v>
      </c>
      <c r="AC19" s="292">
        <f>$F$19*Продажи!W6</f>
        <v>78200</v>
      </c>
      <c r="AD19" s="292">
        <f>$F$19*Продажи!X6</f>
        <v>85100</v>
      </c>
      <c r="AE19" s="292">
        <f>$F$19*Продажи!Y6</f>
        <v>89700</v>
      </c>
      <c r="AF19" s="292">
        <f>$F$19*Продажи!Z6</f>
        <v>98900</v>
      </c>
      <c r="AG19" s="290">
        <f t="shared" si="7"/>
        <v>752100</v>
      </c>
      <c r="AH19" s="291">
        <f>$G$19*Продажи!AB6</f>
        <v>129605</v>
      </c>
      <c r="AI19" s="293">
        <f>$G$19*Продажи!AC6</f>
        <v>145475</v>
      </c>
      <c r="AJ19" s="293">
        <f>$G$19*Продажи!AD6</f>
        <v>156055</v>
      </c>
      <c r="AK19" s="293">
        <f>$G$19*Продажи!AE6</f>
        <v>171925</v>
      </c>
      <c r="AL19" s="293">
        <f>$G$19*Продажи!AF6</f>
        <v>182505</v>
      </c>
      <c r="AM19" s="293">
        <f>$G$19*Продажи!AG6</f>
        <v>198375</v>
      </c>
      <c r="AN19" s="293">
        <f>$G$19*Продажи!AH6</f>
        <v>208955</v>
      </c>
      <c r="AO19" s="293">
        <f>$G$19*Продажи!AI6</f>
        <v>224825</v>
      </c>
      <c r="AP19" s="293">
        <f>$G$19*Продажи!AJ6</f>
        <v>235405</v>
      </c>
      <c r="AQ19" s="293">
        <f>$G$19*Продажи!AK6</f>
        <v>251275</v>
      </c>
      <c r="AR19" s="293">
        <f>$G$19*Продажи!AL6</f>
        <v>261855</v>
      </c>
      <c r="AS19" s="293">
        <f>$G$19*Продажи!AM6</f>
        <v>277725</v>
      </c>
      <c r="AT19" s="290">
        <f t="shared" si="8"/>
        <v>2443980</v>
      </c>
    </row>
    <row r="20" spans="1:46" s="269" customFormat="1" outlineLevel="1">
      <c r="A20" s="283" t="s">
        <v>164</v>
      </c>
      <c r="B20" s="284">
        <v>0</v>
      </c>
      <c r="C20" s="285">
        <v>0</v>
      </c>
      <c r="D20" s="285">
        <v>0</v>
      </c>
      <c r="E20" s="286">
        <f t="shared" si="13"/>
        <v>0</v>
      </c>
      <c r="F20" s="286">
        <f>E20+E20*'Вводные данные'!$D$4</f>
        <v>0</v>
      </c>
      <c r="G20" s="287">
        <f>F20+F20*'Вводные данные'!$E$4</f>
        <v>0</v>
      </c>
      <c r="H20" s="288">
        <f>$E$20*Продажи!B6</f>
        <v>0</v>
      </c>
      <c r="I20" s="288">
        <f>$E$20*Продажи!C6</f>
        <v>0</v>
      </c>
      <c r="J20" s="288">
        <f>$E$20*Продажи!D6</f>
        <v>0</v>
      </c>
      <c r="K20" s="288">
        <f>$E$20*Продажи!E6</f>
        <v>0</v>
      </c>
      <c r="L20" s="288">
        <f>$E$20*Продажи!F6</f>
        <v>0</v>
      </c>
      <c r="M20" s="288">
        <f>$E$20*Продажи!G6</f>
        <v>0</v>
      </c>
      <c r="N20" s="288">
        <f>$E$20*Продажи!H6</f>
        <v>0</v>
      </c>
      <c r="O20" s="288">
        <f>$E$20*Продажи!I6</f>
        <v>0</v>
      </c>
      <c r="P20" s="288">
        <f>$E$20*Продажи!J6</f>
        <v>0</v>
      </c>
      <c r="Q20" s="288">
        <f>$E$20*Продажи!K6</f>
        <v>0</v>
      </c>
      <c r="R20" s="288">
        <f>$E$20*Продажи!L6</f>
        <v>0</v>
      </c>
      <c r="S20" s="288">
        <f>$E$20*Продажи!M6</f>
        <v>0</v>
      </c>
      <c r="T20" s="290">
        <f t="shared" si="10"/>
        <v>0</v>
      </c>
      <c r="U20" s="291">
        <f>$F$20*Продажи!O6</f>
        <v>0</v>
      </c>
      <c r="V20" s="292">
        <f>$F$20*Продажи!P6</f>
        <v>0</v>
      </c>
      <c r="W20" s="292">
        <f>$F$20*Продажи!Q6</f>
        <v>0</v>
      </c>
      <c r="X20" s="292">
        <f>$F$20*Продажи!R6</f>
        <v>0</v>
      </c>
      <c r="Y20" s="292">
        <f>$F$20*Продажи!S6</f>
        <v>0</v>
      </c>
      <c r="Z20" s="292">
        <f>$F$20*Продажи!T6</f>
        <v>0</v>
      </c>
      <c r="AA20" s="292">
        <f>$F$20*Продажи!U6</f>
        <v>0</v>
      </c>
      <c r="AB20" s="292">
        <f>$F$20*Продажи!V6</f>
        <v>0</v>
      </c>
      <c r="AC20" s="292">
        <f>$F$20*Продажи!W6</f>
        <v>0</v>
      </c>
      <c r="AD20" s="292">
        <f>$F$20*Продажи!X6</f>
        <v>0</v>
      </c>
      <c r="AE20" s="292">
        <f>$F$20*Продажи!Y6</f>
        <v>0</v>
      </c>
      <c r="AF20" s="292">
        <f>$F$20*Продажи!Z6</f>
        <v>0</v>
      </c>
      <c r="AG20" s="290">
        <f t="shared" si="7"/>
        <v>0</v>
      </c>
      <c r="AH20" s="291">
        <f>$G$20*Продажи!AB6</f>
        <v>0</v>
      </c>
      <c r="AI20" s="293">
        <f>$G$20*Продажи!AC6</f>
        <v>0</v>
      </c>
      <c r="AJ20" s="293">
        <f>$G$20*Продажи!AD6</f>
        <v>0</v>
      </c>
      <c r="AK20" s="293">
        <f>$G$20*Продажи!AE6</f>
        <v>0</v>
      </c>
      <c r="AL20" s="293">
        <f>$G$20*Продажи!AF6</f>
        <v>0</v>
      </c>
      <c r="AM20" s="293">
        <f>$G$20*Продажи!AG6</f>
        <v>0</v>
      </c>
      <c r="AN20" s="293">
        <f>$G$20*Продажи!AH6</f>
        <v>0</v>
      </c>
      <c r="AO20" s="293">
        <f>$G$20*Продажи!AI6</f>
        <v>0</v>
      </c>
      <c r="AP20" s="293">
        <f>$G$20*Продажи!AJ6</f>
        <v>0</v>
      </c>
      <c r="AQ20" s="293">
        <f>$G$20*Продажи!AK6</f>
        <v>0</v>
      </c>
      <c r="AR20" s="293">
        <f>$G$20*Продажи!AL6</f>
        <v>0</v>
      </c>
      <c r="AS20" s="293">
        <f>$G$20*Продажи!AM6</f>
        <v>0</v>
      </c>
      <c r="AT20" s="290">
        <f t="shared" si="8"/>
        <v>0</v>
      </c>
    </row>
    <row r="21" spans="1:46" s="269" customFormat="1" outlineLevel="1">
      <c r="A21" s="283" t="s">
        <v>165</v>
      </c>
      <c r="B21" s="284">
        <v>0</v>
      </c>
      <c r="C21" s="285">
        <v>0</v>
      </c>
      <c r="D21" s="285">
        <v>0</v>
      </c>
      <c r="E21" s="286">
        <f t="shared" si="13"/>
        <v>0</v>
      </c>
      <c r="F21" s="286">
        <f>E21+E21*'Вводные данные'!$D$4</f>
        <v>0</v>
      </c>
      <c r="G21" s="287">
        <f>F21+F21*'Вводные данные'!$E$4</f>
        <v>0</v>
      </c>
      <c r="H21" s="288">
        <f>$E$21*Продажи!B6</f>
        <v>0</v>
      </c>
      <c r="I21" s="288">
        <f>$E$21*Продажи!C6</f>
        <v>0</v>
      </c>
      <c r="J21" s="288">
        <f>$E$21*Продажи!D6</f>
        <v>0</v>
      </c>
      <c r="K21" s="288">
        <f>$E$21*Продажи!E6</f>
        <v>0</v>
      </c>
      <c r="L21" s="288">
        <f>$E$21*Продажи!F6</f>
        <v>0</v>
      </c>
      <c r="M21" s="288">
        <f>$E$21*Продажи!G6</f>
        <v>0</v>
      </c>
      <c r="N21" s="288">
        <f>$E$21*Продажи!H6</f>
        <v>0</v>
      </c>
      <c r="O21" s="288">
        <f>$E$21*Продажи!I6</f>
        <v>0</v>
      </c>
      <c r="P21" s="288">
        <f>$E$21*Продажи!J6</f>
        <v>0</v>
      </c>
      <c r="Q21" s="288">
        <f>$E$21*Продажи!K6</f>
        <v>0</v>
      </c>
      <c r="R21" s="288">
        <f>$E$21*Продажи!L6</f>
        <v>0</v>
      </c>
      <c r="S21" s="288">
        <f>$E$21*Продажи!M6</f>
        <v>0</v>
      </c>
      <c r="T21" s="290">
        <f t="shared" si="10"/>
        <v>0</v>
      </c>
      <c r="U21" s="291">
        <f>$F$21*Продажи!O6</f>
        <v>0</v>
      </c>
      <c r="V21" s="292">
        <f>$F$21*Продажи!P6</f>
        <v>0</v>
      </c>
      <c r="W21" s="292">
        <f>$F$21*Продажи!Q6</f>
        <v>0</v>
      </c>
      <c r="X21" s="292">
        <f>$F$21*Продажи!R6</f>
        <v>0</v>
      </c>
      <c r="Y21" s="292">
        <f>$F$21*Продажи!S6</f>
        <v>0</v>
      </c>
      <c r="Z21" s="292">
        <f>$F$21*Продажи!T6</f>
        <v>0</v>
      </c>
      <c r="AA21" s="292">
        <f>$F$21*Продажи!U6</f>
        <v>0</v>
      </c>
      <c r="AB21" s="292">
        <f>$F$21*Продажи!V6</f>
        <v>0</v>
      </c>
      <c r="AC21" s="292">
        <f>$F$21*Продажи!W6</f>
        <v>0</v>
      </c>
      <c r="AD21" s="292">
        <f>$F$21*Продажи!X6</f>
        <v>0</v>
      </c>
      <c r="AE21" s="292">
        <f>$F$21*Продажи!Y6</f>
        <v>0</v>
      </c>
      <c r="AF21" s="292">
        <f>$F$21*Продажи!Z6</f>
        <v>0</v>
      </c>
      <c r="AG21" s="290">
        <f t="shared" si="7"/>
        <v>0</v>
      </c>
      <c r="AH21" s="291">
        <f>$G$21*Продажи!AB6</f>
        <v>0</v>
      </c>
      <c r="AI21" s="293">
        <f>$G$21*Продажи!AC6</f>
        <v>0</v>
      </c>
      <c r="AJ21" s="293">
        <f>$G$21*Продажи!AD6</f>
        <v>0</v>
      </c>
      <c r="AK21" s="293">
        <f>$G$21*Продажи!AE6</f>
        <v>0</v>
      </c>
      <c r="AL21" s="293">
        <f>$G$21*Продажи!AF6</f>
        <v>0</v>
      </c>
      <c r="AM21" s="293">
        <f>$G$21*Продажи!AG6</f>
        <v>0</v>
      </c>
      <c r="AN21" s="293">
        <f>$G$21*Продажи!AH6</f>
        <v>0</v>
      </c>
      <c r="AO21" s="293">
        <f>$G$21*Продажи!AI6</f>
        <v>0</v>
      </c>
      <c r="AP21" s="293">
        <f>$G$21*Продажи!AJ6</f>
        <v>0</v>
      </c>
      <c r="AQ21" s="293">
        <f>$G$21*Продажи!AK6</f>
        <v>0</v>
      </c>
      <c r="AR21" s="293">
        <f>$G$21*Продажи!AL6</f>
        <v>0</v>
      </c>
      <c r="AS21" s="293">
        <f>$G$21*Продажи!AM6</f>
        <v>0</v>
      </c>
      <c r="AT21" s="290">
        <f t="shared" si="8"/>
        <v>0</v>
      </c>
    </row>
    <row r="22" spans="1:46" s="269" customFormat="1" outlineLevel="1">
      <c r="A22" s="283" t="s">
        <v>166</v>
      </c>
      <c r="B22" s="284">
        <v>0</v>
      </c>
      <c r="C22" s="285">
        <v>0</v>
      </c>
      <c r="D22" s="285">
        <v>0</v>
      </c>
      <c r="E22" s="286">
        <f t="shared" si="13"/>
        <v>0</v>
      </c>
      <c r="F22" s="286">
        <f>E22+E22*'Вводные данные'!$D$4</f>
        <v>0</v>
      </c>
      <c r="G22" s="287">
        <f>F22+F22*'Вводные данные'!$E$4</f>
        <v>0</v>
      </c>
      <c r="H22" s="288">
        <f>$E$22*Продажи!B6</f>
        <v>0</v>
      </c>
      <c r="I22" s="288">
        <f>$E$22*Продажи!C6</f>
        <v>0</v>
      </c>
      <c r="J22" s="288">
        <f>$E$22*Продажи!D6</f>
        <v>0</v>
      </c>
      <c r="K22" s="288">
        <f>$E$22*Продажи!E6</f>
        <v>0</v>
      </c>
      <c r="L22" s="288">
        <f>$E$22*Продажи!F6</f>
        <v>0</v>
      </c>
      <c r="M22" s="288">
        <f>$E$22*Продажи!G6</f>
        <v>0</v>
      </c>
      <c r="N22" s="288">
        <f>$E$22*Продажи!H6</f>
        <v>0</v>
      </c>
      <c r="O22" s="288">
        <f>$E$22*Продажи!I6</f>
        <v>0</v>
      </c>
      <c r="P22" s="288">
        <f>$E$22*Продажи!J6</f>
        <v>0</v>
      </c>
      <c r="Q22" s="288">
        <f>$E$22*Продажи!K6</f>
        <v>0</v>
      </c>
      <c r="R22" s="288">
        <f>$E$22*Продажи!L6</f>
        <v>0</v>
      </c>
      <c r="S22" s="288">
        <f>$E$22*Продажи!M6</f>
        <v>0</v>
      </c>
      <c r="T22" s="290">
        <f t="shared" si="10"/>
        <v>0</v>
      </c>
      <c r="U22" s="291">
        <f>$F$22*Продажи!O6</f>
        <v>0</v>
      </c>
      <c r="V22" s="292">
        <f>$F$22*Продажи!P6</f>
        <v>0</v>
      </c>
      <c r="W22" s="292">
        <f>$F$22*Продажи!Q6</f>
        <v>0</v>
      </c>
      <c r="X22" s="292">
        <f>$F$22*Продажи!R6</f>
        <v>0</v>
      </c>
      <c r="Y22" s="292">
        <f>$F$22*Продажи!S6</f>
        <v>0</v>
      </c>
      <c r="Z22" s="292">
        <f>$F$22*Продажи!T6</f>
        <v>0</v>
      </c>
      <c r="AA22" s="292">
        <f>$F$22*Продажи!U6</f>
        <v>0</v>
      </c>
      <c r="AB22" s="292">
        <f>$F$22*Продажи!V6</f>
        <v>0</v>
      </c>
      <c r="AC22" s="292">
        <f>$F$22*Продажи!W6</f>
        <v>0</v>
      </c>
      <c r="AD22" s="292">
        <f>$F$22*Продажи!X6</f>
        <v>0</v>
      </c>
      <c r="AE22" s="292">
        <f>$F$22*Продажи!Y6</f>
        <v>0</v>
      </c>
      <c r="AF22" s="292">
        <f>$F$22*Продажи!Z6</f>
        <v>0</v>
      </c>
      <c r="AG22" s="290">
        <f t="shared" si="7"/>
        <v>0</v>
      </c>
      <c r="AH22" s="291">
        <f>$G$22*Продажи!AB6</f>
        <v>0</v>
      </c>
      <c r="AI22" s="293">
        <f>$G$22*Продажи!AC6</f>
        <v>0</v>
      </c>
      <c r="AJ22" s="293">
        <f>$G$22*Продажи!AD6</f>
        <v>0</v>
      </c>
      <c r="AK22" s="293">
        <f>$G$22*Продажи!AE6</f>
        <v>0</v>
      </c>
      <c r="AL22" s="293">
        <f>$G$22*Продажи!AF6</f>
        <v>0</v>
      </c>
      <c r="AM22" s="293">
        <f>$G$22*Продажи!AG6</f>
        <v>0</v>
      </c>
      <c r="AN22" s="293">
        <f>$G$22*Продажи!AH6</f>
        <v>0</v>
      </c>
      <c r="AO22" s="293">
        <f>$G$22*Продажи!AI6</f>
        <v>0</v>
      </c>
      <c r="AP22" s="293">
        <f>$G$22*Продажи!AJ6</f>
        <v>0</v>
      </c>
      <c r="AQ22" s="293">
        <f>$G$22*Продажи!AK6</f>
        <v>0</v>
      </c>
      <c r="AR22" s="293">
        <f>$G$22*Продажи!AL6</f>
        <v>0</v>
      </c>
      <c r="AS22" s="293">
        <f>$G$22*Продажи!AM6</f>
        <v>0</v>
      </c>
      <c r="AT22" s="290">
        <f t="shared" si="8"/>
        <v>0</v>
      </c>
    </row>
    <row r="23" spans="1:46" s="269" customFormat="1" outlineLevel="1">
      <c r="A23" s="283" t="s">
        <v>167</v>
      </c>
      <c r="B23" s="284" t="s">
        <v>151</v>
      </c>
      <c r="C23" s="285"/>
      <c r="D23" s="285"/>
      <c r="E23" s="286">
        <f t="shared" si="13"/>
        <v>0</v>
      </c>
      <c r="F23" s="286">
        <f>E23+E23*'Вводные данные'!$D$4</f>
        <v>0</v>
      </c>
      <c r="G23" s="287">
        <f>F23+F23*'Вводные данные'!$E$4</f>
        <v>0</v>
      </c>
      <c r="H23" s="288">
        <f>$E$23*Продажи!B6</f>
        <v>0</v>
      </c>
      <c r="I23" s="288">
        <f>$E$23*Продажи!C6</f>
        <v>0</v>
      </c>
      <c r="J23" s="288">
        <f>$E$23*Продажи!D6</f>
        <v>0</v>
      </c>
      <c r="K23" s="288">
        <f>$E$23*Продажи!E6</f>
        <v>0</v>
      </c>
      <c r="L23" s="288">
        <f>$E$23*Продажи!F6</f>
        <v>0</v>
      </c>
      <c r="M23" s="288">
        <f>$E$23*Продажи!G6</f>
        <v>0</v>
      </c>
      <c r="N23" s="288">
        <f>$E$23*Продажи!H6</f>
        <v>0</v>
      </c>
      <c r="O23" s="288">
        <f>$E$23*Продажи!I6</f>
        <v>0</v>
      </c>
      <c r="P23" s="288">
        <f>$E$23*Продажи!J6</f>
        <v>0</v>
      </c>
      <c r="Q23" s="288">
        <f>$E$23*Продажи!K6</f>
        <v>0</v>
      </c>
      <c r="R23" s="288">
        <f>$E$23*Продажи!L6</f>
        <v>0</v>
      </c>
      <c r="S23" s="288">
        <f>$E$23*Продажи!M6</f>
        <v>0</v>
      </c>
      <c r="T23" s="290">
        <f t="shared" si="10"/>
        <v>0</v>
      </c>
      <c r="U23" s="291">
        <f>$F$23*Продажи!O6</f>
        <v>0</v>
      </c>
      <c r="V23" s="292">
        <f>$F$23*Продажи!P6</f>
        <v>0</v>
      </c>
      <c r="W23" s="292">
        <f>$F$23*Продажи!Q6</f>
        <v>0</v>
      </c>
      <c r="X23" s="292">
        <f>$F$23*Продажи!R6</f>
        <v>0</v>
      </c>
      <c r="Y23" s="292">
        <f>$F$23*Продажи!S6</f>
        <v>0</v>
      </c>
      <c r="Z23" s="292">
        <f>$F$23*Продажи!T6</f>
        <v>0</v>
      </c>
      <c r="AA23" s="292">
        <f>$F$23*Продажи!U6</f>
        <v>0</v>
      </c>
      <c r="AB23" s="292">
        <f>$F$23*Продажи!V6</f>
        <v>0</v>
      </c>
      <c r="AC23" s="292">
        <f>$F$23*Продажи!W6</f>
        <v>0</v>
      </c>
      <c r="AD23" s="292">
        <f>$F$23*Продажи!X6</f>
        <v>0</v>
      </c>
      <c r="AE23" s="292">
        <f>$F$23*Продажи!Y6</f>
        <v>0</v>
      </c>
      <c r="AF23" s="292">
        <f>$F$23*Продажи!Z6</f>
        <v>0</v>
      </c>
      <c r="AG23" s="290">
        <f t="shared" si="7"/>
        <v>0</v>
      </c>
      <c r="AH23" s="291">
        <f>$G$23*Продажи!AB6</f>
        <v>0</v>
      </c>
      <c r="AI23" s="293">
        <f>$G$23*Продажи!AC6</f>
        <v>0</v>
      </c>
      <c r="AJ23" s="293">
        <f>$G$23*Продажи!AD6</f>
        <v>0</v>
      </c>
      <c r="AK23" s="293">
        <f>$G$23*Продажи!AE6</f>
        <v>0</v>
      </c>
      <c r="AL23" s="293">
        <f>$G$23*Продажи!AF6</f>
        <v>0</v>
      </c>
      <c r="AM23" s="293">
        <f>$G$23*Продажи!AG6</f>
        <v>0</v>
      </c>
      <c r="AN23" s="293">
        <f>$G$23*Продажи!AH6</f>
        <v>0</v>
      </c>
      <c r="AO23" s="293">
        <f>$G$23*Продажи!AI6</f>
        <v>0</v>
      </c>
      <c r="AP23" s="293">
        <f>$G$23*Продажи!AJ6</f>
        <v>0</v>
      </c>
      <c r="AQ23" s="293">
        <f>$G$23*Продажи!AK6</f>
        <v>0</v>
      </c>
      <c r="AR23" s="293">
        <f>$G$23*Продажи!AL6</f>
        <v>0</v>
      </c>
      <c r="AS23" s="293">
        <f>$G$23*Продажи!AM6</f>
        <v>0</v>
      </c>
      <c r="AT23" s="290">
        <f t="shared" si="8"/>
        <v>0</v>
      </c>
    </row>
    <row r="24" spans="1:46" s="269" customFormat="1" outlineLevel="1">
      <c r="A24" s="283" t="s">
        <v>168</v>
      </c>
      <c r="B24" s="284" t="s">
        <v>153</v>
      </c>
      <c r="C24" s="285"/>
      <c r="D24" s="285"/>
      <c r="E24" s="286">
        <f t="shared" si="13"/>
        <v>0</v>
      </c>
      <c r="F24" s="286">
        <f>E24+E24*'Вводные данные'!$D$4</f>
        <v>0</v>
      </c>
      <c r="G24" s="287">
        <f>F24+F24*'Вводные данные'!$E$4</f>
        <v>0</v>
      </c>
      <c r="H24" s="288">
        <f>$E$24*Продажи!B6</f>
        <v>0</v>
      </c>
      <c r="I24" s="288">
        <f>$E$24*Продажи!C6</f>
        <v>0</v>
      </c>
      <c r="J24" s="288">
        <f>$E$24*Продажи!D6</f>
        <v>0</v>
      </c>
      <c r="K24" s="288">
        <f>$E$24*Продажи!E6</f>
        <v>0</v>
      </c>
      <c r="L24" s="288">
        <f>$E$24*Продажи!F6</f>
        <v>0</v>
      </c>
      <c r="M24" s="288">
        <f>$E$24*Продажи!G6</f>
        <v>0</v>
      </c>
      <c r="N24" s="288">
        <f>$E$24*Продажи!H6</f>
        <v>0</v>
      </c>
      <c r="O24" s="288">
        <f>$E$24*Продажи!I6</f>
        <v>0</v>
      </c>
      <c r="P24" s="288">
        <f>$E$24*Продажи!J6</f>
        <v>0</v>
      </c>
      <c r="Q24" s="288">
        <f>$E$24*Продажи!K6</f>
        <v>0</v>
      </c>
      <c r="R24" s="288">
        <f>$E$24*Продажи!L6</f>
        <v>0</v>
      </c>
      <c r="S24" s="288">
        <f>$E$24*Продажи!M6</f>
        <v>0</v>
      </c>
      <c r="T24" s="290">
        <f t="shared" si="10"/>
        <v>0</v>
      </c>
      <c r="U24" s="291">
        <f>$F$24*Продажи!O6</f>
        <v>0</v>
      </c>
      <c r="V24" s="292">
        <f>$F$24*Продажи!P6</f>
        <v>0</v>
      </c>
      <c r="W24" s="292">
        <f>$F$24*Продажи!Q6</f>
        <v>0</v>
      </c>
      <c r="X24" s="292">
        <f>$F$24*Продажи!R6</f>
        <v>0</v>
      </c>
      <c r="Y24" s="292">
        <f>$F$24*Продажи!S6</f>
        <v>0</v>
      </c>
      <c r="Z24" s="292">
        <f>$F$24*Продажи!T6</f>
        <v>0</v>
      </c>
      <c r="AA24" s="292">
        <f>$F$24*Продажи!U6</f>
        <v>0</v>
      </c>
      <c r="AB24" s="292">
        <f>$F$24*Продажи!V6</f>
        <v>0</v>
      </c>
      <c r="AC24" s="292">
        <f>$F$24*Продажи!W6</f>
        <v>0</v>
      </c>
      <c r="AD24" s="292">
        <f>$F$24*Продажи!X6</f>
        <v>0</v>
      </c>
      <c r="AE24" s="292">
        <f>$F$24*Продажи!Y6</f>
        <v>0</v>
      </c>
      <c r="AF24" s="292">
        <f>$F$24*Продажи!Z6</f>
        <v>0</v>
      </c>
      <c r="AG24" s="290">
        <f t="shared" si="7"/>
        <v>0</v>
      </c>
      <c r="AH24" s="291">
        <f>$G$24*Продажи!AB6</f>
        <v>0</v>
      </c>
      <c r="AI24" s="293">
        <f>$G$24*Продажи!AC6</f>
        <v>0</v>
      </c>
      <c r="AJ24" s="293">
        <f>$G$24*Продажи!AD6</f>
        <v>0</v>
      </c>
      <c r="AK24" s="293">
        <f>$G$24*Продажи!AE6</f>
        <v>0</v>
      </c>
      <c r="AL24" s="293">
        <f>$G$24*Продажи!AF6</f>
        <v>0</v>
      </c>
      <c r="AM24" s="293">
        <f>$G$24*Продажи!AG6</f>
        <v>0</v>
      </c>
      <c r="AN24" s="293">
        <f>$G$24*Продажи!AH6</f>
        <v>0</v>
      </c>
      <c r="AO24" s="293">
        <f>$G$24*Продажи!AI6</f>
        <v>0</v>
      </c>
      <c r="AP24" s="293">
        <f>$G$24*Продажи!AJ6</f>
        <v>0</v>
      </c>
      <c r="AQ24" s="293">
        <f>$G$24*Продажи!AK6</f>
        <v>0</v>
      </c>
      <c r="AR24" s="293">
        <f>$G$24*Продажи!AL6</f>
        <v>0</v>
      </c>
      <c r="AS24" s="293">
        <f>$G$24*Продажи!AM6</f>
        <v>0</v>
      </c>
      <c r="AT24" s="290">
        <f t="shared" si="8"/>
        <v>0</v>
      </c>
    </row>
    <row r="25" spans="1:46" s="269" customFormat="1" outlineLevel="1">
      <c r="A25" s="283" t="s">
        <v>169</v>
      </c>
      <c r="B25" s="284" t="s">
        <v>155</v>
      </c>
      <c r="C25" s="285"/>
      <c r="D25" s="285"/>
      <c r="E25" s="286">
        <f t="shared" si="13"/>
        <v>0</v>
      </c>
      <c r="F25" s="286">
        <f>E25+E25*'Вводные данные'!$D$4</f>
        <v>0</v>
      </c>
      <c r="G25" s="287">
        <f>F25+F25*'Вводные данные'!$E$4</f>
        <v>0</v>
      </c>
      <c r="H25" s="288">
        <f>$E$25*Продажи!B6</f>
        <v>0</v>
      </c>
      <c r="I25" s="288">
        <f>$E$25*Продажи!C6</f>
        <v>0</v>
      </c>
      <c r="J25" s="288">
        <f>$E$25*Продажи!D6</f>
        <v>0</v>
      </c>
      <c r="K25" s="288">
        <f>$E$25*Продажи!E6</f>
        <v>0</v>
      </c>
      <c r="L25" s="288">
        <f>$E$25*Продажи!F6</f>
        <v>0</v>
      </c>
      <c r="M25" s="288">
        <f>$E$25*Продажи!G6</f>
        <v>0</v>
      </c>
      <c r="N25" s="288">
        <f>$E$25*Продажи!H6</f>
        <v>0</v>
      </c>
      <c r="O25" s="288">
        <f>$E$25*Продажи!I6</f>
        <v>0</v>
      </c>
      <c r="P25" s="288">
        <f>$E$25*Продажи!J6</f>
        <v>0</v>
      </c>
      <c r="Q25" s="288">
        <f>$E$25*Продажи!K6</f>
        <v>0</v>
      </c>
      <c r="R25" s="288">
        <f>$E$25*Продажи!L6</f>
        <v>0</v>
      </c>
      <c r="S25" s="288">
        <f>$E$25*Продажи!M6</f>
        <v>0</v>
      </c>
      <c r="T25" s="290">
        <f t="shared" si="10"/>
        <v>0</v>
      </c>
      <c r="U25" s="291">
        <f>$F$25*Продажи!O6</f>
        <v>0</v>
      </c>
      <c r="V25" s="292">
        <f>$F$25*Продажи!P6</f>
        <v>0</v>
      </c>
      <c r="W25" s="292">
        <f>$F$25*Продажи!Q6</f>
        <v>0</v>
      </c>
      <c r="X25" s="292">
        <f>$F$25*Продажи!R6</f>
        <v>0</v>
      </c>
      <c r="Y25" s="292">
        <f>$F$25*Продажи!S6</f>
        <v>0</v>
      </c>
      <c r="Z25" s="292">
        <f>$F$25*Продажи!T6</f>
        <v>0</v>
      </c>
      <c r="AA25" s="292">
        <f>$F$25*Продажи!U6</f>
        <v>0</v>
      </c>
      <c r="AB25" s="292">
        <f>$F$25*Продажи!V6</f>
        <v>0</v>
      </c>
      <c r="AC25" s="292">
        <f>$F$25*Продажи!W6</f>
        <v>0</v>
      </c>
      <c r="AD25" s="292">
        <f>$F$25*Продажи!X6</f>
        <v>0</v>
      </c>
      <c r="AE25" s="292">
        <f>$F$25*Продажи!Y6</f>
        <v>0</v>
      </c>
      <c r="AF25" s="292">
        <f>$F$25*Продажи!Z6</f>
        <v>0</v>
      </c>
      <c r="AG25" s="290">
        <f t="shared" si="7"/>
        <v>0</v>
      </c>
      <c r="AH25" s="291">
        <f>$G$25*Продажи!AB6</f>
        <v>0</v>
      </c>
      <c r="AI25" s="293">
        <f>$G$25*Продажи!AC6</f>
        <v>0</v>
      </c>
      <c r="AJ25" s="293">
        <f>$G$25*Продажи!AD6</f>
        <v>0</v>
      </c>
      <c r="AK25" s="293">
        <f>$G$25*Продажи!AE6</f>
        <v>0</v>
      </c>
      <c r="AL25" s="293">
        <f>$G$25*Продажи!AF6</f>
        <v>0</v>
      </c>
      <c r="AM25" s="293">
        <f>$G$25*Продажи!AG6</f>
        <v>0</v>
      </c>
      <c r="AN25" s="293">
        <f>$G$25*Продажи!AH6</f>
        <v>0</v>
      </c>
      <c r="AO25" s="293">
        <f>$G$25*Продажи!AI6</f>
        <v>0</v>
      </c>
      <c r="AP25" s="293">
        <f>$G$25*Продажи!AJ6</f>
        <v>0</v>
      </c>
      <c r="AQ25" s="293">
        <f>$G$25*Продажи!AK6</f>
        <v>0</v>
      </c>
      <c r="AR25" s="293">
        <f>$G$25*Продажи!AL6</f>
        <v>0</v>
      </c>
      <c r="AS25" s="293">
        <f>$G$25*Продажи!AM6</f>
        <v>0</v>
      </c>
      <c r="AT25" s="290">
        <f t="shared" si="8"/>
        <v>0</v>
      </c>
    </row>
    <row r="26" spans="1:46" s="269" customFormat="1" outlineLevel="1">
      <c r="A26" s="283" t="s">
        <v>170</v>
      </c>
      <c r="B26" s="284" t="s">
        <v>157</v>
      </c>
      <c r="C26" s="285"/>
      <c r="D26" s="285"/>
      <c r="E26" s="286">
        <f t="shared" si="13"/>
        <v>0</v>
      </c>
      <c r="F26" s="286">
        <f>E26+E26*'Вводные данные'!$D$4</f>
        <v>0</v>
      </c>
      <c r="G26" s="287">
        <f>F26+F26*'Вводные данные'!$E$4</f>
        <v>0</v>
      </c>
      <c r="H26" s="288">
        <f>$E$26*Продажи!B6</f>
        <v>0</v>
      </c>
      <c r="I26" s="288">
        <f>$E$26*Продажи!C6</f>
        <v>0</v>
      </c>
      <c r="J26" s="288">
        <f>$E$26*Продажи!D6</f>
        <v>0</v>
      </c>
      <c r="K26" s="288">
        <f>$E$26*Продажи!E6</f>
        <v>0</v>
      </c>
      <c r="L26" s="288">
        <f>$E$26*Продажи!F6</f>
        <v>0</v>
      </c>
      <c r="M26" s="288">
        <f>$E$26*Продажи!G6</f>
        <v>0</v>
      </c>
      <c r="N26" s="288">
        <f>$E$26*Продажи!H6</f>
        <v>0</v>
      </c>
      <c r="O26" s="288">
        <f>$E$26*Продажи!I6</f>
        <v>0</v>
      </c>
      <c r="P26" s="288">
        <f>$E$26*Продажи!J6</f>
        <v>0</v>
      </c>
      <c r="Q26" s="288">
        <f>$E$26*Продажи!K6</f>
        <v>0</v>
      </c>
      <c r="R26" s="288">
        <f>$E$26*Продажи!L6</f>
        <v>0</v>
      </c>
      <c r="S26" s="288">
        <f>$E$26*Продажи!M6</f>
        <v>0</v>
      </c>
      <c r="T26" s="290">
        <f t="shared" si="10"/>
        <v>0</v>
      </c>
      <c r="U26" s="291">
        <f>$F$26*Продажи!O6</f>
        <v>0</v>
      </c>
      <c r="V26" s="292">
        <f>$F$26*Продажи!P6</f>
        <v>0</v>
      </c>
      <c r="W26" s="292">
        <f>$F$26*Продажи!Q6</f>
        <v>0</v>
      </c>
      <c r="X26" s="292">
        <f>$F$26*Продажи!R6</f>
        <v>0</v>
      </c>
      <c r="Y26" s="292">
        <f>$F$26*Продажи!S6</f>
        <v>0</v>
      </c>
      <c r="Z26" s="292">
        <f>$F$26*Продажи!T6</f>
        <v>0</v>
      </c>
      <c r="AA26" s="292">
        <f>$F$26*Продажи!U6</f>
        <v>0</v>
      </c>
      <c r="AB26" s="292">
        <f>$F$26*Продажи!V6</f>
        <v>0</v>
      </c>
      <c r="AC26" s="292">
        <f>$F$26*Продажи!W6</f>
        <v>0</v>
      </c>
      <c r="AD26" s="292">
        <f>$F$26*Продажи!X6</f>
        <v>0</v>
      </c>
      <c r="AE26" s="292">
        <f>$F$26*Продажи!Y6</f>
        <v>0</v>
      </c>
      <c r="AF26" s="292">
        <f>$F$26*Продажи!Z6</f>
        <v>0</v>
      </c>
      <c r="AG26" s="290">
        <f t="shared" si="7"/>
        <v>0</v>
      </c>
      <c r="AH26" s="291">
        <f>$G$26*Продажи!AB6</f>
        <v>0</v>
      </c>
      <c r="AI26" s="293">
        <f>$G$26*Продажи!AC6</f>
        <v>0</v>
      </c>
      <c r="AJ26" s="293">
        <f>$G$26*Продажи!AD6</f>
        <v>0</v>
      </c>
      <c r="AK26" s="293">
        <f>$G$26*Продажи!AE6</f>
        <v>0</v>
      </c>
      <c r="AL26" s="293">
        <f>$G$26*Продажи!AF6</f>
        <v>0</v>
      </c>
      <c r="AM26" s="293">
        <f>$G$26*Продажи!AG6</f>
        <v>0</v>
      </c>
      <c r="AN26" s="293">
        <f>$G$26*Продажи!AH6</f>
        <v>0</v>
      </c>
      <c r="AO26" s="293">
        <f>$G$26*Продажи!AI6</f>
        <v>0</v>
      </c>
      <c r="AP26" s="293">
        <f>$G$26*Продажи!AJ6</f>
        <v>0</v>
      </c>
      <c r="AQ26" s="293">
        <f>$G$26*Продажи!AK6</f>
        <v>0</v>
      </c>
      <c r="AR26" s="293">
        <f>$G$26*Продажи!AL6</f>
        <v>0</v>
      </c>
      <c r="AS26" s="293">
        <f>$G$26*Продажи!AM6</f>
        <v>0</v>
      </c>
      <c r="AT26" s="290">
        <f t="shared" si="8"/>
        <v>0</v>
      </c>
    </row>
    <row r="27" spans="1:46" s="269" customFormat="1" outlineLevel="1">
      <c r="A27" s="283" t="s">
        <v>171</v>
      </c>
      <c r="B27" s="284" t="s">
        <v>159</v>
      </c>
      <c r="C27" s="285"/>
      <c r="D27" s="285"/>
      <c r="E27" s="286">
        <f t="shared" si="13"/>
        <v>0</v>
      </c>
      <c r="F27" s="286">
        <f>E27+E27*'Вводные данные'!$D$4</f>
        <v>0</v>
      </c>
      <c r="G27" s="287">
        <f>F27+F27*'Вводные данные'!$E$4</f>
        <v>0</v>
      </c>
      <c r="H27" s="288">
        <f>$E$27*Продажи!B6</f>
        <v>0</v>
      </c>
      <c r="I27" s="288">
        <f>$E$27*Продажи!C6</f>
        <v>0</v>
      </c>
      <c r="J27" s="288">
        <f>$E$27*Продажи!D6</f>
        <v>0</v>
      </c>
      <c r="K27" s="288">
        <f>$E$27*Продажи!E6</f>
        <v>0</v>
      </c>
      <c r="L27" s="288">
        <f>$E$27*Продажи!F6</f>
        <v>0</v>
      </c>
      <c r="M27" s="288">
        <f>$E$27*Продажи!G6</f>
        <v>0</v>
      </c>
      <c r="N27" s="288">
        <f>$E$27*Продажи!H6</f>
        <v>0</v>
      </c>
      <c r="O27" s="288">
        <f>$E$27*Продажи!I6</f>
        <v>0</v>
      </c>
      <c r="P27" s="288">
        <f>$E$27*Продажи!J6</f>
        <v>0</v>
      </c>
      <c r="Q27" s="288">
        <f>$E$27*Продажи!K6</f>
        <v>0</v>
      </c>
      <c r="R27" s="288">
        <f>$E$27*Продажи!L6</f>
        <v>0</v>
      </c>
      <c r="S27" s="288">
        <f>$E$27*Продажи!M6</f>
        <v>0</v>
      </c>
      <c r="T27" s="290">
        <f t="shared" si="10"/>
        <v>0</v>
      </c>
      <c r="U27" s="291">
        <f>$F$27*Продажи!O6</f>
        <v>0</v>
      </c>
      <c r="V27" s="292">
        <f>$F$27*Продажи!P6</f>
        <v>0</v>
      </c>
      <c r="W27" s="292">
        <f>$F$27*Продажи!Q6</f>
        <v>0</v>
      </c>
      <c r="X27" s="292">
        <f>$F$27*Продажи!R6</f>
        <v>0</v>
      </c>
      <c r="Y27" s="292">
        <f>$F$27*Продажи!S6</f>
        <v>0</v>
      </c>
      <c r="Z27" s="292">
        <f>$F$27*Продажи!T6</f>
        <v>0</v>
      </c>
      <c r="AA27" s="292">
        <f>$F$27*Продажи!U6</f>
        <v>0</v>
      </c>
      <c r="AB27" s="292">
        <f>$F$27*Продажи!V6</f>
        <v>0</v>
      </c>
      <c r="AC27" s="292">
        <f>$F$27*Продажи!W6</f>
        <v>0</v>
      </c>
      <c r="AD27" s="292">
        <f>$F$27*Продажи!X6</f>
        <v>0</v>
      </c>
      <c r="AE27" s="292">
        <f>$F$27*Продажи!Y6</f>
        <v>0</v>
      </c>
      <c r="AF27" s="292">
        <f>$F$27*Продажи!Z6</f>
        <v>0</v>
      </c>
      <c r="AG27" s="290">
        <f t="shared" si="7"/>
        <v>0</v>
      </c>
      <c r="AH27" s="291">
        <f>$G$27*Продажи!AB6</f>
        <v>0</v>
      </c>
      <c r="AI27" s="293">
        <f>$G$27*Продажи!AC6</f>
        <v>0</v>
      </c>
      <c r="AJ27" s="293">
        <f>$G$27*Продажи!AD6</f>
        <v>0</v>
      </c>
      <c r="AK27" s="293">
        <f>$G$27*Продажи!AE6</f>
        <v>0</v>
      </c>
      <c r="AL27" s="293">
        <f>$G$27*Продажи!AF6</f>
        <v>0</v>
      </c>
      <c r="AM27" s="293">
        <f>$G$27*Продажи!AG6</f>
        <v>0</v>
      </c>
      <c r="AN27" s="293">
        <f>$G$27*Продажи!AH6</f>
        <v>0</v>
      </c>
      <c r="AO27" s="293">
        <f>$G$27*Продажи!AI6</f>
        <v>0</v>
      </c>
      <c r="AP27" s="293">
        <f>$G$27*Продажи!AJ6</f>
        <v>0</v>
      </c>
      <c r="AQ27" s="293">
        <f>$G$27*Продажи!AK6</f>
        <v>0</v>
      </c>
      <c r="AR27" s="293">
        <f>$G$27*Продажи!AL6</f>
        <v>0</v>
      </c>
      <c r="AS27" s="293">
        <f>$G$27*Продажи!AM6</f>
        <v>0</v>
      </c>
      <c r="AT27" s="290">
        <f t="shared" si="8"/>
        <v>0</v>
      </c>
    </row>
    <row r="28" spans="1:46" s="269" customFormat="1" outlineLevel="1">
      <c r="A28" s="283" t="s">
        <v>172</v>
      </c>
      <c r="B28" s="284" t="s">
        <v>161</v>
      </c>
      <c r="C28" s="285"/>
      <c r="D28" s="285"/>
      <c r="E28" s="286">
        <f t="shared" si="13"/>
        <v>0</v>
      </c>
      <c r="F28" s="286">
        <f>E28+E28*'Вводные данные'!$D$4</f>
        <v>0</v>
      </c>
      <c r="G28" s="287">
        <f>F28+F28*'Вводные данные'!$E$4</f>
        <v>0</v>
      </c>
      <c r="H28" s="288">
        <f>$E$28*Продажи!B6</f>
        <v>0</v>
      </c>
      <c r="I28" s="288">
        <f>$E$28*Продажи!C6</f>
        <v>0</v>
      </c>
      <c r="J28" s="288">
        <f>$E$28*Продажи!D6</f>
        <v>0</v>
      </c>
      <c r="K28" s="288">
        <f>$E$28*Продажи!E6</f>
        <v>0</v>
      </c>
      <c r="L28" s="288">
        <f>$E$28*Продажи!F6</f>
        <v>0</v>
      </c>
      <c r="M28" s="288">
        <f>$E$28*Продажи!G6</f>
        <v>0</v>
      </c>
      <c r="N28" s="288">
        <f>$E$28*Продажи!H6</f>
        <v>0</v>
      </c>
      <c r="O28" s="288">
        <f>$E$28*Продажи!I6</f>
        <v>0</v>
      </c>
      <c r="P28" s="288">
        <f>$E$28*Продажи!J6</f>
        <v>0</v>
      </c>
      <c r="Q28" s="288">
        <f>$E$28*Продажи!K6</f>
        <v>0</v>
      </c>
      <c r="R28" s="288">
        <f>$E$28*Продажи!L6</f>
        <v>0</v>
      </c>
      <c r="S28" s="288">
        <f>$E$28*Продажи!M6</f>
        <v>0</v>
      </c>
      <c r="T28" s="290">
        <f t="shared" si="10"/>
        <v>0</v>
      </c>
      <c r="U28" s="291">
        <f>$F$28*Продажи!O6</f>
        <v>0</v>
      </c>
      <c r="V28" s="292">
        <f>$F$28*Продажи!P6</f>
        <v>0</v>
      </c>
      <c r="W28" s="292">
        <f>$F$28*Продажи!Q6</f>
        <v>0</v>
      </c>
      <c r="X28" s="292">
        <f>$F$28*Продажи!R6</f>
        <v>0</v>
      </c>
      <c r="Y28" s="292">
        <f>$F$28*Продажи!S6</f>
        <v>0</v>
      </c>
      <c r="Z28" s="292">
        <f>$F$28*Продажи!T6</f>
        <v>0</v>
      </c>
      <c r="AA28" s="292">
        <f>$F$28*Продажи!U6</f>
        <v>0</v>
      </c>
      <c r="AB28" s="292">
        <f>$F$28*Продажи!V6</f>
        <v>0</v>
      </c>
      <c r="AC28" s="292">
        <f>$F$28*Продажи!W6</f>
        <v>0</v>
      </c>
      <c r="AD28" s="292">
        <f>$F$28*Продажи!X6</f>
        <v>0</v>
      </c>
      <c r="AE28" s="292">
        <f>$F$28*Продажи!Y6</f>
        <v>0</v>
      </c>
      <c r="AF28" s="292">
        <f>$F$28*Продажи!Z6</f>
        <v>0</v>
      </c>
      <c r="AG28" s="290">
        <f t="shared" si="7"/>
        <v>0</v>
      </c>
      <c r="AH28" s="291">
        <f>$G$28*Продажи!AB6</f>
        <v>0</v>
      </c>
      <c r="AI28" s="293">
        <f>$G$28*Продажи!AC6</f>
        <v>0</v>
      </c>
      <c r="AJ28" s="293">
        <f>$G$28*Продажи!AD6</f>
        <v>0</v>
      </c>
      <c r="AK28" s="293">
        <f>$G$28*Продажи!AE6</f>
        <v>0</v>
      </c>
      <c r="AL28" s="293">
        <f>$G$28*Продажи!AF6</f>
        <v>0</v>
      </c>
      <c r="AM28" s="293">
        <f>$G$28*Продажи!AG6</f>
        <v>0</v>
      </c>
      <c r="AN28" s="293">
        <f>$G$28*Продажи!AH6</f>
        <v>0</v>
      </c>
      <c r="AO28" s="293">
        <f>$G$28*Продажи!AI6</f>
        <v>0</v>
      </c>
      <c r="AP28" s="293">
        <f>$G$28*Продажи!AJ6</f>
        <v>0</v>
      </c>
      <c r="AQ28" s="293">
        <f>$G$28*Продажи!AK6</f>
        <v>0</v>
      </c>
      <c r="AR28" s="293">
        <f>$G$28*Продажи!AL6</f>
        <v>0</v>
      </c>
      <c r="AS28" s="293">
        <f>$G$28*Продажи!AM6</f>
        <v>0</v>
      </c>
      <c r="AT28" s="290">
        <f t="shared" si="8"/>
        <v>0</v>
      </c>
    </row>
    <row r="29" spans="1:46" s="269" customFormat="1" ht="24" customHeight="1" outlineLevel="1">
      <c r="A29" s="294" t="s">
        <v>173</v>
      </c>
      <c r="B29" s="485" t="s">
        <v>163</v>
      </c>
      <c r="C29" s="486"/>
      <c r="D29" s="486"/>
      <c r="E29" s="486"/>
      <c r="F29" s="486"/>
      <c r="G29" s="487"/>
      <c r="H29" s="295">
        <f>'Продукция и цена '!C5</f>
        <v>15000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7">
        <f>H29</f>
        <v>15000</v>
      </c>
      <c r="U29" s="298">
        <f>'Продукция и цена '!D5</f>
        <v>17250</v>
      </c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7">
        <f t="shared" si="7"/>
        <v>17250</v>
      </c>
      <c r="AH29" s="298">
        <f>'Продукция и цена '!E5</f>
        <v>19837.5</v>
      </c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7">
        <f t="shared" si="8"/>
        <v>19837.5</v>
      </c>
    </row>
    <row r="30" spans="1:46" s="270" customFormat="1" ht="14.25">
      <c r="A30" s="299">
        <v>3</v>
      </c>
      <c r="B30" s="300" t="str">
        <f>'Продукция и цена '!A6</f>
        <v>Встроенная коммерция (доп. услуги)</v>
      </c>
      <c r="C30" s="301" t="s">
        <v>103</v>
      </c>
      <c r="D30" s="301" t="s">
        <v>103</v>
      </c>
      <c r="E30" s="301" t="s">
        <v>3</v>
      </c>
      <c r="F30" s="301" t="s">
        <v>4</v>
      </c>
      <c r="G30" s="302" t="s">
        <v>5</v>
      </c>
      <c r="H30" s="303">
        <f t="shared" ref="H30:S30" si="14">SUM(H31:H40)</f>
        <v>1200</v>
      </c>
      <c r="I30" s="281">
        <f t="shared" si="14"/>
        <v>1200</v>
      </c>
      <c r="J30" s="281">
        <f t="shared" si="14"/>
        <v>1200</v>
      </c>
      <c r="K30" s="281">
        <f t="shared" si="14"/>
        <v>1200</v>
      </c>
      <c r="L30" s="281">
        <f t="shared" si="14"/>
        <v>1200</v>
      </c>
      <c r="M30" s="281">
        <f t="shared" si="14"/>
        <v>1200</v>
      </c>
      <c r="N30" s="281">
        <f t="shared" si="14"/>
        <v>1200</v>
      </c>
      <c r="O30" s="281">
        <f t="shared" si="14"/>
        <v>1200</v>
      </c>
      <c r="P30" s="281">
        <f t="shared" si="14"/>
        <v>1200</v>
      </c>
      <c r="Q30" s="281">
        <f t="shared" si="14"/>
        <v>1200</v>
      </c>
      <c r="R30" s="281">
        <f t="shared" si="14"/>
        <v>1200</v>
      </c>
      <c r="S30" s="281">
        <f t="shared" si="14"/>
        <v>1200</v>
      </c>
      <c r="T30" s="282">
        <f t="shared" ref="T30:T40" si="15">SUM(H30:S30)</f>
        <v>14400</v>
      </c>
      <c r="U30" s="303">
        <f t="shared" ref="U30:AF30" si="16">SUM(U31:U40)</f>
        <v>13800</v>
      </c>
      <c r="V30" s="281">
        <f t="shared" si="16"/>
        <v>13800</v>
      </c>
      <c r="W30" s="281">
        <f t="shared" si="16"/>
        <v>13800</v>
      </c>
      <c r="X30" s="281">
        <f t="shared" si="16"/>
        <v>13800</v>
      </c>
      <c r="Y30" s="281">
        <f t="shared" si="16"/>
        <v>16560</v>
      </c>
      <c r="Z30" s="281">
        <f t="shared" si="16"/>
        <v>16560</v>
      </c>
      <c r="AA30" s="281">
        <f t="shared" si="16"/>
        <v>20700</v>
      </c>
      <c r="AB30" s="281">
        <f t="shared" si="16"/>
        <v>19320</v>
      </c>
      <c r="AC30" s="281">
        <f t="shared" si="16"/>
        <v>24840</v>
      </c>
      <c r="AD30" s="281">
        <f t="shared" si="16"/>
        <v>24840</v>
      </c>
      <c r="AE30" s="281">
        <f t="shared" si="16"/>
        <v>24840</v>
      </c>
      <c r="AF30" s="281">
        <f t="shared" si="16"/>
        <v>24840</v>
      </c>
      <c r="AG30" s="282">
        <f t="shared" si="7"/>
        <v>227700</v>
      </c>
      <c r="AH30" s="280">
        <f t="shared" ref="AH30:AS30" si="17">SUM(AH31:AH40)</f>
        <v>31740</v>
      </c>
      <c r="AI30" s="281">
        <f t="shared" si="17"/>
        <v>31740</v>
      </c>
      <c r="AJ30" s="281">
        <f t="shared" si="17"/>
        <v>31740</v>
      </c>
      <c r="AK30" s="281">
        <f t="shared" si="17"/>
        <v>31740</v>
      </c>
      <c r="AL30" s="281">
        <f t="shared" si="17"/>
        <v>36501</v>
      </c>
      <c r="AM30" s="281">
        <f t="shared" si="17"/>
        <v>36501</v>
      </c>
      <c r="AN30" s="281">
        <f t="shared" si="17"/>
        <v>42849</v>
      </c>
      <c r="AO30" s="281">
        <f t="shared" si="17"/>
        <v>39675</v>
      </c>
      <c r="AP30" s="281">
        <f t="shared" si="17"/>
        <v>41262</v>
      </c>
      <c r="AQ30" s="281">
        <f t="shared" si="17"/>
        <v>41262</v>
      </c>
      <c r="AR30" s="281">
        <f t="shared" si="17"/>
        <v>42849</v>
      </c>
      <c r="AS30" s="281">
        <f t="shared" si="17"/>
        <v>42849</v>
      </c>
      <c r="AT30" s="282">
        <f t="shared" si="8"/>
        <v>450708</v>
      </c>
    </row>
    <row r="31" spans="1:46" s="269" customFormat="1" outlineLevel="1">
      <c r="A31" s="283" t="s">
        <v>26</v>
      </c>
      <c r="B31" s="284" t="s">
        <v>535</v>
      </c>
      <c r="C31" s="285">
        <v>1200</v>
      </c>
      <c r="D31" s="285">
        <v>1</v>
      </c>
      <c r="E31" s="286">
        <f t="shared" si="13"/>
        <v>1200</v>
      </c>
      <c r="F31" s="286">
        <f>E31+E31*'Вводные данные'!$D$4</f>
        <v>1380</v>
      </c>
      <c r="G31" s="287">
        <f>F31+F31*'Вводные данные'!$E$4</f>
        <v>1587</v>
      </c>
      <c r="H31" s="288">
        <f>$E$31*Продажи!B7</f>
        <v>1200</v>
      </c>
      <c r="I31" s="288">
        <f>$E$31*Продажи!C7</f>
        <v>1200</v>
      </c>
      <c r="J31" s="288">
        <f>$E$31*Продажи!D7</f>
        <v>1200</v>
      </c>
      <c r="K31" s="288">
        <f>$E$31*Продажи!E7</f>
        <v>1200</v>
      </c>
      <c r="L31" s="288">
        <f>$E$31*Продажи!F7</f>
        <v>1200</v>
      </c>
      <c r="M31" s="288">
        <f>$E$31*Продажи!G7</f>
        <v>1200</v>
      </c>
      <c r="N31" s="288">
        <f>$E$31*Продажи!H7</f>
        <v>1200</v>
      </c>
      <c r="O31" s="288">
        <f>$E$31*Продажи!I7</f>
        <v>1200</v>
      </c>
      <c r="P31" s="288">
        <f>$E$31*Продажи!J7</f>
        <v>1200</v>
      </c>
      <c r="Q31" s="288">
        <f>$E$31*Продажи!K7</f>
        <v>1200</v>
      </c>
      <c r="R31" s="288">
        <f>$E$31*Продажи!L7</f>
        <v>1200</v>
      </c>
      <c r="S31" s="288">
        <f>$E$31*Продажи!M7</f>
        <v>1200</v>
      </c>
      <c r="T31" s="290">
        <f t="shared" si="15"/>
        <v>14400</v>
      </c>
      <c r="U31" s="292">
        <f>$F$31*Продажи!O7</f>
        <v>13800</v>
      </c>
      <c r="V31" s="293">
        <f>$F$31*Продажи!P7</f>
        <v>13800</v>
      </c>
      <c r="W31" s="293">
        <f>$F$31*Продажи!Q7</f>
        <v>13800</v>
      </c>
      <c r="X31" s="293">
        <f>$F$31*Продажи!R7</f>
        <v>13800</v>
      </c>
      <c r="Y31" s="293">
        <f>$F$31*Продажи!S7</f>
        <v>16560</v>
      </c>
      <c r="Z31" s="293">
        <f>$F$31*Продажи!T7</f>
        <v>16560</v>
      </c>
      <c r="AA31" s="293">
        <f>$F$31*Продажи!U7</f>
        <v>20700</v>
      </c>
      <c r="AB31" s="293">
        <f>$F$31*Продажи!V7</f>
        <v>19320</v>
      </c>
      <c r="AC31" s="293">
        <f>$F$31*Продажи!W7</f>
        <v>24840</v>
      </c>
      <c r="AD31" s="293">
        <f>$F$31*Продажи!X7</f>
        <v>24840</v>
      </c>
      <c r="AE31" s="293">
        <f>$F$31*Продажи!Y7</f>
        <v>24840</v>
      </c>
      <c r="AF31" s="293">
        <f>$F$31*Продажи!Z7</f>
        <v>24840</v>
      </c>
      <c r="AG31" s="290">
        <f t="shared" si="7"/>
        <v>227700</v>
      </c>
      <c r="AH31" s="304">
        <f>$G$31*Продажи!AB7</f>
        <v>31740</v>
      </c>
      <c r="AI31" s="293">
        <f>$G$31*Продажи!AC7</f>
        <v>31740</v>
      </c>
      <c r="AJ31" s="293">
        <f>$G$31*Продажи!AD7</f>
        <v>31740</v>
      </c>
      <c r="AK31" s="293">
        <f>$G$31*Продажи!AE7</f>
        <v>31740</v>
      </c>
      <c r="AL31" s="293">
        <f>$G$31*Продажи!AF7</f>
        <v>36501</v>
      </c>
      <c r="AM31" s="293">
        <f>$G$31*Продажи!AG7</f>
        <v>36501</v>
      </c>
      <c r="AN31" s="293">
        <f>$G$31*Продажи!AH7</f>
        <v>42849</v>
      </c>
      <c r="AO31" s="293">
        <f>$G$31*Продажи!AI7</f>
        <v>39675</v>
      </c>
      <c r="AP31" s="293">
        <f>$G$31*Продажи!AJ7</f>
        <v>41262</v>
      </c>
      <c r="AQ31" s="293">
        <f>$G$31*Продажи!AK7</f>
        <v>41262</v>
      </c>
      <c r="AR31" s="293">
        <f>$G$31*Продажи!AL7</f>
        <v>42849</v>
      </c>
      <c r="AS31" s="293">
        <f>$G$31*Продажи!AM7</f>
        <v>42849</v>
      </c>
      <c r="AT31" s="290">
        <f t="shared" si="8"/>
        <v>450708</v>
      </c>
    </row>
    <row r="32" spans="1:46" s="269" customFormat="1" outlineLevel="1">
      <c r="A32" s="283" t="s">
        <v>28</v>
      </c>
      <c r="B32" s="284" t="s">
        <v>489</v>
      </c>
      <c r="C32" s="285">
        <v>0</v>
      </c>
      <c r="D32" s="285">
        <v>0</v>
      </c>
      <c r="E32" s="286">
        <f t="shared" si="13"/>
        <v>0</v>
      </c>
      <c r="F32" s="286">
        <f>E32+E32*'Вводные данные'!$D$4</f>
        <v>0</v>
      </c>
      <c r="G32" s="287">
        <f>F32+F32*'Вводные данные'!$E$4</f>
        <v>0</v>
      </c>
      <c r="H32" s="288">
        <f>$E$32*Продажи!B7</f>
        <v>0</v>
      </c>
      <c r="I32" s="288">
        <f>$E$32*Продажи!C7</f>
        <v>0</v>
      </c>
      <c r="J32" s="288">
        <f>$E$32*Продажи!D7</f>
        <v>0</v>
      </c>
      <c r="K32" s="288">
        <f>$E$32*Продажи!E7</f>
        <v>0</v>
      </c>
      <c r="L32" s="288">
        <f>$E$32*Продажи!F7</f>
        <v>0</v>
      </c>
      <c r="M32" s="288">
        <f>$E$32*Продажи!G7</f>
        <v>0</v>
      </c>
      <c r="N32" s="288">
        <f>$E$32*Продажи!H7</f>
        <v>0</v>
      </c>
      <c r="O32" s="288">
        <f>$E$32*Продажи!I7</f>
        <v>0</v>
      </c>
      <c r="P32" s="288">
        <f>$E$32*Продажи!J7</f>
        <v>0</v>
      </c>
      <c r="Q32" s="288">
        <f>$E$32*Продажи!K7</f>
        <v>0</v>
      </c>
      <c r="R32" s="288">
        <f>$E$32*Продажи!L7</f>
        <v>0</v>
      </c>
      <c r="S32" s="288">
        <f>$E$32*Продажи!M7</f>
        <v>0</v>
      </c>
      <c r="T32" s="290">
        <f t="shared" si="15"/>
        <v>0</v>
      </c>
      <c r="U32" s="292">
        <f>$F$32*Продажи!O7</f>
        <v>0</v>
      </c>
      <c r="V32" s="293">
        <f>$F$32*Продажи!P7</f>
        <v>0</v>
      </c>
      <c r="W32" s="293">
        <f>$F$32*Продажи!Q7</f>
        <v>0</v>
      </c>
      <c r="X32" s="293">
        <f>$F$32*Продажи!R7</f>
        <v>0</v>
      </c>
      <c r="Y32" s="293">
        <f>$F$32*Продажи!S7</f>
        <v>0</v>
      </c>
      <c r="Z32" s="293">
        <f>$F$32*Продажи!T7</f>
        <v>0</v>
      </c>
      <c r="AA32" s="293">
        <f>$F$32*Продажи!U7</f>
        <v>0</v>
      </c>
      <c r="AB32" s="293">
        <f>$F$32*Продажи!V7</f>
        <v>0</v>
      </c>
      <c r="AC32" s="293">
        <f>$F$32*Продажи!W7</f>
        <v>0</v>
      </c>
      <c r="AD32" s="293">
        <f>$F$32*Продажи!X7</f>
        <v>0</v>
      </c>
      <c r="AE32" s="293">
        <f>$F$32*Продажи!Y7</f>
        <v>0</v>
      </c>
      <c r="AF32" s="293">
        <f>$F$32*Продажи!Z7</f>
        <v>0</v>
      </c>
      <c r="AG32" s="290">
        <f t="shared" si="7"/>
        <v>0</v>
      </c>
      <c r="AH32" s="304">
        <f>$G$32*Продажи!AB7</f>
        <v>0</v>
      </c>
      <c r="AI32" s="293">
        <f>$G$32*Продажи!AC7</f>
        <v>0</v>
      </c>
      <c r="AJ32" s="293">
        <f>$G$32*Продажи!AD7</f>
        <v>0</v>
      </c>
      <c r="AK32" s="293">
        <f>$G$32*Продажи!AE7</f>
        <v>0</v>
      </c>
      <c r="AL32" s="293">
        <f>$G$32*Продажи!AF7</f>
        <v>0</v>
      </c>
      <c r="AM32" s="293">
        <f>$G$32*Продажи!AG7</f>
        <v>0</v>
      </c>
      <c r="AN32" s="293">
        <f>$G$32*Продажи!AH7</f>
        <v>0</v>
      </c>
      <c r="AO32" s="293">
        <f>$G$32*Продажи!AI7</f>
        <v>0</v>
      </c>
      <c r="AP32" s="293">
        <f>$G$32*Продажи!AJ7</f>
        <v>0</v>
      </c>
      <c r="AQ32" s="293">
        <f>$G$32*Продажи!AK7</f>
        <v>0</v>
      </c>
      <c r="AR32" s="293">
        <f>$G$32*Продажи!AL7</f>
        <v>0</v>
      </c>
      <c r="AS32" s="293">
        <f>$G$32*Продажи!AM7</f>
        <v>0</v>
      </c>
      <c r="AT32" s="290">
        <f t="shared" si="8"/>
        <v>0</v>
      </c>
    </row>
    <row r="33" spans="1:46" s="269" customFormat="1" outlineLevel="1">
      <c r="A33" s="283" t="s">
        <v>30</v>
      </c>
      <c r="B33" s="284" t="s">
        <v>493</v>
      </c>
      <c r="C33" s="285">
        <v>0</v>
      </c>
      <c r="D33" s="285">
        <v>0</v>
      </c>
      <c r="E33" s="286">
        <f t="shared" si="13"/>
        <v>0</v>
      </c>
      <c r="F33" s="286">
        <f>E33+E33*'Вводные данные'!$D$4</f>
        <v>0</v>
      </c>
      <c r="G33" s="287">
        <f>F33+F33*'Вводные данные'!$E$4</f>
        <v>0</v>
      </c>
      <c r="H33" s="288">
        <f>$E$33*Продажи!B7</f>
        <v>0</v>
      </c>
      <c r="I33" s="288">
        <f>$E$33*Продажи!C7</f>
        <v>0</v>
      </c>
      <c r="J33" s="288">
        <f>$E$33*Продажи!D7</f>
        <v>0</v>
      </c>
      <c r="K33" s="288">
        <f>$E$33*Продажи!E7</f>
        <v>0</v>
      </c>
      <c r="L33" s="288">
        <f>$E$33*Продажи!F7</f>
        <v>0</v>
      </c>
      <c r="M33" s="288">
        <f>$E$33*Продажи!G7</f>
        <v>0</v>
      </c>
      <c r="N33" s="288">
        <f>$E$33*Продажи!H7</f>
        <v>0</v>
      </c>
      <c r="O33" s="288">
        <f>$E$33*Продажи!I7</f>
        <v>0</v>
      </c>
      <c r="P33" s="288">
        <f>$E$33*Продажи!J7</f>
        <v>0</v>
      </c>
      <c r="Q33" s="288">
        <f>$E$33*Продажи!K7</f>
        <v>0</v>
      </c>
      <c r="R33" s="288">
        <f>$E$33*Продажи!L7</f>
        <v>0</v>
      </c>
      <c r="S33" s="288">
        <f>$E$33*Продажи!M7</f>
        <v>0</v>
      </c>
      <c r="T33" s="290">
        <f t="shared" si="15"/>
        <v>0</v>
      </c>
      <c r="U33" s="292">
        <f>$F$33*Продажи!O7</f>
        <v>0</v>
      </c>
      <c r="V33" s="293">
        <f>$F$33*Продажи!P7</f>
        <v>0</v>
      </c>
      <c r="W33" s="293">
        <f>$F$33*Продажи!Q7</f>
        <v>0</v>
      </c>
      <c r="X33" s="293">
        <f>$F$33*Продажи!R7</f>
        <v>0</v>
      </c>
      <c r="Y33" s="293">
        <f>$F$33*Продажи!S7</f>
        <v>0</v>
      </c>
      <c r="Z33" s="293">
        <f>$F$33*Продажи!T7</f>
        <v>0</v>
      </c>
      <c r="AA33" s="293">
        <f>$F$33*Продажи!U7</f>
        <v>0</v>
      </c>
      <c r="AB33" s="293">
        <f>$F$33*Продажи!V7</f>
        <v>0</v>
      </c>
      <c r="AC33" s="293">
        <f>$F$33*Продажи!W7</f>
        <v>0</v>
      </c>
      <c r="AD33" s="293">
        <f>$F$33*Продажи!X7</f>
        <v>0</v>
      </c>
      <c r="AE33" s="293">
        <f>$F$33*Продажи!Y7</f>
        <v>0</v>
      </c>
      <c r="AF33" s="293">
        <f>$F$33*Продажи!Z7</f>
        <v>0</v>
      </c>
      <c r="AG33" s="290">
        <f t="shared" si="7"/>
        <v>0</v>
      </c>
      <c r="AH33" s="304">
        <f>$G$33*Продажи!AB7</f>
        <v>0</v>
      </c>
      <c r="AI33" s="293">
        <f>$G$33*Продажи!AC7</f>
        <v>0</v>
      </c>
      <c r="AJ33" s="293">
        <f>$G$33*Продажи!AD7</f>
        <v>0</v>
      </c>
      <c r="AK33" s="293">
        <f>$G$33*Продажи!AE7</f>
        <v>0</v>
      </c>
      <c r="AL33" s="293">
        <f>$G$33*Продажи!AF7</f>
        <v>0</v>
      </c>
      <c r="AM33" s="293">
        <f>$G$33*Продажи!AG7</f>
        <v>0</v>
      </c>
      <c r="AN33" s="293">
        <f>$G$33*Продажи!AH7</f>
        <v>0</v>
      </c>
      <c r="AO33" s="293">
        <f>$G$33*Продажи!AI7</f>
        <v>0</v>
      </c>
      <c r="AP33" s="293">
        <f>$G$33*Продажи!AJ7</f>
        <v>0</v>
      </c>
      <c r="AQ33" s="293">
        <f>$G$33*Продажи!AK7</f>
        <v>0</v>
      </c>
      <c r="AR33" s="293">
        <f>$G$33*Продажи!AL7</f>
        <v>0</v>
      </c>
      <c r="AS33" s="293">
        <f>$G$33*Продажи!AM7</f>
        <v>0</v>
      </c>
      <c r="AT33" s="290">
        <f t="shared" si="8"/>
        <v>0</v>
      </c>
    </row>
    <row r="34" spans="1:46" s="269" customFormat="1" outlineLevel="1">
      <c r="A34" s="283" t="s">
        <v>174</v>
      </c>
      <c r="B34" s="284" t="s">
        <v>490</v>
      </c>
      <c r="C34" s="285">
        <v>0</v>
      </c>
      <c r="D34" s="285">
        <v>0</v>
      </c>
      <c r="E34" s="286">
        <f t="shared" si="13"/>
        <v>0</v>
      </c>
      <c r="F34" s="286">
        <f>E34+E34*'Вводные данные'!$D$4</f>
        <v>0</v>
      </c>
      <c r="G34" s="287">
        <f>F34+F34*'Вводные данные'!$E$4</f>
        <v>0</v>
      </c>
      <c r="H34" s="288">
        <f>$E$34*Продажи!B7</f>
        <v>0</v>
      </c>
      <c r="I34" s="288">
        <f>$E$34*Продажи!C7</f>
        <v>0</v>
      </c>
      <c r="J34" s="288">
        <f>$E$34*Продажи!D7</f>
        <v>0</v>
      </c>
      <c r="K34" s="288">
        <f>$E$34*Продажи!E7</f>
        <v>0</v>
      </c>
      <c r="L34" s="288">
        <f>$E$34*Продажи!F7</f>
        <v>0</v>
      </c>
      <c r="M34" s="288">
        <f>$E$34*Продажи!G7</f>
        <v>0</v>
      </c>
      <c r="N34" s="288">
        <f>$E$34*Продажи!H7</f>
        <v>0</v>
      </c>
      <c r="O34" s="288">
        <f>$E$34*Продажи!I7</f>
        <v>0</v>
      </c>
      <c r="P34" s="288">
        <f>$E$34*Продажи!J7</f>
        <v>0</v>
      </c>
      <c r="Q34" s="288">
        <f>$E$34*Продажи!K7</f>
        <v>0</v>
      </c>
      <c r="R34" s="288">
        <f>$E$34*Продажи!L7</f>
        <v>0</v>
      </c>
      <c r="S34" s="288">
        <f>$E$34*Продажи!M7</f>
        <v>0</v>
      </c>
      <c r="T34" s="290">
        <f t="shared" si="15"/>
        <v>0</v>
      </c>
      <c r="U34" s="292">
        <f>$F$34*Продажи!O7</f>
        <v>0</v>
      </c>
      <c r="V34" s="293">
        <f>$F$34*Продажи!P7</f>
        <v>0</v>
      </c>
      <c r="W34" s="293">
        <f>$F$34*Продажи!Q7</f>
        <v>0</v>
      </c>
      <c r="X34" s="293">
        <f>$F$34*Продажи!R7</f>
        <v>0</v>
      </c>
      <c r="Y34" s="293">
        <f>$F$34*Продажи!S7</f>
        <v>0</v>
      </c>
      <c r="Z34" s="293">
        <f>$F$34*Продажи!T7</f>
        <v>0</v>
      </c>
      <c r="AA34" s="293">
        <f>$F$34*Продажи!U7</f>
        <v>0</v>
      </c>
      <c r="AB34" s="293">
        <f>$F$34*Продажи!V7</f>
        <v>0</v>
      </c>
      <c r="AC34" s="293">
        <f>$F$34*Продажи!W7</f>
        <v>0</v>
      </c>
      <c r="AD34" s="293">
        <f>$F$34*Продажи!X7</f>
        <v>0</v>
      </c>
      <c r="AE34" s="293">
        <f>$F$34*Продажи!Y7</f>
        <v>0</v>
      </c>
      <c r="AF34" s="293">
        <f>$F$34*Продажи!Z7</f>
        <v>0</v>
      </c>
      <c r="AG34" s="290">
        <f t="shared" si="7"/>
        <v>0</v>
      </c>
      <c r="AH34" s="304">
        <f>$G$34*Продажи!AB7</f>
        <v>0</v>
      </c>
      <c r="AI34" s="293">
        <f>$G$34*Продажи!AC7</f>
        <v>0</v>
      </c>
      <c r="AJ34" s="293">
        <f>$G$34*Продажи!AD7</f>
        <v>0</v>
      </c>
      <c r="AK34" s="293">
        <f>$G$34*Продажи!AE7</f>
        <v>0</v>
      </c>
      <c r="AL34" s="293">
        <f>$G$34*Продажи!AF7</f>
        <v>0</v>
      </c>
      <c r="AM34" s="293">
        <f>$G$34*Продажи!AG7</f>
        <v>0</v>
      </c>
      <c r="AN34" s="293">
        <f>$G$34*Продажи!AH7</f>
        <v>0</v>
      </c>
      <c r="AO34" s="293">
        <f>$G$34*Продажи!AI7</f>
        <v>0</v>
      </c>
      <c r="AP34" s="293">
        <f>$G$34*Продажи!AJ7</f>
        <v>0</v>
      </c>
      <c r="AQ34" s="293">
        <f>$G$34*Продажи!AK7</f>
        <v>0</v>
      </c>
      <c r="AR34" s="293">
        <f>$G$34*Продажи!AL7</f>
        <v>0</v>
      </c>
      <c r="AS34" s="293">
        <f>$G$34*Продажи!AM7</f>
        <v>0</v>
      </c>
      <c r="AT34" s="290">
        <f t="shared" si="8"/>
        <v>0</v>
      </c>
    </row>
    <row r="35" spans="1:46" s="269" customFormat="1" outlineLevel="1">
      <c r="A35" s="283" t="s">
        <v>175</v>
      </c>
      <c r="B35" s="284" t="s">
        <v>151</v>
      </c>
      <c r="C35" s="285"/>
      <c r="D35" s="285"/>
      <c r="E35" s="286">
        <f t="shared" si="13"/>
        <v>0</v>
      </c>
      <c r="F35" s="286">
        <f>E35+E35*'Вводные данные'!$D$4</f>
        <v>0</v>
      </c>
      <c r="G35" s="287">
        <f>F35+F35*'Вводные данные'!$E$4</f>
        <v>0</v>
      </c>
      <c r="H35" s="288">
        <f>$E$35*Продажи!B7</f>
        <v>0</v>
      </c>
      <c r="I35" s="288">
        <f>$E$35*Продажи!C7</f>
        <v>0</v>
      </c>
      <c r="J35" s="288">
        <f>$E$35*Продажи!D7</f>
        <v>0</v>
      </c>
      <c r="K35" s="288">
        <f>$E$35*Продажи!E7</f>
        <v>0</v>
      </c>
      <c r="L35" s="288">
        <f>$E$35*Продажи!F7</f>
        <v>0</v>
      </c>
      <c r="M35" s="288">
        <f>$E$35*Продажи!G7</f>
        <v>0</v>
      </c>
      <c r="N35" s="288">
        <f>$E$35*Продажи!H7</f>
        <v>0</v>
      </c>
      <c r="O35" s="288">
        <f>$E$35*Продажи!I7</f>
        <v>0</v>
      </c>
      <c r="P35" s="288">
        <f>$E$35*Продажи!J7</f>
        <v>0</v>
      </c>
      <c r="Q35" s="288">
        <f>$E$35*Продажи!K7</f>
        <v>0</v>
      </c>
      <c r="R35" s="288">
        <f>$E$35*Продажи!L7</f>
        <v>0</v>
      </c>
      <c r="S35" s="288">
        <f>$E$35*Продажи!M7</f>
        <v>0</v>
      </c>
      <c r="T35" s="290">
        <f t="shared" si="15"/>
        <v>0</v>
      </c>
      <c r="U35" s="292">
        <f>$F$35*Продажи!O7</f>
        <v>0</v>
      </c>
      <c r="V35" s="293">
        <f>$F$35*Продажи!P7</f>
        <v>0</v>
      </c>
      <c r="W35" s="293">
        <f>$F$35*Продажи!Q7</f>
        <v>0</v>
      </c>
      <c r="X35" s="293">
        <f>$F$35*Продажи!R7</f>
        <v>0</v>
      </c>
      <c r="Y35" s="293">
        <f>$F$35*Продажи!S7</f>
        <v>0</v>
      </c>
      <c r="Z35" s="293">
        <f>$F$35*Продажи!T7</f>
        <v>0</v>
      </c>
      <c r="AA35" s="293">
        <f>$F$35*Продажи!U7</f>
        <v>0</v>
      </c>
      <c r="AB35" s="293">
        <f>$F$35*Продажи!V7</f>
        <v>0</v>
      </c>
      <c r="AC35" s="293">
        <f>$F$35*Продажи!W7</f>
        <v>0</v>
      </c>
      <c r="AD35" s="293">
        <f>$F$35*Продажи!X7</f>
        <v>0</v>
      </c>
      <c r="AE35" s="293">
        <f>$F$35*Продажи!Y7</f>
        <v>0</v>
      </c>
      <c r="AF35" s="293">
        <f>$F$35*Продажи!Z7</f>
        <v>0</v>
      </c>
      <c r="AG35" s="290">
        <f t="shared" si="7"/>
        <v>0</v>
      </c>
      <c r="AH35" s="304">
        <f>$G$35*Продажи!AB7</f>
        <v>0</v>
      </c>
      <c r="AI35" s="293">
        <f>$G$35*Продажи!AC7</f>
        <v>0</v>
      </c>
      <c r="AJ35" s="293">
        <f>$G$35*Продажи!AD7</f>
        <v>0</v>
      </c>
      <c r="AK35" s="293">
        <f>$G$35*Продажи!AE7</f>
        <v>0</v>
      </c>
      <c r="AL35" s="293">
        <f>$G$35*Продажи!AF7</f>
        <v>0</v>
      </c>
      <c r="AM35" s="293">
        <f>$G$35*Продажи!AG7</f>
        <v>0</v>
      </c>
      <c r="AN35" s="293">
        <f>$G$35*Продажи!AH7</f>
        <v>0</v>
      </c>
      <c r="AO35" s="293">
        <f>$G$35*Продажи!AI7</f>
        <v>0</v>
      </c>
      <c r="AP35" s="293">
        <f>$G$35*Продажи!AJ7</f>
        <v>0</v>
      </c>
      <c r="AQ35" s="293">
        <f>$G$35*Продажи!AK7</f>
        <v>0</v>
      </c>
      <c r="AR35" s="293">
        <f>$G$35*Продажи!AL7</f>
        <v>0</v>
      </c>
      <c r="AS35" s="293">
        <f>$G$35*Продажи!AM7</f>
        <v>0</v>
      </c>
      <c r="AT35" s="290">
        <f t="shared" si="8"/>
        <v>0</v>
      </c>
    </row>
    <row r="36" spans="1:46" s="269" customFormat="1" outlineLevel="1">
      <c r="A36" s="283" t="s">
        <v>176</v>
      </c>
      <c r="B36" s="284" t="s">
        <v>153</v>
      </c>
      <c r="C36" s="285"/>
      <c r="D36" s="285"/>
      <c r="E36" s="286">
        <f t="shared" si="13"/>
        <v>0</v>
      </c>
      <c r="F36" s="286">
        <f>E36+E36*'Вводные данные'!$D$4</f>
        <v>0</v>
      </c>
      <c r="G36" s="287">
        <f>F36+F36*'Вводные данные'!$E$4</f>
        <v>0</v>
      </c>
      <c r="H36" s="288">
        <f>$E$36*Продажи!B7</f>
        <v>0</v>
      </c>
      <c r="I36" s="288">
        <f>$E$36*Продажи!C7</f>
        <v>0</v>
      </c>
      <c r="J36" s="288">
        <f>$E$36*Продажи!D7</f>
        <v>0</v>
      </c>
      <c r="K36" s="288">
        <f>$E$36*Продажи!E7</f>
        <v>0</v>
      </c>
      <c r="L36" s="288">
        <f>$E$36*Продажи!F7</f>
        <v>0</v>
      </c>
      <c r="M36" s="288">
        <f>$E$36*Продажи!G7</f>
        <v>0</v>
      </c>
      <c r="N36" s="288">
        <f>$E$36*Продажи!H7</f>
        <v>0</v>
      </c>
      <c r="O36" s="288">
        <f>$E$36*Продажи!I7</f>
        <v>0</v>
      </c>
      <c r="P36" s="288">
        <f>$E$36*Продажи!J7</f>
        <v>0</v>
      </c>
      <c r="Q36" s="288">
        <f>$E$36*Продажи!K7</f>
        <v>0</v>
      </c>
      <c r="R36" s="288">
        <f>$E$36*Продажи!L7</f>
        <v>0</v>
      </c>
      <c r="S36" s="288">
        <f>$E$36*Продажи!M7</f>
        <v>0</v>
      </c>
      <c r="T36" s="290">
        <f t="shared" si="15"/>
        <v>0</v>
      </c>
      <c r="U36" s="292">
        <f>$F$36*Продажи!O7</f>
        <v>0</v>
      </c>
      <c r="V36" s="293">
        <f>$F$36*Продажи!P7</f>
        <v>0</v>
      </c>
      <c r="W36" s="293">
        <f>$F$36*Продажи!Q7</f>
        <v>0</v>
      </c>
      <c r="X36" s="293">
        <f>$F$36*Продажи!R7</f>
        <v>0</v>
      </c>
      <c r="Y36" s="293">
        <f>$F$36*Продажи!S7</f>
        <v>0</v>
      </c>
      <c r="Z36" s="293">
        <f>$F$36*Продажи!T7</f>
        <v>0</v>
      </c>
      <c r="AA36" s="293">
        <f>$F$36*Продажи!U7</f>
        <v>0</v>
      </c>
      <c r="AB36" s="293">
        <f>$F$36*Продажи!V7</f>
        <v>0</v>
      </c>
      <c r="AC36" s="293">
        <f>$F$36*Продажи!W7</f>
        <v>0</v>
      </c>
      <c r="AD36" s="293">
        <f>$F$36*Продажи!X7</f>
        <v>0</v>
      </c>
      <c r="AE36" s="293">
        <f>$F$36*Продажи!Y7</f>
        <v>0</v>
      </c>
      <c r="AF36" s="293">
        <f>$F$36*Продажи!Z7</f>
        <v>0</v>
      </c>
      <c r="AG36" s="290">
        <f t="shared" si="7"/>
        <v>0</v>
      </c>
      <c r="AH36" s="304">
        <f>$G$36*Продажи!AB7</f>
        <v>0</v>
      </c>
      <c r="AI36" s="293">
        <f>$G$36*Продажи!AC7</f>
        <v>0</v>
      </c>
      <c r="AJ36" s="293">
        <f>$G$36*Продажи!AD7</f>
        <v>0</v>
      </c>
      <c r="AK36" s="293">
        <f>$G$36*Продажи!AE7</f>
        <v>0</v>
      </c>
      <c r="AL36" s="293">
        <f>$G$36*Продажи!AF7</f>
        <v>0</v>
      </c>
      <c r="AM36" s="293">
        <f>$G$36*Продажи!AG7</f>
        <v>0</v>
      </c>
      <c r="AN36" s="293">
        <f>$G$36*Продажи!AH7</f>
        <v>0</v>
      </c>
      <c r="AO36" s="293">
        <f>$G$36*Продажи!AI7</f>
        <v>0</v>
      </c>
      <c r="AP36" s="293">
        <f>$G$36*Продажи!AJ7</f>
        <v>0</v>
      </c>
      <c r="AQ36" s="293">
        <f>$G$36*Продажи!AK7</f>
        <v>0</v>
      </c>
      <c r="AR36" s="293">
        <f>$G$36*Продажи!AL7</f>
        <v>0</v>
      </c>
      <c r="AS36" s="293">
        <f>$G$36*Продажи!AM7</f>
        <v>0</v>
      </c>
      <c r="AT36" s="290">
        <f t="shared" si="8"/>
        <v>0</v>
      </c>
    </row>
    <row r="37" spans="1:46" s="269" customFormat="1" outlineLevel="1">
      <c r="A37" s="283" t="s">
        <v>177</v>
      </c>
      <c r="B37" s="284" t="s">
        <v>155</v>
      </c>
      <c r="C37" s="285"/>
      <c r="D37" s="285"/>
      <c r="E37" s="286">
        <f t="shared" si="13"/>
        <v>0</v>
      </c>
      <c r="F37" s="286">
        <f>E37+E37*'Вводные данные'!$D$4</f>
        <v>0</v>
      </c>
      <c r="G37" s="287">
        <f>F37+F37*'Вводные данные'!$E$4</f>
        <v>0</v>
      </c>
      <c r="H37" s="288">
        <f>$E$37*Продажи!B7</f>
        <v>0</v>
      </c>
      <c r="I37" s="288">
        <f>$E$37*Продажи!C7</f>
        <v>0</v>
      </c>
      <c r="J37" s="288">
        <f>$E$37*Продажи!D7</f>
        <v>0</v>
      </c>
      <c r="K37" s="288">
        <f>$E$37*Продажи!E7</f>
        <v>0</v>
      </c>
      <c r="L37" s="288">
        <f>$E$37*Продажи!F7</f>
        <v>0</v>
      </c>
      <c r="M37" s="288">
        <f>$E$37*Продажи!G7</f>
        <v>0</v>
      </c>
      <c r="N37" s="288">
        <f>$E$37*Продажи!H7</f>
        <v>0</v>
      </c>
      <c r="O37" s="288">
        <f>$E$37*Продажи!I7</f>
        <v>0</v>
      </c>
      <c r="P37" s="288">
        <f>$E$37*Продажи!J7</f>
        <v>0</v>
      </c>
      <c r="Q37" s="288">
        <f>$E$37*Продажи!K7</f>
        <v>0</v>
      </c>
      <c r="R37" s="288">
        <f>$E$37*Продажи!L7</f>
        <v>0</v>
      </c>
      <c r="S37" s="288">
        <f>$E$37*Продажи!M7</f>
        <v>0</v>
      </c>
      <c r="T37" s="290">
        <f t="shared" si="15"/>
        <v>0</v>
      </c>
      <c r="U37" s="292">
        <f>$F$37*Продажи!O7</f>
        <v>0</v>
      </c>
      <c r="V37" s="293">
        <f>$F$37*Продажи!P7</f>
        <v>0</v>
      </c>
      <c r="W37" s="293">
        <f>$F$37*Продажи!Q7</f>
        <v>0</v>
      </c>
      <c r="X37" s="293">
        <f>$F$37*Продажи!R7</f>
        <v>0</v>
      </c>
      <c r="Y37" s="293">
        <f>$F$37*Продажи!S7</f>
        <v>0</v>
      </c>
      <c r="Z37" s="293">
        <f>$F$37*Продажи!T7</f>
        <v>0</v>
      </c>
      <c r="AA37" s="293">
        <f>$F$37*Продажи!U7</f>
        <v>0</v>
      </c>
      <c r="AB37" s="293">
        <f>$F$37*Продажи!V7</f>
        <v>0</v>
      </c>
      <c r="AC37" s="293">
        <f>$F$37*Продажи!W7</f>
        <v>0</v>
      </c>
      <c r="AD37" s="293">
        <f>$F$37*Продажи!X7</f>
        <v>0</v>
      </c>
      <c r="AE37" s="293">
        <f>$F$37*Продажи!Y7</f>
        <v>0</v>
      </c>
      <c r="AF37" s="293">
        <f>$F$37*Продажи!Z7</f>
        <v>0</v>
      </c>
      <c r="AG37" s="290">
        <f t="shared" si="7"/>
        <v>0</v>
      </c>
      <c r="AH37" s="304">
        <f>$G$37*Продажи!AB7</f>
        <v>0</v>
      </c>
      <c r="AI37" s="293">
        <f>$G$37*Продажи!AC7</f>
        <v>0</v>
      </c>
      <c r="AJ37" s="293">
        <f>$G$37*Продажи!AD7</f>
        <v>0</v>
      </c>
      <c r="AK37" s="293">
        <f>$G$37*Продажи!AE7</f>
        <v>0</v>
      </c>
      <c r="AL37" s="293">
        <f>$G$37*Продажи!AF7</f>
        <v>0</v>
      </c>
      <c r="AM37" s="293">
        <f>$G$37*Продажи!AG7</f>
        <v>0</v>
      </c>
      <c r="AN37" s="293">
        <f>$G$37*Продажи!AH7</f>
        <v>0</v>
      </c>
      <c r="AO37" s="293">
        <f>$G$37*Продажи!AI7</f>
        <v>0</v>
      </c>
      <c r="AP37" s="293">
        <f>$G$37*Продажи!AJ7</f>
        <v>0</v>
      </c>
      <c r="AQ37" s="293">
        <f>$G$37*Продажи!AK7</f>
        <v>0</v>
      </c>
      <c r="AR37" s="293">
        <f>$G$37*Продажи!AL7</f>
        <v>0</v>
      </c>
      <c r="AS37" s="293">
        <f>$G$37*Продажи!AM7</f>
        <v>0</v>
      </c>
      <c r="AT37" s="290">
        <f t="shared" si="8"/>
        <v>0</v>
      </c>
    </row>
    <row r="38" spans="1:46" s="269" customFormat="1" outlineLevel="1">
      <c r="A38" s="283" t="s">
        <v>178</v>
      </c>
      <c r="B38" s="284" t="s">
        <v>157</v>
      </c>
      <c r="C38" s="285"/>
      <c r="D38" s="285"/>
      <c r="E38" s="286">
        <f t="shared" si="13"/>
        <v>0</v>
      </c>
      <c r="F38" s="286">
        <f>E38+E38*'Вводные данные'!$D$4</f>
        <v>0</v>
      </c>
      <c r="G38" s="287">
        <f>F38+F38*'Вводные данные'!$E$4</f>
        <v>0</v>
      </c>
      <c r="H38" s="288">
        <f>$E$38*Продажи!B7</f>
        <v>0</v>
      </c>
      <c r="I38" s="288">
        <f>$E$38*Продажи!C7</f>
        <v>0</v>
      </c>
      <c r="J38" s="288">
        <f>$E$38*Продажи!D7</f>
        <v>0</v>
      </c>
      <c r="K38" s="288">
        <f>$E$38*Продажи!E7</f>
        <v>0</v>
      </c>
      <c r="L38" s="288">
        <f>$E$38*Продажи!F7</f>
        <v>0</v>
      </c>
      <c r="M38" s="288">
        <f>$E$38*Продажи!G7</f>
        <v>0</v>
      </c>
      <c r="N38" s="288">
        <f>$E$38*Продажи!H7</f>
        <v>0</v>
      </c>
      <c r="O38" s="288">
        <f>$E$38*Продажи!I7</f>
        <v>0</v>
      </c>
      <c r="P38" s="288">
        <f>$E$38*Продажи!J7</f>
        <v>0</v>
      </c>
      <c r="Q38" s="288">
        <f>$E$38*Продажи!K7</f>
        <v>0</v>
      </c>
      <c r="R38" s="288">
        <f>$E$38*Продажи!L7</f>
        <v>0</v>
      </c>
      <c r="S38" s="288">
        <f>$E$38*Продажи!M7</f>
        <v>0</v>
      </c>
      <c r="T38" s="290">
        <f t="shared" si="15"/>
        <v>0</v>
      </c>
      <c r="U38" s="292">
        <f>$F$38*Продажи!O7</f>
        <v>0</v>
      </c>
      <c r="V38" s="293">
        <f>$F$38*Продажи!P7</f>
        <v>0</v>
      </c>
      <c r="W38" s="293">
        <f>$F$38*Продажи!Q7</f>
        <v>0</v>
      </c>
      <c r="X38" s="293">
        <f>$F$38*Продажи!R7</f>
        <v>0</v>
      </c>
      <c r="Y38" s="293">
        <f>$F$38*Продажи!S7</f>
        <v>0</v>
      </c>
      <c r="Z38" s="293">
        <f>$F$38*Продажи!T7</f>
        <v>0</v>
      </c>
      <c r="AA38" s="293">
        <f>$F$38*Продажи!U7</f>
        <v>0</v>
      </c>
      <c r="AB38" s="293">
        <f>$F$38*Продажи!V7</f>
        <v>0</v>
      </c>
      <c r="AC38" s="293">
        <f>$F$38*Продажи!W7</f>
        <v>0</v>
      </c>
      <c r="AD38" s="293">
        <f>$F$38*Продажи!X7</f>
        <v>0</v>
      </c>
      <c r="AE38" s="293">
        <f>$F$38*Продажи!Y7</f>
        <v>0</v>
      </c>
      <c r="AF38" s="293">
        <f>$F$38*Продажи!Z7</f>
        <v>0</v>
      </c>
      <c r="AG38" s="290">
        <f t="shared" si="7"/>
        <v>0</v>
      </c>
      <c r="AH38" s="304">
        <f>$G$38*Продажи!AB7</f>
        <v>0</v>
      </c>
      <c r="AI38" s="293">
        <f>$G$38*Продажи!AC7</f>
        <v>0</v>
      </c>
      <c r="AJ38" s="293">
        <f>$G$38*Продажи!AD7</f>
        <v>0</v>
      </c>
      <c r="AK38" s="293">
        <f>$G$38*Продажи!AE7</f>
        <v>0</v>
      </c>
      <c r="AL38" s="293">
        <f>$G$38*Продажи!AF7</f>
        <v>0</v>
      </c>
      <c r="AM38" s="293">
        <f>$G$38*Продажи!AG7</f>
        <v>0</v>
      </c>
      <c r="AN38" s="293">
        <f>$G$38*Продажи!AH7</f>
        <v>0</v>
      </c>
      <c r="AO38" s="293">
        <f>$G$38*Продажи!AI7</f>
        <v>0</v>
      </c>
      <c r="AP38" s="293">
        <f>$G$38*Продажи!AJ7</f>
        <v>0</v>
      </c>
      <c r="AQ38" s="293">
        <f>$G$38*Продажи!AK7</f>
        <v>0</v>
      </c>
      <c r="AR38" s="293">
        <f>$G$38*Продажи!AL7</f>
        <v>0</v>
      </c>
      <c r="AS38" s="293">
        <f>$G$38*Продажи!AM7</f>
        <v>0</v>
      </c>
      <c r="AT38" s="290">
        <f t="shared" si="8"/>
        <v>0</v>
      </c>
    </row>
    <row r="39" spans="1:46" s="269" customFormat="1" outlineLevel="1">
      <c r="A39" s="283" t="s">
        <v>179</v>
      </c>
      <c r="B39" s="284" t="s">
        <v>159</v>
      </c>
      <c r="C39" s="285"/>
      <c r="D39" s="285"/>
      <c r="E39" s="286">
        <f t="shared" si="13"/>
        <v>0</v>
      </c>
      <c r="F39" s="286">
        <f>E39+E39*'Вводные данные'!$D$4</f>
        <v>0</v>
      </c>
      <c r="G39" s="287">
        <f>F39+F39*'Вводные данные'!$E$4</f>
        <v>0</v>
      </c>
      <c r="H39" s="288">
        <f>$E$39*Продажи!B7</f>
        <v>0</v>
      </c>
      <c r="I39" s="288">
        <f>$E$39*Продажи!C7</f>
        <v>0</v>
      </c>
      <c r="J39" s="288">
        <f>$E$39*Продажи!D7</f>
        <v>0</v>
      </c>
      <c r="K39" s="288">
        <f>$E$39*Продажи!E7</f>
        <v>0</v>
      </c>
      <c r="L39" s="288">
        <f>$E$39*Продажи!F7</f>
        <v>0</v>
      </c>
      <c r="M39" s="288">
        <f>$E$39*Продажи!G7</f>
        <v>0</v>
      </c>
      <c r="N39" s="288">
        <f>$E$39*Продажи!H7</f>
        <v>0</v>
      </c>
      <c r="O39" s="288">
        <f>$E$39*Продажи!I7</f>
        <v>0</v>
      </c>
      <c r="P39" s="288">
        <f>$E$39*Продажи!J7</f>
        <v>0</v>
      </c>
      <c r="Q39" s="288">
        <f>$E$39*Продажи!K7</f>
        <v>0</v>
      </c>
      <c r="R39" s="288">
        <f>$E$39*Продажи!L7</f>
        <v>0</v>
      </c>
      <c r="S39" s="288">
        <f>$E$39*Продажи!M7</f>
        <v>0</v>
      </c>
      <c r="T39" s="290">
        <f t="shared" si="15"/>
        <v>0</v>
      </c>
      <c r="U39" s="292">
        <f>$F$39*Продажи!O7</f>
        <v>0</v>
      </c>
      <c r="V39" s="293">
        <f>$F$39*Продажи!P7</f>
        <v>0</v>
      </c>
      <c r="W39" s="293">
        <f>$F$39*Продажи!Q7</f>
        <v>0</v>
      </c>
      <c r="X39" s="293">
        <f>$F$39*Продажи!R7</f>
        <v>0</v>
      </c>
      <c r="Y39" s="293">
        <f>$F$39*Продажи!S7</f>
        <v>0</v>
      </c>
      <c r="Z39" s="293">
        <f>$F$39*Продажи!T7</f>
        <v>0</v>
      </c>
      <c r="AA39" s="293">
        <f>$F$39*Продажи!U7</f>
        <v>0</v>
      </c>
      <c r="AB39" s="293">
        <f>$F$39*Продажи!V7</f>
        <v>0</v>
      </c>
      <c r="AC39" s="293">
        <f>$F$39*Продажи!W7</f>
        <v>0</v>
      </c>
      <c r="AD39" s="293">
        <f>$F$39*Продажи!X7</f>
        <v>0</v>
      </c>
      <c r="AE39" s="293">
        <f>$F$39*Продажи!Y7</f>
        <v>0</v>
      </c>
      <c r="AF39" s="293">
        <f>$F$39*Продажи!Z7</f>
        <v>0</v>
      </c>
      <c r="AG39" s="290">
        <f t="shared" si="7"/>
        <v>0</v>
      </c>
      <c r="AH39" s="304">
        <f>$G$39*Продажи!AB7</f>
        <v>0</v>
      </c>
      <c r="AI39" s="293">
        <f>$G$39*Продажи!AC7</f>
        <v>0</v>
      </c>
      <c r="AJ39" s="293">
        <f>$G$39*Продажи!AD7</f>
        <v>0</v>
      </c>
      <c r="AK39" s="293">
        <f>$G$39*Продажи!AE7</f>
        <v>0</v>
      </c>
      <c r="AL39" s="293">
        <f>$G$39*Продажи!AF7</f>
        <v>0</v>
      </c>
      <c r="AM39" s="293">
        <f>$G$39*Продажи!AG7</f>
        <v>0</v>
      </c>
      <c r="AN39" s="293">
        <f>$G$39*Продажи!AH7</f>
        <v>0</v>
      </c>
      <c r="AO39" s="293">
        <f>$G$39*Продажи!AI7</f>
        <v>0</v>
      </c>
      <c r="AP39" s="293">
        <f>$G$39*Продажи!AJ7</f>
        <v>0</v>
      </c>
      <c r="AQ39" s="293">
        <f>$G$39*Продажи!AK7</f>
        <v>0</v>
      </c>
      <c r="AR39" s="293">
        <f>$G$39*Продажи!AL7</f>
        <v>0</v>
      </c>
      <c r="AS39" s="293">
        <f>$G$39*Продажи!AM7</f>
        <v>0</v>
      </c>
      <c r="AT39" s="290">
        <f t="shared" si="8"/>
        <v>0</v>
      </c>
    </row>
    <row r="40" spans="1:46" s="269" customFormat="1" outlineLevel="1">
      <c r="A40" s="283" t="s">
        <v>180</v>
      </c>
      <c r="B40" s="284" t="s">
        <v>161</v>
      </c>
      <c r="C40" s="285"/>
      <c r="D40" s="285"/>
      <c r="E40" s="286">
        <f t="shared" si="13"/>
        <v>0</v>
      </c>
      <c r="F40" s="286">
        <f>E40+E40*'Вводные данные'!$D$4</f>
        <v>0</v>
      </c>
      <c r="G40" s="287">
        <f>F40+F40*'Вводные данные'!$E$4</f>
        <v>0</v>
      </c>
      <c r="H40" s="288">
        <f>$E$40*Продажи!B7</f>
        <v>0</v>
      </c>
      <c r="I40" s="288">
        <f>$E$40*Продажи!C7</f>
        <v>0</v>
      </c>
      <c r="J40" s="288">
        <f>$E$40*Продажи!D7</f>
        <v>0</v>
      </c>
      <c r="K40" s="288">
        <f>$E$40*Продажи!E7</f>
        <v>0</v>
      </c>
      <c r="L40" s="288">
        <f>$E$40*Продажи!F7</f>
        <v>0</v>
      </c>
      <c r="M40" s="288">
        <f>$E$40*Продажи!G7</f>
        <v>0</v>
      </c>
      <c r="N40" s="288">
        <f>$E$40*Продажи!H7</f>
        <v>0</v>
      </c>
      <c r="O40" s="288">
        <f>$E$40*Продажи!I7</f>
        <v>0</v>
      </c>
      <c r="P40" s="288">
        <f>$E$40*Продажи!J7</f>
        <v>0</v>
      </c>
      <c r="Q40" s="288">
        <f>$E$40*Продажи!K7</f>
        <v>0</v>
      </c>
      <c r="R40" s="288">
        <f>$E$40*Продажи!L7</f>
        <v>0</v>
      </c>
      <c r="S40" s="288">
        <f>$E$40*Продажи!M7</f>
        <v>0</v>
      </c>
      <c r="T40" s="290">
        <f t="shared" si="15"/>
        <v>0</v>
      </c>
      <c r="U40" s="292">
        <f>$F$40*Продажи!O7</f>
        <v>0</v>
      </c>
      <c r="V40" s="293">
        <f>$F$40*Продажи!P7</f>
        <v>0</v>
      </c>
      <c r="W40" s="293">
        <f>$F$40*Продажи!Q7</f>
        <v>0</v>
      </c>
      <c r="X40" s="293">
        <f>$F$40*Продажи!R7</f>
        <v>0</v>
      </c>
      <c r="Y40" s="293">
        <f>$F$40*Продажи!S7</f>
        <v>0</v>
      </c>
      <c r="Z40" s="293">
        <f>$F$40*Продажи!T7</f>
        <v>0</v>
      </c>
      <c r="AA40" s="293">
        <f>$F$40*Продажи!U7</f>
        <v>0</v>
      </c>
      <c r="AB40" s="293">
        <f>$F$40*Продажи!V7</f>
        <v>0</v>
      </c>
      <c r="AC40" s="293">
        <f>$F$40*Продажи!W7</f>
        <v>0</v>
      </c>
      <c r="AD40" s="293">
        <f>$F$40*Продажи!X7</f>
        <v>0</v>
      </c>
      <c r="AE40" s="293">
        <f>$F$40*Продажи!Y7</f>
        <v>0</v>
      </c>
      <c r="AF40" s="293">
        <f>$F$40*Продажи!Z7</f>
        <v>0</v>
      </c>
      <c r="AG40" s="290">
        <f t="shared" si="7"/>
        <v>0</v>
      </c>
      <c r="AH40" s="304">
        <f>$G$40*Продажи!AB7</f>
        <v>0</v>
      </c>
      <c r="AI40" s="293">
        <f>$G$40*Продажи!AC7</f>
        <v>0</v>
      </c>
      <c r="AJ40" s="293">
        <f>$G$40*Продажи!AD7</f>
        <v>0</v>
      </c>
      <c r="AK40" s="293">
        <f>$G$40*Продажи!AE7</f>
        <v>0</v>
      </c>
      <c r="AL40" s="293">
        <f>$G$40*Продажи!AF7</f>
        <v>0</v>
      </c>
      <c r="AM40" s="293">
        <f>$G$40*Продажи!AG7</f>
        <v>0</v>
      </c>
      <c r="AN40" s="293">
        <f>$G$40*Продажи!AH7</f>
        <v>0</v>
      </c>
      <c r="AO40" s="293">
        <f>$G$40*Продажи!AI7</f>
        <v>0</v>
      </c>
      <c r="AP40" s="293">
        <f>$G$40*Продажи!AJ7</f>
        <v>0</v>
      </c>
      <c r="AQ40" s="293">
        <f>$G$40*Продажи!AK7</f>
        <v>0</v>
      </c>
      <c r="AR40" s="293">
        <f>$G$40*Продажи!AL7</f>
        <v>0</v>
      </c>
      <c r="AS40" s="293">
        <f>$G$40*Продажи!AM7</f>
        <v>0</v>
      </c>
      <c r="AT40" s="290">
        <f t="shared" si="8"/>
        <v>0</v>
      </c>
    </row>
    <row r="41" spans="1:46" s="269" customFormat="1" ht="24" customHeight="1" outlineLevel="1">
      <c r="A41" s="294" t="s">
        <v>181</v>
      </c>
      <c r="B41" s="485" t="s">
        <v>163</v>
      </c>
      <c r="C41" s="486"/>
      <c r="D41" s="486"/>
      <c r="E41" s="486"/>
      <c r="F41" s="486"/>
      <c r="G41" s="487"/>
      <c r="H41" s="295">
        <f>'Продукция и цена '!C6</f>
        <v>9000</v>
      </c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7">
        <f>H41</f>
        <v>9000</v>
      </c>
      <c r="U41" s="295">
        <f>'Продукция и цена '!D6</f>
        <v>10350</v>
      </c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7">
        <f t="shared" si="7"/>
        <v>10350</v>
      </c>
      <c r="AH41" s="298">
        <f>'Продукция и цена '!E6</f>
        <v>11902.5</v>
      </c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7">
        <f t="shared" si="8"/>
        <v>11902.5</v>
      </c>
    </row>
    <row r="42" spans="1:46" s="270" customFormat="1" ht="14.25">
      <c r="A42" s="299">
        <v>4</v>
      </c>
      <c r="B42" s="300" t="str">
        <f>'Продукция и цена '!A7</f>
        <v>Установка и настройка системы, онбординг</v>
      </c>
      <c r="C42" s="301" t="s">
        <v>103</v>
      </c>
      <c r="D42" s="301" t="s">
        <v>103</v>
      </c>
      <c r="E42" s="301" t="s">
        <v>3</v>
      </c>
      <c r="F42" s="301" t="s">
        <v>4</v>
      </c>
      <c r="G42" s="302" t="s">
        <v>5</v>
      </c>
      <c r="H42" s="303">
        <f t="shared" ref="H42:S42" si="18">SUM(H43:H52)</f>
        <v>45000</v>
      </c>
      <c r="I42" s="281">
        <f t="shared" si="18"/>
        <v>0</v>
      </c>
      <c r="J42" s="281">
        <f t="shared" si="18"/>
        <v>90000</v>
      </c>
      <c r="K42" s="281">
        <f t="shared" si="18"/>
        <v>0</v>
      </c>
      <c r="L42" s="281">
        <f t="shared" si="18"/>
        <v>45000</v>
      </c>
      <c r="M42" s="281">
        <f t="shared" si="18"/>
        <v>45000</v>
      </c>
      <c r="N42" s="281">
        <f t="shared" si="18"/>
        <v>45000</v>
      </c>
      <c r="O42" s="281">
        <f t="shared" si="18"/>
        <v>45000</v>
      </c>
      <c r="P42" s="281">
        <f t="shared" si="18"/>
        <v>90000</v>
      </c>
      <c r="Q42" s="281">
        <f t="shared" si="18"/>
        <v>0</v>
      </c>
      <c r="R42" s="281">
        <f t="shared" si="18"/>
        <v>45000</v>
      </c>
      <c r="S42" s="281">
        <f t="shared" si="18"/>
        <v>45000</v>
      </c>
      <c r="T42" s="282">
        <f t="shared" ref="T42:T52" si="19">SUM(H42:S42)</f>
        <v>495000</v>
      </c>
      <c r="U42" s="303">
        <f t="shared" ref="U42:AF42" si="20">SUM(U43:U52)</f>
        <v>103500</v>
      </c>
      <c r="V42" s="281">
        <f t="shared" si="20"/>
        <v>155250</v>
      </c>
      <c r="W42" s="281">
        <f t="shared" si="20"/>
        <v>103500</v>
      </c>
      <c r="X42" s="281">
        <f t="shared" si="20"/>
        <v>207000</v>
      </c>
      <c r="Y42" s="281">
        <f t="shared" si="20"/>
        <v>103500</v>
      </c>
      <c r="Z42" s="281">
        <f t="shared" si="20"/>
        <v>155250</v>
      </c>
      <c r="AA42" s="281">
        <f t="shared" si="20"/>
        <v>103500</v>
      </c>
      <c r="AB42" s="281">
        <f t="shared" si="20"/>
        <v>207000</v>
      </c>
      <c r="AC42" s="281">
        <f t="shared" si="20"/>
        <v>103500</v>
      </c>
      <c r="AD42" s="281">
        <f t="shared" si="20"/>
        <v>155250</v>
      </c>
      <c r="AE42" s="281">
        <f t="shared" si="20"/>
        <v>103500</v>
      </c>
      <c r="AF42" s="281">
        <f t="shared" si="20"/>
        <v>207000</v>
      </c>
      <c r="AG42" s="282">
        <f t="shared" si="7"/>
        <v>1707750</v>
      </c>
      <c r="AH42" s="280">
        <f t="shared" ref="AH42:AS42" si="21">SUM(AH43:AH52)</f>
        <v>357075</v>
      </c>
      <c r="AI42" s="281">
        <f t="shared" si="21"/>
        <v>357075</v>
      </c>
      <c r="AJ42" s="281">
        <f t="shared" si="21"/>
        <v>238050</v>
      </c>
      <c r="AK42" s="281">
        <f t="shared" si="21"/>
        <v>357075</v>
      </c>
      <c r="AL42" s="281">
        <f t="shared" si="21"/>
        <v>238050</v>
      </c>
      <c r="AM42" s="281">
        <f t="shared" si="21"/>
        <v>357075</v>
      </c>
      <c r="AN42" s="281">
        <f t="shared" si="21"/>
        <v>238050</v>
      </c>
      <c r="AO42" s="281">
        <f t="shared" si="21"/>
        <v>357075</v>
      </c>
      <c r="AP42" s="281">
        <f t="shared" si="21"/>
        <v>238050</v>
      </c>
      <c r="AQ42" s="281">
        <f t="shared" si="21"/>
        <v>357075</v>
      </c>
      <c r="AR42" s="281">
        <f t="shared" si="21"/>
        <v>238050</v>
      </c>
      <c r="AS42" s="281">
        <f t="shared" si="21"/>
        <v>357075</v>
      </c>
      <c r="AT42" s="282">
        <f t="shared" si="8"/>
        <v>3689775</v>
      </c>
    </row>
    <row r="43" spans="1:46" s="269" customFormat="1" outlineLevel="1">
      <c r="A43" s="283" t="s">
        <v>33</v>
      </c>
      <c r="B43" s="284" t="s">
        <v>536</v>
      </c>
      <c r="C43" s="285">
        <v>45000</v>
      </c>
      <c r="D43" s="285">
        <v>1</v>
      </c>
      <c r="E43" s="286">
        <f t="shared" si="13"/>
        <v>45000</v>
      </c>
      <c r="F43" s="286">
        <f>E43+E43*'Вводные данные'!$D$4</f>
        <v>51750</v>
      </c>
      <c r="G43" s="287">
        <f>F43+F43*'Вводные данные'!$E$4</f>
        <v>59512.5</v>
      </c>
      <c r="H43" s="288">
        <f>$E$43*Продажи!B8</f>
        <v>45000</v>
      </c>
      <c r="I43" s="288">
        <f>$E$43*Продажи!C8</f>
        <v>0</v>
      </c>
      <c r="J43" s="288">
        <f>$E$43*Продажи!D8</f>
        <v>90000</v>
      </c>
      <c r="K43" s="288">
        <f>$E$43*Продажи!E8</f>
        <v>0</v>
      </c>
      <c r="L43" s="288">
        <f>$E$43*Продажи!F8</f>
        <v>45000</v>
      </c>
      <c r="M43" s="288">
        <f>$E$43*Продажи!G8</f>
        <v>45000</v>
      </c>
      <c r="N43" s="288">
        <f>$E$43*Продажи!H8</f>
        <v>45000</v>
      </c>
      <c r="O43" s="288">
        <f>$E$43*Продажи!I8</f>
        <v>45000</v>
      </c>
      <c r="P43" s="288">
        <f>$E$43*Продажи!J8</f>
        <v>90000</v>
      </c>
      <c r="Q43" s="288">
        <f>$E$43*Продажи!K8</f>
        <v>0</v>
      </c>
      <c r="R43" s="288">
        <f>$E$43*Продажи!L8</f>
        <v>45000</v>
      </c>
      <c r="S43" s="288">
        <f>$E$43*Продажи!M8</f>
        <v>45000</v>
      </c>
      <c r="T43" s="290">
        <f t="shared" si="19"/>
        <v>495000</v>
      </c>
      <c r="U43" s="292">
        <f>$F$43*Продажи!O8</f>
        <v>103500</v>
      </c>
      <c r="V43" s="292">
        <f>$F$43*Продажи!P8</f>
        <v>155250</v>
      </c>
      <c r="W43" s="292">
        <f>$F$43*Продажи!Q8</f>
        <v>103500</v>
      </c>
      <c r="X43" s="292">
        <f>$F$43*Продажи!R8</f>
        <v>207000</v>
      </c>
      <c r="Y43" s="292">
        <f>$F$43*Продажи!S8</f>
        <v>103500</v>
      </c>
      <c r="Z43" s="292">
        <f>$F$43*Продажи!T8</f>
        <v>155250</v>
      </c>
      <c r="AA43" s="292">
        <f>$F$43*Продажи!U8</f>
        <v>103500</v>
      </c>
      <c r="AB43" s="292">
        <f>$F$43*Продажи!V8</f>
        <v>207000</v>
      </c>
      <c r="AC43" s="292">
        <f>$F$43*Продажи!W8</f>
        <v>103500</v>
      </c>
      <c r="AD43" s="292">
        <f>$F$43*Продажи!X8</f>
        <v>155250</v>
      </c>
      <c r="AE43" s="292">
        <f>$F$43*Продажи!Y8</f>
        <v>103500</v>
      </c>
      <c r="AF43" s="292">
        <f>$F$43*Продажи!Z8</f>
        <v>207000</v>
      </c>
      <c r="AG43" s="290">
        <f t="shared" si="7"/>
        <v>1707750</v>
      </c>
      <c r="AH43" s="304">
        <f>$G$43*Продажи!AB8</f>
        <v>357075</v>
      </c>
      <c r="AI43" s="293">
        <f>$G$43*Продажи!AC8</f>
        <v>357075</v>
      </c>
      <c r="AJ43" s="293">
        <f>$G$43*Продажи!AD8</f>
        <v>238050</v>
      </c>
      <c r="AK43" s="293">
        <f>$G$43*Продажи!AE8</f>
        <v>357075</v>
      </c>
      <c r="AL43" s="293">
        <f>$G$43*Продажи!AF8</f>
        <v>238050</v>
      </c>
      <c r="AM43" s="293">
        <f>$G$43*Продажи!AG8</f>
        <v>357075</v>
      </c>
      <c r="AN43" s="293">
        <f>$G$43*Продажи!AH8</f>
        <v>238050</v>
      </c>
      <c r="AO43" s="293">
        <f>$G$43*Продажи!AI8</f>
        <v>357075</v>
      </c>
      <c r="AP43" s="293">
        <f>$G$43*Продажи!AJ8</f>
        <v>238050</v>
      </c>
      <c r="AQ43" s="293">
        <f>$G$43*Продажи!AK8</f>
        <v>357075</v>
      </c>
      <c r="AR43" s="293">
        <f>$G$43*Продажи!AL8</f>
        <v>238050</v>
      </c>
      <c r="AS43" s="293">
        <f>$G$43*Продажи!AM8</f>
        <v>357075</v>
      </c>
      <c r="AT43" s="290">
        <f t="shared" si="8"/>
        <v>3689775</v>
      </c>
    </row>
    <row r="44" spans="1:46" s="269" customFormat="1" outlineLevel="1">
      <c r="A44" s="283" t="s">
        <v>182</v>
      </c>
      <c r="B44" s="284">
        <v>0</v>
      </c>
      <c r="C44" s="285">
        <v>0</v>
      </c>
      <c r="D44" s="285">
        <v>0</v>
      </c>
      <c r="E44" s="286">
        <f t="shared" si="13"/>
        <v>0</v>
      </c>
      <c r="F44" s="286">
        <f>E44+E44*'Вводные данные'!$D$4</f>
        <v>0</v>
      </c>
      <c r="G44" s="287">
        <f>F44+F44*'Вводные данные'!$E$4</f>
        <v>0</v>
      </c>
      <c r="H44" s="288">
        <f>$E$44*Продажи!B8</f>
        <v>0</v>
      </c>
      <c r="I44" s="288">
        <f>$E$44*Продажи!C8</f>
        <v>0</v>
      </c>
      <c r="J44" s="288">
        <f>$E$44*Продажи!D8</f>
        <v>0</v>
      </c>
      <c r="K44" s="288">
        <f>$E$44*Продажи!E8</f>
        <v>0</v>
      </c>
      <c r="L44" s="288">
        <f>$E$44*Продажи!F8</f>
        <v>0</v>
      </c>
      <c r="M44" s="288">
        <f>$E$44*Продажи!G8</f>
        <v>0</v>
      </c>
      <c r="N44" s="288">
        <f>$E$44*Продажи!H8</f>
        <v>0</v>
      </c>
      <c r="O44" s="288">
        <f>$E$44*Продажи!I8</f>
        <v>0</v>
      </c>
      <c r="P44" s="288">
        <f>$E$44*Продажи!J8</f>
        <v>0</v>
      </c>
      <c r="Q44" s="288">
        <f>$E$44*Продажи!K8</f>
        <v>0</v>
      </c>
      <c r="R44" s="288">
        <f>$E$44*Продажи!L8</f>
        <v>0</v>
      </c>
      <c r="S44" s="288">
        <f>$E$44*Продажи!M8</f>
        <v>0</v>
      </c>
      <c r="T44" s="290">
        <f t="shared" si="19"/>
        <v>0</v>
      </c>
      <c r="U44" s="292">
        <f>$F$44*Продажи!O8</f>
        <v>0</v>
      </c>
      <c r="V44" s="292">
        <f>$F$44*Продажи!P8</f>
        <v>0</v>
      </c>
      <c r="W44" s="292">
        <f>$F$44*Продажи!Q8</f>
        <v>0</v>
      </c>
      <c r="X44" s="292">
        <f>$F$44*Продажи!R8</f>
        <v>0</v>
      </c>
      <c r="Y44" s="292">
        <f>$F$44*Продажи!S8</f>
        <v>0</v>
      </c>
      <c r="Z44" s="292">
        <f>$F$44*Продажи!T8</f>
        <v>0</v>
      </c>
      <c r="AA44" s="292">
        <f>$F$44*Продажи!U8</f>
        <v>0</v>
      </c>
      <c r="AB44" s="292">
        <f>$F$44*Продажи!V8</f>
        <v>0</v>
      </c>
      <c r="AC44" s="292">
        <f>$F$44*Продажи!W8</f>
        <v>0</v>
      </c>
      <c r="AD44" s="292">
        <f>$F$44*Продажи!X8</f>
        <v>0</v>
      </c>
      <c r="AE44" s="292">
        <f>$F$44*Продажи!Y8</f>
        <v>0</v>
      </c>
      <c r="AF44" s="292">
        <f>$F$44*Продажи!Z8</f>
        <v>0</v>
      </c>
      <c r="AG44" s="290">
        <f t="shared" si="7"/>
        <v>0</v>
      </c>
      <c r="AH44" s="304">
        <f>$G$44*Продажи!AB8</f>
        <v>0</v>
      </c>
      <c r="AI44" s="293">
        <f>$G$44*Продажи!AC8</f>
        <v>0</v>
      </c>
      <c r="AJ44" s="293">
        <f>$G$44*Продажи!AD8</f>
        <v>0</v>
      </c>
      <c r="AK44" s="293">
        <f>$G$44*Продажи!AE8</f>
        <v>0</v>
      </c>
      <c r="AL44" s="293">
        <f>$G$44*Продажи!AF8</f>
        <v>0</v>
      </c>
      <c r="AM44" s="293">
        <f>$G$44*Продажи!AG8</f>
        <v>0</v>
      </c>
      <c r="AN44" s="293">
        <f>$G$44*Продажи!AH8</f>
        <v>0</v>
      </c>
      <c r="AO44" s="293">
        <f>$G$44*Продажи!AI8</f>
        <v>0</v>
      </c>
      <c r="AP44" s="293">
        <f>$G$44*Продажи!AJ8</f>
        <v>0</v>
      </c>
      <c r="AQ44" s="293">
        <f>$G$44*Продажи!AK8</f>
        <v>0</v>
      </c>
      <c r="AR44" s="293">
        <f>$G$44*Продажи!AL8</f>
        <v>0</v>
      </c>
      <c r="AS44" s="293">
        <f>$G$44*Продажи!AM8</f>
        <v>0</v>
      </c>
      <c r="AT44" s="290">
        <f t="shared" si="8"/>
        <v>0</v>
      </c>
    </row>
    <row r="45" spans="1:46" s="269" customFormat="1" outlineLevel="1">
      <c r="A45" s="283" t="s">
        <v>183</v>
      </c>
      <c r="B45" s="284">
        <v>0</v>
      </c>
      <c r="C45" s="285">
        <v>0</v>
      </c>
      <c r="D45" s="285">
        <v>0</v>
      </c>
      <c r="E45" s="286">
        <f t="shared" si="13"/>
        <v>0</v>
      </c>
      <c r="F45" s="286">
        <f>E45+E45*'Вводные данные'!$D$4</f>
        <v>0</v>
      </c>
      <c r="G45" s="287">
        <f>F45+F45*'Вводные данные'!$E$4</f>
        <v>0</v>
      </c>
      <c r="H45" s="288">
        <f>$E$45*Продажи!B8</f>
        <v>0</v>
      </c>
      <c r="I45" s="288">
        <f>$E$45*Продажи!C8</f>
        <v>0</v>
      </c>
      <c r="J45" s="288">
        <f>$E$45*Продажи!D8</f>
        <v>0</v>
      </c>
      <c r="K45" s="288">
        <f>$E$45*Продажи!E8</f>
        <v>0</v>
      </c>
      <c r="L45" s="288">
        <f>$E$45*Продажи!F8</f>
        <v>0</v>
      </c>
      <c r="M45" s="288">
        <f>$E$45*Продажи!G8</f>
        <v>0</v>
      </c>
      <c r="N45" s="288">
        <f>$E$45*Продажи!H8</f>
        <v>0</v>
      </c>
      <c r="O45" s="288">
        <f>$E$45*Продажи!I8</f>
        <v>0</v>
      </c>
      <c r="P45" s="288">
        <f>$E$45*Продажи!J8</f>
        <v>0</v>
      </c>
      <c r="Q45" s="288">
        <f>$E$45*Продажи!K8</f>
        <v>0</v>
      </c>
      <c r="R45" s="288">
        <f>$E$45*Продажи!L8</f>
        <v>0</v>
      </c>
      <c r="S45" s="288">
        <f>$E$45*Продажи!M8</f>
        <v>0</v>
      </c>
      <c r="T45" s="290">
        <f t="shared" si="19"/>
        <v>0</v>
      </c>
      <c r="U45" s="292">
        <f>$F$45*Продажи!O8</f>
        <v>0</v>
      </c>
      <c r="V45" s="292">
        <f>$F$45*Продажи!P8</f>
        <v>0</v>
      </c>
      <c r="W45" s="292">
        <f>$F$45*Продажи!Q8</f>
        <v>0</v>
      </c>
      <c r="X45" s="292">
        <f>$F$45*Продажи!R8</f>
        <v>0</v>
      </c>
      <c r="Y45" s="292">
        <f>$F$45*Продажи!S8</f>
        <v>0</v>
      </c>
      <c r="Z45" s="292">
        <f>$F$45*Продажи!T8</f>
        <v>0</v>
      </c>
      <c r="AA45" s="292">
        <f>$F$45*Продажи!U8</f>
        <v>0</v>
      </c>
      <c r="AB45" s="292">
        <f>$F$45*Продажи!V8</f>
        <v>0</v>
      </c>
      <c r="AC45" s="292">
        <f>$F$45*Продажи!W8</f>
        <v>0</v>
      </c>
      <c r="AD45" s="292">
        <f>$F$45*Продажи!X8</f>
        <v>0</v>
      </c>
      <c r="AE45" s="292">
        <f>$F$45*Продажи!Y8</f>
        <v>0</v>
      </c>
      <c r="AF45" s="292">
        <f>$F$45*Продажи!Z8</f>
        <v>0</v>
      </c>
      <c r="AG45" s="290">
        <f t="shared" si="7"/>
        <v>0</v>
      </c>
      <c r="AH45" s="304">
        <f>$G$45*Продажи!AB8</f>
        <v>0</v>
      </c>
      <c r="AI45" s="293">
        <f>$G$45*Продажи!AC8</f>
        <v>0</v>
      </c>
      <c r="AJ45" s="293">
        <f>$G$45*Продажи!AD8</f>
        <v>0</v>
      </c>
      <c r="AK45" s="293">
        <f>$G$45*Продажи!AE8</f>
        <v>0</v>
      </c>
      <c r="AL45" s="293">
        <f>$G$45*Продажи!AF8</f>
        <v>0</v>
      </c>
      <c r="AM45" s="293">
        <f>$G$45*Продажи!AG8</f>
        <v>0</v>
      </c>
      <c r="AN45" s="293">
        <f>$G$45*Продажи!AH8</f>
        <v>0</v>
      </c>
      <c r="AO45" s="293">
        <f>$G$45*Продажи!AI8</f>
        <v>0</v>
      </c>
      <c r="AP45" s="293">
        <f>$G$45*Продажи!AJ8</f>
        <v>0</v>
      </c>
      <c r="AQ45" s="293">
        <f>$G$45*Продажи!AK8</f>
        <v>0</v>
      </c>
      <c r="AR45" s="293">
        <f>$G$45*Продажи!AL8</f>
        <v>0</v>
      </c>
      <c r="AS45" s="293">
        <f>$G$45*Продажи!AM8</f>
        <v>0</v>
      </c>
      <c r="AT45" s="290">
        <f t="shared" si="8"/>
        <v>0</v>
      </c>
    </row>
    <row r="46" spans="1:46" s="269" customFormat="1" outlineLevel="1">
      <c r="A46" s="283" t="s">
        <v>184</v>
      </c>
      <c r="B46" s="284">
        <v>0</v>
      </c>
      <c r="C46" s="285">
        <v>0</v>
      </c>
      <c r="D46" s="285">
        <v>0</v>
      </c>
      <c r="E46" s="286">
        <f t="shared" si="13"/>
        <v>0</v>
      </c>
      <c r="F46" s="286">
        <f>E46+E46*'Вводные данные'!$D$4</f>
        <v>0</v>
      </c>
      <c r="G46" s="287">
        <f>F46+F46*'Вводные данные'!$E$4</f>
        <v>0</v>
      </c>
      <c r="H46" s="288">
        <f>$E$46*Продажи!B8</f>
        <v>0</v>
      </c>
      <c r="I46" s="288">
        <f>$E$46*Продажи!C8</f>
        <v>0</v>
      </c>
      <c r="J46" s="288">
        <f>$E$46*Продажи!D8</f>
        <v>0</v>
      </c>
      <c r="K46" s="288">
        <f>$E$46*Продажи!E8</f>
        <v>0</v>
      </c>
      <c r="L46" s="288">
        <f>$E$46*Продажи!F8</f>
        <v>0</v>
      </c>
      <c r="M46" s="288">
        <f>$E$46*Продажи!G8</f>
        <v>0</v>
      </c>
      <c r="N46" s="288">
        <f>$E$46*Продажи!H8</f>
        <v>0</v>
      </c>
      <c r="O46" s="288">
        <f>$E$46*Продажи!I8</f>
        <v>0</v>
      </c>
      <c r="P46" s="288">
        <f>$E$46*Продажи!J8</f>
        <v>0</v>
      </c>
      <c r="Q46" s="288">
        <f>$E$46*Продажи!K8</f>
        <v>0</v>
      </c>
      <c r="R46" s="288">
        <f>$E$46*Продажи!L8</f>
        <v>0</v>
      </c>
      <c r="S46" s="288">
        <f>$E$46*Продажи!M8</f>
        <v>0</v>
      </c>
      <c r="T46" s="290">
        <f t="shared" si="19"/>
        <v>0</v>
      </c>
      <c r="U46" s="292">
        <f>$F$46*Продажи!O8</f>
        <v>0</v>
      </c>
      <c r="V46" s="292">
        <f>$F$46*Продажи!P8</f>
        <v>0</v>
      </c>
      <c r="W46" s="292">
        <f>$F$46*Продажи!Q8</f>
        <v>0</v>
      </c>
      <c r="X46" s="292">
        <f>$F$46*Продажи!R8</f>
        <v>0</v>
      </c>
      <c r="Y46" s="292">
        <f>$F$46*Продажи!S8</f>
        <v>0</v>
      </c>
      <c r="Z46" s="292">
        <f>$F$46*Продажи!T8</f>
        <v>0</v>
      </c>
      <c r="AA46" s="292">
        <f>$F$46*Продажи!U8</f>
        <v>0</v>
      </c>
      <c r="AB46" s="292">
        <f>$F$46*Продажи!V8</f>
        <v>0</v>
      </c>
      <c r="AC46" s="292">
        <f>$F$46*Продажи!W8</f>
        <v>0</v>
      </c>
      <c r="AD46" s="292">
        <f>$F$46*Продажи!X8</f>
        <v>0</v>
      </c>
      <c r="AE46" s="292">
        <f>$F$46*Продажи!Y8</f>
        <v>0</v>
      </c>
      <c r="AF46" s="292">
        <f>$F$46*Продажи!Z8</f>
        <v>0</v>
      </c>
      <c r="AG46" s="290">
        <f t="shared" si="7"/>
        <v>0</v>
      </c>
      <c r="AH46" s="304">
        <f>$G$46*Продажи!AB8</f>
        <v>0</v>
      </c>
      <c r="AI46" s="293">
        <f>$G$46*Продажи!AC8</f>
        <v>0</v>
      </c>
      <c r="AJ46" s="293">
        <f>$G$46*Продажи!AD8</f>
        <v>0</v>
      </c>
      <c r="AK46" s="293">
        <f>$G$46*Продажи!AE8</f>
        <v>0</v>
      </c>
      <c r="AL46" s="293">
        <f>$G$46*Продажи!AF8</f>
        <v>0</v>
      </c>
      <c r="AM46" s="293">
        <f>$G$46*Продажи!AG8</f>
        <v>0</v>
      </c>
      <c r="AN46" s="293">
        <f>$G$46*Продажи!AH8</f>
        <v>0</v>
      </c>
      <c r="AO46" s="293">
        <f>$G$46*Продажи!AI8</f>
        <v>0</v>
      </c>
      <c r="AP46" s="293">
        <f>$G$46*Продажи!AJ8</f>
        <v>0</v>
      </c>
      <c r="AQ46" s="293">
        <f>$G$46*Продажи!AK8</f>
        <v>0</v>
      </c>
      <c r="AR46" s="293">
        <f>$G$46*Продажи!AL8</f>
        <v>0</v>
      </c>
      <c r="AS46" s="293">
        <f>$G$46*Продажи!AM8</f>
        <v>0</v>
      </c>
      <c r="AT46" s="290">
        <f t="shared" si="8"/>
        <v>0</v>
      </c>
    </row>
    <row r="47" spans="1:46" s="269" customFormat="1" outlineLevel="1">
      <c r="A47" s="283" t="s">
        <v>185</v>
      </c>
      <c r="B47" s="284" t="s">
        <v>151</v>
      </c>
      <c r="C47" s="285"/>
      <c r="D47" s="285"/>
      <c r="E47" s="286">
        <f t="shared" si="13"/>
        <v>0</v>
      </c>
      <c r="F47" s="286">
        <f>E47+E47*'Вводные данные'!$D$4</f>
        <v>0</v>
      </c>
      <c r="G47" s="287">
        <f>F47+F47*'Вводные данные'!$E$4</f>
        <v>0</v>
      </c>
      <c r="H47" s="288">
        <f>$E$47*Продажи!B8</f>
        <v>0</v>
      </c>
      <c r="I47" s="288">
        <f>$E$47*Продажи!C8</f>
        <v>0</v>
      </c>
      <c r="J47" s="288">
        <f>$E$47*Продажи!D8</f>
        <v>0</v>
      </c>
      <c r="K47" s="288">
        <f>$E$47*Продажи!E8</f>
        <v>0</v>
      </c>
      <c r="L47" s="288">
        <f>$E$47*Продажи!F8</f>
        <v>0</v>
      </c>
      <c r="M47" s="288">
        <f>$E$47*Продажи!G8</f>
        <v>0</v>
      </c>
      <c r="N47" s="288">
        <f>$E$47*Продажи!H8</f>
        <v>0</v>
      </c>
      <c r="O47" s="288">
        <f>$E$47*Продажи!I8</f>
        <v>0</v>
      </c>
      <c r="P47" s="288">
        <f>$E$47*Продажи!J8</f>
        <v>0</v>
      </c>
      <c r="Q47" s="288">
        <f>$E$47*Продажи!K8</f>
        <v>0</v>
      </c>
      <c r="R47" s="288">
        <f>$E$47*Продажи!L8</f>
        <v>0</v>
      </c>
      <c r="S47" s="288">
        <f>$E$47*Продажи!M8</f>
        <v>0</v>
      </c>
      <c r="T47" s="290">
        <f t="shared" si="19"/>
        <v>0</v>
      </c>
      <c r="U47" s="292">
        <f>$F$47*Продажи!O8</f>
        <v>0</v>
      </c>
      <c r="V47" s="292">
        <f>$F$47*Продажи!P8</f>
        <v>0</v>
      </c>
      <c r="W47" s="292">
        <f>$F$47*Продажи!Q8</f>
        <v>0</v>
      </c>
      <c r="X47" s="292">
        <f>$F$47*Продажи!R8</f>
        <v>0</v>
      </c>
      <c r="Y47" s="292">
        <f>$F$47*Продажи!S8</f>
        <v>0</v>
      </c>
      <c r="Z47" s="292">
        <f>$F$47*Продажи!T8</f>
        <v>0</v>
      </c>
      <c r="AA47" s="292">
        <f>$F$47*Продажи!U8</f>
        <v>0</v>
      </c>
      <c r="AB47" s="292">
        <f>$F$47*Продажи!V8</f>
        <v>0</v>
      </c>
      <c r="AC47" s="292">
        <f>$F$47*Продажи!W8</f>
        <v>0</v>
      </c>
      <c r="AD47" s="292">
        <f>$F$47*Продажи!X8</f>
        <v>0</v>
      </c>
      <c r="AE47" s="292">
        <f>$F$47*Продажи!Y8</f>
        <v>0</v>
      </c>
      <c r="AF47" s="292">
        <f>$F$47*Продажи!Z8</f>
        <v>0</v>
      </c>
      <c r="AG47" s="290">
        <f t="shared" si="7"/>
        <v>0</v>
      </c>
      <c r="AH47" s="304">
        <f>$G$47*Продажи!AB8</f>
        <v>0</v>
      </c>
      <c r="AI47" s="293">
        <f>$G$47*Продажи!AC8</f>
        <v>0</v>
      </c>
      <c r="AJ47" s="293">
        <f>$G$47*Продажи!AD8</f>
        <v>0</v>
      </c>
      <c r="AK47" s="293">
        <f>$G$47*Продажи!AE8</f>
        <v>0</v>
      </c>
      <c r="AL47" s="293">
        <f>$G$47*Продажи!AF8</f>
        <v>0</v>
      </c>
      <c r="AM47" s="293">
        <f>$G$47*Продажи!AG8</f>
        <v>0</v>
      </c>
      <c r="AN47" s="293">
        <f>$G$47*Продажи!AH8</f>
        <v>0</v>
      </c>
      <c r="AO47" s="293">
        <f>$G$47*Продажи!AI8</f>
        <v>0</v>
      </c>
      <c r="AP47" s="293">
        <f>$G$47*Продажи!AJ8</f>
        <v>0</v>
      </c>
      <c r="AQ47" s="293">
        <f>$G$47*Продажи!AK8</f>
        <v>0</v>
      </c>
      <c r="AR47" s="293">
        <f>$G$47*Продажи!AL8</f>
        <v>0</v>
      </c>
      <c r="AS47" s="293">
        <f>$G$47*Продажи!AM8</f>
        <v>0</v>
      </c>
      <c r="AT47" s="290">
        <f t="shared" si="8"/>
        <v>0</v>
      </c>
    </row>
    <row r="48" spans="1:46" s="269" customFormat="1" outlineLevel="1">
      <c r="A48" s="283" t="s">
        <v>186</v>
      </c>
      <c r="B48" s="284" t="s">
        <v>153</v>
      </c>
      <c r="C48" s="285"/>
      <c r="D48" s="285"/>
      <c r="E48" s="286">
        <f t="shared" si="13"/>
        <v>0</v>
      </c>
      <c r="F48" s="286">
        <f>E48+E48*'Вводные данные'!$D$4</f>
        <v>0</v>
      </c>
      <c r="G48" s="287">
        <f>F48+F48*'Вводные данные'!$E$4</f>
        <v>0</v>
      </c>
      <c r="H48" s="288">
        <f>$E$48*Продажи!B8</f>
        <v>0</v>
      </c>
      <c r="I48" s="288">
        <f>$E$48*Продажи!C8</f>
        <v>0</v>
      </c>
      <c r="J48" s="288">
        <f>$E$48*Продажи!D8</f>
        <v>0</v>
      </c>
      <c r="K48" s="288">
        <f>$E$48*Продажи!E8</f>
        <v>0</v>
      </c>
      <c r="L48" s="288">
        <f>$E$48*Продажи!F8</f>
        <v>0</v>
      </c>
      <c r="M48" s="288">
        <f>$E$48*Продажи!G8</f>
        <v>0</v>
      </c>
      <c r="N48" s="288">
        <f>$E$48*Продажи!H8</f>
        <v>0</v>
      </c>
      <c r="O48" s="288">
        <f>$E$48*Продажи!I8</f>
        <v>0</v>
      </c>
      <c r="P48" s="288">
        <f>$E$48*Продажи!J8</f>
        <v>0</v>
      </c>
      <c r="Q48" s="288">
        <f>$E$48*Продажи!K8</f>
        <v>0</v>
      </c>
      <c r="R48" s="288">
        <f>$E$48*Продажи!L8</f>
        <v>0</v>
      </c>
      <c r="S48" s="288">
        <f>$E$48*Продажи!M8</f>
        <v>0</v>
      </c>
      <c r="T48" s="290">
        <f t="shared" si="19"/>
        <v>0</v>
      </c>
      <c r="U48" s="292">
        <f>$F$48*Продажи!O8</f>
        <v>0</v>
      </c>
      <c r="V48" s="292">
        <f>$F$48*Продажи!P8</f>
        <v>0</v>
      </c>
      <c r="W48" s="292">
        <f>$F$48*Продажи!Q8</f>
        <v>0</v>
      </c>
      <c r="X48" s="292">
        <f>$F$48*Продажи!R8</f>
        <v>0</v>
      </c>
      <c r="Y48" s="292">
        <f>$F$48*Продажи!S8</f>
        <v>0</v>
      </c>
      <c r="Z48" s="292">
        <f>$F$48*Продажи!T8</f>
        <v>0</v>
      </c>
      <c r="AA48" s="292">
        <f>$F$48*Продажи!U8</f>
        <v>0</v>
      </c>
      <c r="AB48" s="292">
        <f>$F$48*Продажи!V8</f>
        <v>0</v>
      </c>
      <c r="AC48" s="292">
        <f>$F$48*Продажи!W8</f>
        <v>0</v>
      </c>
      <c r="AD48" s="292">
        <f>$F$48*Продажи!X8</f>
        <v>0</v>
      </c>
      <c r="AE48" s="292">
        <f>$F$48*Продажи!Y8</f>
        <v>0</v>
      </c>
      <c r="AF48" s="292">
        <f>$F$48*Продажи!Z8</f>
        <v>0</v>
      </c>
      <c r="AG48" s="290">
        <f t="shared" si="7"/>
        <v>0</v>
      </c>
      <c r="AH48" s="304">
        <f>$G$48*Продажи!AB8</f>
        <v>0</v>
      </c>
      <c r="AI48" s="293">
        <f>$G$48*Продажи!AC8</f>
        <v>0</v>
      </c>
      <c r="AJ48" s="293">
        <f>$G$48*Продажи!AD8</f>
        <v>0</v>
      </c>
      <c r="AK48" s="293">
        <f>$G$48*Продажи!AE8</f>
        <v>0</v>
      </c>
      <c r="AL48" s="293">
        <f>$G$48*Продажи!AF8</f>
        <v>0</v>
      </c>
      <c r="AM48" s="293">
        <f>$G$48*Продажи!AG8</f>
        <v>0</v>
      </c>
      <c r="AN48" s="293">
        <f>$G$48*Продажи!AH8</f>
        <v>0</v>
      </c>
      <c r="AO48" s="293">
        <f>$G$48*Продажи!AI8</f>
        <v>0</v>
      </c>
      <c r="AP48" s="293">
        <f>$G$48*Продажи!AJ8</f>
        <v>0</v>
      </c>
      <c r="AQ48" s="293">
        <f>$G$48*Продажи!AK8</f>
        <v>0</v>
      </c>
      <c r="AR48" s="293">
        <f>$G$48*Продажи!AL8</f>
        <v>0</v>
      </c>
      <c r="AS48" s="293">
        <f>$G$48*Продажи!AM8</f>
        <v>0</v>
      </c>
      <c r="AT48" s="290">
        <f t="shared" si="8"/>
        <v>0</v>
      </c>
    </row>
    <row r="49" spans="1:46" s="269" customFormat="1" outlineLevel="1">
      <c r="A49" s="283" t="s">
        <v>187</v>
      </c>
      <c r="B49" s="284" t="s">
        <v>155</v>
      </c>
      <c r="C49" s="285"/>
      <c r="D49" s="285"/>
      <c r="E49" s="286">
        <f t="shared" si="13"/>
        <v>0</v>
      </c>
      <c r="F49" s="286">
        <f>E49+E49*'Вводные данные'!$D$4</f>
        <v>0</v>
      </c>
      <c r="G49" s="287">
        <f>F49+F49*'Вводные данные'!$E$4</f>
        <v>0</v>
      </c>
      <c r="H49" s="288">
        <f>$E$49*Продажи!B8</f>
        <v>0</v>
      </c>
      <c r="I49" s="288">
        <f>$E$49*Продажи!C8</f>
        <v>0</v>
      </c>
      <c r="J49" s="288">
        <f>$E$49*Продажи!D8</f>
        <v>0</v>
      </c>
      <c r="K49" s="288">
        <f>$E$49*Продажи!E8</f>
        <v>0</v>
      </c>
      <c r="L49" s="288">
        <f>$E$49*Продажи!F8</f>
        <v>0</v>
      </c>
      <c r="M49" s="288">
        <f>$E$49*Продажи!G8</f>
        <v>0</v>
      </c>
      <c r="N49" s="288">
        <f>$E$49*Продажи!H8</f>
        <v>0</v>
      </c>
      <c r="O49" s="288">
        <f>$E$49*Продажи!I8</f>
        <v>0</v>
      </c>
      <c r="P49" s="288">
        <f>$E$49*Продажи!J8</f>
        <v>0</v>
      </c>
      <c r="Q49" s="288">
        <f>$E$49*Продажи!K8</f>
        <v>0</v>
      </c>
      <c r="R49" s="288">
        <f>$E$49*Продажи!L8</f>
        <v>0</v>
      </c>
      <c r="S49" s="288">
        <f>$E$49*Продажи!M8</f>
        <v>0</v>
      </c>
      <c r="T49" s="290">
        <f t="shared" si="19"/>
        <v>0</v>
      </c>
      <c r="U49" s="292">
        <f>$F$49*Продажи!O8</f>
        <v>0</v>
      </c>
      <c r="V49" s="292">
        <f>$F$49*Продажи!P8</f>
        <v>0</v>
      </c>
      <c r="W49" s="292">
        <f>$F$49*Продажи!Q8</f>
        <v>0</v>
      </c>
      <c r="X49" s="292">
        <f>$F$49*Продажи!R8</f>
        <v>0</v>
      </c>
      <c r="Y49" s="292">
        <f>$F$49*Продажи!S8</f>
        <v>0</v>
      </c>
      <c r="Z49" s="292">
        <f>$F$49*Продажи!T8</f>
        <v>0</v>
      </c>
      <c r="AA49" s="292">
        <f>$F$49*Продажи!U8</f>
        <v>0</v>
      </c>
      <c r="AB49" s="292">
        <f>$F$49*Продажи!V8</f>
        <v>0</v>
      </c>
      <c r="AC49" s="292">
        <f>$F$49*Продажи!W8</f>
        <v>0</v>
      </c>
      <c r="AD49" s="292">
        <f>$F$49*Продажи!X8</f>
        <v>0</v>
      </c>
      <c r="AE49" s="292">
        <f>$F$49*Продажи!Y8</f>
        <v>0</v>
      </c>
      <c r="AF49" s="292">
        <f>$F$49*Продажи!Z8</f>
        <v>0</v>
      </c>
      <c r="AG49" s="290">
        <f t="shared" si="7"/>
        <v>0</v>
      </c>
      <c r="AH49" s="304">
        <f>$G$49*Продажи!AB8</f>
        <v>0</v>
      </c>
      <c r="AI49" s="293">
        <f>$G$49*Продажи!AC8</f>
        <v>0</v>
      </c>
      <c r="AJ49" s="293">
        <f>$G$49*Продажи!AD8</f>
        <v>0</v>
      </c>
      <c r="AK49" s="293">
        <f>$G$49*Продажи!AE8</f>
        <v>0</v>
      </c>
      <c r="AL49" s="293">
        <f>$G$49*Продажи!AF8</f>
        <v>0</v>
      </c>
      <c r="AM49" s="293">
        <f>$G$49*Продажи!AG8</f>
        <v>0</v>
      </c>
      <c r="AN49" s="293">
        <f>$G$49*Продажи!AH8</f>
        <v>0</v>
      </c>
      <c r="AO49" s="293">
        <f>$G$49*Продажи!AI8</f>
        <v>0</v>
      </c>
      <c r="AP49" s="293">
        <f>$G$49*Продажи!AJ8</f>
        <v>0</v>
      </c>
      <c r="AQ49" s="293">
        <f>$G$49*Продажи!AK8</f>
        <v>0</v>
      </c>
      <c r="AR49" s="293">
        <f>$G$49*Продажи!AL8</f>
        <v>0</v>
      </c>
      <c r="AS49" s="293">
        <f>$G$49*Продажи!AM8</f>
        <v>0</v>
      </c>
      <c r="AT49" s="290">
        <f t="shared" si="8"/>
        <v>0</v>
      </c>
    </row>
    <row r="50" spans="1:46" s="269" customFormat="1" outlineLevel="1">
      <c r="A50" s="283" t="s">
        <v>188</v>
      </c>
      <c r="B50" s="284" t="s">
        <v>157</v>
      </c>
      <c r="C50" s="285"/>
      <c r="D50" s="285"/>
      <c r="E50" s="286">
        <f t="shared" si="13"/>
        <v>0</v>
      </c>
      <c r="F50" s="286">
        <f>E50+E50*'Вводные данные'!$D$4</f>
        <v>0</v>
      </c>
      <c r="G50" s="287">
        <f>F50+F50*'Вводные данные'!$E$4</f>
        <v>0</v>
      </c>
      <c r="H50" s="288">
        <f>$E$50*Продажи!B8</f>
        <v>0</v>
      </c>
      <c r="I50" s="288">
        <f>$E$50*Продажи!C8</f>
        <v>0</v>
      </c>
      <c r="J50" s="288">
        <f>$E$50*Продажи!D8</f>
        <v>0</v>
      </c>
      <c r="K50" s="288">
        <f>$E$50*Продажи!E8</f>
        <v>0</v>
      </c>
      <c r="L50" s="288">
        <f>$E$50*Продажи!F8</f>
        <v>0</v>
      </c>
      <c r="M50" s="288">
        <f>$E$50*Продажи!G8</f>
        <v>0</v>
      </c>
      <c r="N50" s="288">
        <f>$E$50*Продажи!H8</f>
        <v>0</v>
      </c>
      <c r="O50" s="288">
        <f>$E$50*Продажи!I8</f>
        <v>0</v>
      </c>
      <c r="P50" s="288">
        <f>$E$50*Продажи!J8</f>
        <v>0</v>
      </c>
      <c r="Q50" s="288">
        <f>$E$50*Продажи!K8</f>
        <v>0</v>
      </c>
      <c r="R50" s="288">
        <f>$E$50*Продажи!L8</f>
        <v>0</v>
      </c>
      <c r="S50" s="288">
        <f>$E$50*Продажи!M8</f>
        <v>0</v>
      </c>
      <c r="T50" s="290">
        <f t="shared" si="19"/>
        <v>0</v>
      </c>
      <c r="U50" s="292">
        <f>$F$50*Продажи!O8</f>
        <v>0</v>
      </c>
      <c r="V50" s="292">
        <f>$F$50*Продажи!P8</f>
        <v>0</v>
      </c>
      <c r="W50" s="292">
        <f>$F$50*Продажи!Q8</f>
        <v>0</v>
      </c>
      <c r="X50" s="292">
        <f>$F$50*Продажи!R8</f>
        <v>0</v>
      </c>
      <c r="Y50" s="292">
        <f>$F$50*Продажи!S8</f>
        <v>0</v>
      </c>
      <c r="Z50" s="292">
        <f>$F$50*Продажи!T8</f>
        <v>0</v>
      </c>
      <c r="AA50" s="292">
        <f>$F$50*Продажи!U8</f>
        <v>0</v>
      </c>
      <c r="AB50" s="292">
        <f>$F$50*Продажи!V8</f>
        <v>0</v>
      </c>
      <c r="AC50" s="292">
        <f>$F$50*Продажи!W8</f>
        <v>0</v>
      </c>
      <c r="AD50" s="292">
        <f>$F$50*Продажи!X8</f>
        <v>0</v>
      </c>
      <c r="AE50" s="292">
        <f>$F$50*Продажи!Y8</f>
        <v>0</v>
      </c>
      <c r="AF50" s="292">
        <f>$F$50*Продажи!Z8</f>
        <v>0</v>
      </c>
      <c r="AG50" s="290">
        <f t="shared" si="7"/>
        <v>0</v>
      </c>
      <c r="AH50" s="304">
        <f>$G$50*Продажи!AB8</f>
        <v>0</v>
      </c>
      <c r="AI50" s="293">
        <f>$G$50*Продажи!AC8</f>
        <v>0</v>
      </c>
      <c r="AJ50" s="293">
        <f>$G$50*Продажи!AD8</f>
        <v>0</v>
      </c>
      <c r="AK50" s="293">
        <f>$G$50*Продажи!AE8</f>
        <v>0</v>
      </c>
      <c r="AL50" s="293">
        <f>$G$50*Продажи!AF8</f>
        <v>0</v>
      </c>
      <c r="AM50" s="293">
        <f>$G$50*Продажи!AG8</f>
        <v>0</v>
      </c>
      <c r="AN50" s="293">
        <f>$G$50*Продажи!AH8</f>
        <v>0</v>
      </c>
      <c r="AO50" s="293">
        <f>$G$50*Продажи!AI8</f>
        <v>0</v>
      </c>
      <c r="AP50" s="293">
        <f>$G$50*Продажи!AJ8</f>
        <v>0</v>
      </c>
      <c r="AQ50" s="293">
        <f>$G$50*Продажи!AK8</f>
        <v>0</v>
      </c>
      <c r="AR50" s="293">
        <f>$G$50*Продажи!AL8</f>
        <v>0</v>
      </c>
      <c r="AS50" s="293">
        <f>$G$50*Продажи!AM8</f>
        <v>0</v>
      </c>
      <c r="AT50" s="290">
        <f t="shared" si="8"/>
        <v>0</v>
      </c>
    </row>
    <row r="51" spans="1:46" s="269" customFormat="1" outlineLevel="1">
      <c r="A51" s="283" t="s">
        <v>189</v>
      </c>
      <c r="B51" s="284" t="s">
        <v>159</v>
      </c>
      <c r="C51" s="285"/>
      <c r="D51" s="285"/>
      <c r="E51" s="286">
        <f t="shared" si="13"/>
        <v>0</v>
      </c>
      <c r="F51" s="286">
        <f>E51+E51*'Вводные данные'!$D$4</f>
        <v>0</v>
      </c>
      <c r="G51" s="287">
        <f>F51+F51*'Вводные данные'!$E$4</f>
        <v>0</v>
      </c>
      <c r="H51" s="288">
        <f>$E$51*Продажи!B8</f>
        <v>0</v>
      </c>
      <c r="I51" s="288">
        <f>$E$51*Продажи!C8</f>
        <v>0</v>
      </c>
      <c r="J51" s="288">
        <f>$E$51*Продажи!D8</f>
        <v>0</v>
      </c>
      <c r="K51" s="288">
        <f>$E$51*Продажи!E8</f>
        <v>0</v>
      </c>
      <c r="L51" s="288">
        <f>$E$51*Продажи!F8</f>
        <v>0</v>
      </c>
      <c r="M51" s="288">
        <f>$E$51*Продажи!G8</f>
        <v>0</v>
      </c>
      <c r="N51" s="288">
        <f>$E$51*Продажи!H8</f>
        <v>0</v>
      </c>
      <c r="O51" s="288">
        <f>$E$51*Продажи!I8</f>
        <v>0</v>
      </c>
      <c r="P51" s="288">
        <f>$E$51*Продажи!J8</f>
        <v>0</v>
      </c>
      <c r="Q51" s="288">
        <f>$E$51*Продажи!K8</f>
        <v>0</v>
      </c>
      <c r="R51" s="288">
        <f>$E$51*Продажи!L8</f>
        <v>0</v>
      </c>
      <c r="S51" s="288">
        <f>$E$51*Продажи!M8</f>
        <v>0</v>
      </c>
      <c r="T51" s="290">
        <f t="shared" si="19"/>
        <v>0</v>
      </c>
      <c r="U51" s="292">
        <f>$F$51*Продажи!O8</f>
        <v>0</v>
      </c>
      <c r="V51" s="292">
        <f>$F$51*Продажи!P8</f>
        <v>0</v>
      </c>
      <c r="W51" s="292">
        <f>$F$51*Продажи!Q8</f>
        <v>0</v>
      </c>
      <c r="X51" s="292">
        <f>$F$51*Продажи!R8</f>
        <v>0</v>
      </c>
      <c r="Y51" s="292">
        <f>$F$51*Продажи!S8</f>
        <v>0</v>
      </c>
      <c r="Z51" s="292">
        <f>$F$51*Продажи!T8</f>
        <v>0</v>
      </c>
      <c r="AA51" s="292">
        <f>$F$51*Продажи!U8</f>
        <v>0</v>
      </c>
      <c r="AB51" s="292">
        <f>$F$51*Продажи!V8</f>
        <v>0</v>
      </c>
      <c r="AC51" s="292">
        <f>$F$51*Продажи!W8</f>
        <v>0</v>
      </c>
      <c r="AD51" s="292">
        <f>$F$51*Продажи!X8</f>
        <v>0</v>
      </c>
      <c r="AE51" s="292">
        <f>$F$51*Продажи!Y8</f>
        <v>0</v>
      </c>
      <c r="AF51" s="292">
        <f>$F$51*Продажи!Z8</f>
        <v>0</v>
      </c>
      <c r="AG51" s="290">
        <f t="shared" si="7"/>
        <v>0</v>
      </c>
      <c r="AH51" s="304">
        <f>$G$51*Продажи!AB8</f>
        <v>0</v>
      </c>
      <c r="AI51" s="293">
        <f>$G$51*Продажи!AC8</f>
        <v>0</v>
      </c>
      <c r="AJ51" s="293">
        <f>$G$51*Продажи!AD8</f>
        <v>0</v>
      </c>
      <c r="AK51" s="293">
        <f>$G$51*Продажи!AE8</f>
        <v>0</v>
      </c>
      <c r="AL51" s="293">
        <f>$G$51*Продажи!AF8</f>
        <v>0</v>
      </c>
      <c r="AM51" s="293">
        <f>$G$51*Продажи!AG8</f>
        <v>0</v>
      </c>
      <c r="AN51" s="293">
        <f>$G$51*Продажи!AH8</f>
        <v>0</v>
      </c>
      <c r="AO51" s="293">
        <f>$G$51*Продажи!AI8</f>
        <v>0</v>
      </c>
      <c r="AP51" s="293">
        <f>$G$51*Продажи!AJ8</f>
        <v>0</v>
      </c>
      <c r="AQ51" s="293">
        <f>$G$51*Продажи!AK8</f>
        <v>0</v>
      </c>
      <c r="AR51" s="293">
        <f>$G$51*Продажи!AL8</f>
        <v>0</v>
      </c>
      <c r="AS51" s="293">
        <f>$G$51*Продажи!AM8</f>
        <v>0</v>
      </c>
      <c r="AT51" s="290">
        <f t="shared" si="8"/>
        <v>0</v>
      </c>
    </row>
    <row r="52" spans="1:46" s="269" customFormat="1" outlineLevel="1">
      <c r="A52" s="283" t="s">
        <v>190</v>
      </c>
      <c r="B52" s="284" t="s">
        <v>161</v>
      </c>
      <c r="C52" s="285"/>
      <c r="D52" s="285"/>
      <c r="E52" s="286">
        <f t="shared" si="13"/>
        <v>0</v>
      </c>
      <c r="F52" s="286">
        <f>E52+E52*'Вводные данные'!$D$4</f>
        <v>0</v>
      </c>
      <c r="G52" s="287">
        <f>F52+F52*'Вводные данные'!$E$4</f>
        <v>0</v>
      </c>
      <c r="H52" s="288">
        <f>$E$52*Продажи!B8</f>
        <v>0</v>
      </c>
      <c r="I52" s="288">
        <f>$E$52*Продажи!C8</f>
        <v>0</v>
      </c>
      <c r="J52" s="288">
        <f>$E$52*Продажи!D8</f>
        <v>0</v>
      </c>
      <c r="K52" s="288">
        <f>$E$52*Продажи!E8</f>
        <v>0</v>
      </c>
      <c r="L52" s="288">
        <f>$E$52*Продажи!F8</f>
        <v>0</v>
      </c>
      <c r="M52" s="288">
        <f>$E$52*Продажи!G8</f>
        <v>0</v>
      </c>
      <c r="N52" s="288">
        <f>$E$52*Продажи!H8</f>
        <v>0</v>
      </c>
      <c r="O52" s="288">
        <f>$E$52*Продажи!I8</f>
        <v>0</v>
      </c>
      <c r="P52" s="288">
        <f>$E$52*Продажи!J8</f>
        <v>0</v>
      </c>
      <c r="Q52" s="288">
        <f>$E$52*Продажи!K8</f>
        <v>0</v>
      </c>
      <c r="R52" s="288">
        <f>$E$52*Продажи!L8</f>
        <v>0</v>
      </c>
      <c r="S52" s="288">
        <f>$E$52*Продажи!M8</f>
        <v>0</v>
      </c>
      <c r="T52" s="290">
        <f t="shared" si="19"/>
        <v>0</v>
      </c>
      <c r="U52" s="292">
        <f>$F$52*Продажи!O8</f>
        <v>0</v>
      </c>
      <c r="V52" s="292">
        <f>$F$52*Продажи!P8</f>
        <v>0</v>
      </c>
      <c r="W52" s="292">
        <f>$F$52*Продажи!Q8</f>
        <v>0</v>
      </c>
      <c r="X52" s="292">
        <f>$F$52*Продажи!R8</f>
        <v>0</v>
      </c>
      <c r="Y52" s="292">
        <f>$F$52*Продажи!S8</f>
        <v>0</v>
      </c>
      <c r="Z52" s="292">
        <f>$F$52*Продажи!T8</f>
        <v>0</v>
      </c>
      <c r="AA52" s="292">
        <f>$F$52*Продажи!U8</f>
        <v>0</v>
      </c>
      <c r="AB52" s="292">
        <f>$F$52*Продажи!V8</f>
        <v>0</v>
      </c>
      <c r="AC52" s="292">
        <f>$F$52*Продажи!W8</f>
        <v>0</v>
      </c>
      <c r="AD52" s="292">
        <f>$F$52*Продажи!X8</f>
        <v>0</v>
      </c>
      <c r="AE52" s="292">
        <f>$F$52*Продажи!Y8</f>
        <v>0</v>
      </c>
      <c r="AF52" s="292">
        <f>$F$52*Продажи!Z8</f>
        <v>0</v>
      </c>
      <c r="AG52" s="290">
        <f t="shared" si="7"/>
        <v>0</v>
      </c>
      <c r="AH52" s="304">
        <f>$G$52*Продажи!AB8</f>
        <v>0</v>
      </c>
      <c r="AI52" s="293">
        <f>$G$52*Продажи!AC8</f>
        <v>0</v>
      </c>
      <c r="AJ52" s="293">
        <f>$G$52*Продажи!AD8</f>
        <v>0</v>
      </c>
      <c r="AK52" s="293">
        <f>$G$52*Продажи!AE8</f>
        <v>0</v>
      </c>
      <c r="AL52" s="293">
        <f>$G$52*Продажи!AF8</f>
        <v>0</v>
      </c>
      <c r="AM52" s="293">
        <f>$G$52*Продажи!AG8</f>
        <v>0</v>
      </c>
      <c r="AN52" s="293">
        <f>$G$52*Продажи!AH8</f>
        <v>0</v>
      </c>
      <c r="AO52" s="293">
        <f>$G$52*Продажи!AI8</f>
        <v>0</v>
      </c>
      <c r="AP52" s="293">
        <f>$G$52*Продажи!AJ8</f>
        <v>0</v>
      </c>
      <c r="AQ52" s="293">
        <f>$G$52*Продажи!AK8</f>
        <v>0</v>
      </c>
      <c r="AR52" s="293">
        <f>$G$52*Продажи!AL8</f>
        <v>0</v>
      </c>
      <c r="AS52" s="293">
        <f>$G$52*Продажи!AM8</f>
        <v>0</v>
      </c>
      <c r="AT52" s="290">
        <f t="shared" si="8"/>
        <v>0</v>
      </c>
    </row>
    <row r="53" spans="1:46" s="269" customFormat="1" ht="24" customHeight="1" outlineLevel="1">
      <c r="A53" s="294" t="s">
        <v>191</v>
      </c>
      <c r="B53" s="485" t="s">
        <v>163</v>
      </c>
      <c r="C53" s="486"/>
      <c r="D53" s="486"/>
      <c r="E53" s="486"/>
      <c r="F53" s="486"/>
      <c r="G53" s="487"/>
      <c r="H53" s="295">
        <f>'Продукция и цена '!C7</f>
        <v>250000</v>
      </c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7">
        <f>H53</f>
        <v>250000</v>
      </c>
      <c r="U53" s="295">
        <f>'Продукция и цена '!D7</f>
        <v>287500</v>
      </c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7">
        <f t="shared" si="7"/>
        <v>287500</v>
      </c>
      <c r="AH53" s="298">
        <f>'Продукция и цена '!E7</f>
        <v>330625</v>
      </c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7">
        <f t="shared" si="8"/>
        <v>330625</v>
      </c>
    </row>
    <row r="54" spans="1:46" s="270" customFormat="1" ht="14.25">
      <c r="A54" s="299">
        <v>5</v>
      </c>
      <c r="B54" s="300" t="str">
        <f>'Продукция и цена '!A8</f>
        <v>Реклама/партнёрства</v>
      </c>
      <c r="C54" s="301" t="s">
        <v>103</v>
      </c>
      <c r="D54" s="301" t="s">
        <v>103</v>
      </c>
      <c r="E54" s="301" t="s">
        <v>3</v>
      </c>
      <c r="F54" s="301" t="s">
        <v>4</v>
      </c>
      <c r="G54" s="302" t="s">
        <v>5</v>
      </c>
      <c r="H54" s="303">
        <f t="shared" ref="H54:S54" si="22">SUM(H55:H64)</f>
        <v>0</v>
      </c>
      <c r="I54" s="281">
        <f t="shared" si="22"/>
        <v>0</v>
      </c>
      <c r="J54" s="281">
        <f t="shared" si="22"/>
        <v>0</v>
      </c>
      <c r="K54" s="281">
        <f t="shared" si="22"/>
        <v>1300</v>
      </c>
      <c r="L54" s="281">
        <f t="shared" si="22"/>
        <v>1300</v>
      </c>
      <c r="M54" s="281">
        <f t="shared" si="22"/>
        <v>1300</v>
      </c>
      <c r="N54" s="281">
        <f t="shared" si="22"/>
        <v>1300</v>
      </c>
      <c r="O54" s="281">
        <f t="shared" si="22"/>
        <v>1300</v>
      </c>
      <c r="P54" s="281">
        <f t="shared" si="22"/>
        <v>1300</v>
      </c>
      <c r="Q54" s="281">
        <f t="shared" si="22"/>
        <v>1300</v>
      </c>
      <c r="R54" s="281">
        <f t="shared" si="22"/>
        <v>1300</v>
      </c>
      <c r="S54" s="281">
        <f t="shared" si="22"/>
        <v>1300</v>
      </c>
      <c r="T54" s="282">
        <f t="shared" ref="T54:T64" si="23">SUM(H54:S54)</f>
        <v>11700</v>
      </c>
      <c r="U54" s="303">
        <f t="shared" ref="U54:AF54" si="24">SUM(U55:U64)</f>
        <v>1495</v>
      </c>
      <c r="V54" s="281">
        <f t="shared" si="24"/>
        <v>1495</v>
      </c>
      <c r="W54" s="281">
        <f t="shared" si="24"/>
        <v>1495</v>
      </c>
      <c r="X54" s="281">
        <f t="shared" si="24"/>
        <v>1495</v>
      </c>
      <c r="Y54" s="281">
        <f t="shared" si="24"/>
        <v>1495</v>
      </c>
      <c r="Z54" s="281">
        <f t="shared" si="24"/>
        <v>1495</v>
      </c>
      <c r="AA54" s="281">
        <f t="shared" si="24"/>
        <v>2990</v>
      </c>
      <c r="AB54" s="281">
        <f t="shared" si="24"/>
        <v>2990</v>
      </c>
      <c r="AC54" s="281">
        <f t="shared" si="24"/>
        <v>1495</v>
      </c>
      <c r="AD54" s="281">
        <f t="shared" si="24"/>
        <v>1495</v>
      </c>
      <c r="AE54" s="281">
        <f t="shared" si="24"/>
        <v>2990</v>
      </c>
      <c r="AF54" s="281">
        <f t="shared" si="24"/>
        <v>2990</v>
      </c>
      <c r="AG54" s="282">
        <f t="shared" si="7"/>
        <v>23920</v>
      </c>
      <c r="AH54" s="280">
        <f t="shared" ref="AH54:AS54" si="25">SUM(AH55:AH64)</f>
        <v>3438.5</v>
      </c>
      <c r="AI54" s="281">
        <f t="shared" si="25"/>
        <v>3438.5</v>
      </c>
      <c r="AJ54" s="281">
        <f t="shared" si="25"/>
        <v>3438.5</v>
      </c>
      <c r="AK54" s="281">
        <f t="shared" si="25"/>
        <v>3438.5</v>
      </c>
      <c r="AL54" s="281">
        <f t="shared" si="25"/>
        <v>3438.5</v>
      </c>
      <c r="AM54" s="281">
        <f t="shared" si="25"/>
        <v>1719.25</v>
      </c>
      <c r="AN54" s="281">
        <f t="shared" si="25"/>
        <v>3438.5</v>
      </c>
      <c r="AO54" s="281">
        <f t="shared" si="25"/>
        <v>3438.5</v>
      </c>
      <c r="AP54" s="281">
        <f t="shared" si="25"/>
        <v>3438.5</v>
      </c>
      <c r="AQ54" s="281">
        <f t="shared" si="25"/>
        <v>1719.25</v>
      </c>
      <c r="AR54" s="281">
        <f t="shared" si="25"/>
        <v>3438.5</v>
      </c>
      <c r="AS54" s="281">
        <f t="shared" si="25"/>
        <v>3438.5</v>
      </c>
      <c r="AT54" s="282">
        <f t="shared" si="8"/>
        <v>37823.5</v>
      </c>
    </row>
    <row r="55" spans="1:46" s="269" customFormat="1" outlineLevel="1">
      <c r="A55" s="283" t="s">
        <v>36</v>
      </c>
      <c r="B55" s="284" t="s">
        <v>537</v>
      </c>
      <c r="C55" s="285">
        <v>1300</v>
      </c>
      <c r="D55" s="285">
        <v>1</v>
      </c>
      <c r="E55" s="286">
        <f t="shared" si="13"/>
        <v>1300</v>
      </c>
      <c r="F55" s="286">
        <f>E55+E55*'Вводные данные'!$D$4</f>
        <v>1495</v>
      </c>
      <c r="G55" s="287">
        <f>F55+F55*'Вводные данные'!$E$4</f>
        <v>1719.25</v>
      </c>
      <c r="H55" s="288">
        <f>$E$55*Продажи!B9</f>
        <v>0</v>
      </c>
      <c r="I55" s="288">
        <f>$E$55*Продажи!C9</f>
        <v>0</v>
      </c>
      <c r="J55" s="288">
        <f>$E$55*Продажи!D9</f>
        <v>0</v>
      </c>
      <c r="K55" s="288">
        <f>$E$55*Продажи!E9</f>
        <v>1300</v>
      </c>
      <c r="L55" s="288">
        <f>$E$55*Продажи!F9</f>
        <v>1300</v>
      </c>
      <c r="M55" s="288">
        <f>$E$55*Продажи!G9</f>
        <v>1300</v>
      </c>
      <c r="N55" s="288">
        <f>$E$55*Продажи!H9</f>
        <v>1300</v>
      </c>
      <c r="O55" s="288">
        <f>$E$55*Продажи!I9</f>
        <v>1300</v>
      </c>
      <c r="P55" s="288">
        <f>$E$55*Продажи!J9</f>
        <v>1300</v>
      </c>
      <c r="Q55" s="288">
        <f>$E$55*Продажи!K9</f>
        <v>1300</v>
      </c>
      <c r="R55" s="288">
        <f>$E$55*Продажи!L9</f>
        <v>1300</v>
      </c>
      <c r="S55" s="288">
        <f>$E$55*Продажи!M9</f>
        <v>1300</v>
      </c>
      <c r="T55" s="290">
        <f t="shared" si="23"/>
        <v>11700</v>
      </c>
      <c r="U55" s="292">
        <f>$F$55*Продажи!O9</f>
        <v>1495</v>
      </c>
      <c r="V55" s="292">
        <f>$F$55*Продажи!P9</f>
        <v>1495</v>
      </c>
      <c r="W55" s="292">
        <f>$F$55*Продажи!Q9</f>
        <v>1495</v>
      </c>
      <c r="X55" s="292">
        <f>$F$55*Продажи!R9</f>
        <v>1495</v>
      </c>
      <c r="Y55" s="292">
        <f>$F$55*Продажи!S9</f>
        <v>1495</v>
      </c>
      <c r="Z55" s="292">
        <f>$F$55*Продажи!T9</f>
        <v>1495</v>
      </c>
      <c r="AA55" s="292">
        <f>$F$55*Продажи!U9</f>
        <v>2990</v>
      </c>
      <c r="AB55" s="292">
        <f>$F$55*Продажи!V9</f>
        <v>2990</v>
      </c>
      <c r="AC55" s="292">
        <f>$F$55*Продажи!W9</f>
        <v>1495</v>
      </c>
      <c r="AD55" s="292">
        <f>$F$55*Продажи!X9</f>
        <v>1495</v>
      </c>
      <c r="AE55" s="292">
        <f>$F$55*Продажи!Y9</f>
        <v>2990</v>
      </c>
      <c r="AF55" s="292">
        <f>$F$55*Продажи!Z9</f>
        <v>2990</v>
      </c>
      <c r="AG55" s="290">
        <f t="shared" si="7"/>
        <v>23920</v>
      </c>
      <c r="AH55" s="304">
        <f>$G$55*Продажи!AB9</f>
        <v>3438.5</v>
      </c>
      <c r="AI55" s="293">
        <f>$G$55*Продажи!AC9</f>
        <v>3438.5</v>
      </c>
      <c r="AJ55" s="293">
        <f>$G$55*Продажи!AD9</f>
        <v>3438.5</v>
      </c>
      <c r="AK55" s="293">
        <f>$G$55*Продажи!AE9</f>
        <v>3438.5</v>
      </c>
      <c r="AL55" s="293">
        <f>$G$55*Продажи!AF9</f>
        <v>3438.5</v>
      </c>
      <c r="AM55" s="293">
        <f>$G$55*Продажи!AG9</f>
        <v>1719.25</v>
      </c>
      <c r="AN55" s="293">
        <f>$G$55*Продажи!AH9</f>
        <v>3438.5</v>
      </c>
      <c r="AO55" s="293">
        <f>$G$55*Продажи!AI9</f>
        <v>3438.5</v>
      </c>
      <c r="AP55" s="293">
        <f>$G$55*Продажи!AJ9</f>
        <v>3438.5</v>
      </c>
      <c r="AQ55" s="293">
        <f>$G$55*Продажи!AK9</f>
        <v>1719.25</v>
      </c>
      <c r="AR55" s="293">
        <f>$G$55*Продажи!AL9</f>
        <v>3438.5</v>
      </c>
      <c r="AS55" s="293">
        <f>$G$55*Продажи!AM9</f>
        <v>3438.5</v>
      </c>
      <c r="AT55" s="290">
        <f t="shared" si="8"/>
        <v>37823.5</v>
      </c>
    </row>
    <row r="56" spans="1:46" s="269" customFormat="1" outlineLevel="1">
      <c r="A56" s="283" t="s">
        <v>38</v>
      </c>
      <c r="B56" s="284"/>
      <c r="C56" s="285"/>
      <c r="D56" s="285"/>
      <c r="E56" s="286">
        <f t="shared" si="13"/>
        <v>0</v>
      </c>
      <c r="F56" s="286">
        <f>E56+E56*'Вводные данные'!$D$4</f>
        <v>0</v>
      </c>
      <c r="G56" s="287">
        <f>F56+F56*'Вводные данные'!$E$4</f>
        <v>0</v>
      </c>
      <c r="H56" s="288">
        <f>$E$56*Продажи!B9</f>
        <v>0</v>
      </c>
      <c r="I56" s="288">
        <f>$E$56*Продажи!C9</f>
        <v>0</v>
      </c>
      <c r="J56" s="288">
        <f>$E$56*Продажи!D9</f>
        <v>0</v>
      </c>
      <c r="K56" s="288">
        <f>$E$56*Продажи!E9</f>
        <v>0</v>
      </c>
      <c r="L56" s="288">
        <f>$E$56*Продажи!F9</f>
        <v>0</v>
      </c>
      <c r="M56" s="288">
        <f>$E$56*Продажи!G9</f>
        <v>0</v>
      </c>
      <c r="N56" s="288">
        <f>$E$56*Продажи!H9</f>
        <v>0</v>
      </c>
      <c r="O56" s="288">
        <f>$E$56*Продажи!I9</f>
        <v>0</v>
      </c>
      <c r="P56" s="288">
        <f>$E$56*Продажи!J9</f>
        <v>0</v>
      </c>
      <c r="Q56" s="288">
        <f>$E$56*Продажи!K9</f>
        <v>0</v>
      </c>
      <c r="R56" s="288">
        <f>$E$56*Продажи!L9</f>
        <v>0</v>
      </c>
      <c r="S56" s="288">
        <f>$E$56*Продажи!M9</f>
        <v>0</v>
      </c>
      <c r="T56" s="290">
        <f t="shared" si="23"/>
        <v>0</v>
      </c>
      <c r="U56" s="292">
        <f>$F$56*Продажи!O9</f>
        <v>0</v>
      </c>
      <c r="V56" s="292">
        <f>$F$56*Продажи!P9</f>
        <v>0</v>
      </c>
      <c r="W56" s="292">
        <f>$F$56*Продажи!Q9</f>
        <v>0</v>
      </c>
      <c r="X56" s="292">
        <f>$F$56*Продажи!R9</f>
        <v>0</v>
      </c>
      <c r="Y56" s="292">
        <f>$F$56*Продажи!S9</f>
        <v>0</v>
      </c>
      <c r="Z56" s="292">
        <f>$F$56*Продажи!T9</f>
        <v>0</v>
      </c>
      <c r="AA56" s="292">
        <f>$F$56*Продажи!U9</f>
        <v>0</v>
      </c>
      <c r="AB56" s="292">
        <f>$F$56*Продажи!V9</f>
        <v>0</v>
      </c>
      <c r="AC56" s="292">
        <f>$F$56*Продажи!W9</f>
        <v>0</v>
      </c>
      <c r="AD56" s="292">
        <f>$F$56*Продажи!X9</f>
        <v>0</v>
      </c>
      <c r="AE56" s="292">
        <f>$F$56*Продажи!Y9</f>
        <v>0</v>
      </c>
      <c r="AF56" s="292">
        <f>$F$56*Продажи!Z9</f>
        <v>0</v>
      </c>
      <c r="AG56" s="290">
        <f t="shared" si="7"/>
        <v>0</v>
      </c>
      <c r="AH56" s="304">
        <f>$G$56*Продажи!AB9</f>
        <v>0</v>
      </c>
      <c r="AI56" s="293">
        <f>$G$56*Продажи!AC9</f>
        <v>0</v>
      </c>
      <c r="AJ56" s="293">
        <f>$G$56*Продажи!AD9</f>
        <v>0</v>
      </c>
      <c r="AK56" s="293">
        <f>$G$56*Продажи!AE9</f>
        <v>0</v>
      </c>
      <c r="AL56" s="293">
        <f>$G$56*Продажи!AF9</f>
        <v>0</v>
      </c>
      <c r="AM56" s="293">
        <f>$G$56*Продажи!AG9</f>
        <v>0</v>
      </c>
      <c r="AN56" s="293">
        <f>$G$56*Продажи!AH9</f>
        <v>0</v>
      </c>
      <c r="AO56" s="293">
        <f>$G$56*Продажи!AI9</f>
        <v>0</v>
      </c>
      <c r="AP56" s="293">
        <f>$G$56*Продажи!AJ9</f>
        <v>0</v>
      </c>
      <c r="AQ56" s="293">
        <f>$G$56*Продажи!AK9</f>
        <v>0</v>
      </c>
      <c r="AR56" s="293">
        <f>$G$56*Продажи!AL9</f>
        <v>0</v>
      </c>
      <c r="AS56" s="293">
        <f>$G$56*Продажи!AM9</f>
        <v>0</v>
      </c>
      <c r="AT56" s="290">
        <f t="shared" si="8"/>
        <v>0</v>
      </c>
    </row>
    <row r="57" spans="1:46" s="269" customFormat="1" outlineLevel="1">
      <c r="A57" s="283" t="s">
        <v>40</v>
      </c>
      <c r="B57" s="284"/>
      <c r="C57" s="285"/>
      <c r="D57" s="285"/>
      <c r="E57" s="286">
        <f t="shared" si="13"/>
        <v>0</v>
      </c>
      <c r="F57" s="286">
        <f>E57+E57*'Вводные данные'!$D$4</f>
        <v>0</v>
      </c>
      <c r="G57" s="287">
        <f>F57+F57*'Вводные данные'!$E$4</f>
        <v>0</v>
      </c>
      <c r="H57" s="288">
        <f>$E$57*Продажи!B9</f>
        <v>0</v>
      </c>
      <c r="I57" s="288">
        <f>$E$57*Продажи!C9</f>
        <v>0</v>
      </c>
      <c r="J57" s="288">
        <f>$E$57*Продажи!D9</f>
        <v>0</v>
      </c>
      <c r="K57" s="288">
        <f>$E$57*Продажи!E9</f>
        <v>0</v>
      </c>
      <c r="L57" s="288">
        <f>$E$57*Продажи!F9</f>
        <v>0</v>
      </c>
      <c r="M57" s="288">
        <f>$E$57*Продажи!G9</f>
        <v>0</v>
      </c>
      <c r="N57" s="288">
        <f>$E$57*Продажи!H9</f>
        <v>0</v>
      </c>
      <c r="O57" s="288">
        <f>$E$57*Продажи!I9</f>
        <v>0</v>
      </c>
      <c r="P57" s="288">
        <f>$E$57*Продажи!J9</f>
        <v>0</v>
      </c>
      <c r="Q57" s="288">
        <f>$E$57*Продажи!K9</f>
        <v>0</v>
      </c>
      <c r="R57" s="288">
        <f>$E$57*Продажи!L9</f>
        <v>0</v>
      </c>
      <c r="S57" s="288">
        <f>$E$57*Продажи!M9</f>
        <v>0</v>
      </c>
      <c r="T57" s="290">
        <f t="shared" si="23"/>
        <v>0</v>
      </c>
      <c r="U57" s="292">
        <f>$F$57*Продажи!O9</f>
        <v>0</v>
      </c>
      <c r="V57" s="292">
        <f>$F$57*Продажи!P9</f>
        <v>0</v>
      </c>
      <c r="W57" s="292">
        <f>$F$57*Продажи!Q9</f>
        <v>0</v>
      </c>
      <c r="X57" s="292">
        <f>$F$57*Продажи!R9</f>
        <v>0</v>
      </c>
      <c r="Y57" s="292">
        <f>$F$57*Продажи!S9</f>
        <v>0</v>
      </c>
      <c r="Z57" s="292">
        <f>$F$57*Продажи!T9</f>
        <v>0</v>
      </c>
      <c r="AA57" s="292">
        <f>$F$57*Продажи!U9</f>
        <v>0</v>
      </c>
      <c r="AB57" s="292">
        <f>$F$57*Продажи!V9</f>
        <v>0</v>
      </c>
      <c r="AC57" s="292">
        <f>$F$57*Продажи!W9</f>
        <v>0</v>
      </c>
      <c r="AD57" s="292">
        <f>$F$57*Продажи!X9</f>
        <v>0</v>
      </c>
      <c r="AE57" s="292">
        <f>$F$57*Продажи!Y9</f>
        <v>0</v>
      </c>
      <c r="AF57" s="292">
        <f>$F$57*Продажи!Z9</f>
        <v>0</v>
      </c>
      <c r="AG57" s="290">
        <f t="shared" si="7"/>
        <v>0</v>
      </c>
      <c r="AH57" s="304">
        <f>$G$57*Продажи!AB9</f>
        <v>0</v>
      </c>
      <c r="AI57" s="293">
        <f>$G$57*Продажи!AC9</f>
        <v>0</v>
      </c>
      <c r="AJ57" s="293">
        <f>$G$57*Продажи!AD9</f>
        <v>0</v>
      </c>
      <c r="AK57" s="293">
        <f>$G$57*Продажи!AE9</f>
        <v>0</v>
      </c>
      <c r="AL57" s="293">
        <f>$G$57*Продажи!AF9</f>
        <v>0</v>
      </c>
      <c r="AM57" s="293">
        <f>$G$57*Продажи!AG9</f>
        <v>0</v>
      </c>
      <c r="AN57" s="293">
        <f>$G$57*Продажи!AH9</f>
        <v>0</v>
      </c>
      <c r="AO57" s="293">
        <f>$G$57*Продажи!AI9</f>
        <v>0</v>
      </c>
      <c r="AP57" s="293">
        <f>$G$57*Продажи!AJ9</f>
        <v>0</v>
      </c>
      <c r="AQ57" s="293">
        <f>$G$57*Продажи!AK9</f>
        <v>0</v>
      </c>
      <c r="AR57" s="293">
        <f>$G$57*Продажи!AL9</f>
        <v>0</v>
      </c>
      <c r="AS57" s="293">
        <f>$G$57*Продажи!AM9</f>
        <v>0</v>
      </c>
      <c r="AT57" s="290">
        <f t="shared" si="8"/>
        <v>0</v>
      </c>
    </row>
    <row r="58" spans="1:46" s="269" customFormat="1" outlineLevel="1">
      <c r="A58" s="283" t="s">
        <v>192</v>
      </c>
      <c r="B58" s="284" t="s">
        <v>149</v>
      </c>
      <c r="C58" s="285"/>
      <c r="D58" s="285"/>
      <c r="E58" s="286">
        <f t="shared" si="13"/>
        <v>0</v>
      </c>
      <c r="F58" s="286">
        <f>E58+E58*'Вводные данные'!$D$4</f>
        <v>0</v>
      </c>
      <c r="G58" s="287">
        <f>F58+F58*'Вводные данные'!$E$4</f>
        <v>0</v>
      </c>
      <c r="H58" s="288">
        <f>$E$58*Продажи!B9</f>
        <v>0</v>
      </c>
      <c r="I58" s="288">
        <f>$E$58*Продажи!C9</f>
        <v>0</v>
      </c>
      <c r="J58" s="288">
        <f>$E$58*Продажи!D9</f>
        <v>0</v>
      </c>
      <c r="K58" s="288">
        <f>$E$58*Продажи!E9</f>
        <v>0</v>
      </c>
      <c r="L58" s="288">
        <f>$E$58*Продажи!F9</f>
        <v>0</v>
      </c>
      <c r="M58" s="288">
        <f>$E$58*Продажи!G9</f>
        <v>0</v>
      </c>
      <c r="N58" s="288">
        <f>$E$58*Продажи!H9</f>
        <v>0</v>
      </c>
      <c r="O58" s="288">
        <f>$E$58*Продажи!I9</f>
        <v>0</v>
      </c>
      <c r="P58" s="288">
        <f>$E$58*Продажи!J9</f>
        <v>0</v>
      </c>
      <c r="Q58" s="288">
        <f>$E$58*Продажи!K9</f>
        <v>0</v>
      </c>
      <c r="R58" s="288">
        <f>$E$58*Продажи!L9</f>
        <v>0</v>
      </c>
      <c r="S58" s="288">
        <f>$E$58*Продажи!M9</f>
        <v>0</v>
      </c>
      <c r="T58" s="290">
        <f t="shared" si="23"/>
        <v>0</v>
      </c>
      <c r="U58" s="292">
        <f>$F$58*Продажи!O9</f>
        <v>0</v>
      </c>
      <c r="V58" s="292">
        <f>$F$58*Продажи!P9</f>
        <v>0</v>
      </c>
      <c r="W58" s="292">
        <f>$F$58*Продажи!Q9</f>
        <v>0</v>
      </c>
      <c r="X58" s="292">
        <f>$F$58*Продажи!R9</f>
        <v>0</v>
      </c>
      <c r="Y58" s="292">
        <f>$F$58*Продажи!S9</f>
        <v>0</v>
      </c>
      <c r="Z58" s="292">
        <f>$F$58*Продажи!T9</f>
        <v>0</v>
      </c>
      <c r="AA58" s="292">
        <f>$F$58*Продажи!U9</f>
        <v>0</v>
      </c>
      <c r="AB58" s="292">
        <f>$F$58*Продажи!V9</f>
        <v>0</v>
      </c>
      <c r="AC58" s="292">
        <f>$F$58*Продажи!W9</f>
        <v>0</v>
      </c>
      <c r="AD58" s="292">
        <f>$F$58*Продажи!X9</f>
        <v>0</v>
      </c>
      <c r="AE58" s="292">
        <f>$F$58*Продажи!Y9</f>
        <v>0</v>
      </c>
      <c r="AF58" s="292">
        <f>$F$58*Продажи!Z9</f>
        <v>0</v>
      </c>
      <c r="AG58" s="290">
        <f t="shared" si="7"/>
        <v>0</v>
      </c>
      <c r="AH58" s="304">
        <f>$G$58*Продажи!AB9</f>
        <v>0</v>
      </c>
      <c r="AI58" s="293">
        <f>$G$58*Продажи!AC9</f>
        <v>0</v>
      </c>
      <c r="AJ58" s="293">
        <f>$G$58*Продажи!AD9</f>
        <v>0</v>
      </c>
      <c r="AK58" s="293">
        <f>$G$58*Продажи!AE9</f>
        <v>0</v>
      </c>
      <c r="AL58" s="293">
        <f>$G$58*Продажи!AF9</f>
        <v>0</v>
      </c>
      <c r="AM58" s="293">
        <f>$G$58*Продажи!AG9</f>
        <v>0</v>
      </c>
      <c r="AN58" s="293">
        <f>$G$58*Продажи!AH9</f>
        <v>0</v>
      </c>
      <c r="AO58" s="293">
        <f>$G$58*Продажи!AI9</f>
        <v>0</v>
      </c>
      <c r="AP58" s="293">
        <f>$G$58*Продажи!AJ9</f>
        <v>0</v>
      </c>
      <c r="AQ58" s="293">
        <f>$G$58*Продажи!AK9</f>
        <v>0</v>
      </c>
      <c r="AR58" s="293">
        <f>$G$58*Продажи!AL9</f>
        <v>0</v>
      </c>
      <c r="AS58" s="293">
        <f>$G$58*Продажи!AM9</f>
        <v>0</v>
      </c>
      <c r="AT58" s="290">
        <f t="shared" si="8"/>
        <v>0</v>
      </c>
    </row>
    <row r="59" spans="1:46" s="269" customFormat="1" outlineLevel="1">
      <c r="A59" s="283" t="s">
        <v>193</v>
      </c>
      <c r="B59" s="284" t="s">
        <v>151</v>
      </c>
      <c r="C59" s="285"/>
      <c r="D59" s="285"/>
      <c r="E59" s="286">
        <f t="shared" si="13"/>
        <v>0</v>
      </c>
      <c r="F59" s="286">
        <f>E59+E59*'Вводные данные'!$D$4</f>
        <v>0</v>
      </c>
      <c r="G59" s="287">
        <f>F59+F59*'Вводные данные'!$E$4</f>
        <v>0</v>
      </c>
      <c r="H59" s="288">
        <f>$E$59*Продажи!B9</f>
        <v>0</v>
      </c>
      <c r="I59" s="288">
        <f>$E$59*Продажи!C9</f>
        <v>0</v>
      </c>
      <c r="J59" s="288">
        <f>$E$59*Продажи!D9</f>
        <v>0</v>
      </c>
      <c r="K59" s="288">
        <f>$E$59*Продажи!E9</f>
        <v>0</v>
      </c>
      <c r="L59" s="288">
        <f>$E$59*Продажи!F9</f>
        <v>0</v>
      </c>
      <c r="M59" s="288">
        <f>$E$59*Продажи!G9</f>
        <v>0</v>
      </c>
      <c r="N59" s="288">
        <f>$E$59*Продажи!H9</f>
        <v>0</v>
      </c>
      <c r="O59" s="288">
        <f>$E$59*Продажи!I9</f>
        <v>0</v>
      </c>
      <c r="P59" s="288">
        <f>$E$59*Продажи!J9</f>
        <v>0</v>
      </c>
      <c r="Q59" s="288">
        <f>$E$59*Продажи!K9</f>
        <v>0</v>
      </c>
      <c r="R59" s="288">
        <f>$E$59*Продажи!L9</f>
        <v>0</v>
      </c>
      <c r="S59" s="288">
        <f>$E$59*Продажи!M9</f>
        <v>0</v>
      </c>
      <c r="T59" s="290">
        <f t="shared" si="23"/>
        <v>0</v>
      </c>
      <c r="U59" s="292">
        <f>$F$59*Продажи!O9</f>
        <v>0</v>
      </c>
      <c r="V59" s="292">
        <f>$F$59*Продажи!P9</f>
        <v>0</v>
      </c>
      <c r="W59" s="292">
        <f>$F$59*Продажи!Q9</f>
        <v>0</v>
      </c>
      <c r="X59" s="292">
        <f>$F$59*Продажи!R9</f>
        <v>0</v>
      </c>
      <c r="Y59" s="292">
        <f>$F$59*Продажи!S9</f>
        <v>0</v>
      </c>
      <c r="Z59" s="292">
        <f>$F$59*Продажи!T9</f>
        <v>0</v>
      </c>
      <c r="AA59" s="292">
        <f>$F$59*Продажи!U9</f>
        <v>0</v>
      </c>
      <c r="AB59" s="292">
        <f>$F$59*Продажи!V9</f>
        <v>0</v>
      </c>
      <c r="AC59" s="292">
        <f>$F$59*Продажи!W9</f>
        <v>0</v>
      </c>
      <c r="AD59" s="292">
        <f>$F$59*Продажи!X9</f>
        <v>0</v>
      </c>
      <c r="AE59" s="292">
        <f>$F$59*Продажи!Y9</f>
        <v>0</v>
      </c>
      <c r="AF59" s="292">
        <f>$F$59*Продажи!Z9</f>
        <v>0</v>
      </c>
      <c r="AG59" s="290">
        <f t="shared" si="7"/>
        <v>0</v>
      </c>
      <c r="AH59" s="304">
        <f>$G$59*Продажи!AB9</f>
        <v>0</v>
      </c>
      <c r="AI59" s="293">
        <f>$G$59*Продажи!AC9</f>
        <v>0</v>
      </c>
      <c r="AJ59" s="293">
        <f>$G$59*Продажи!AD9</f>
        <v>0</v>
      </c>
      <c r="AK59" s="293">
        <f>$G$59*Продажи!AE9</f>
        <v>0</v>
      </c>
      <c r="AL59" s="293">
        <f>$G$59*Продажи!AF9</f>
        <v>0</v>
      </c>
      <c r="AM59" s="293">
        <f>$G$59*Продажи!AG9</f>
        <v>0</v>
      </c>
      <c r="AN59" s="293">
        <f>$G$59*Продажи!AH9</f>
        <v>0</v>
      </c>
      <c r="AO59" s="293">
        <f>$G$59*Продажи!AI9</f>
        <v>0</v>
      </c>
      <c r="AP59" s="293">
        <f>$G$59*Продажи!AJ9</f>
        <v>0</v>
      </c>
      <c r="AQ59" s="293">
        <f>$G$59*Продажи!AK9</f>
        <v>0</v>
      </c>
      <c r="AR59" s="293">
        <f>$G$59*Продажи!AL9</f>
        <v>0</v>
      </c>
      <c r="AS59" s="293">
        <f>$G$59*Продажи!AM9</f>
        <v>0</v>
      </c>
      <c r="AT59" s="290">
        <f t="shared" si="8"/>
        <v>0</v>
      </c>
    </row>
    <row r="60" spans="1:46" s="269" customFormat="1" outlineLevel="1">
      <c r="A60" s="283" t="s">
        <v>194</v>
      </c>
      <c r="B60" s="284" t="s">
        <v>153</v>
      </c>
      <c r="C60" s="285"/>
      <c r="D60" s="285"/>
      <c r="E60" s="286">
        <f t="shared" si="13"/>
        <v>0</v>
      </c>
      <c r="F60" s="286">
        <f>E60+E60*'Вводные данные'!$D$4</f>
        <v>0</v>
      </c>
      <c r="G60" s="287">
        <f>F60+F60*'Вводные данные'!$E$4</f>
        <v>0</v>
      </c>
      <c r="H60" s="288">
        <f>$E$60*Продажи!B9</f>
        <v>0</v>
      </c>
      <c r="I60" s="288">
        <f>$E$60*Продажи!C9</f>
        <v>0</v>
      </c>
      <c r="J60" s="288">
        <f>$E$60*Продажи!D9</f>
        <v>0</v>
      </c>
      <c r="K60" s="288">
        <f>$E$60*Продажи!E9</f>
        <v>0</v>
      </c>
      <c r="L60" s="288">
        <f>$E$60*Продажи!F9</f>
        <v>0</v>
      </c>
      <c r="M60" s="288">
        <f>$E$60*Продажи!G9</f>
        <v>0</v>
      </c>
      <c r="N60" s="288">
        <f>$E$60*Продажи!H9</f>
        <v>0</v>
      </c>
      <c r="O60" s="288">
        <f>$E$60*Продажи!I9</f>
        <v>0</v>
      </c>
      <c r="P60" s="288">
        <f>$E$60*Продажи!J9</f>
        <v>0</v>
      </c>
      <c r="Q60" s="288">
        <f>$E$60*Продажи!K9</f>
        <v>0</v>
      </c>
      <c r="R60" s="288">
        <f>$E$60*Продажи!L9</f>
        <v>0</v>
      </c>
      <c r="S60" s="288">
        <f>$E$60*Продажи!M9</f>
        <v>0</v>
      </c>
      <c r="T60" s="290">
        <f t="shared" si="23"/>
        <v>0</v>
      </c>
      <c r="U60" s="292">
        <f>$F$60*Продажи!O9</f>
        <v>0</v>
      </c>
      <c r="V60" s="292">
        <f>$F$60*Продажи!P9</f>
        <v>0</v>
      </c>
      <c r="W60" s="292">
        <f>$F$60*Продажи!Q9</f>
        <v>0</v>
      </c>
      <c r="X60" s="292">
        <f>$F$60*Продажи!R9</f>
        <v>0</v>
      </c>
      <c r="Y60" s="292">
        <f>$F$60*Продажи!S9</f>
        <v>0</v>
      </c>
      <c r="Z60" s="292">
        <f>$F$60*Продажи!T9</f>
        <v>0</v>
      </c>
      <c r="AA60" s="292">
        <f>$F$60*Продажи!U9</f>
        <v>0</v>
      </c>
      <c r="AB60" s="292">
        <f>$F$60*Продажи!V9</f>
        <v>0</v>
      </c>
      <c r="AC60" s="292">
        <f>$F$60*Продажи!W9</f>
        <v>0</v>
      </c>
      <c r="AD60" s="292">
        <f>$F$60*Продажи!X9</f>
        <v>0</v>
      </c>
      <c r="AE60" s="292">
        <f>$F$60*Продажи!Y9</f>
        <v>0</v>
      </c>
      <c r="AF60" s="292">
        <f>$F$60*Продажи!Z9</f>
        <v>0</v>
      </c>
      <c r="AG60" s="290">
        <f t="shared" si="7"/>
        <v>0</v>
      </c>
      <c r="AH60" s="304">
        <f>$G$60*Продажи!AB9</f>
        <v>0</v>
      </c>
      <c r="AI60" s="293">
        <f>$G$60*Продажи!AC9</f>
        <v>0</v>
      </c>
      <c r="AJ60" s="293">
        <f>$G$60*Продажи!AD9</f>
        <v>0</v>
      </c>
      <c r="AK60" s="293">
        <f>$G$60*Продажи!AE9</f>
        <v>0</v>
      </c>
      <c r="AL60" s="293">
        <f>$G$60*Продажи!AF9</f>
        <v>0</v>
      </c>
      <c r="AM60" s="293">
        <f>$G$60*Продажи!AG9</f>
        <v>0</v>
      </c>
      <c r="AN60" s="293">
        <f>$G$60*Продажи!AH9</f>
        <v>0</v>
      </c>
      <c r="AO60" s="293">
        <f>$G$60*Продажи!AI9</f>
        <v>0</v>
      </c>
      <c r="AP60" s="293">
        <f>$G$60*Продажи!AJ9</f>
        <v>0</v>
      </c>
      <c r="AQ60" s="293">
        <f>$G$60*Продажи!AK9</f>
        <v>0</v>
      </c>
      <c r="AR60" s="293">
        <f>$G$60*Продажи!AL9</f>
        <v>0</v>
      </c>
      <c r="AS60" s="293">
        <f>$G$60*Продажи!AM9</f>
        <v>0</v>
      </c>
      <c r="AT60" s="290">
        <f t="shared" si="8"/>
        <v>0</v>
      </c>
    </row>
    <row r="61" spans="1:46" s="269" customFormat="1" outlineLevel="1">
      <c r="A61" s="283" t="s">
        <v>195</v>
      </c>
      <c r="B61" s="284" t="s">
        <v>155</v>
      </c>
      <c r="C61" s="285"/>
      <c r="D61" s="285"/>
      <c r="E61" s="286">
        <f t="shared" si="13"/>
        <v>0</v>
      </c>
      <c r="F61" s="286">
        <f>E61+E61*'Вводные данные'!$D$4</f>
        <v>0</v>
      </c>
      <c r="G61" s="287">
        <f>F61+F61*'Вводные данные'!$E$4</f>
        <v>0</v>
      </c>
      <c r="H61" s="288">
        <f>$E$61*Продажи!B9</f>
        <v>0</v>
      </c>
      <c r="I61" s="288">
        <f>$E$61*Продажи!C9</f>
        <v>0</v>
      </c>
      <c r="J61" s="288">
        <f>$E$61*Продажи!D9</f>
        <v>0</v>
      </c>
      <c r="K61" s="288">
        <f>$E$61*Продажи!E9</f>
        <v>0</v>
      </c>
      <c r="L61" s="288">
        <f>$E$61*Продажи!F9</f>
        <v>0</v>
      </c>
      <c r="M61" s="288">
        <f>$E$61*Продажи!G9</f>
        <v>0</v>
      </c>
      <c r="N61" s="288">
        <f>$E$61*Продажи!H9</f>
        <v>0</v>
      </c>
      <c r="O61" s="288">
        <f>$E$61*Продажи!I9</f>
        <v>0</v>
      </c>
      <c r="P61" s="288">
        <f>$E$61*Продажи!J9</f>
        <v>0</v>
      </c>
      <c r="Q61" s="288">
        <f>$E$61*Продажи!K9</f>
        <v>0</v>
      </c>
      <c r="R61" s="288">
        <f>$E$61*Продажи!L9</f>
        <v>0</v>
      </c>
      <c r="S61" s="288">
        <f>$E$61*Продажи!M9</f>
        <v>0</v>
      </c>
      <c r="T61" s="290">
        <f t="shared" si="23"/>
        <v>0</v>
      </c>
      <c r="U61" s="292">
        <f>$F$61*Продажи!O9</f>
        <v>0</v>
      </c>
      <c r="V61" s="292">
        <f>$F$61*Продажи!P9</f>
        <v>0</v>
      </c>
      <c r="W61" s="292">
        <f>$F$61*Продажи!Q9</f>
        <v>0</v>
      </c>
      <c r="X61" s="292">
        <f>$F$61*Продажи!R9</f>
        <v>0</v>
      </c>
      <c r="Y61" s="292">
        <f>$F$61*Продажи!S9</f>
        <v>0</v>
      </c>
      <c r="Z61" s="292">
        <f>$F$61*Продажи!T9</f>
        <v>0</v>
      </c>
      <c r="AA61" s="292">
        <f>$F$61*Продажи!U9</f>
        <v>0</v>
      </c>
      <c r="AB61" s="292">
        <f>$F$61*Продажи!V9</f>
        <v>0</v>
      </c>
      <c r="AC61" s="292">
        <f>$F$61*Продажи!W9</f>
        <v>0</v>
      </c>
      <c r="AD61" s="292">
        <f>$F$61*Продажи!X9</f>
        <v>0</v>
      </c>
      <c r="AE61" s="292">
        <f>$F$61*Продажи!Y9</f>
        <v>0</v>
      </c>
      <c r="AF61" s="292">
        <f>$F$61*Продажи!Z9</f>
        <v>0</v>
      </c>
      <c r="AG61" s="290">
        <f t="shared" si="7"/>
        <v>0</v>
      </c>
      <c r="AH61" s="304">
        <f>$G$61*Продажи!AB9</f>
        <v>0</v>
      </c>
      <c r="AI61" s="293">
        <f>$G$61*Продажи!AC9</f>
        <v>0</v>
      </c>
      <c r="AJ61" s="293">
        <f>$G$61*Продажи!AD9</f>
        <v>0</v>
      </c>
      <c r="AK61" s="293">
        <f>$G$61*Продажи!AE9</f>
        <v>0</v>
      </c>
      <c r="AL61" s="293">
        <f>$G$61*Продажи!AF9</f>
        <v>0</v>
      </c>
      <c r="AM61" s="293">
        <f>$G$61*Продажи!AG9</f>
        <v>0</v>
      </c>
      <c r="AN61" s="293">
        <f>$G$61*Продажи!AH9</f>
        <v>0</v>
      </c>
      <c r="AO61" s="293">
        <f>$G$61*Продажи!AI9</f>
        <v>0</v>
      </c>
      <c r="AP61" s="293">
        <f>$G$61*Продажи!AJ9</f>
        <v>0</v>
      </c>
      <c r="AQ61" s="293">
        <f>$G$61*Продажи!AK9</f>
        <v>0</v>
      </c>
      <c r="AR61" s="293">
        <f>$G$61*Продажи!AL9</f>
        <v>0</v>
      </c>
      <c r="AS61" s="293">
        <f>$G$61*Продажи!AM9</f>
        <v>0</v>
      </c>
      <c r="AT61" s="290">
        <f t="shared" si="8"/>
        <v>0</v>
      </c>
    </row>
    <row r="62" spans="1:46" s="269" customFormat="1" outlineLevel="1">
      <c r="A62" s="283" t="s">
        <v>196</v>
      </c>
      <c r="B62" s="284" t="s">
        <v>157</v>
      </c>
      <c r="C62" s="285"/>
      <c r="D62" s="285"/>
      <c r="E62" s="286">
        <f t="shared" si="13"/>
        <v>0</v>
      </c>
      <c r="F62" s="286">
        <f>E62+E62*'Вводные данные'!$D$4</f>
        <v>0</v>
      </c>
      <c r="G62" s="287">
        <f>F62+F62*'Вводные данные'!$E$4</f>
        <v>0</v>
      </c>
      <c r="H62" s="288">
        <f>$E$62*Продажи!B9</f>
        <v>0</v>
      </c>
      <c r="I62" s="288">
        <f>$E$62*Продажи!C9</f>
        <v>0</v>
      </c>
      <c r="J62" s="288">
        <f>$E$62*Продажи!D9</f>
        <v>0</v>
      </c>
      <c r="K62" s="288">
        <f>$E$62*Продажи!E9</f>
        <v>0</v>
      </c>
      <c r="L62" s="288">
        <f>$E$62*Продажи!F9</f>
        <v>0</v>
      </c>
      <c r="M62" s="288">
        <f>$E$62*Продажи!G9</f>
        <v>0</v>
      </c>
      <c r="N62" s="288">
        <f>$E$62*Продажи!H9</f>
        <v>0</v>
      </c>
      <c r="O62" s="288">
        <f>$E$62*Продажи!I9</f>
        <v>0</v>
      </c>
      <c r="P62" s="288">
        <f>$E$62*Продажи!J9</f>
        <v>0</v>
      </c>
      <c r="Q62" s="288">
        <f>$E$62*Продажи!K9</f>
        <v>0</v>
      </c>
      <c r="R62" s="288">
        <f>$E$62*Продажи!L9</f>
        <v>0</v>
      </c>
      <c r="S62" s="288">
        <f>$E$62*Продажи!M9</f>
        <v>0</v>
      </c>
      <c r="T62" s="290">
        <f t="shared" si="23"/>
        <v>0</v>
      </c>
      <c r="U62" s="292">
        <f>$F$62*Продажи!O9</f>
        <v>0</v>
      </c>
      <c r="V62" s="292">
        <f>$F$62*Продажи!P9</f>
        <v>0</v>
      </c>
      <c r="W62" s="292">
        <f>$F$62*Продажи!Q9</f>
        <v>0</v>
      </c>
      <c r="X62" s="292">
        <f>$F$62*Продажи!R9</f>
        <v>0</v>
      </c>
      <c r="Y62" s="292">
        <f>$F$62*Продажи!S9</f>
        <v>0</v>
      </c>
      <c r="Z62" s="292">
        <f>$F$62*Продажи!T9</f>
        <v>0</v>
      </c>
      <c r="AA62" s="292">
        <f>$F$62*Продажи!U9</f>
        <v>0</v>
      </c>
      <c r="AB62" s="292">
        <f>$F$62*Продажи!V9</f>
        <v>0</v>
      </c>
      <c r="AC62" s="292">
        <f>$F$62*Продажи!W9</f>
        <v>0</v>
      </c>
      <c r="AD62" s="292">
        <f>$F$62*Продажи!X9</f>
        <v>0</v>
      </c>
      <c r="AE62" s="292">
        <f>$F$62*Продажи!Y9</f>
        <v>0</v>
      </c>
      <c r="AF62" s="292">
        <f>$F$62*Продажи!Z9</f>
        <v>0</v>
      </c>
      <c r="AG62" s="290">
        <f t="shared" si="7"/>
        <v>0</v>
      </c>
      <c r="AH62" s="304">
        <f>$G$62*Продажи!AB9</f>
        <v>0</v>
      </c>
      <c r="AI62" s="293">
        <f>$G$62*Продажи!AC9</f>
        <v>0</v>
      </c>
      <c r="AJ62" s="293">
        <f>$G$62*Продажи!AD9</f>
        <v>0</v>
      </c>
      <c r="AK62" s="293">
        <f>$G$62*Продажи!AE9</f>
        <v>0</v>
      </c>
      <c r="AL62" s="293">
        <f>$G$62*Продажи!AF9</f>
        <v>0</v>
      </c>
      <c r="AM62" s="293">
        <f>$G$62*Продажи!AG9</f>
        <v>0</v>
      </c>
      <c r="AN62" s="293">
        <f>$G$62*Продажи!AH9</f>
        <v>0</v>
      </c>
      <c r="AO62" s="293">
        <f>$G$62*Продажи!AI9</f>
        <v>0</v>
      </c>
      <c r="AP62" s="293">
        <f>$G$62*Продажи!AJ9</f>
        <v>0</v>
      </c>
      <c r="AQ62" s="293">
        <f>$G$62*Продажи!AK9</f>
        <v>0</v>
      </c>
      <c r="AR62" s="293">
        <f>$G$62*Продажи!AL9</f>
        <v>0</v>
      </c>
      <c r="AS62" s="293">
        <f>$G$62*Продажи!AM9</f>
        <v>0</v>
      </c>
      <c r="AT62" s="290">
        <f t="shared" si="8"/>
        <v>0</v>
      </c>
    </row>
    <row r="63" spans="1:46" s="269" customFormat="1" outlineLevel="1">
      <c r="A63" s="283" t="s">
        <v>197</v>
      </c>
      <c r="B63" s="284" t="s">
        <v>159</v>
      </c>
      <c r="C63" s="285"/>
      <c r="D63" s="285"/>
      <c r="E63" s="286">
        <f t="shared" si="13"/>
        <v>0</v>
      </c>
      <c r="F63" s="286">
        <f>E63+E63*'Вводные данные'!$D$4</f>
        <v>0</v>
      </c>
      <c r="G63" s="287">
        <f>F63+F63*'Вводные данные'!$E$4</f>
        <v>0</v>
      </c>
      <c r="H63" s="288">
        <f>$E$63*Продажи!B9</f>
        <v>0</v>
      </c>
      <c r="I63" s="288">
        <f>$E$63*Продажи!C9</f>
        <v>0</v>
      </c>
      <c r="J63" s="288">
        <f>$E$63*Продажи!D9</f>
        <v>0</v>
      </c>
      <c r="K63" s="288">
        <f>$E$63*Продажи!E9</f>
        <v>0</v>
      </c>
      <c r="L63" s="288">
        <f>$E$63*Продажи!F9</f>
        <v>0</v>
      </c>
      <c r="M63" s="288">
        <f>$E$63*Продажи!G9</f>
        <v>0</v>
      </c>
      <c r="N63" s="288">
        <f>$E$63*Продажи!H9</f>
        <v>0</v>
      </c>
      <c r="O63" s="288">
        <f>$E$63*Продажи!I9</f>
        <v>0</v>
      </c>
      <c r="P63" s="288">
        <f>$E$63*Продажи!J9</f>
        <v>0</v>
      </c>
      <c r="Q63" s="288">
        <f>$E$63*Продажи!K9</f>
        <v>0</v>
      </c>
      <c r="R63" s="288">
        <f>$E$63*Продажи!L9</f>
        <v>0</v>
      </c>
      <c r="S63" s="288">
        <f>$E$63*Продажи!M9</f>
        <v>0</v>
      </c>
      <c r="T63" s="290">
        <f t="shared" si="23"/>
        <v>0</v>
      </c>
      <c r="U63" s="292">
        <f>$F$63*Продажи!O9</f>
        <v>0</v>
      </c>
      <c r="V63" s="292">
        <f>$F$63*Продажи!P9</f>
        <v>0</v>
      </c>
      <c r="W63" s="292">
        <f>$F$63*Продажи!Q9</f>
        <v>0</v>
      </c>
      <c r="X63" s="292">
        <f>$F$63*Продажи!R9</f>
        <v>0</v>
      </c>
      <c r="Y63" s="292">
        <f>$F$63*Продажи!S9</f>
        <v>0</v>
      </c>
      <c r="Z63" s="292">
        <f>$F$63*Продажи!T9</f>
        <v>0</v>
      </c>
      <c r="AA63" s="292">
        <f>$F$63*Продажи!U9</f>
        <v>0</v>
      </c>
      <c r="AB63" s="292">
        <f>$F$63*Продажи!V9</f>
        <v>0</v>
      </c>
      <c r="AC63" s="292">
        <f>$F$63*Продажи!W9</f>
        <v>0</v>
      </c>
      <c r="AD63" s="292">
        <f>$F$63*Продажи!X9</f>
        <v>0</v>
      </c>
      <c r="AE63" s="292">
        <f>$F$63*Продажи!Y9</f>
        <v>0</v>
      </c>
      <c r="AF63" s="292">
        <f>$F$63*Продажи!Z9</f>
        <v>0</v>
      </c>
      <c r="AG63" s="290">
        <f t="shared" si="7"/>
        <v>0</v>
      </c>
      <c r="AH63" s="304">
        <f>$G$63*Продажи!AB9</f>
        <v>0</v>
      </c>
      <c r="AI63" s="293">
        <f>$G$63*Продажи!AC9</f>
        <v>0</v>
      </c>
      <c r="AJ63" s="293">
        <f>$G$63*Продажи!AD9</f>
        <v>0</v>
      </c>
      <c r="AK63" s="293">
        <f>$G$63*Продажи!AE9</f>
        <v>0</v>
      </c>
      <c r="AL63" s="293">
        <f>$G$63*Продажи!AF9</f>
        <v>0</v>
      </c>
      <c r="AM63" s="293">
        <f>$G$63*Продажи!AG9</f>
        <v>0</v>
      </c>
      <c r="AN63" s="293">
        <f>$G$63*Продажи!AH9</f>
        <v>0</v>
      </c>
      <c r="AO63" s="293">
        <f>$G$63*Продажи!AI9</f>
        <v>0</v>
      </c>
      <c r="AP63" s="293">
        <f>$G$63*Продажи!AJ9</f>
        <v>0</v>
      </c>
      <c r="AQ63" s="293">
        <f>$G$63*Продажи!AK9</f>
        <v>0</v>
      </c>
      <c r="AR63" s="293">
        <f>$G$63*Продажи!AL9</f>
        <v>0</v>
      </c>
      <c r="AS63" s="293">
        <f>$G$63*Продажи!AM9</f>
        <v>0</v>
      </c>
      <c r="AT63" s="290">
        <f t="shared" si="8"/>
        <v>0</v>
      </c>
    </row>
    <row r="64" spans="1:46" s="269" customFormat="1" outlineLevel="1">
      <c r="A64" s="283" t="s">
        <v>198</v>
      </c>
      <c r="B64" s="284" t="s">
        <v>161</v>
      </c>
      <c r="C64" s="285"/>
      <c r="D64" s="285"/>
      <c r="E64" s="286">
        <f t="shared" si="13"/>
        <v>0</v>
      </c>
      <c r="F64" s="286">
        <f>E64+E64*'Вводные данные'!$D$4</f>
        <v>0</v>
      </c>
      <c r="G64" s="287">
        <f>F64+F64*'Вводные данные'!$E$4</f>
        <v>0</v>
      </c>
      <c r="H64" s="288">
        <f>$E$64*Продажи!B9</f>
        <v>0</v>
      </c>
      <c r="I64" s="288">
        <f>$E$64*Продажи!C9</f>
        <v>0</v>
      </c>
      <c r="J64" s="288">
        <f>$E$64*Продажи!D9</f>
        <v>0</v>
      </c>
      <c r="K64" s="288">
        <f>$E$64*Продажи!E9</f>
        <v>0</v>
      </c>
      <c r="L64" s="288">
        <f>$E$64*Продажи!F9</f>
        <v>0</v>
      </c>
      <c r="M64" s="288">
        <f>$E$64*Продажи!G9</f>
        <v>0</v>
      </c>
      <c r="N64" s="288">
        <f>$E$64*Продажи!H9</f>
        <v>0</v>
      </c>
      <c r="O64" s="288">
        <f>$E$64*Продажи!I9</f>
        <v>0</v>
      </c>
      <c r="P64" s="288">
        <f>$E$64*Продажи!J9</f>
        <v>0</v>
      </c>
      <c r="Q64" s="288">
        <f>$E$64*Продажи!K9</f>
        <v>0</v>
      </c>
      <c r="R64" s="288">
        <f>$E$64*Продажи!L9</f>
        <v>0</v>
      </c>
      <c r="S64" s="288">
        <f>$E$64*Продажи!M9</f>
        <v>0</v>
      </c>
      <c r="T64" s="290">
        <f t="shared" si="23"/>
        <v>0</v>
      </c>
      <c r="U64" s="292">
        <f>$F$64*Продажи!O9</f>
        <v>0</v>
      </c>
      <c r="V64" s="292">
        <f>$F$64*Продажи!P9</f>
        <v>0</v>
      </c>
      <c r="W64" s="292">
        <f>$F$64*Продажи!Q9</f>
        <v>0</v>
      </c>
      <c r="X64" s="292">
        <f>$F$64*Продажи!R9</f>
        <v>0</v>
      </c>
      <c r="Y64" s="292">
        <f>$F$64*Продажи!S9</f>
        <v>0</v>
      </c>
      <c r="Z64" s="292">
        <f>$F$64*Продажи!T9</f>
        <v>0</v>
      </c>
      <c r="AA64" s="292">
        <f>$F$64*Продажи!U9</f>
        <v>0</v>
      </c>
      <c r="AB64" s="292">
        <f>$F$64*Продажи!V9</f>
        <v>0</v>
      </c>
      <c r="AC64" s="292">
        <f>$F$64*Продажи!W9</f>
        <v>0</v>
      </c>
      <c r="AD64" s="292">
        <f>$F$64*Продажи!X9</f>
        <v>0</v>
      </c>
      <c r="AE64" s="292">
        <f>$F$64*Продажи!Y9</f>
        <v>0</v>
      </c>
      <c r="AF64" s="292">
        <f>$F$64*Продажи!Z9</f>
        <v>0</v>
      </c>
      <c r="AG64" s="290">
        <f t="shared" si="7"/>
        <v>0</v>
      </c>
      <c r="AH64" s="304">
        <f>$G$64*Продажи!AB9</f>
        <v>0</v>
      </c>
      <c r="AI64" s="293">
        <f>$G$64*Продажи!AC9</f>
        <v>0</v>
      </c>
      <c r="AJ64" s="293">
        <f>$G$64*Продажи!AD9</f>
        <v>0</v>
      </c>
      <c r="AK64" s="293">
        <f>$G$64*Продажи!AE9</f>
        <v>0</v>
      </c>
      <c r="AL64" s="293">
        <f>$G$64*Продажи!AF9</f>
        <v>0</v>
      </c>
      <c r="AM64" s="293">
        <f>$G$64*Продажи!AG9</f>
        <v>0</v>
      </c>
      <c r="AN64" s="293">
        <f>$G$64*Продажи!AH9</f>
        <v>0</v>
      </c>
      <c r="AO64" s="293">
        <f>$G$64*Продажи!AI9</f>
        <v>0</v>
      </c>
      <c r="AP64" s="293">
        <f>$G$64*Продажи!AJ9</f>
        <v>0</v>
      </c>
      <c r="AQ64" s="293">
        <f>$G$64*Продажи!AK9</f>
        <v>0</v>
      </c>
      <c r="AR64" s="293">
        <f>$G$64*Продажи!AL9</f>
        <v>0</v>
      </c>
      <c r="AS64" s="293">
        <f>$G$64*Продажи!AM9</f>
        <v>0</v>
      </c>
      <c r="AT64" s="290">
        <f t="shared" si="8"/>
        <v>0</v>
      </c>
    </row>
    <row r="65" spans="1:46" s="269" customFormat="1" ht="24" customHeight="1" outlineLevel="1">
      <c r="A65" s="294" t="s">
        <v>199</v>
      </c>
      <c r="B65" s="485" t="s">
        <v>163</v>
      </c>
      <c r="C65" s="486"/>
      <c r="D65" s="486"/>
      <c r="E65" s="486"/>
      <c r="F65" s="486"/>
      <c r="G65" s="487"/>
      <c r="H65" s="295">
        <f>'Продукция и цена '!C8</f>
        <v>20000</v>
      </c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7">
        <f>H65</f>
        <v>20000</v>
      </c>
      <c r="U65" s="295">
        <f>'Продукция и цена '!D8</f>
        <v>23000</v>
      </c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7">
        <f t="shared" si="7"/>
        <v>23000</v>
      </c>
      <c r="AH65" s="298">
        <f>'Продукция и цена '!E8</f>
        <v>26450</v>
      </c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7">
        <f t="shared" si="8"/>
        <v>26450</v>
      </c>
    </row>
    <row r="66" spans="1:46" s="270" customFormat="1" ht="28.5">
      <c r="A66" s="299">
        <v>6</v>
      </c>
      <c r="B66" s="300">
        <f>'Продукция и цена '!A9</f>
        <v>0</v>
      </c>
      <c r="C66" s="301" t="s">
        <v>103</v>
      </c>
      <c r="D66" s="301" t="s">
        <v>103</v>
      </c>
      <c r="E66" s="301" t="s">
        <v>3</v>
      </c>
      <c r="F66" s="301" t="s">
        <v>4</v>
      </c>
      <c r="G66" s="302" t="s">
        <v>5</v>
      </c>
      <c r="H66" s="303">
        <f t="shared" ref="H66:S66" si="26">SUM(H67:H76)</f>
        <v>0</v>
      </c>
      <c r="I66" s="281">
        <f t="shared" si="26"/>
        <v>0</v>
      </c>
      <c r="J66" s="281">
        <f t="shared" si="26"/>
        <v>0</v>
      </c>
      <c r="K66" s="281">
        <f t="shared" si="26"/>
        <v>0</v>
      </c>
      <c r="L66" s="281">
        <f t="shared" si="26"/>
        <v>0</v>
      </c>
      <c r="M66" s="281">
        <f t="shared" si="26"/>
        <v>0</v>
      </c>
      <c r="N66" s="281">
        <f t="shared" si="26"/>
        <v>0</v>
      </c>
      <c r="O66" s="281">
        <f t="shared" si="26"/>
        <v>0</v>
      </c>
      <c r="P66" s="281">
        <f t="shared" si="26"/>
        <v>0</v>
      </c>
      <c r="Q66" s="281">
        <f t="shared" si="26"/>
        <v>0</v>
      </c>
      <c r="R66" s="281">
        <f t="shared" si="26"/>
        <v>0</v>
      </c>
      <c r="S66" s="281">
        <f t="shared" si="26"/>
        <v>0</v>
      </c>
      <c r="T66" s="282">
        <f t="shared" ref="T66:T76" si="27">SUM(H66:S66)</f>
        <v>0</v>
      </c>
      <c r="U66" s="303">
        <f t="shared" ref="U66:AF66" si="28">SUM(U67:U76)</f>
        <v>0</v>
      </c>
      <c r="V66" s="281">
        <f t="shared" si="28"/>
        <v>0</v>
      </c>
      <c r="W66" s="281">
        <f t="shared" si="28"/>
        <v>0</v>
      </c>
      <c r="X66" s="281">
        <f t="shared" si="28"/>
        <v>0</v>
      </c>
      <c r="Y66" s="281">
        <f t="shared" si="28"/>
        <v>0</v>
      </c>
      <c r="Z66" s="281">
        <f t="shared" si="28"/>
        <v>0</v>
      </c>
      <c r="AA66" s="281">
        <f t="shared" si="28"/>
        <v>0</v>
      </c>
      <c r="AB66" s="281">
        <f t="shared" si="28"/>
        <v>0</v>
      </c>
      <c r="AC66" s="281">
        <f t="shared" si="28"/>
        <v>0</v>
      </c>
      <c r="AD66" s="281">
        <f t="shared" si="28"/>
        <v>0</v>
      </c>
      <c r="AE66" s="281">
        <f t="shared" si="28"/>
        <v>0</v>
      </c>
      <c r="AF66" s="281">
        <f t="shared" si="28"/>
        <v>0</v>
      </c>
      <c r="AG66" s="282">
        <f t="shared" si="7"/>
        <v>0</v>
      </c>
      <c r="AH66" s="280">
        <f t="shared" ref="AH66:AS66" si="29">SUM(AH67:AH76)</f>
        <v>0</v>
      </c>
      <c r="AI66" s="281">
        <f t="shared" si="29"/>
        <v>0</v>
      </c>
      <c r="AJ66" s="281">
        <f t="shared" si="29"/>
        <v>0</v>
      </c>
      <c r="AK66" s="281">
        <f t="shared" si="29"/>
        <v>0</v>
      </c>
      <c r="AL66" s="281">
        <f t="shared" si="29"/>
        <v>0</v>
      </c>
      <c r="AM66" s="281">
        <f t="shared" si="29"/>
        <v>0</v>
      </c>
      <c r="AN66" s="281">
        <f t="shared" si="29"/>
        <v>0</v>
      </c>
      <c r="AO66" s="281">
        <f t="shared" si="29"/>
        <v>0</v>
      </c>
      <c r="AP66" s="281">
        <f t="shared" si="29"/>
        <v>0</v>
      </c>
      <c r="AQ66" s="281">
        <f t="shared" si="29"/>
        <v>0</v>
      </c>
      <c r="AR66" s="281">
        <f t="shared" si="29"/>
        <v>0</v>
      </c>
      <c r="AS66" s="281">
        <f t="shared" si="29"/>
        <v>0</v>
      </c>
      <c r="AT66" s="282">
        <f t="shared" si="8"/>
        <v>0</v>
      </c>
    </row>
    <row r="67" spans="1:46" s="269" customFormat="1" outlineLevel="1">
      <c r="A67" s="283" t="s">
        <v>44</v>
      </c>
      <c r="B67" s="284" t="s">
        <v>143</v>
      </c>
      <c r="C67" s="285"/>
      <c r="D67" s="285"/>
      <c r="E67" s="286">
        <f t="shared" si="13"/>
        <v>0</v>
      </c>
      <c r="F67" s="286">
        <f>E67+E67*'Вводные данные'!$D$4</f>
        <v>0</v>
      </c>
      <c r="G67" s="287">
        <f>F67+F67*'Вводные данные'!$E$4</f>
        <v>0</v>
      </c>
      <c r="H67" s="288">
        <f>$E$67*Продажи!B10</f>
        <v>0</v>
      </c>
      <c r="I67" s="288">
        <f>$E$67*Продажи!C10</f>
        <v>0</v>
      </c>
      <c r="J67" s="288">
        <f>$E$67*Продажи!D10</f>
        <v>0</v>
      </c>
      <c r="K67" s="288">
        <f>$E$67*Продажи!E10</f>
        <v>0</v>
      </c>
      <c r="L67" s="288">
        <f>$E$67*Продажи!F10</f>
        <v>0</v>
      </c>
      <c r="M67" s="288">
        <f>$E$67*Продажи!G10</f>
        <v>0</v>
      </c>
      <c r="N67" s="288">
        <f>$E$67*Продажи!H10</f>
        <v>0</v>
      </c>
      <c r="O67" s="288">
        <f>$E$67*Продажи!I10</f>
        <v>0</v>
      </c>
      <c r="P67" s="288">
        <f>$E$67*Продажи!J10</f>
        <v>0</v>
      </c>
      <c r="Q67" s="288">
        <f>$E$67*Продажи!K10</f>
        <v>0</v>
      </c>
      <c r="R67" s="288">
        <f>$E$67*Продажи!L10</f>
        <v>0</v>
      </c>
      <c r="S67" s="288">
        <f>$E$67*Продажи!M10</f>
        <v>0</v>
      </c>
      <c r="T67" s="290">
        <f t="shared" si="27"/>
        <v>0</v>
      </c>
      <c r="U67" s="292">
        <f>$F$67*Продажи!O10</f>
        <v>0</v>
      </c>
      <c r="V67" s="292">
        <f>$F$67*Продажи!P10</f>
        <v>0</v>
      </c>
      <c r="W67" s="292">
        <f>$F$67*Продажи!Q10</f>
        <v>0</v>
      </c>
      <c r="X67" s="292">
        <f>$F$67*Продажи!R10</f>
        <v>0</v>
      </c>
      <c r="Y67" s="292">
        <f>$F$67*Продажи!S10</f>
        <v>0</v>
      </c>
      <c r="Z67" s="292">
        <f>$F$67*Продажи!T10</f>
        <v>0</v>
      </c>
      <c r="AA67" s="292">
        <f>$F$67*Продажи!U10</f>
        <v>0</v>
      </c>
      <c r="AB67" s="292">
        <f>$F$67*Продажи!V10</f>
        <v>0</v>
      </c>
      <c r="AC67" s="292">
        <f>$F$67*Продажи!W10</f>
        <v>0</v>
      </c>
      <c r="AD67" s="292">
        <f>$F$67*Продажи!X10</f>
        <v>0</v>
      </c>
      <c r="AE67" s="292">
        <f>$F$67*Продажи!Y10</f>
        <v>0</v>
      </c>
      <c r="AF67" s="292">
        <f>$F$67*Продажи!Z10</f>
        <v>0</v>
      </c>
      <c r="AG67" s="290">
        <f t="shared" si="7"/>
        <v>0</v>
      </c>
      <c r="AH67" s="304">
        <f>$G$67*Продажи!AB10</f>
        <v>0</v>
      </c>
      <c r="AI67" s="293">
        <f>$G$67*Продажи!AC10</f>
        <v>0</v>
      </c>
      <c r="AJ67" s="293">
        <f>$G$67*Продажи!AD10</f>
        <v>0</v>
      </c>
      <c r="AK67" s="293">
        <f>$G$67*Продажи!AE10</f>
        <v>0</v>
      </c>
      <c r="AL67" s="293">
        <f>$G$67*Продажи!AF10</f>
        <v>0</v>
      </c>
      <c r="AM67" s="293">
        <f>$G$67*Продажи!AG10</f>
        <v>0</v>
      </c>
      <c r="AN67" s="293">
        <f>$G$67*Продажи!AH10</f>
        <v>0</v>
      </c>
      <c r="AO67" s="293">
        <f>$G$67*Продажи!AI10</f>
        <v>0</v>
      </c>
      <c r="AP67" s="293">
        <f>$G$67*Продажи!AJ10</f>
        <v>0</v>
      </c>
      <c r="AQ67" s="293">
        <f>$G$67*Продажи!AK10</f>
        <v>0</v>
      </c>
      <c r="AR67" s="293">
        <f>$G$67*Продажи!AL10</f>
        <v>0</v>
      </c>
      <c r="AS67" s="293">
        <f>$G$67*Продажи!AM10</f>
        <v>0</v>
      </c>
      <c r="AT67" s="290">
        <f t="shared" si="8"/>
        <v>0</v>
      </c>
    </row>
    <row r="68" spans="1:46" s="269" customFormat="1" outlineLevel="1">
      <c r="A68" s="283" t="s">
        <v>46</v>
      </c>
      <c r="B68" s="284" t="s">
        <v>145</v>
      </c>
      <c r="C68" s="285"/>
      <c r="D68" s="285"/>
      <c r="E68" s="286">
        <f t="shared" si="13"/>
        <v>0</v>
      </c>
      <c r="F68" s="286">
        <f>E68+E68*'Вводные данные'!$D$4</f>
        <v>0</v>
      </c>
      <c r="G68" s="287">
        <f>F68+F68*'Вводные данные'!$E$4</f>
        <v>0</v>
      </c>
      <c r="H68" s="288">
        <f>$E$68*Продажи!B10</f>
        <v>0</v>
      </c>
      <c r="I68" s="288">
        <f>$E$68*Продажи!C10</f>
        <v>0</v>
      </c>
      <c r="J68" s="288">
        <f>$E$68*Продажи!D10</f>
        <v>0</v>
      </c>
      <c r="K68" s="288">
        <f>$E$68*Продажи!E10</f>
        <v>0</v>
      </c>
      <c r="L68" s="288">
        <f>$E$68*Продажи!F10</f>
        <v>0</v>
      </c>
      <c r="M68" s="288">
        <f>$E$68*Продажи!G10</f>
        <v>0</v>
      </c>
      <c r="N68" s="288">
        <f>$E$68*Продажи!H10</f>
        <v>0</v>
      </c>
      <c r="O68" s="288">
        <f>$E$68*Продажи!I10</f>
        <v>0</v>
      </c>
      <c r="P68" s="288">
        <f>$E$68*Продажи!J10</f>
        <v>0</v>
      </c>
      <c r="Q68" s="288">
        <f>$E$68*Продажи!K10</f>
        <v>0</v>
      </c>
      <c r="R68" s="288">
        <f>$E$68*Продажи!L10</f>
        <v>0</v>
      </c>
      <c r="S68" s="288">
        <f>$E$68*Продажи!M10</f>
        <v>0</v>
      </c>
      <c r="T68" s="290">
        <f t="shared" si="27"/>
        <v>0</v>
      </c>
      <c r="U68" s="292">
        <f>$F$68*Продажи!O10</f>
        <v>0</v>
      </c>
      <c r="V68" s="292">
        <f>$F$68*Продажи!P10</f>
        <v>0</v>
      </c>
      <c r="W68" s="292">
        <f>$F$68*Продажи!Q10</f>
        <v>0</v>
      </c>
      <c r="X68" s="292">
        <f>$F$68*Продажи!R10</f>
        <v>0</v>
      </c>
      <c r="Y68" s="292">
        <f>$F$68*Продажи!S10</f>
        <v>0</v>
      </c>
      <c r="Z68" s="292">
        <f>$F$68*Продажи!T10</f>
        <v>0</v>
      </c>
      <c r="AA68" s="292">
        <f>$F$68*Продажи!U10</f>
        <v>0</v>
      </c>
      <c r="AB68" s="292">
        <f>$F$68*Продажи!V10</f>
        <v>0</v>
      </c>
      <c r="AC68" s="292">
        <f>$F$68*Продажи!W10</f>
        <v>0</v>
      </c>
      <c r="AD68" s="292">
        <f>$F$68*Продажи!X10</f>
        <v>0</v>
      </c>
      <c r="AE68" s="292">
        <f>$F$68*Продажи!Y10</f>
        <v>0</v>
      </c>
      <c r="AF68" s="292">
        <f>$F$68*Продажи!Z10</f>
        <v>0</v>
      </c>
      <c r="AG68" s="290">
        <f t="shared" si="7"/>
        <v>0</v>
      </c>
      <c r="AH68" s="304">
        <f>$G$68*Продажи!AB10</f>
        <v>0</v>
      </c>
      <c r="AI68" s="293">
        <f>$G$68*Продажи!AC10</f>
        <v>0</v>
      </c>
      <c r="AJ68" s="293">
        <f>$G$68*Продажи!AD10</f>
        <v>0</v>
      </c>
      <c r="AK68" s="293">
        <f>$G$68*Продажи!AE10</f>
        <v>0</v>
      </c>
      <c r="AL68" s="293">
        <f>$G$68*Продажи!AF10</f>
        <v>0</v>
      </c>
      <c r="AM68" s="293">
        <f>$G$68*Продажи!AG10</f>
        <v>0</v>
      </c>
      <c r="AN68" s="293">
        <f>$G$68*Продажи!AH10</f>
        <v>0</v>
      </c>
      <c r="AO68" s="293">
        <f>$G$68*Продажи!AI10</f>
        <v>0</v>
      </c>
      <c r="AP68" s="293">
        <f>$G$68*Продажи!AJ10</f>
        <v>0</v>
      </c>
      <c r="AQ68" s="293">
        <f>$G$68*Продажи!AK10</f>
        <v>0</v>
      </c>
      <c r="AR68" s="293">
        <f>$G$68*Продажи!AL10</f>
        <v>0</v>
      </c>
      <c r="AS68" s="293">
        <f>$G$68*Продажи!AM10</f>
        <v>0</v>
      </c>
      <c r="AT68" s="290">
        <f t="shared" si="8"/>
        <v>0</v>
      </c>
    </row>
    <row r="69" spans="1:46" s="269" customFormat="1" outlineLevel="1">
      <c r="A69" s="283" t="s">
        <v>200</v>
      </c>
      <c r="B69" s="284" t="s">
        <v>147</v>
      </c>
      <c r="C69" s="285"/>
      <c r="D69" s="285"/>
      <c r="E69" s="286">
        <f t="shared" si="13"/>
        <v>0</v>
      </c>
      <c r="F69" s="286">
        <f>E69+E69*'Вводные данные'!$D$4</f>
        <v>0</v>
      </c>
      <c r="G69" s="287">
        <f>F69+F69*'Вводные данные'!$E$4</f>
        <v>0</v>
      </c>
      <c r="H69" s="288">
        <f>$E$69*Продажи!B10</f>
        <v>0</v>
      </c>
      <c r="I69" s="288">
        <f>$E$69*Продажи!C10</f>
        <v>0</v>
      </c>
      <c r="J69" s="288">
        <f>$E$69*Продажи!D10</f>
        <v>0</v>
      </c>
      <c r="K69" s="288">
        <f>$E$69*Продажи!E10</f>
        <v>0</v>
      </c>
      <c r="L69" s="288">
        <f>$E$69*Продажи!F10</f>
        <v>0</v>
      </c>
      <c r="M69" s="288">
        <f>$E$69*Продажи!G10</f>
        <v>0</v>
      </c>
      <c r="N69" s="288">
        <f>$E$69*Продажи!H10</f>
        <v>0</v>
      </c>
      <c r="O69" s="288">
        <f>$E$69*Продажи!I10</f>
        <v>0</v>
      </c>
      <c r="P69" s="288">
        <f>$E$69*Продажи!J10</f>
        <v>0</v>
      </c>
      <c r="Q69" s="288">
        <f>$E$69*Продажи!K10</f>
        <v>0</v>
      </c>
      <c r="R69" s="288">
        <f>$E$69*Продажи!L10</f>
        <v>0</v>
      </c>
      <c r="S69" s="288">
        <f>$E$69*Продажи!M10</f>
        <v>0</v>
      </c>
      <c r="T69" s="290">
        <f t="shared" si="27"/>
        <v>0</v>
      </c>
      <c r="U69" s="292">
        <f>$F$69*Продажи!O10</f>
        <v>0</v>
      </c>
      <c r="V69" s="292">
        <f>$F$69*Продажи!P10</f>
        <v>0</v>
      </c>
      <c r="W69" s="292">
        <f>$F$69*Продажи!Q10</f>
        <v>0</v>
      </c>
      <c r="X69" s="292">
        <f>$F$69*Продажи!R10</f>
        <v>0</v>
      </c>
      <c r="Y69" s="292">
        <f>$F$69*Продажи!S10</f>
        <v>0</v>
      </c>
      <c r="Z69" s="292">
        <f>$F$69*Продажи!T10</f>
        <v>0</v>
      </c>
      <c r="AA69" s="292">
        <f>$F$69*Продажи!U10</f>
        <v>0</v>
      </c>
      <c r="AB69" s="292">
        <f>$F$69*Продажи!V10</f>
        <v>0</v>
      </c>
      <c r="AC69" s="292">
        <f>$F$69*Продажи!W10</f>
        <v>0</v>
      </c>
      <c r="AD69" s="292">
        <f>$F$69*Продажи!X10</f>
        <v>0</v>
      </c>
      <c r="AE69" s="292">
        <f>$F$69*Продажи!Y10</f>
        <v>0</v>
      </c>
      <c r="AF69" s="292">
        <f>$F$69*Продажи!Z10</f>
        <v>0</v>
      </c>
      <c r="AG69" s="290">
        <f t="shared" si="7"/>
        <v>0</v>
      </c>
      <c r="AH69" s="304">
        <f>$G$69*Продажи!AB10</f>
        <v>0</v>
      </c>
      <c r="AI69" s="293">
        <f>$G$69*Продажи!AC10</f>
        <v>0</v>
      </c>
      <c r="AJ69" s="293">
        <f>$G$69*Продажи!AD10</f>
        <v>0</v>
      </c>
      <c r="AK69" s="293">
        <f>$G$69*Продажи!AE10</f>
        <v>0</v>
      </c>
      <c r="AL69" s="293">
        <f>$G$69*Продажи!AF10</f>
        <v>0</v>
      </c>
      <c r="AM69" s="293">
        <f>$G$69*Продажи!AG10</f>
        <v>0</v>
      </c>
      <c r="AN69" s="293">
        <f>$G$69*Продажи!AH10</f>
        <v>0</v>
      </c>
      <c r="AO69" s="293">
        <f>$G$69*Продажи!AI10</f>
        <v>0</v>
      </c>
      <c r="AP69" s="293">
        <f>$G$69*Продажи!AJ10</f>
        <v>0</v>
      </c>
      <c r="AQ69" s="293">
        <f>$G$69*Продажи!AK10</f>
        <v>0</v>
      </c>
      <c r="AR69" s="293">
        <f>$G$69*Продажи!AL10</f>
        <v>0</v>
      </c>
      <c r="AS69" s="293">
        <f>$G$69*Продажи!AM10</f>
        <v>0</v>
      </c>
      <c r="AT69" s="290">
        <f t="shared" si="8"/>
        <v>0</v>
      </c>
    </row>
    <row r="70" spans="1:46" s="269" customFormat="1" outlineLevel="1">
      <c r="A70" s="283" t="s">
        <v>201</v>
      </c>
      <c r="B70" s="284" t="s">
        <v>149</v>
      </c>
      <c r="C70" s="285"/>
      <c r="D70" s="285"/>
      <c r="E70" s="286">
        <f t="shared" si="13"/>
        <v>0</v>
      </c>
      <c r="F70" s="286">
        <f>E70+E70*'Вводные данные'!$D$4</f>
        <v>0</v>
      </c>
      <c r="G70" s="287">
        <f>F70+F70*'Вводные данные'!$E$4</f>
        <v>0</v>
      </c>
      <c r="H70" s="288">
        <f>$E$70*Продажи!B10</f>
        <v>0</v>
      </c>
      <c r="I70" s="288">
        <f>$E$70*Продажи!C10</f>
        <v>0</v>
      </c>
      <c r="J70" s="288">
        <f>$E$70*Продажи!D10</f>
        <v>0</v>
      </c>
      <c r="K70" s="288">
        <f>$E$70*Продажи!E10</f>
        <v>0</v>
      </c>
      <c r="L70" s="288">
        <f>$E$70*Продажи!F10</f>
        <v>0</v>
      </c>
      <c r="M70" s="288">
        <f>$E$70*Продажи!G10</f>
        <v>0</v>
      </c>
      <c r="N70" s="288">
        <f>$E$70*Продажи!H10</f>
        <v>0</v>
      </c>
      <c r="O70" s="288">
        <f>$E$70*Продажи!I10</f>
        <v>0</v>
      </c>
      <c r="P70" s="288">
        <f>$E$70*Продажи!J10</f>
        <v>0</v>
      </c>
      <c r="Q70" s="288">
        <f>$E$70*Продажи!K10</f>
        <v>0</v>
      </c>
      <c r="R70" s="288">
        <f>$E$70*Продажи!L10</f>
        <v>0</v>
      </c>
      <c r="S70" s="288">
        <f>$E$70*Продажи!M10</f>
        <v>0</v>
      </c>
      <c r="T70" s="290">
        <f t="shared" si="27"/>
        <v>0</v>
      </c>
      <c r="U70" s="292">
        <f>$F$70*Продажи!O10</f>
        <v>0</v>
      </c>
      <c r="V70" s="292">
        <f>$F$70*Продажи!P10</f>
        <v>0</v>
      </c>
      <c r="W70" s="292">
        <f>$F$70*Продажи!Q10</f>
        <v>0</v>
      </c>
      <c r="X70" s="292">
        <f>$F$70*Продажи!R10</f>
        <v>0</v>
      </c>
      <c r="Y70" s="292">
        <f>$F$70*Продажи!S10</f>
        <v>0</v>
      </c>
      <c r="Z70" s="292">
        <f>$F$70*Продажи!T10</f>
        <v>0</v>
      </c>
      <c r="AA70" s="292">
        <f>$F$70*Продажи!U10</f>
        <v>0</v>
      </c>
      <c r="AB70" s="292">
        <f>$F$70*Продажи!V10</f>
        <v>0</v>
      </c>
      <c r="AC70" s="292">
        <f>$F$70*Продажи!W10</f>
        <v>0</v>
      </c>
      <c r="AD70" s="292">
        <f>$F$70*Продажи!X10</f>
        <v>0</v>
      </c>
      <c r="AE70" s="292">
        <f>$F$70*Продажи!Y10</f>
        <v>0</v>
      </c>
      <c r="AF70" s="292">
        <f>$F$70*Продажи!Z10</f>
        <v>0</v>
      </c>
      <c r="AG70" s="290">
        <f t="shared" si="7"/>
        <v>0</v>
      </c>
      <c r="AH70" s="304">
        <f>$G$70*Продажи!AB10</f>
        <v>0</v>
      </c>
      <c r="AI70" s="293">
        <f>$G$70*Продажи!AC10</f>
        <v>0</v>
      </c>
      <c r="AJ70" s="293">
        <f>$G$70*Продажи!AD10</f>
        <v>0</v>
      </c>
      <c r="AK70" s="293">
        <f>$G$70*Продажи!AE10</f>
        <v>0</v>
      </c>
      <c r="AL70" s="293">
        <f>$G$70*Продажи!AF10</f>
        <v>0</v>
      </c>
      <c r="AM70" s="293">
        <f>$G$70*Продажи!AG10</f>
        <v>0</v>
      </c>
      <c r="AN70" s="293">
        <f>$G$70*Продажи!AH10</f>
        <v>0</v>
      </c>
      <c r="AO70" s="293">
        <f>$G$70*Продажи!AI10</f>
        <v>0</v>
      </c>
      <c r="AP70" s="293">
        <f>$G$70*Продажи!AJ10</f>
        <v>0</v>
      </c>
      <c r="AQ70" s="293">
        <f>$G$70*Продажи!AK10</f>
        <v>0</v>
      </c>
      <c r="AR70" s="293">
        <f>$G$70*Продажи!AL10</f>
        <v>0</v>
      </c>
      <c r="AS70" s="293">
        <f>$G$70*Продажи!AM10</f>
        <v>0</v>
      </c>
      <c r="AT70" s="290">
        <f t="shared" si="8"/>
        <v>0</v>
      </c>
    </row>
    <row r="71" spans="1:46" s="269" customFormat="1" outlineLevel="1">
      <c r="A71" s="283" t="s">
        <v>202</v>
      </c>
      <c r="B71" s="284" t="s">
        <v>151</v>
      </c>
      <c r="C71" s="285"/>
      <c r="D71" s="285"/>
      <c r="E71" s="286">
        <f t="shared" si="13"/>
        <v>0</v>
      </c>
      <c r="F71" s="286">
        <f>E71+E71*'Вводные данные'!$D$4</f>
        <v>0</v>
      </c>
      <c r="G71" s="287">
        <f>F71+F71*'Вводные данные'!$E$4</f>
        <v>0</v>
      </c>
      <c r="H71" s="288">
        <f>$E$71*Продажи!B10</f>
        <v>0</v>
      </c>
      <c r="I71" s="288">
        <f>$E$71*Продажи!C10</f>
        <v>0</v>
      </c>
      <c r="J71" s="288">
        <f>$E$71*Продажи!D10</f>
        <v>0</v>
      </c>
      <c r="K71" s="288">
        <f>$E$71*Продажи!E10</f>
        <v>0</v>
      </c>
      <c r="L71" s="288">
        <f>$E$71*Продажи!F10</f>
        <v>0</v>
      </c>
      <c r="M71" s="288">
        <f>$E$71*Продажи!G10</f>
        <v>0</v>
      </c>
      <c r="N71" s="288">
        <f>$E$71*Продажи!H10</f>
        <v>0</v>
      </c>
      <c r="O71" s="288">
        <f>$E$71*Продажи!I10</f>
        <v>0</v>
      </c>
      <c r="P71" s="288">
        <f>$E$71*Продажи!J10</f>
        <v>0</v>
      </c>
      <c r="Q71" s="288">
        <f>$E$71*Продажи!K10</f>
        <v>0</v>
      </c>
      <c r="R71" s="288">
        <f>$E$71*Продажи!L10</f>
        <v>0</v>
      </c>
      <c r="S71" s="288">
        <f>$E$71*Продажи!M10</f>
        <v>0</v>
      </c>
      <c r="T71" s="290">
        <f t="shared" si="27"/>
        <v>0</v>
      </c>
      <c r="U71" s="292">
        <f>$F$71*Продажи!O10</f>
        <v>0</v>
      </c>
      <c r="V71" s="292">
        <f>$F$71*Продажи!P10</f>
        <v>0</v>
      </c>
      <c r="W71" s="292">
        <f>$F$71*Продажи!Q10</f>
        <v>0</v>
      </c>
      <c r="X71" s="292">
        <f>$F$71*Продажи!R10</f>
        <v>0</v>
      </c>
      <c r="Y71" s="292">
        <f>$F$71*Продажи!S10</f>
        <v>0</v>
      </c>
      <c r="Z71" s="292">
        <f>$F$71*Продажи!T10</f>
        <v>0</v>
      </c>
      <c r="AA71" s="292">
        <f>$F$71*Продажи!U10</f>
        <v>0</v>
      </c>
      <c r="AB71" s="292">
        <f>$F$71*Продажи!V10</f>
        <v>0</v>
      </c>
      <c r="AC71" s="292">
        <f>$F$71*Продажи!W10</f>
        <v>0</v>
      </c>
      <c r="AD71" s="292">
        <f>$F$71*Продажи!X10</f>
        <v>0</v>
      </c>
      <c r="AE71" s="292">
        <f>$F$71*Продажи!Y10</f>
        <v>0</v>
      </c>
      <c r="AF71" s="292">
        <f>$F$71*Продажи!Z10</f>
        <v>0</v>
      </c>
      <c r="AG71" s="290">
        <f t="shared" si="7"/>
        <v>0</v>
      </c>
      <c r="AH71" s="304">
        <f>$G$71*Продажи!AB10</f>
        <v>0</v>
      </c>
      <c r="AI71" s="293">
        <f>$G$71*Продажи!AC10</f>
        <v>0</v>
      </c>
      <c r="AJ71" s="293">
        <f>$G$71*Продажи!AD10</f>
        <v>0</v>
      </c>
      <c r="AK71" s="293">
        <f>$G$71*Продажи!AE10</f>
        <v>0</v>
      </c>
      <c r="AL71" s="293">
        <f>$G$71*Продажи!AF10</f>
        <v>0</v>
      </c>
      <c r="AM71" s="293">
        <f>$G$71*Продажи!AG10</f>
        <v>0</v>
      </c>
      <c r="AN71" s="293">
        <f>$G$71*Продажи!AH10</f>
        <v>0</v>
      </c>
      <c r="AO71" s="293">
        <f>$G$71*Продажи!AI10</f>
        <v>0</v>
      </c>
      <c r="AP71" s="293">
        <f>$G$71*Продажи!AJ10</f>
        <v>0</v>
      </c>
      <c r="AQ71" s="293">
        <f>$G$71*Продажи!AK10</f>
        <v>0</v>
      </c>
      <c r="AR71" s="293">
        <f>$G$71*Продажи!AL10</f>
        <v>0</v>
      </c>
      <c r="AS71" s="293">
        <f>$G$71*Продажи!AM10</f>
        <v>0</v>
      </c>
      <c r="AT71" s="290">
        <f t="shared" si="8"/>
        <v>0</v>
      </c>
    </row>
    <row r="72" spans="1:46" s="269" customFormat="1" outlineLevel="1">
      <c r="A72" s="283" t="s">
        <v>203</v>
      </c>
      <c r="B72" s="284" t="s">
        <v>153</v>
      </c>
      <c r="C72" s="285"/>
      <c r="D72" s="285"/>
      <c r="E72" s="286">
        <f t="shared" si="13"/>
        <v>0</v>
      </c>
      <c r="F72" s="286">
        <f>E72+E72*'Вводные данные'!$D$4</f>
        <v>0</v>
      </c>
      <c r="G72" s="287">
        <f>F72+F72*'Вводные данные'!$E$4</f>
        <v>0</v>
      </c>
      <c r="H72" s="288">
        <f>$E$72*Продажи!B10</f>
        <v>0</v>
      </c>
      <c r="I72" s="288">
        <f>$E$72*Продажи!C10</f>
        <v>0</v>
      </c>
      <c r="J72" s="288">
        <f>$E$72*Продажи!D10</f>
        <v>0</v>
      </c>
      <c r="K72" s="288">
        <f>$E$72*Продажи!E10</f>
        <v>0</v>
      </c>
      <c r="L72" s="288">
        <f>$E$72*Продажи!F10</f>
        <v>0</v>
      </c>
      <c r="M72" s="288">
        <f>$E$72*Продажи!G10</f>
        <v>0</v>
      </c>
      <c r="N72" s="288">
        <f>$E$72*Продажи!H10</f>
        <v>0</v>
      </c>
      <c r="O72" s="288">
        <f>$E$72*Продажи!I10</f>
        <v>0</v>
      </c>
      <c r="P72" s="288">
        <f>$E$72*Продажи!J10</f>
        <v>0</v>
      </c>
      <c r="Q72" s="288">
        <f>$E$72*Продажи!K10</f>
        <v>0</v>
      </c>
      <c r="R72" s="288">
        <f>$E$72*Продажи!L10</f>
        <v>0</v>
      </c>
      <c r="S72" s="288">
        <f>$E$72*Продажи!M10</f>
        <v>0</v>
      </c>
      <c r="T72" s="290">
        <f t="shared" si="27"/>
        <v>0</v>
      </c>
      <c r="U72" s="292">
        <f>$F$72*Продажи!O10</f>
        <v>0</v>
      </c>
      <c r="V72" s="292">
        <f>$F$72*Продажи!P10</f>
        <v>0</v>
      </c>
      <c r="W72" s="292">
        <f>$F$72*Продажи!Q10</f>
        <v>0</v>
      </c>
      <c r="X72" s="292">
        <f>$F$72*Продажи!R10</f>
        <v>0</v>
      </c>
      <c r="Y72" s="292">
        <f>$F$72*Продажи!S10</f>
        <v>0</v>
      </c>
      <c r="Z72" s="292">
        <f>$F$72*Продажи!T10</f>
        <v>0</v>
      </c>
      <c r="AA72" s="292">
        <f>$F$72*Продажи!U10</f>
        <v>0</v>
      </c>
      <c r="AB72" s="292">
        <f>$F$72*Продажи!V10</f>
        <v>0</v>
      </c>
      <c r="AC72" s="292">
        <f>$F$72*Продажи!W10</f>
        <v>0</v>
      </c>
      <c r="AD72" s="292">
        <f>$F$72*Продажи!X10</f>
        <v>0</v>
      </c>
      <c r="AE72" s="292">
        <f>$F$72*Продажи!Y10</f>
        <v>0</v>
      </c>
      <c r="AF72" s="292">
        <f>$F$72*Продажи!Z10</f>
        <v>0</v>
      </c>
      <c r="AG72" s="290">
        <f t="shared" si="7"/>
        <v>0</v>
      </c>
      <c r="AH72" s="304">
        <f>$G$72*Продажи!AB10</f>
        <v>0</v>
      </c>
      <c r="AI72" s="293">
        <f>$G$72*Продажи!AC10</f>
        <v>0</v>
      </c>
      <c r="AJ72" s="293">
        <f>$G$72*Продажи!AD10</f>
        <v>0</v>
      </c>
      <c r="AK72" s="293">
        <f>$G$72*Продажи!AE10</f>
        <v>0</v>
      </c>
      <c r="AL72" s="293">
        <f>$G$72*Продажи!AF10</f>
        <v>0</v>
      </c>
      <c r="AM72" s="293">
        <f>$G$72*Продажи!AG10</f>
        <v>0</v>
      </c>
      <c r="AN72" s="293">
        <f>$G$72*Продажи!AH10</f>
        <v>0</v>
      </c>
      <c r="AO72" s="293">
        <f>$G$72*Продажи!AI10</f>
        <v>0</v>
      </c>
      <c r="AP72" s="293">
        <f>$G$72*Продажи!AJ10</f>
        <v>0</v>
      </c>
      <c r="AQ72" s="293">
        <f>$G$72*Продажи!AK10</f>
        <v>0</v>
      </c>
      <c r="AR72" s="293">
        <f>$G$72*Продажи!AL10</f>
        <v>0</v>
      </c>
      <c r="AS72" s="293">
        <f>$G$72*Продажи!AM10</f>
        <v>0</v>
      </c>
      <c r="AT72" s="290">
        <f t="shared" si="8"/>
        <v>0</v>
      </c>
    </row>
    <row r="73" spans="1:46" s="269" customFormat="1" outlineLevel="1">
      <c r="A73" s="283" t="s">
        <v>204</v>
      </c>
      <c r="B73" s="284" t="s">
        <v>155</v>
      </c>
      <c r="C73" s="285"/>
      <c r="D73" s="285"/>
      <c r="E73" s="286">
        <f t="shared" si="13"/>
        <v>0</v>
      </c>
      <c r="F73" s="286">
        <f>E73+E73*'Вводные данные'!$D$4</f>
        <v>0</v>
      </c>
      <c r="G73" s="287">
        <f>F73+F73*'Вводные данные'!$E$4</f>
        <v>0</v>
      </c>
      <c r="H73" s="288">
        <f>$E$73*Продажи!B10</f>
        <v>0</v>
      </c>
      <c r="I73" s="288">
        <f>$E$73*Продажи!C10</f>
        <v>0</v>
      </c>
      <c r="J73" s="288">
        <f>$E$73*Продажи!D10</f>
        <v>0</v>
      </c>
      <c r="K73" s="288">
        <f>$E$73*Продажи!E10</f>
        <v>0</v>
      </c>
      <c r="L73" s="288">
        <f>$E$73*Продажи!F10</f>
        <v>0</v>
      </c>
      <c r="M73" s="288">
        <f>$E$73*Продажи!G10</f>
        <v>0</v>
      </c>
      <c r="N73" s="288">
        <f>$E$73*Продажи!H10</f>
        <v>0</v>
      </c>
      <c r="O73" s="288">
        <f>$E$73*Продажи!I10</f>
        <v>0</v>
      </c>
      <c r="P73" s="288">
        <f>$E$73*Продажи!J10</f>
        <v>0</v>
      </c>
      <c r="Q73" s="288">
        <f>$E$73*Продажи!K10</f>
        <v>0</v>
      </c>
      <c r="R73" s="288">
        <f>$E$73*Продажи!L10</f>
        <v>0</v>
      </c>
      <c r="S73" s="288">
        <f>$E$73*Продажи!M10</f>
        <v>0</v>
      </c>
      <c r="T73" s="290">
        <f t="shared" si="27"/>
        <v>0</v>
      </c>
      <c r="U73" s="292">
        <f>$F$73*Продажи!O10</f>
        <v>0</v>
      </c>
      <c r="V73" s="292">
        <f>$F$73*Продажи!P10</f>
        <v>0</v>
      </c>
      <c r="W73" s="292">
        <f>$F$73*Продажи!Q10</f>
        <v>0</v>
      </c>
      <c r="X73" s="292">
        <f>$F$73*Продажи!R10</f>
        <v>0</v>
      </c>
      <c r="Y73" s="292">
        <f>$F$73*Продажи!S10</f>
        <v>0</v>
      </c>
      <c r="Z73" s="292">
        <f>$F$73*Продажи!T10</f>
        <v>0</v>
      </c>
      <c r="AA73" s="292">
        <f>$F$73*Продажи!U10</f>
        <v>0</v>
      </c>
      <c r="AB73" s="292">
        <f>$F$73*Продажи!V10</f>
        <v>0</v>
      </c>
      <c r="AC73" s="292">
        <f>$F$73*Продажи!W10</f>
        <v>0</v>
      </c>
      <c r="AD73" s="292">
        <f>$F$73*Продажи!X10</f>
        <v>0</v>
      </c>
      <c r="AE73" s="292">
        <f>$F$73*Продажи!Y10</f>
        <v>0</v>
      </c>
      <c r="AF73" s="292">
        <f>$F$73*Продажи!Z10</f>
        <v>0</v>
      </c>
      <c r="AG73" s="290">
        <f t="shared" si="7"/>
        <v>0</v>
      </c>
      <c r="AH73" s="304">
        <f>$G$73*Продажи!AB10</f>
        <v>0</v>
      </c>
      <c r="AI73" s="293">
        <f>$G$73*Продажи!AC10</f>
        <v>0</v>
      </c>
      <c r="AJ73" s="293">
        <f>$G$73*Продажи!AD10</f>
        <v>0</v>
      </c>
      <c r="AK73" s="293">
        <f>$G$73*Продажи!AE10</f>
        <v>0</v>
      </c>
      <c r="AL73" s="293">
        <f>$G$73*Продажи!AF10</f>
        <v>0</v>
      </c>
      <c r="AM73" s="293">
        <f>$G$73*Продажи!AG10</f>
        <v>0</v>
      </c>
      <c r="AN73" s="293">
        <f>$G$73*Продажи!AH10</f>
        <v>0</v>
      </c>
      <c r="AO73" s="293">
        <f>$G$73*Продажи!AI10</f>
        <v>0</v>
      </c>
      <c r="AP73" s="293">
        <f>$G$73*Продажи!AJ10</f>
        <v>0</v>
      </c>
      <c r="AQ73" s="293">
        <f>$G$73*Продажи!AK10</f>
        <v>0</v>
      </c>
      <c r="AR73" s="293">
        <f>$G$73*Продажи!AL10</f>
        <v>0</v>
      </c>
      <c r="AS73" s="293">
        <f>$G$73*Продажи!AM10</f>
        <v>0</v>
      </c>
      <c r="AT73" s="290">
        <f t="shared" si="8"/>
        <v>0</v>
      </c>
    </row>
    <row r="74" spans="1:46" s="269" customFormat="1" outlineLevel="1">
      <c r="A74" s="283" t="s">
        <v>205</v>
      </c>
      <c r="B74" s="284" t="s">
        <v>157</v>
      </c>
      <c r="C74" s="285"/>
      <c r="D74" s="285"/>
      <c r="E74" s="286">
        <f t="shared" si="13"/>
        <v>0</v>
      </c>
      <c r="F74" s="286">
        <f>E74+E74*'Вводные данные'!$D$4</f>
        <v>0</v>
      </c>
      <c r="G74" s="287">
        <f>F74+F74*'Вводные данные'!$E$4</f>
        <v>0</v>
      </c>
      <c r="H74" s="288">
        <f>$E$74*Продажи!B10</f>
        <v>0</v>
      </c>
      <c r="I74" s="288">
        <f>$E$74*Продажи!C10</f>
        <v>0</v>
      </c>
      <c r="J74" s="288">
        <f>$E$74*Продажи!D10</f>
        <v>0</v>
      </c>
      <c r="K74" s="288">
        <f>$E$74*Продажи!E10</f>
        <v>0</v>
      </c>
      <c r="L74" s="288">
        <f>$E$74*Продажи!F10</f>
        <v>0</v>
      </c>
      <c r="M74" s="288">
        <f>$E$74*Продажи!G10</f>
        <v>0</v>
      </c>
      <c r="N74" s="288">
        <f>$E$74*Продажи!H10</f>
        <v>0</v>
      </c>
      <c r="O74" s="288">
        <f>$E$74*Продажи!I10</f>
        <v>0</v>
      </c>
      <c r="P74" s="288">
        <f>$E$74*Продажи!J10</f>
        <v>0</v>
      </c>
      <c r="Q74" s="288">
        <f>$E$74*Продажи!K10</f>
        <v>0</v>
      </c>
      <c r="R74" s="288">
        <f>$E$74*Продажи!L10</f>
        <v>0</v>
      </c>
      <c r="S74" s="288">
        <f>$E$74*Продажи!M10</f>
        <v>0</v>
      </c>
      <c r="T74" s="290">
        <f t="shared" si="27"/>
        <v>0</v>
      </c>
      <c r="U74" s="292">
        <f>$F$74*Продажи!O10</f>
        <v>0</v>
      </c>
      <c r="V74" s="292">
        <f>$F$74*Продажи!P10</f>
        <v>0</v>
      </c>
      <c r="W74" s="292">
        <f>$F$74*Продажи!Q10</f>
        <v>0</v>
      </c>
      <c r="X74" s="292">
        <f>$F$74*Продажи!R10</f>
        <v>0</v>
      </c>
      <c r="Y74" s="292">
        <f>$F$74*Продажи!S10</f>
        <v>0</v>
      </c>
      <c r="Z74" s="292">
        <f>$F$74*Продажи!T10</f>
        <v>0</v>
      </c>
      <c r="AA74" s="292">
        <f>$F$74*Продажи!U10</f>
        <v>0</v>
      </c>
      <c r="AB74" s="292">
        <f>$F$74*Продажи!V10</f>
        <v>0</v>
      </c>
      <c r="AC74" s="292">
        <f>$F$74*Продажи!W10</f>
        <v>0</v>
      </c>
      <c r="AD74" s="292">
        <f>$F$74*Продажи!X10</f>
        <v>0</v>
      </c>
      <c r="AE74" s="292">
        <f>$F$74*Продажи!Y10</f>
        <v>0</v>
      </c>
      <c r="AF74" s="292">
        <f>$F$74*Продажи!Z10</f>
        <v>0</v>
      </c>
      <c r="AG74" s="290">
        <f t="shared" si="7"/>
        <v>0</v>
      </c>
      <c r="AH74" s="304">
        <f>$G$74*Продажи!AB10</f>
        <v>0</v>
      </c>
      <c r="AI74" s="293">
        <f>$G$74*Продажи!AC10</f>
        <v>0</v>
      </c>
      <c r="AJ74" s="293">
        <f>$G$74*Продажи!AD10</f>
        <v>0</v>
      </c>
      <c r="AK74" s="293">
        <f>$G$74*Продажи!AE10</f>
        <v>0</v>
      </c>
      <c r="AL74" s="293">
        <f>$G$74*Продажи!AF10</f>
        <v>0</v>
      </c>
      <c r="AM74" s="293">
        <f>$G$74*Продажи!AG10</f>
        <v>0</v>
      </c>
      <c r="AN74" s="293">
        <f>$G$74*Продажи!AH10</f>
        <v>0</v>
      </c>
      <c r="AO74" s="293">
        <f>$G$74*Продажи!AI10</f>
        <v>0</v>
      </c>
      <c r="AP74" s="293">
        <f>$G$74*Продажи!AJ10</f>
        <v>0</v>
      </c>
      <c r="AQ74" s="293">
        <f>$G$74*Продажи!AK10</f>
        <v>0</v>
      </c>
      <c r="AR74" s="293">
        <f>$G$74*Продажи!AL10</f>
        <v>0</v>
      </c>
      <c r="AS74" s="293">
        <f>$G$74*Продажи!AM10</f>
        <v>0</v>
      </c>
      <c r="AT74" s="290">
        <f t="shared" si="8"/>
        <v>0</v>
      </c>
    </row>
    <row r="75" spans="1:46" s="269" customFormat="1" outlineLevel="1">
      <c r="A75" s="283" t="s">
        <v>206</v>
      </c>
      <c r="B75" s="284" t="s">
        <v>159</v>
      </c>
      <c r="C75" s="285"/>
      <c r="D75" s="285"/>
      <c r="E75" s="286">
        <f t="shared" si="13"/>
        <v>0</v>
      </c>
      <c r="F75" s="286">
        <f>E75+E75*'Вводные данные'!$D$4</f>
        <v>0</v>
      </c>
      <c r="G75" s="287">
        <f>F75+F75*'Вводные данные'!$E$4</f>
        <v>0</v>
      </c>
      <c r="H75" s="288">
        <f>$E$75*Продажи!B10</f>
        <v>0</v>
      </c>
      <c r="I75" s="288">
        <f>$E$75*Продажи!C10</f>
        <v>0</v>
      </c>
      <c r="J75" s="288">
        <f>$E$75*Продажи!D10</f>
        <v>0</v>
      </c>
      <c r="K75" s="288">
        <f>$E$75*Продажи!E10</f>
        <v>0</v>
      </c>
      <c r="L75" s="288">
        <f>$E$75*Продажи!F10</f>
        <v>0</v>
      </c>
      <c r="M75" s="288">
        <f>$E$75*Продажи!G10</f>
        <v>0</v>
      </c>
      <c r="N75" s="288">
        <f>$E$75*Продажи!H10</f>
        <v>0</v>
      </c>
      <c r="O75" s="288">
        <f>$E$75*Продажи!I10</f>
        <v>0</v>
      </c>
      <c r="P75" s="288">
        <f>$E$75*Продажи!J10</f>
        <v>0</v>
      </c>
      <c r="Q75" s="288">
        <f>$E$75*Продажи!K10</f>
        <v>0</v>
      </c>
      <c r="R75" s="288">
        <f>$E$75*Продажи!L10</f>
        <v>0</v>
      </c>
      <c r="S75" s="288">
        <f>$E$75*Продажи!M10</f>
        <v>0</v>
      </c>
      <c r="T75" s="290">
        <f t="shared" si="27"/>
        <v>0</v>
      </c>
      <c r="U75" s="292">
        <f>$F$75*Продажи!O10</f>
        <v>0</v>
      </c>
      <c r="V75" s="292">
        <f>$F$75*Продажи!P10</f>
        <v>0</v>
      </c>
      <c r="W75" s="292">
        <f>$F$75*Продажи!Q10</f>
        <v>0</v>
      </c>
      <c r="X75" s="292">
        <f>$F$75*Продажи!R10</f>
        <v>0</v>
      </c>
      <c r="Y75" s="292">
        <f>$F$75*Продажи!S10</f>
        <v>0</v>
      </c>
      <c r="Z75" s="292">
        <f>$F$75*Продажи!T10</f>
        <v>0</v>
      </c>
      <c r="AA75" s="292">
        <f>$F$75*Продажи!U10</f>
        <v>0</v>
      </c>
      <c r="AB75" s="292">
        <f>$F$75*Продажи!V10</f>
        <v>0</v>
      </c>
      <c r="AC75" s="292">
        <f>$F$75*Продажи!W10</f>
        <v>0</v>
      </c>
      <c r="AD75" s="292">
        <f>$F$75*Продажи!X10</f>
        <v>0</v>
      </c>
      <c r="AE75" s="292">
        <f>$F$75*Продажи!Y10</f>
        <v>0</v>
      </c>
      <c r="AF75" s="292">
        <f>$F$75*Продажи!Z10</f>
        <v>0</v>
      </c>
      <c r="AG75" s="290">
        <f t="shared" si="7"/>
        <v>0</v>
      </c>
      <c r="AH75" s="304">
        <f>$G$75*Продажи!AB10</f>
        <v>0</v>
      </c>
      <c r="AI75" s="293">
        <f>$G$75*Продажи!AC10</f>
        <v>0</v>
      </c>
      <c r="AJ75" s="293">
        <f>$G$75*Продажи!AD10</f>
        <v>0</v>
      </c>
      <c r="AK75" s="293">
        <f>$G$75*Продажи!AE10</f>
        <v>0</v>
      </c>
      <c r="AL75" s="293">
        <f>$G$75*Продажи!AF10</f>
        <v>0</v>
      </c>
      <c r="AM75" s="293">
        <f>$G$75*Продажи!AG10</f>
        <v>0</v>
      </c>
      <c r="AN75" s="293">
        <f>$G$75*Продажи!AH10</f>
        <v>0</v>
      </c>
      <c r="AO75" s="293">
        <f>$G$75*Продажи!AI10</f>
        <v>0</v>
      </c>
      <c r="AP75" s="293">
        <f>$G$75*Продажи!AJ10</f>
        <v>0</v>
      </c>
      <c r="AQ75" s="293">
        <f>$G$75*Продажи!AK10</f>
        <v>0</v>
      </c>
      <c r="AR75" s="293">
        <f>$G$75*Продажи!AL10</f>
        <v>0</v>
      </c>
      <c r="AS75" s="293">
        <f>$G$75*Продажи!AM10</f>
        <v>0</v>
      </c>
      <c r="AT75" s="290">
        <f t="shared" si="8"/>
        <v>0</v>
      </c>
    </row>
    <row r="76" spans="1:46" s="269" customFormat="1" outlineLevel="1">
      <c r="A76" s="283" t="s">
        <v>207</v>
      </c>
      <c r="B76" s="284" t="s">
        <v>161</v>
      </c>
      <c r="C76" s="285"/>
      <c r="D76" s="285"/>
      <c r="E76" s="286">
        <f t="shared" si="13"/>
        <v>0</v>
      </c>
      <c r="F76" s="286">
        <f>E76+E76*'Вводные данные'!$D$4</f>
        <v>0</v>
      </c>
      <c r="G76" s="287">
        <f>F76+F76*'Вводные данные'!$E$4</f>
        <v>0</v>
      </c>
      <c r="H76" s="288">
        <f>$E$76*Продажи!B10</f>
        <v>0</v>
      </c>
      <c r="I76" s="288">
        <f>$E$76*Продажи!C10</f>
        <v>0</v>
      </c>
      <c r="J76" s="288">
        <f>$E$76*Продажи!D10</f>
        <v>0</v>
      </c>
      <c r="K76" s="288">
        <f>$E$76*Продажи!E10</f>
        <v>0</v>
      </c>
      <c r="L76" s="288">
        <f>$E$76*Продажи!F10</f>
        <v>0</v>
      </c>
      <c r="M76" s="288">
        <f>$E$76*Продажи!G10</f>
        <v>0</v>
      </c>
      <c r="N76" s="288">
        <f>$E$76*Продажи!H10</f>
        <v>0</v>
      </c>
      <c r="O76" s="288">
        <f>$E$76*Продажи!I10</f>
        <v>0</v>
      </c>
      <c r="P76" s="288">
        <f>$E$76*Продажи!J10</f>
        <v>0</v>
      </c>
      <c r="Q76" s="288">
        <f>$E$76*Продажи!K10</f>
        <v>0</v>
      </c>
      <c r="R76" s="288">
        <f>$E$76*Продажи!L10</f>
        <v>0</v>
      </c>
      <c r="S76" s="288">
        <f>$E$76*Продажи!M10</f>
        <v>0</v>
      </c>
      <c r="T76" s="290">
        <f t="shared" si="27"/>
        <v>0</v>
      </c>
      <c r="U76" s="292">
        <f>$F$76*Продажи!O10</f>
        <v>0</v>
      </c>
      <c r="V76" s="292">
        <f>$F$76*Продажи!P10</f>
        <v>0</v>
      </c>
      <c r="W76" s="292">
        <f>$F$76*Продажи!Q10</f>
        <v>0</v>
      </c>
      <c r="X76" s="292">
        <f>$F$76*Продажи!R10</f>
        <v>0</v>
      </c>
      <c r="Y76" s="292">
        <f>$F$76*Продажи!S10</f>
        <v>0</v>
      </c>
      <c r="Z76" s="292">
        <f>$F$76*Продажи!T10</f>
        <v>0</v>
      </c>
      <c r="AA76" s="292">
        <f>$F$76*Продажи!U10</f>
        <v>0</v>
      </c>
      <c r="AB76" s="292">
        <f>$F$76*Продажи!V10</f>
        <v>0</v>
      </c>
      <c r="AC76" s="292">
        <f>$F$76*Продажи!W10</f>
        <v>0</v>
      </c>
      <c r="AD76" s="292">
        <f>$F$76*Продажи!X10</f>
        <v>0</v>
      </c>
      <c r="AE76" s="292">
        <f>$F$76*Продажи!Y10</f>
        <v>0</v>
      </c>
      <c r="AF76" s="292">
        <f>$F$76*Продажи!Z10</f>
        <v>0</v>
      </c>
      <c r="AG76" s="290">
        <f t="shared" si="7"/>
        <v>0</v>
      </c>
      <c r="AH76" s="304">
        <f>$G$76*Продажи!AB10</f>
        <v>0</v>
      </c>
      <c r="AI76" s="293">
        <f>$G$76*Продажи!AC10</f>
        <v>0</v>
      </c>
      <c r="AJ76" s="293">
        <f>$G$76*Продажи!AD10</f>
        <v>0</v>
      </c>
      <c r="AK76" s="293">
        <f>$G$76*Продажи!AE10</f>
        <v>0</v>
      </c>
      <c r="AL76" s="293">
        <f>$G$76*Продажи!AF10</f>
        <v>0</v>
      </c>
      <c r="AM76" s="293">
        <f>$G$76*Продажи!AG10</f>
        <v>0</v>
      </c>
      <c r="AN76" s="293">
        <f>$G$76*Продажи!AH10</f>
        <v>0</v>
      </c>
      <c r="AO76" s="293">
        <f>$G$76*Продажи!AI10</f>
        <v>0</v>
      </c>
      <c r="AP76" s="293">
        <f>$G$76*Продажи!AJ10</f>
        <v>0</v>
      </c>
      <c r="AQ76" s="293">
        <f>$G$76*Продажи!AK10</f>
        <v>0</v>
      </c>
      <c r="AR76" s="293">
        <f>$G$76*Продажи!AL10</f>
        <v>0</v>
      </c>
      <c r="AS76" s="293">
        <f>$G$76*Продажи!AM10</f>
        <v>0</v>
      </c>
      <c r="AT76" s="290">
        <f t="shared" si="8"/>
        <v>0</v>
      </c>
    </row>
    <row r="77" spans="1:46" s="269" customFormat="1" ht="24" customHeight="1" outlineLevel="1">
      <c r="A77" s="294" t="s">
        <v>208</v>
      </c>
      <c r="B77" s="485" t="s">
        <v>163</v>
      </c>
      <c r="C77" s="486"/>
      <c r="D77" s="486"/>
      <c r="E77" s="486"/>
      <c r="F77" s="486"/>
      <c r="G77" s="487"/>
      <c r="H77" s="295">
        <f>'Продукция и цена '!C9</f>
        <v>0</v>
      </c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7">
        <f>H77</f>
        <v>0</v>
      </c>
      <c r="U77" s="295">
        <f>'Продукция и цена '!D9</f>
        <v>0</v>
      </c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7">
        <f t="shared" si="7"/>
        <v>0</v>
      </c>
      <c r="AH77" s="298">
        <f>'Продукция и цена '!E9</f>
        <v>0</v>
      </c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7">
        <f t="shared" si="8"/>
        <v>0</v>
      </c>
    </row>
    <row r="78" spans="1:46" s="270" customFormat="1" ht="28.5">
      <c r="A78" s="299">
        <v>7</v>
      </c>
      <c r="B78" s="300">
        <f>'Продукция и цена '!A10</f>
        <v>0</v>
      </c>
      <c r="C78" s="301" t="s">
        <v>103</v>
      </c>
      <c r="D78" s="301" t="s">
        <v>103</v>
      </c>
      <c r="E78" s="301" t="s">
        <v>3</v>
      </c>
      <c r="F78" s="301" t="s">
        <v>4</v>
      </c>
      <c r="G78" s="302" t="s">
        <v>5</v>
      </c>
      <c r="H78" s="303">
        <f t="shared" ref="H78:S78" si="30">SUM(H79:H88)</f>
        <v>0</v>
      </c>
      <c r="I78" s="281">
        <f t="shared" si="30"/>
        <v>0</v>
      </c>
      <c r="J78" s="281">
        <f t="shared" si="30"/>
        <v>0</v>
      </c>
      <c r="K78" s="281">
        <f t="shared" si="30"/>
        <v>0</v>
      </c>
      <c r="L78" s="281">
        <f t="shared" si="30"/>
        <v>0</v>
      </c>
      <c r="M78" s="281">
        <f t="shared" si="30"/>
        <v>0</v>
      </c>
      <c r="N78" s="281">
        <f t="shared" si="30"/>
        <v>0</v>
      </c>
      <c r="O78" s="281">
        <f t="shared" si="30"/>
        <v>0</v>
      </c>
      <c r="P78" s="281">
        <f t="shared" si="30"/>
        <v>0</v>
      </c>
      <c r="Q78" s="281">
        <f t="shared" si="30"/>
        <v>0</v>
      </c>
      <c r="R78" s="281">
        <f t="shared" si="30"/>
        <v>0</v>
      </c>
      <c r="S78" s="281">
        <f t="shared" si="30"/>
        <v>0</v>
      </c>
      <c r="T78" s="282">
        <f t="shared" ref="T78:T88" si="31">SUM(H78:S78)</f>
        <v>0</v>
      </c>
      <c r="U78" s="280">
        <f t="shared" ref="U78:AF78" si="32">SUM(U79:U88)</f>
        <v>0</v>
      </c>
      <c r="V78" s="281">
        <f t="shared" si="32"/>
        <v>0</v>
      </c>
      <c r="W78" s="281">
        <f t="shared" si="32"/>
        <v>0</v>
      </c>
      <c r="X78" s="281">
        <f t="shared" si="32"/>
        <v>0</v>
      </c>
      <c r="Y78" s="281">
        <f t="shared" si="32"/>
        <v>0</v>
      </c>
      <c r="Z78" s="281">
        <f t="shared" si="32"/>
        <v>0</v>
      </c>
      <c r="AA78" s="281">
        <f t="shared" si="32"/>
        <v>0</v>
      </c>
      <c r="AB78" s="281">
        <f t="shared" si="32"/>
        <v>0</v>
      </c>
      <c r="AC78" s="281">
        <f t="shared" si="32"/>
        <v>0</v>
      </c>
      <c r="AD78" s="281">
        <f t="shared" si="32"/>
        <v>0</v>
      </c>
      <c r="AE78" s="281">
        <f t="shared" si="32"/>
        <v>0</v>
      </c>
      <c r="AF78" s="281">
        <f t="shared" si="32"/>
        <v>0</v>
      </c>
      <c r="AG78" s="282">
        <f t="shared" si="7"/>
        <v>0</v>
      </c>
      <c r="AH78" s="303">
        <f t="shared" ref="AH78:AS78" si="33">SUM(AH79:AH88)</f>
        <v>0</v>
      </c>
      <c r="AI78" s="281">
        <f t="shared" si="33"/>
        <v>0</v>
      </c>
      <c r="AJ78" s="281">
        <f t="shared" si="33"/>
        <v>0</v>
      </c>
      <c r="AK78" s="281">
        <f t="shared" si="33"/>
        <v>0</v>
      </c>
      <c r="AL78" s="281">
        <f t="shared" si="33"/>
        <v>0</v>
      </c>
      <c r="AM78" s="281">
        <f t="shared" si="33"/>
        <v>0</v>
      </c>
      <c r="AN78" s="281">
        <f t="shared" si="33"/>
        <v>0</v>
      </c>
      <c r="AO78" s="281">
        <f t="shared" si="33"/>
        <v>0</v>
      </c>
      <c r="AP78" s="281">
        <f t="shared" si="33"/>
        <v>0</v>
      </c>
      <c r="AQ78" s="281">
        <f t="shared" si="33"/>
        <v>0</v>
      </c>
      <c r="AR78" s="281">
        <f t="shared" si="33"/>
        <v>0</v>
      </c>
      <c r="AS78" s="281">
        <f t="shared" si="33"/>
        <v>0</v>
      </c>
      <c r="AT78" s="282">
        <f t="shared" si="8"/>
        <v>0</v>
      </c>
    </row>
    <row r="79" spans="1:46" s="269" customFormat="1" outlineLevel="1">
      <c r="A79" s="283" t="s">
        <v>209</v>
      </c>
      <c r="B79" s="284" t="s">
        <v>143</v>
      </c>
      <c r="C79" s="285"/>
      <c r="D79" s="285"/>
      <c r="E79" s="286">
        <f t="shared" si="13"/>
        <v>0</v>
      </c>
      <c r="F79" s="286">
        <f>E79+E79*'Вводные данные'!$D$4</f>
        <v>0</v>
      </c>
      <c r="G79" s="287">
        <f>F79+F79*'Вводные данные'!$E$4</f>
        <v>0</v>
      </c>
      <c r="H79" s="288">
        <f>$E$79*Продажи!B11</f>
        <v>0</v>
      </c>
      <c r="I79" s="288">
        <f>$E$79*Продажи!C11</f>
        <v>0</v>
      </c>
      <c r="J79" s="288">
        <f>$E$79*Продажи!D11</f>
        <v>0</v>
      </c>
      <c r="K79" s="288">
        <f>$E$79*Продажи!E11</f>
        <v>0</v>
      </c>
      <c r="L79" s="288">
        <f>$E$79*Продажи!F11</f>
        <v>0</v>
      </c>
      <c r="M79" s="288">
        <f>$E$79*Продажи!G11</f>
        <v>0</v>
      </c>
      <c r="N79" s="288">
        <f>$E$79*Продажи!H11</f>
        <v>0</v>
      </c>
      <c r="O79" s="288">
        <f>$E$79*Продажи!I11</f>
        <v>0</v>
      </c>
      <c r="P79" s="288">
        <f>$E$79*Продажи!J11</f>
        <v>0</v>
      </c>
      <c r="Q79" s="288">
        <f>$E$79*Продажи!K11</f>
        <v>0</v>
      </c>
      <c r="R79" s="288">
        <f>$E$79*Продажи!L11</f>
        <v>0</v>
      </c>
      <c r="S79" s="288">
        <f>$E$79*Продажи!M11</f>
        <v>0</v>
      </c>
      <c r="T79" s="290">
        <f t="shared" si="31"/>
        <v>0</v>
      </c>
      <c r="U79" s="291">
        <f>$F$79*Продажи!O11</f>
        <v>0</v>
      </c>
      <c r="V79" s="292">
        <f>$F$79*Продажи!P11</f>
        <v>0</v>
      </c>
      <c r="W79" s="292">
        <f>$F$79*Продажи!Q11</f>
        <v>0</v>
      </c>
      <c r="X79" s="292">
        <f>$F$79*Продажи!R11</f>
        <v>0</v>
      </c>
      <c r="Y79" s="292">
        <f>$F$79*Продажи!S11</f>
        <v>0</v>
      </c>
      <c r="Z79" s="292">
        <f>$F$79*Продажи!T11</f>
        <v>0</v>
      </c>
      <c r="AA79" s="292">
        <f>$F$79*Продажи!U11</f>
        <v>0</v>
      </c>
      <c r="AB79" s="292">
        <f>$F$79*Продажи!V11</f>
        <v>0</v>
      </c>
      <c r="AC79" s="292">
        <f>$F$79*Продажи!W11</f>
        <v>0</v>
      </c>
      <c r="AD79" s="292">
        <f>$F$79*Продажи!X11</f>
        <v>0</v>
      </c>
      <c r="AE79" s="292">
        <f>$F$79*Продажи!Y11</f>
        <v>0</v>
      </c>
      <c r="AF79" s="292">
        <f>$F$79*Продажи!Z11</f>
        <v>0</v>
      </c>
      <c r="AG79" s="290">
        <f t="shared" si="7"/>
        <v>0</v>
      </c>
      <c r="AH79" s="292">
        <f>$G$79*Продажи!AB11</f>
        <v>0</v>
      </c>
      <c r="AI79" s="293">
        <f>$G$79*Продажи!AC11</f>
        <v>0</v>
      </c>
      <c r="AJ79" s="293">
        <f>$G$79*Продажи!AD11</f>
        <v>0</v>
      </c>
      <c r="AK79" s="293">
        <f>$G$79*Продажи!AE11</f>
        <v>0</v>
      </c>
      <c r="AL79" s="293">
        <f>$G$79*Продажи!AF11</f>
        <v>0</v>
      </c>
      <c r="AM79" s="293">
        <f>$G$79*Продажи!AG11</f>
        <v>0</v>
      </c>
      <c r="AN79" s="293">
        <f>$G$79*Продажи!AH11</f>
        <v>0</v>
      </c>
      <c r="AO79" s="293">
        <f>$G$79*Продажи!AI11</f>
        <v>0</v>
      </c>
      <c r="AP79" s="293">
        <f>$G$79*Продажи!AJ11</f>
        <v>0</v>
      </c>
      <c r="AQ79" s="293">
        <f>$G$79*Продажи!AK11</f>
        <v>0</v>
      </c>
      <c r="AR79" s="293">
        <f>$G$79*Продажи!AL11</f>
        <v>0</v>
      </c>
      <c r="AS79" s="293">
        <f>$G$79*Продажи!AM11</f>
        <v>0</v>
      </c>
      <c r="AT79" s="290">
        <f t="shared" si="8"/>
        <v>0</v>
      </c>
    </row>
    <row r="80" spans="1:46" s="269" customFormat="1" outlineLevel="1">
      <c r="A80" s="283" t="s">
        <v>210</v>
      </c>
      <c r="B80" s="284" t="s">
        <v>145</v>
      </c>
      <c r="C80" s="285"/>
      <c r="D80" s="285"/>
      <c r="E80" s="286">
        <f t="shared" si="13"/>
        <v>0</v>
      </c>
      <c r="F80" s="286">
        <f>E80+E80*'Вводные данные'!$D$4</f>
        <v>0</v>
      </c>
      <c r="G80" s="287">
        <f>F80+F80*'Вводные данные'!$E$4</f>
        <v>0</v>
      </c>
      <c r="H80" s="288">
        <f>$E$80*Продажи!B11</f>
        <v>0</v>
      </c>
      <c r="I80" s="288">
        <f>$E$80*Продажи!C11</f>
        <v>0</v>
      </c>
      <c r="J80" s="288">
        <f>$E$80*Продажи!D11</f>
        <v>0</v>
      </c>
      <c r="K80" s="288">
        <f>$E$80*Продажи!E11</f>
        <v>0</v>
      </c>
      <c r="L80" s="288">
        <f>$E$80*Продажи!F11</f>
        <v>0</v>
      </c>
      <c r="M80" s="288">
        <f>$E$80*Продажи!G11</f>
        <v>0</v>
      </c>
      <c r="N80" s="288">
        <f>$E$80*Продажи!H11</f>
        <v>0</v>
      </c>
      <c r="O80" s="288">
        <f>$E$80*Продажи!I11</f>
        <v>0</v>
      </c>
      <c r="P80" s="288">
        <f>$E$80*Продажи!J11</f>
        <v>0</v>
      </c>
      <c r="Q80" s="288">
        <f>$E$80*Продажи!K11</f>
        <v>0</v>
      </c>
      <c r="R80" s="288">
        <f>$E$80*Продажи!L11</f>
        <v>0</v>
      </c>
      <c r="S80" s="288">
        <f>$E$80*Продажи!M11</f>
        <v>0</v>
      </c>
      <c r="T80" s="290">
        <f t="shared" si="31"/>
        <v>0</v>
      </c>
      <c r="U80" s="291">
        <f>$F$80*Продажи!O11</f>
        <v>0</v>
      </c>
      <c r="V80" s="292">
        <f>$F$80*Продажи!P11</f>
        <v>0</v>
      </c>
      <c r="W80" s="292">
        <f>$F$80*Продажи!Q11</f>
        <v>0</v>
      </c>
      <c r="X80" s="292">
        <f>$F$80*Продажи!R11</f>
        <v>0</v>
      </c>
      <c r="Y80" s="292">
        <f>$F$80*Продажи!S11</f>
        <v>0</v>
      </c>
      <c r="Z80" s="292">
        <f>$F$80*Продажи!T11</f>
        <v>0</v>
      </c>
      <c r="AA80" s="292">
        <f>$F$80*Продажи!U11</f>
        <v>0</v>
      </c>
      <c r="AB80" s="292">
        <f>$F$80*Продажи!V11</f>
        <v>0</v>
      </c>
      <c r="AC80" s="292">
        <f>$F$80*Продажи!W11</f>
        <v>0</v>
      </c>
      <c r="AD80" s="292">
        <f>$F$80*Продажи!X11</f>
        <v>0</v>
      </c>
      <c r="AE80" s="292">
        <f>$F$80*Продажи!Y11</f>
        <v>0</v>
      </c>
      <c r="AF80" s="292">
        <f>$F$80*Продажи!Z11</f>
        <v>0</v>
      </c>
      <c r="AG80" s="290">
        <f t="shared" si="7"/>
        <v>0</v>
      </c>
      <c r="AH80" s="292">
        <f>$G$80*Продажи!AB11</f>
        <v>0</v>
      </c>
      <c r="AI80" s="293">
        <f>$G$80*Продажи!AC11</f>
        <v>0</v>
      </c>
      <c r="AJ80" s="293">
        <f>$G$80*Продажи!AD11</f>
        <v>0</v>
      </c>
      <c r="AK80" s="293">
        <f>$G$80*Продажи!AE11</f>
        <v>0</v>
      </c>
      <c r="AL80" s="293">
        <f>$G$80*Продажи!AF11</f>
        <v>0</v>
      </c>
      <c r="AM80" s="293">
        <f>$G$80*Продажи!AG11</f>
        <v>0</v>
      </c>
      <c r="AN80" s="293">
        <f>$G$80*Продажи!AH11</f>
        <v>0</v>
      </c>
      <c r="AO80" s="293">
        <f>$G$80*Продажи!AI11</f>
        <v>0</v>
      </c>
      <c r="AP80" s="293">
        <f>$G$80*Продажи!AJ11</f>
        <v>0</v>
      </c>
      <c r="AQ80" s="293">
        <f>$G$80*Продажи!AK11</f>
        <v>0</v>
      </c>
      <c r="AR80" s="293">
        <f>$G$80*Продажи!AL11</f>
        <v>0</v>
      </c>
      <c r="AS80" s="293">
        <f>$G$80*Продажи!AM11</f>
        <v>0</v>
      </c>
      <c r="AT80" s="290">
        <f t="shared" si="8"/>
        <v>0</v>
      </c>
    </row>
    <row r="81" spans="1:46" s="269" customFormat="1" outlineLevel="1">
      <c r="A81" s="283" t="s">
        <v>211</v>
      </c>
      <c r="B81" s="284" t="s">
        <v>147</v>
      </c>
      <c r="C81" s="285"/>
      <c r="D81" s="285"/>
      <c r="E81" s="286">
        <f t="shared" si="13"/>
        <v>0</v>
      </c>
      <c r="F81" s="286">
        <f>E81+E81*'Вводные данные'!$D$4</f>
        <v>0</v>
      </c>
      <c r="G81" s="287">
        <f>F81+F81*'Вводные данные'!$E$4</f>
        <v>0</v>
      </c>
      <c r="H81" s="288">
        <f>$E$81*Продажи!B11</f>
        <v>0</v>
      </c>
      <c r="I81" s="288">
        <f>$E$81*Продажи!C11</f>
        <v>0</v>
      </c>
      <c r="J81" s="288">
        <f>$E$81*Продажи!D11</f>
        <v>0</v>
      </c>
      <c r="K81" s="288">
        <f>$E$81*Продажи!E11</f>
        <v>0</v>
      </c>
      <c r="L81" s="288">
        <f>$E$81*Продажи!F11</f>
        <v>0</v>
      </c>
      <c r="M81" s="288">
        <f>$E$81*Продажи!G11</f>
        <v>0</v>
      </c>
      <c r="N81" s="288">
        <f>$E$81*Продажи!H11</f>
        <v>0</v>
      </c>
      <c r="O81" s="288">
        <f>$E$81*Продажи!I11</f>
        <v>0</v>
      </c>
      <c r="P81" s="288">
        <f>$E$81*Продажи!J11</f>
        <v>0</v>
      </c>
      <c r="Q81" s="288">
        <f>$E$81*Продажи!K11</f>
        <v>0</v>
      </c>
      <c r="R81" s="288">
        <f>$E$81*Продажи!L11</f>
        <v>0</v>
      </c>
      <c r="S81" s="288">
        <f>$E$81*Продажи!M11</f>
        <v>0</v>
      </c>
      <c r="T81" s="290">
        <f t="shared" si="31"/>
        <v>0</v>
      </c>
      <c r="U81" s="291">
        <f>$F$81*Продажи!O11</f>
        <v>0</v>
      </c>
      <c r="V81" s="292">
        <f>$F$81*Продажи!P11</f>
        <v>0</v>
      </c>
      <c r="W81" s="292">
        <f>$F$81*Продажи!Q11</f>
        <v>0</v>
      </c>
      <c r="X81" s="292">
        <f>$F$81*Продажи!R11</f>
        <v>0</v>
      </c>
      <c r="Y81" s="292">
        <f>$F$81*Продажи!S11</f>
        <v>0</v>
      </c>
      <c r="Z81" s="292">
        <f>$F$81*Продажи!T11</f>
        <v>0</v>
      </c>
      <c r="AA81" s="292">
        <f>$F$81*Продажи!U11</f>
        <v>0</v>
      </c>
      <c r="AB81" s="292">
        <f>$F$81*Продажи!V11</f>
        <v>0</v>
      </c>
      <c r="AC81" s="292">
        <f>$F$81*Продажи!W11</f>
        <v>0</v>
      </c>
      <c r="AD81" s="292">
        <f>$F$81*Продажи!X11</f>
        <v>0</v>
      </c>
      <c r="AE81" s="292">
        <f>$F$81*Продажи!Y11</f>
        <v>0</v>
      </c>
      <c r="AF81" s="292">
        <f>$F$81*Продажи!Z11</f>
        <v>0</v>
      </c>
      <c r="AG81" s="290">
        <f t="shared" ref="AG81:AG100" si="34">SUM(U81:AF81)</f>
        <v>0</v>
      </c>
      <c r="AH81" s="292">
        <f>$G$81*Продажи!AB11</f>
        <v>0</v>
      </c>
      <c r="AI81" s="293">
        <f>$G$81*Продажи!AC11</f>
        <v>0</v>
      </c>
      <c r="AJ81" s="293">
        <f>$G$81*Продажи!AD11</f>
        <v>0</v>
      </c>
      <c r="AK81" s="293">
        <f>$G$81*Продажи!AE11</f>
        <v>0</v>
      </c>
      <c r="AL81" s="293">
        <f>$G$81*Продажи!AF11</f>
        <v>0</v>
      </c>
      <c r="AM81" s="293">
        <f>$G$81*Продажи!AG11</f>
        <v>0</v>
      </c>
      <c r="AN81" s="293">
        <f>$G$81*Продажи!AH11</f>
        <v>0</v>
      </c>
      <c r="AO81" s="293">
        <f>$G$81*Продажи!AI11</f>
        <v>0</v>
      </c>
      <c r="AP81" s="293">
        <f>$G$81*Продажи!AJ11</f>
        <v>0</v>
      </c>
      <c r="AQ81" s="293">
        <f>$G$81*Продажи!AK11</f>
        <v>0</v>
      </c>
      <c r="AR81" s="293">
        <f>$G$81*Продажи!AL11</f>
        <v>0</v>
      </c>
      <c r="AS81" s="293">
        <f>$G$81*Продажи!AM11</f>
        <v>0</v>
      </c>
      <c r="AT81" s="290">
        <f t="shared" ref="AT81:AT100" si="35">SUM(AH81:AS81)</f>
        <v>0</v>
      </c>
    </row>
    <row r="82" spans="1:46" s="269" customFormat="1" outlineLevel="1">
      <c r="A82" s="283" t="s">
        <v>212</v>
      </c>
      <c r="B82" s="284" t="s">
        <v>149</v>
      </c>
      <c r="C82" s="285"/>
      <c r="D82" s="285"/>
      <c r="E82" s="286">
        <f t="shared" si="13"/>
        <v>0</v>
      </c>
      <c r="F82" s="286">
        <f>E82+E82*'Вводные данные'!$D$4</f>
        <v>0</v>
      </c>
      <c r="G82" s="287">
        <f>F82+F82*'Вводные данные'!$E$4</f>
        <v>0</v>
      </c>
      <c r="H82" s="288">
        <f>$E$82*Продажи!B11</f>
        <v>0</v>
      </c>
      <c r="I82" s="288">
        <f>$E$82*Продажи!C11</f>
        <v>0</v>
      </c>
      <c r="J82" s="288">
        <f>$E$82*Продажи!D11</f>
        <v>0</v>
      </c>
      <c r="K82" s="288">
        <f>$E$82*Продажи!E11</f>
        <v>0</v>
      </c>
      <c r="L82" s="288">
        <f>$E$82*Продажи!F11</f>
        <v>0</v>
      </c>
      <c r="M82" s="288">
        <f>$E$82*Продажи!G11</f>
        <v>0</v>
      </c>
      <c r="N82" s="288">
        <f>$E$82*Продажи!H11</f>
        <v>0</v>
      </c>
      <c r="O82" s="288">
        <f>$E$82*Продажи!I11</f>
        <v>0</v>
      </c>
      <c r="P82" s="288">
        <f>$E$82*Продажи!J11</f>
        <v>0</v>
      </c>
      <c r="Q82" s="288">
        <f>$E$82*Продажи!K11</f>
        <v>0</v>
      </c>
      <c r="R82" s="288">
        <f>$E$82*Продажи!L11</f>
        <v>0</v>
      </c>
      <c r="S82" s="288">
        <f>$E$82*Продажи!M11</f>
        <v>0</v>
      </c>
      <c r="T82" s="290">
        <f t="shared" si="31"/>
        <v>0</v>
      </c>
      <c r="U82" s="291">
        <f>$F$82*Продажи!O11</f>
        <v>0</v>
      </c>
      <c r="V82" s="292">
        <f>$F$82*Продажи!P11</f>
        <v>0</v>
      </c>
      <c r="W82" s="292">
        <f>$F$82*Продажи!Q11</f>
        <v>0</v>
      </c>
      <c r="X82" s="292">
        <f>$F$82*Продажи!R11</f>
        <v>0</v>
      </c>
      <c r="Y82" s="292">
        <f>$F$82*Продажи!S11</f>
        <v>0</v>
      </c>
      <c r="Z82" s="292">
        <f>$F$82*Продажи!T11</f>
        <v>0</v>
      </c>
      <c r="AA82" s="292">
        <f>$F$82*Продажи!U11</f>
        <v>0</v>
      </c>
      <c r="AB82" s="292">
        <f>$F$82*Продажи!V11</f>
        <v>0</v>
      </c>
      <c r="AC82" s="292">
        <f>$F$82*Продажи!W11</f>
        <v>0</v>
      </c>
      <c r="AD82" s="292">
        <f>$F$82*Продажи!X11</f>
        <v>0</v>
      </c>
      <c r="AE82" s="292">
        <f>$F$82*Продажи!Y11</f>
        <v>0</v>
      </c>
      <c r="AF82" s="292">
        <f>$F$82*Продажи!Z11</f>
        <v>0</v>
      </c>
      <c r="AG82" s="290">
        <f t="shared" si="34"/>
        <v>0</v>
      </c>
      <c r="AH82" s="292">
        <f>$G$82*Продажи!AB11</f>
        <v>0</v>
      </c>
      <c r="AI82" s="293">
        <f>$G$82*Продажи!AC11</f>
        <v>0</v>
      </c>
      <c r="AJ82" s="293">
        <f>$G$82*Продажи!AD11</f>
        <v>0</v>
      </c>
      <c r="AK82" s="293">
        <f>$G$82*Продажи!AE11</f>
        <v>0</v>
      </c>
      <c r="AL82" s="293">
        <f>$G$82*Продажи!AF11</f>
        <v>0</v>
      </c>
      <c r="AM82" s="293">
        <f>$G$82*Продажи!AG11</f>
        <v>0</v>
      </c>
      <c r="AN82" s="293">
        <f>$G$82*Продажи!AH11</f>
        <v>0</v>
      </c>
      <c r="AO82" s="293">
        <f>$G$82*Продажи!AI11</f>
        <v>0</v>
      </c>
      <c r="AP82" s="293">
        <f>$G$82*Продажи!AJ11</f>
        <v>0</v>
      </c>
      <c r="AQ82" s="293">
        <f>$G$82*Продажи!AK11</f>
        <v>0</v>
      </c>
      <c r="AR82" s="293">
        <f>$G$82*Продажи!AL11</f>
        <v>0</v>
      </c>
      <c r="AS82" s="293">
        <f>$G$82*Продажи!AM11</f>
        <v>0</v>
      </c>
      <c r="AT82" s="290">
        <f t="shared" si="35"/>
        <v>0</v>
      </c>
    </row>
    <row r="83" spans="1:46" s="269" customFormat="1" outlineLevel="1">
      <c r="A83" s="283" t="s">
        <v>213</v>
      </c>
      <c r="B83" s="284" t="s">
        <v>151</v>
      </c>
      <c r="C83" s="285"/>
      <c r="D83" s="285"/>
      <c r="E83" s="286">
        <f t="shared" ref="E83:E100" si="36">C83*D83</f>
        <v>0</v>
      </c>
      <c r="F83" s="286">
        <f>E83+E83*'Вводные данные'!$D$4</f>
        <v>0</v>
      </c>
      <c r="G83" s="287">
        <f>F83+F83*'Вводные данные'!$E$4</f>
        <v>0</v>
      </c>
      <c r="H83" s="288">
        <f>$E$83*Продажи!B11</f>
        <v>0</v>
      </c>
      <c r="I83" s="288">
        <f>$E$83*Продажи!C11</f>
        <v>0</v>
      </c>
      <c r="J83" s="288">
        <f>$E$83*Продажи!D11</f>
        <v>0</v>
      </c>
      <c r="K83" s="288">
        <f>$E$83*Продажи!E11</f>
        <v>0</v>
      </c>
      <c r="L83" s="288">
        <f>$E$83*Продажи!F11</f>
        <v>0</v>
      </c>
      <c r="M83" s="288">
        <f>$E$83*Продажи!G11</f>
        <v>0</v>
      </c>
      <c r="N83" s="288">
        <f>$E$83*Продажи!H11</f>
        <v>0</v>
      </c>
      <c r="O83" s="288">
        <f>$E$83*Продажи!I11</f>
        <v>0</v>
      </c>
      <c r="P83" s="288">
        <f>$E$83*Продажи!J11</f>
        <v>0</v>
      </c>
      <c r="Q83" s="288">
        <f>$E$83*Продажи!K11</f>
        <v>0</v>
      </c>
      <c r="R83" s="288">
        <f>$E$83*Продажи!L11</f>
        <v>0</v>
      </c>
      <c r="S83" s="288">
        <f>$E$83*Продажи!M11</f>
        <v>0</v>
      </c>
      <c r="T83" s="290">
        <f t="shared" si="31"/>
        <v>0</v>
      </c>
      <c r="U83" s="291">
        <f>$F$83*Продажи!O11</f>
        <v>0</v>
      </c>
      <c r="V83" s="292">
        <f>$F$83*Продажи!P11</f>
        <v>0</v>
      </c>
      <c r="W83" s="292">
        <f>$F$83*Продажи!Q11</f>
        <v>0</v>
      </c>
      <c r="X83" s="292">
        <f>$F$83*Продажи!R11</f>
        <v>0</v>
      </c>
      <c r="Y83" s="292">
        <f>$F$83*Продажи!S11</f>
        <v>0</v>
      </c>
      <c r="Z83" s="292">
        <f>$F$83*Продажи!T11</f>
        <v>0</v>
      </c>
      <c r="AA83" s="292">
        <f>$F$83*Продажи!U11</f>
        <v>0</v>
      </c>
      <c r="AB83" s="292">
        <f>$F$83*Продажи!V11</f>
        <v>0</v>
      </c>
      <c r="AC83" s="292">
        <f>$F$83*Продажи!W11</f>
        <v>0</v>
      </c>
      <c r="AD83" s="292">
        <f>$F$83*Продажи!X11</f>
        <v>0</v>
      </c>
      <c r="AE83" s="292">
        <f>$F$83*Продажи!Y11</f>
        <v>0</v>
      </c>
      <c r="AF83" s="292">
        <f>$F$83*Продажи!Z11</f>
        <v>0</v>
      </c>
      <c r="AG83" s="290">
        <f t="shared" si="34"/>
        <v>0</v>
      </c>
      <c r="AH83" s="292">
        <f>$G$83*Продажи!AB11</f>
        <v>0</v>
      </c>
      <c r="AI83" s="293">
        <f>$G$83*Продажи!AC11</f>
        <v>0</v>
      </c>
      <c r="AJ83" s="293">
        <f>$G$83*Продажи!AD11</f>
        <v>0</v>
      </c>
      <c r="AK83" s="293">
        <f>$G$83*Продажи!AE11</f>
        <v>0</v>
      </c>
      <c r="AL83" s="293">
        <f>$G$83*Продажи!AF11</f>
        <v>0</v>
      </c>
      <c r="AM83" s="293">
        <f>$G$83*Продажи!AG11</f>
        <v>0</v>
      </c>
      <c r="AN83" s="293">
        <f>$G$83*Продажи!AH11</f>
        <v>0</v>
      </c>
      <c r="AO83" s="293">
        <f>$G$83*Продажи!AI11</f>
        <v>0</v>
      </c>
      <c r="AP83" s="293">
        <f>$G$83*Продажи!AJ11</f>
        <v>0</v>
      </c>
      <c r="AQ83" s="293">
        <f>$G$83*Продажи!AK11</f>
        <v>0</v>
      </c>
      <c r="AR83" s="293">
        <f>$G$83*Продажи!AL11</f>
        <v>0</v>
      </c>
      <c r="AS83" s="293">
        <f>$G$83*Продажи!AM11</f>
        <v>0</v>
      </c>
      <c r="AT83" s="290">
        <f t="shared" si="35"/>
        <v>0</v>
      </c>
    </row>
    <row r="84" spans="1:46" s="269" customFormat="1" outlineLevel="1">
      <c r="A84" s="283" t="s">
        <v>214</v>
      </c>
      <c r="B84" s="284" t="s">
        <v>153</v>
      </c>
      <c r="C84" s="285"/>
      <c r="D84" s="285"/>
      <c r="E84" s="286">
        <f t="shared" si="36"/>
        <v>0</v>
      </c>
      <c r="F84" s="286">
        <f>E84+E84*'Вводные данные'!$D$4</f>
        <v>0</v>
      </c>
      <c r="G84" s="287">
        <f>F84+F84*'Вводные данные'!$E$4</f>
        <v>0</v>
      </c>
      <c r="H84" s="288">
        <f>$E$84*Продажи!B11</f>
        <v>0</v>
      </c>
      <c r="I84" s="288">
        <f>$E$84*Продажи!C11</f>
        <v>0</v>
      </c>
      <c r="J84" s="288">
        <f>$E$84*Продажи!D11</f>
        <v>0</v>
      </c>
      <c r="K84" s="288">
        <f>$E$84*Продажи!E11</f>
        <v>0</v>
      </c>
      <c r="L84" s="288">
        <f>$E$84*Продажи!F11</f>
        <v>0</v>
      </c>
      <c r="M84" s="288">
        <f>$E$84*Продажи!G11</f>
        <v>0</v>
      </c>
      <c r="N84" s="288">
        <f>$E$84*Продажи!H11</f>
        <v>0</v>
      </c>
      <c r="O84" s="288">
        <f>$E$84*Продажи!I11</f>
        <v>0</v>
      </c>
      <c r="P84" s="288">
        <f>$E$84*Продажи!J11</f>
        <v>0</v>
      </c>
      <c r="Q84" s="288">
        <f>$E$84*Продажи!K11</f>
        <v>0</v>
      </c>
      <c r="R84" s="288">
        <f>$E$84*Продажи!L11</f>
        <v>0</v>
      </c>
      <c r="S84" s="288">
        <f>$E$84*Продажи!M11</f>
        <v>0</v>
      </c>
      <c r="T84" s="290">
        <f t="shared" si="31"/>
        <v>0</v>
      </c>
      <c r="U84" s="291">
        <f>$F$84*Продажи!O11</f>
        <v>0</v>
      </c>
      <c r="V84" s="292">
        <f>$F$84*Продажи!P11</f>
        <v>0</v>
      </c>
      <c r="W84" s="292">
        <f>$F$84*Продажи!Q11</f>
        <v>0</v>
      </c>
      <c r="X84" s="292">
        <f>$F$84*Продажи!R11</f>
        <v>0</v>
      </c>
      <c r="Y84" s="292">
        <f>$F$84*Продажи!S11</f>
        <v>0</v>
      </c>
      <c r="Z84" s="292">
        <f>$F$84*Продажи!T11</f>
        <v>0</v>
      </c>
      <c r="AA84" s="292">
        <f>$F$84*Продажи!U11</f>
        <v>0</v>
      </c>
      <c r="AB84" s="292">
        <f>$F$84*Продажи!V11</f>
        <v>0</v>
      </c>
      <c r="AC84" s="292">
        <f>$F$84*Продажи!W11</f>
        <v>0</v>
      </c>
      <c r="AD84" s="292">
        <f>$F$84*Продажи!X11</f>
        <v>0</v>
      </c>
      <c r="AE84" s="292">
        <f>$F$84*Продажи!Y11</f>
        <v>0</v>
      </c>
      <c r="AF84" s="292">
        <f>$F$84*Продажи!Z11</f>
        <v>0</v>
      </c>
      <c r="AG84" s="290">
        <f t="shared" si="34"/>
        <v>0</v>
      </c>
      <c r="AH84" s="292">
        <f>$G$84*Продажи!AB11</f>
        <v>0</v>
      </c>
      <c r="AI84" s="293">
        <f>$G$84*Продажи!AC11</f>
        <v>0</v>
      </c>
      <c r="AJ84" s="293">
        <f>$G$84*Продажи!AD11</f>
        <v>0</v>
      </c>
      <c r="AK84" s="293">
        <f>$G$84*Продажи!AE11</f>
        <v>0</v>
      </c>
      <c r="AL84" s="293">
        <f>$G$84*Продажи!AF11</f>
        <v>0</v>
      </c>
      <c r="AM84" s="293">
        <f>$G$84*Продажи!AG11</f>
        <v>0</v>
      </c>
      <c r="AN84" s="293">
        <f>$G$84*Продажи!AH11</f>
        <v>0</v>
      </c>
      <c r="AO84" s="293">
        <f>$G$84*Продажи!AI11</f>
        <v>0</v>
      </c>
      <c r="AP84" s="293">
        <f>$G$84*Продажи!AJ11</f>
        <v>0</v>
      </c>
      <c r="AQ84" s="293">
        <f>$G$84*Продажи!AK11</f>
        <v>0</v>
      </c>
      <c r="AR84" s="293">
        <f>$G$84*Продажи!AL11</f>
        <v>0</v>
      </c>
      <c r="AS84" s="293">
        <f>$G$84*Продажи!AM11</f>
        <v>0</v>
      </c>
      <c r="AT84" s="290">
        <f t="shared" si="35"/>
        <v>0</v>
      </c>
    </row>
    <row r="85" spans="1:46" s="269" customFormat="1" outlineLevel="1">
      <c r="A85" s="283" t="s">
        <v>215</v>
      </c>
      <c r="B85" s="284" t="s">
        <v>155</v>
      </c>
      <c r="C85" s="285"/>
      <c r="D85" s="285"/>
      <c r="E85" s="286">
        <f t="shared" si="36"/>
        <v>0</v>
      </c>
      <c r="F85" s="286">
        <f>E85+E85*'Вводные данные'!$D$4</f>
        <v>0</v>
      </c>
      <c r="G85" s="287">
        <f>F85+F85*'Вводные данные'!$E$4</f>
        <v>0</v>
      </c>
      <c r="H85" s="288">
        <f>$E$85*Продажи!B11</f>
        <v>0</v>
      </c>
      <c r="I85" s="288">
        <f>$E$85*Продажи!C11</f>
        <v>0</v>
      </c>
      <c r="J85" s="288">
        <f>$E$85*Продажи!D11</f>
        <v>0</v>
      </c>
      <c r="K85" s="288">
        <f>$E$85*Продажи!E11</f>
        <v>0</v>
      </c>
      <c r="L85" s="288">
        <f>$E$85*Продажи!F11</f>
        <v>0</v>
      </c>
      <c r="M85" s="288">
        <f>$E$85*Продажи!G11</f>
        <v>0</v>
      </c>
      <c r="N85" s="288">
        <f>$E$85*Продажи!H11</f>
        <v>0</v>
      </c>
      <c r="O85" s="288">
        <f>$E$85*Продажи!I11</f>
        <v>0</v>
      </c>
      <c r="P85" s="288">
        <f>$E$85*Продажи!J11</f>
        <v>0</v>
      </c>
      <c r="Q85" s="288">
        <f>$E$85*Продажи!K11</f>
        <v>0</v>
      </c>
      <c r="R85" s="288">
        <f>$E$85*Продажи!L11</f>
        <v>0</v>
      </c>
      <c r="S85" s="288">
        <f>$E$85*Продажи!M11</f>
        <v>0</v>
      </c>
      <c r="T85" s="290">
        <f t="shared" si="31"/>
        <v>0</v>
      </c>
      <c r="U85" s="291">
        <f>$F$85*Продажи!O11</f>
        <v>0</v>
      </c>
      <c r="V85" s="292">
        <f>$F$85*Продажи!P11</f>
        <v>0</v>
      </c>
      <c r="W85" s="292">
        <f>$F$85*Продажи!Q11</f>
        <v>0</v>
      </c>
      <c r="X85" s="292">
        <f>$F$85*Продажи!R11</f>
        <v>0</v>
      </c>
      <c r="Y85" s="292">
        <f>$F$85*Продажи!S11</f>
        <v>0</v>
      </c>
      <c r="Z85" s="292">
        <f>$F$85*Продажи!T11</f>
        <v>0</v>
      </c>
      <c r="AA85" s="292">
        <f>$F$85*Продажи!U11</f>
        <v>0</v>
      </c>
      <c r="AB85" s="292">
        <f>$F$85*Продажи!V11</f>
        <v>0</v>
      </c>
      <c r="AC85" s="292">
        <f>$F$85*Продажи!W11</f>
        <v>0</v>
      </c>
      <c r="AD85" s="292">
        <f>$F$85*Продажи!X11</f>
        <v>0</v>
      </c>
      <c r="AE85" s="292">
        <f>$F$85*Продажи!Y11</f>
        <v>0</v>
      </c>
      <c r="AF85" s="292">
        <f>$F$85*Продажи!Z11</f>
        <v>0</v>
      </c>
      <c r="AG85" s="290">
        <f t="shared" si="34"/>
        <v>0</v>
      </c>
      <c r="AH85" s="292">
        <f>$G$85*Продажи!AB11</f>
        <v>0</v>
      </c>
      <c r="AI85" s="293">
        <f>$G$85*Продажи!AC11</f>
        <v>0</v>
      </c>
      <c r="AJ85" s="293">
        <f>$G$85*Продажи!AD11</f>
        <v>0</v>
      </c>
      <c r="AK85" s="293">
        <f>$G$85*Продажи!AE11</f>
        <v>0</v>
      </c>
      <c r="AL85" s="293">
        <f>$G$85*Продажи!AF11</f>
        <v>0</v>
      </c>
      <c r="AM85" s="293">
        <f>$G$85*Продажи!AG11</f>
        <v>0</v>
      </c>
      <c r="AN85" s="293">
        <f>$G$85*Продажи!AH11</f>
        <v>0</v>
      </c>
      <c r="AO85" s="293">
        <f>$G$85*Продажи!AI11</f>
        <v>0</v>
      </c>
      <c r="AP85" s="293">
        <f>$G$85*Продажи!AJ11</f>
        <v>0</v>
      </c>
      <c r="AQ85" s="293">
        <f>$G$85*Продажи!AK11</f>
        <v>0</v>
      </c>
      <c r="AR85" s="293">
        <f>$G$85*Продажи!AL11</f>
        <v>0</v>
      </c>
      <c r="AS85" s="293">
        <f>$G$85*Продажи!AM11</f>
        <v>0</v>
      </c>
      <c r="AT85" s="290">
        <f t="shared" si="35"/>
        <v>0</v>
      </c>
    </row>
    <row r="86" spans="1:46" s="269" customFormat="1" outlineLevel="1">
      <c r="A86" s="283" t="s">
        <v>216</v>
      </c>
      <c r="B86" s="284" t="s">
        <v>157</v>
      </c>
      <c r="C86" s="285"/>
      <c r="D86" s="285"/>
      <c r="E86" s="286">
        <f t="shared" si="36"/>
        <v>0</v>
      </c>
      <c r="F86" s="286">
        <f>E86+E86*'Вводные данные'!$D$4</f>
        <v>0</v>
      </c>
      <c r="G86" s="287">
        <f>F86+F86*'Вводные данные'!$E$4</f>
        <v>0</v>
      </c>
      <c r="H86" s="288">
        <f>$E$86*Продажи!B11</f>
        <v>0</v>
      </c>
      <c r="I86" s="288">
        <f>$E$86*Продажи!C11</f>
        <v>0</v>
      </c>
      <c r="J86" s="288">
        <f>$E$86*Продажи!D11</f>
        <v>0</v>
      </c>
      <c r="K86" s="288">
        <f>$E$86*Продажи!E11</f>
        <v>0</v>
      </c>
      <c r="L86" s="288">
        <f>$E$86*Продажи!F11</f>
        <v>0</v>
      </c>
      <c r="M86" s="288">
        <f>$E$86*Продажи!G11</f>
        <v>0</v>
      </c>
      <c r="N86" s="288">
        <f>$E$86*Продажи!H11</f>
        <v>0</v>
      </c>
      <c r="O86" s="288">
        <f>$E$86*Продажи!I11</f>
        <v>0</v>
      </c>
      <c r="P86" s="288">
        <f>$E$86*Продажи!J11</f>
        <v>0</v>
      </c>
      <c r="Q86" s="288">
        <f>$E$86*Продажи!K11</f>
        <v>0</v>
      </c>
      <c r="R86" s="288">
        <f>$E$86*Продажи!L11</f>
        <v>0</v>
      </c>
      <c r="S86" s="288">
        <f>$E$86*Продажи!M11</f>
        <v>0</v>
      </c>
      <c r="T86" s="290">
        <f t="shared" si="31"/>
        <v>0</v>
      </c>
      <c r="U86" s="291">
        <f>$F$86*Продажи!O11</f>
        <v>0</v>
      </c>
      <c r="V86" s="292">
        <f>$F$86*Продажи!P11</f>
        <v>0</v>
      </c>
      <c r="W86" s="292">
        <f>$F$86*Продажи!Q11</f>
        <v>0</v>
      </c>
      <c r="X86" s="292">
        <f>$F$86*Продажи!R11</f>
        <v>0</v>
      </c>
      <c r="Y86" s="292">
        <f>$F$86*Продажи!S11</f>
        <v>0</v>
      </c>
      <c r="Z86" s="292">
        <f>$F$86*Продажи!T11</f>
        <v>0</v>
      </c>
      <c r="AA86" s="292">
        <f>$F$86*Продажи!U11</f>
        <v>0</v>
      </c>
      <c r="AB86" s="292">
        <f>$F$86*Продажи!V11</f>
        <v>0</v>
      </c>
      <c r="AC86" s="292">
        <f>$F$86*Продажи!W11</f>
        <v>0</v>
      </c>
      <c r="AD86" s="292">
        <f>$F$86*Продажи!X11</f>
        <v>0</v>
      </c>
      <c r="AE86" s="292">
        <f>$F$86*Продажи!Y11</f>
        <v>0</v>
      </c>
      <c r="AF86" s="292">
        <f>$F$86*Продажи!Z11</f>
        <v>0</v>
      </c>
      <c r="AG86" s="290">
        <f t="shared" si="34"/>
        <v>0</v>
      </c>
      <c r="AH86" s="292">
        <f>$G$86*Продажи!AB11</f>
        <v>0</v>
      </c>
      <c r="AI86" s="293">
        <f>$G$86*Продажи!AC11</f>
        <v>0</v>
      </c>
      <c r="AJ86" s="293">
        <f>$G$86*Продажи!AD11</f>
        <v>0</v>
      </c>
      <c r="AK86" s="293">
        <f>$G$86*Продажи!AE11</f>
        <v>0</v>
      </c>
      <c r="AL86" s="293">
        <f>$G$86*Продажи!AF11</f>
        <v>0</v>
      </c>
      <c r="AM86" s="293">
        <f>$G$86*Продажи!AG11</f>
        <v>0</v>
      </c>
      <c r="AN86" s="293">
        <f>$G$86*Продажи!AH11</f>
        <v>0</v>
      </c>
      <c r="AO86" s="293">
        <f>$G$86*Продажи!AI11</f>
        <v>0</v>
      </c>
      <c r="AP86" s="293">
        <f>$G$86*Продажи!AJ11</f>
        <v>0</v>
      </c>
      <c r="AQ86" s="293">
        <f>$G$86*Продажи!AK11</f>
        <v>0</v>
      </c>
      <c r="AR86" s="293">
        <f>$G$86*Продажи!AL11</f>
        <v>0</v>
      </c>
      <c r="AS86" s="293">
        <f>$G$86*Продажи!AM11</f>
        <v>0</v>
      </c>
      <c r="AT86" s="290">
        <f t="shared" si="35"/>
        <v>0</v>
      </c>
    </row>
    <row r="87" spans="1:46" s="269" customFormat="1" outlineLevel="1">
      <c r="A87" s="283" t="s">
        <v>217</v>
      </c>
      <c r="B87" s="284" t="s">
        <v>159</v>
      </c>
      <c r="C87" s="285"/>
      <c r="D87" s="285"/>
      <c r="E87" s="286">
        <f t="shared" si="36"/>
        <v>0</v>
      </c>
      <c r="F87" s="286">
        <f>E87+E87*'Вводные данные'!$D$4</f>
        <v>0</v>
      </c>
      <c r="G87" s="287">
        <f>F87+F87*'Вводные данные'!$E$4</f>
        <v>0</v>
      </c>
      <c r="H87" s="288">
        <f>$E$87*Продажи!B11</f>
        <v>0</v>
      </c>
      <c r="I87" s="288">
        <f>$E$87*Продажи!C11</f>
        <v>0</v>
      </c>
      <c r="J87" s="288">
        <f>$E$87*Продажи!D11</f>
        <v>0</v>
      </c>
      <c r="K87" s="288">
        <f>$E$87*Продажи!E11</f>
        <v>0</v>
      </c>
      <c r="L87" s="288">
        <f>$E$87*Продажи!F11</f>
        <v>0</v>
      </c>
      <c r="M87" s="288">
        <f>$E$87*Продажи!G11</f>
        <v>0</v>
      </c>
      <c r="N87" s="288">
        <f>$E$87*Продажи!H11</f>
        <v>0</v>
      </c>
      <c r="O87" s="288">
        <f>$E$87*Продажи!I11</f>
        <v>0</v>
      </c>
      <c r="P87" s="288">
        <f>$E$87*Продажи!J11</f>
        <v>0</v>
      </c>
      <c r="Q87" s="288">
        <f>$E$87*Продажи!K11</f>
        <v>0</v>
      </c>
      <c r="R87" s="288">
        <f>$E$87*Продажи!L11</f>
        <v>0</v>
      </c>
      <c r="S87" s="288">
        <f>$E$87*Продажи!M11</f>
        <v>0</v>
      </c>
      <c r="T87" s="290">
        <f t="shared" si="31"/>
        <v>0</v>
      </c>
      <c r="U87" s="291">
        <f>$F$87*Продажи!O11</f>
        <v>0</v>
      </c>
      <c r="V87" s="292">
        <f>$F$87*Продажи!P11</f>
        <v>0</v>
      </c>
      <c r="W87" s="292">
        <f>$F$87*Продажи!Q11</f>
        <v>0</v>
      </c>
      <c r="X87" s="292">
        <f>$F$87*Продажи!R11</f>
        <v>0</v>
      </c>
      <c r="Y87" s="292">
        <f>$F$87*Продажи!S11</f>
        <v>0</v>
      </c>
      <c r="Z87" s="292">
        <f>$F$87*Продажи!T11</f>
        <v>0</v>
      </c>
      <c r="AA87" s="292">
        <f>$F$87*Продажи!U11</f>
        <v>0</v>
      </c>
      <c r="AB87" s="292">
        <f>$F$87*Продажи!V11</f>
        <v>0</v>
      </c>
      <c r="AC87" s="292">
        <f>$F$87*Продажи!W11</f>
        <v>0</v>
      </c>
      <c r="AD87" s="292">
        <f>$F$87*Продажи!X11</f>
        <v>0</v>
      </c>
      <c r="AE87" s="292">
        <f>$F$87*Продажи!Y11</f>
        <v>0</v>
      </c>
      <c r="AF87" s="292">
        <f>$F$87*Продажи!Z11</f>
        <v>0</v>
      </c>
      <c r="AG87" s="290">
        <f t="shared" si="34"/>
        <v>0</v>
      </c>
      <c r="AH87" s="292">
        <f>$G$87*Продажи!AB11</f>
        <v>0</v>
      </c>
      <c r="AI87" s="293">
        <f>$G$87*Продажи!AC11</f>
        <v>0</v>
      </c>
      <c r="AJ87" s="293">
        <f>$G$87*Продажи!AD11</f>
        <v>0</v>
      </c>
      <c r="AK87" s="293">
        <f>$G$87*Продажи!AE11</f>
        <v>0</v>
      </c>
      <c r="AL87" s="293">
        <f>$G$87*Продажи!AF11</f>
        <v>0</v>
      </c>
      <c r="AM87" s="293">
        <f>$G$87*Продажи!AG11</f>
        <v>0</v>
      </c>
      <c r="AN87" s="293">
        <f>$G$87*Продажи!AH11</f>
        <v>0</v>
      </c>
      <c r="AO87" s="293">
        <f>$G$87*Продажи!AI11</f>
        <v>0</v>
      </c>
      <c r="AP87" s="293">
        <f>$G$87*Продажи!AJ11</f>
        <v>0</v>
      </c>
      <c r="AQ87" s="293">
        <f>$G$87*Продажи!AK11</f>
        <v>0</v>
      </c>
      <c r="AR87" s="293">
        <f>$G$87*Продажи!AL11</f>
        <v>0</v>
      </c>
      <c r="AS87" s="293">
        <f>$G$87*Продажи!AM11</f>
        <v>0</v>
      </c>
      <c r="AT87" s="290">
        <f t="shared" si="35"/>
        <v>0</v>
      </c>
    </row>
    <row r="88" spans="1:46" s="269" customFormat="1" outlineLevel="1">
      <c r="A88" s="283" t="s">
        <v>218</v>
      </c>
      <c r="B88" s="284" t="s">
        <v>161</v>
      </c>
      <c r="C88" s="285"/>
      <c r="D88" s="285"/>
      <c r="E88" s="286">
        <f t="shared" si="36"/>
        <v>0</v>
      </c>
      <c r="F88" s="286">
        <f>E88+E88*'Вводные данные'!$D$4</f>
        <v>0</v>
      </c>
      <c r="G88" s="287">
        <f>F88+F88*'Вводные данные'!$E$4</f>
        <v>0</v>
      </c>
      <c r="H88" s="288">
        <f>$E$88*Продажи!B11</f>
        <v>0</v>
      </c>
      <c r="I88" s="288">
        <f>$E$88*Продажи!C11</f>
        <v>0</v>
      </c>
      <c r="J88" s="288">
        <f>$E$88*Продажи!D11</f>
        <v>0</v>
      </c>
      <c r="K88" s="288">
        <f>$E$88*Продажи!E11</f>
        <v>0</v>
      </c>
      <c r="L88" s="288">
        <f>$E$88*Продажи!F11</f>
        <v>0</v>
      </c>
      <c r="M88" s="288">
        <f>$E$88*Продажи!G11</f>
        <v>0</v>
      </c>
      <c r="N88" s="288">
        <f>$E$88*Продажи!H11</f>
        <v>0</v>
      </c>
      <c r="O88" s="288">
        <f>$E$88*Продажи!I11</f>
        <v>0</v>
      </c>
      <c r="P88" s="288">
        <f>$E$88*Продажи!J11</f>
        <v>0</v>
      </c>
      <c r="Q88" s="288">
        <f>$E$88*Продажи!K11</f>
        <v>0</v>
      </c>
      <c r="R88" s="288">
        <f>$E$88*Продажи!L11</f>
        <v>0</v>
      </c>
      <c r="S88" s="288">
        <f>$E$88*Продажи!M11</f>
        <v>0</v>
      </c>
      <c r="T88" s="290">
        <f t="shared" si="31"/>
        <v>0</v>
      </c>
      <c r="U88" s="291">
        <f>$F$88*Продажи!O11</f>
        <v>0</v>
      </c>
      <c r="V88" s="292">
        <f>$F$88*Продажи!P11</f>
        <v>0</v>
      </c>
      <c r="W88" s="292">
        <f>$F$88*Продажи!Q11</f>
        <v>0</v>
      </c>
      <c r="X88" s="292">
        <f>$F$88*Продажи!R11</f>
        <v>0</v>
      </c>
      <c r="Y88" s="292">
        <f>$F$88*Продажи!S11</f>
        <v>0</v>
      </c>
      <c r="Z88" s="292">
        <f>$F$88*Продажи!T11</f>
        <v>0</v>
      </c>
      <c r="AA88" s="292">
        <f>$F$88*Продажи!U11</f>
        <v>0</v>
      </c>
      <c r="AB88" s="292">
        <f>$F$88*Продажи!V11</f>
        <v>0</v>
      </c>
      <c r="AC88" s="292">
        <f>$F$88*Продажи!W11</f>
        <v>0</v>
      </c>
      <c r="AD88" s="292">
        <f>$F$88*Продажи!X11</f>
        <v>0</v>
      </c>
      <c r="AE88" s="292">
        <f>$F$88*Продажи!Y11</f>
        <v>0</v>
      </c>
      <c r="AF88" s="292">
        <f>$F$88*Продажи!Z11</f>
        <v>0</v>
      </c>
      <c r="AG88" s="290">
        <f t="shared" si="34"/>
        <v>0</v>
      </c>
      <c r="AH88" s="292">
        <f>$G$88*Продажи!AB11</f>
        <v>0</v>
      </c>
      <c r="AI88" s="293">
        <f>$G$88*Продажи!AC11</f>
        <v>0</v>
      </c>
      <c r="AJ88" s="293">
        <f>$G$88*Продажи!AD11</f>
        <v>0</v>
      </c>
      <c r="AK88" s="293">
        <f>$G$88*Продажи!AE11</f>
        <v>0</v>
      </c>
      <c r="AL88" s="293">
        <f>$G$88*Продажи!AF11</f>
        <v>0</v>
      </c>
      <c r="AM88" s="293">
        <f>$G$88*Продажи!AG11</f>
        <v>0</v>
      </c>
      <c r="AN88" s="293">
        <f>$G$88*Продажи!AH11</f>
        <v>0</v>
      </c>
      <c r="AO88" s="293">
        <f>$G$88*Продажи!AI11</f>
        <v>0</v>
      </c>
      <c r="AP88" s="293">
        <f>$G$88*Продажи!AJ11</f>
        <v>0</v>
      </c>
      <c r="AQ88" s="293">
        <f>$G$88*Продажи!AK11</f>
        <v>0</v>
      </c>
      <c r="AR88" s="293">
        <f>$G$88*Продажи!AL11</f>
        <v>0</v>
      </c>
      <c r="AS88" s="293">
        <f>$G$88*Продажи!AM11</f>
        <v>0</v>
      </c>
      <c r="AT88" s="290">
        <f t="shared" si="35"/>
        <v>0</v>
      </c>
    </row>
    <row r="89" spans="1:46" s="269" customFormat="1" ht="24" customHeight="1" outlineLevel="1">
      <c r="A89" s="294" t="s">
        <v>219</v>
      </c>
      <c r="B89" s="485" t="s">
        <v>163</v>
      </c>
      <c r="C89" s="486"/>
      <c r="D89" s="486"/>
      <c r="E89" s="486"/>
      <c r="F89" s="486"/>
      <c r="G89" s="487"/>
      <c r="H89" s="295">
        <f>'Продукция и цена '!C10</f>
        <v>0</v>
      </c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7">
        <f>H89</f>
        <v>0</v>
      </c>
      <c r="U89" s="298">
        <f>'Продукция и цена '!D10</f>
        <v>0</v>
      </c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7">
        <f t="shared" si="34"/>
        <v>0</v>
      </c>
      <c r="AH89" s="295">
        <f>'Продукция и цена '!E10</f>
        <v>0</v>
      </c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7">
        <f t="shared" si="35"/>
        <v>0</v>
      </c>
    </row>
    <row r="90" spans="1:46" s="270" customFormat="1" ht="14.25">
      <c r="A90" s="299">
        <v>8</v>
      </c>
      <c r="B90" s="300" t="str">
        <f>'Продукция и цена '!A11</f>
        <v>Аренда системы: "Продвинутый" тариф</v>
      </c>
      <c r="C90" s="301" t="s">
        <v>103</v>
      </c>
      <c r="D90" s="301" t="s">
        <v>103</v>
      </c>
      <c r="E90" s="301" t="s">
        <v>3</v>
      </c>
      <c r="F90" s="301" t="s">
        <v>4</v>
      </c>
      <c r="G90" s="302" t="s">
        <v>5</v>
      </c>
      <c r="H90" s="303">
        <f t="shared" ref="H90:S90" si="37">SUM(H91:H100)</f>
        <v>0</v>
      </c>
      <c r="I90" s="281">
        <f t="shared" si="37"/>
        <v>0</v>
      </c>
      <c r="J90" s="281">
        <f t="shared" si="37"/>
        <v>7100</v>
      </c>
      <c r="K90" s="281">
        <f t="shared" si="37"/>
        <v>7100</v>
      </c>
      <c r="L90" s="281">
        <f t="shared" si="37"/>
        <v>7100</v>
      </c>
      <c r="M90" s="281">
        <f t="shared" si="37"/>
        <v>14200</v>
      </c>
      <c r="N90" s="281">
        <f t="shared" si="37"/>
        <v>14200</v>
      </c>
      <c r="O90" s="281">
        <f t="shared" si="37"/>
        <v>14200</v>
      </c>
      <c r="P90" s="281">
        <f t="shared" si="37"/>
        <v>21300</v>
      </c>
      <c r="Q90" s="281">
        <f t="shared" si="37"/>
        <v>21300</v>
      </c>
      <c r="R90" s="281">
        <f t="shared" si="37"/>
        <v>21300</v>
      </c>
      <c r="S90" s="281">
        <f t="shared" si="37"/>
        <v>28400</v>
      </c>
      <c r="T90" s="282">
        <f t="shared" ref="T90:T100" si="38">SUM(H90:S90)</f>
        <v>156200</v>
      </c>
      <c r="U90" s="280">
        <f t="shared" ref="U90:AF90" si="39">SUM(U91:U100)</f>
        <v>40825</v>
      </c>
      <c r="V90" s="281">
        <f t="shared" si="39"/>
        <v>48990</v>
      </c>
      <c r="W90" s="281">
        <f t="shared" si="39"/>
        <v>57155</v>
      </c>
      <c r="X90" s="281">
        <f t="shared" si="39"/>
        <v>65320</v>
      </c>
      <c r="Y90" s="281">
        <f t="shared" si="39"/>
        <v>73485</v>
      </c>
      <c r="Z90" s="281">
        <f t="shared" si="39"/>
        <v>81650</v>
      </c>
      <c r="AA90" s="281">
        <f t="shared" si="39"/>
        <v>89815</v>
      </c>
      <c r="AB90" s="281">
        <f t="shared" si="39"/>
        <v>97980</v>
      </c>
      <c r="AC90" s="281">
        <f t="shared" si="39"/>
        <v>106145</v>
      </c>
      <c r="AD90" s="281">
        <f t="shared" si="39"/>
        <v>114310</v>
      </c>
      <c r="AE90" s="281">
        <f t="shared" si="39"/>
        <v>122475</v>
      </c>
      <c r="AF90" s="281">
        <f t="shared" si="39"/>
        <v>130640</v>
      </c>
      <c r="AG90" s="282">
        <f t="shared" si="34"/>
        <v>1028790</v>
      </c>
      <c r="AH90" s="303">
        <f t="shared" ref="AH90:AS90" si="40">SUM(AH91:AH100)</f>
        <v>169015.5</v>
      </c>
      <c r="AI90" s="281">
        <f t="shared" si="40"/>
        <v>187795</v>
      </c>
      <c r="AJ90" s="281">
        <f t="shared" si="40"/>
        <v>206574.5</v>
      </c>
      <c r="AK90" s="281">
        <f t="shared" si="40"/>
        <v>225354</v>
      </c>
      <c r="AL90" s="281">
        <f t="shared" si="40"/>
        <v>244133.5</v>
      </c>
      <c r="AM90" s="281">
        <f t="shared" si="40"/>
        <v>262913</v>
      </c>
      <c r="AN90" s="281">
        <f t="shared" si="40"/>
        <v>281692.5</v>
      </c>
      <c r="AO90" s="281">
        <f t="shared" si="40"/>
        <v>300472</v>
      </c>
      <c r="AP90" s="281">
        <f t="shared" si="40"/>
        <v>319251.5</v>
      </c>
      <c r="AQ90" s="281">
        <f t="shared" si="40"/>
        <v>338031</v>
      </c>
      <c r="AR90" s="281">
        <f t="shared" si="40"/>
        <v>356810.5</v>
      </c>
      <c r="AS90" s="281">
        <f t="shared" si="40"/>
        <v>375590</v>
      </c>
      <c r="AT90" s="282">
        <f t="shared" si="35"/>
        <v>3267633</v>
      </c>
    </row>
    <row r="91" spans="1:46" s="269" customFormat="1" outlineLevel="1">
      <c r="A91" s="283" t="s">
        <v>50</v>
      </c>
      <c r="B91" s="284" t="s">
        <v>532</v>
      </c>
      <c r="C91" s="285">
        <v>2100</v>
      </c>
      <c r="D91" s="285">
        <v>1</v>
      </c>
      <c r="E91" s="286">
        <f t="shared" si="36"/>
        <v>2100</v>
      </c>
      <c r="F91" s="286">
        <f>E91+E91*'Вводные данные'!$D$4</f>
        <v>2415</v>
      </c>
      <c r="G91" s="287">
        <f>F91+F91*'Вводные данные'!$E$4</f>
        <v>2777.25</v>
      </c>
      <c r="H91" s="288">
        <f>$E$91*Продажи!B12</f>
        <v>0</v>
      </c>
      <c r="I91" s="288">
        <f>$E$91*Продажи!C12</f>
        <v>0</v>
      </c>
      <c r="J91" s="288">
        <f>$E$91*Продажи!D12</f>
        <v>2100</v>
      </c>
      <c r="K91" s="288">
        <f>$E$91*Продажи!E12</f>
        <v>2100</v>
      </c>
      <c r="L91" s="288">
        <f>$E$91*Продажи!F12</f>
        <v>2100</v>
      </c>
      <c r="M91" s="288">
        <f>$E$91*Продажи!G12</f>
        <v>4200</v>
      </c>
      <c r="N91" s="288">
        <f>$E$91*Продажи!H12</f>
        <v>4200</v>
      </c>
      <c r="O91" s="288">
        <f>$E$91*Продажи!I12</f>
        <v>4200</v>
      </c>
      <c r="P91" s="288">
        <f>$E$91*Продажи!J12</f>
        <v>6300</v>
      </c>
      <c r="Q91" s="288">
        <f>$E$91*Продажи!K12</f>
        <v>6300</v>
      </c>
      <c r="R91" s="288">
        <f>$E$91*Продажи!L12</f>
        <v>6300</v>
      </c>
      <c r="S91" s="288">
        <f>$E$91*Продажи!M12</f>
        <v>8400</v>
      </c>
      <c r="T91" s="290">
        <f t="shared" si="38"/>
        <v>46200</v>
      </c>
      <c r="U91" s="304">
        <f>$F$91*Продажи!O12</f>
        <v>12075</v>
      </c>
      <c r="V91" s="293">
        <f>$F$91*Продажи!P12</f>
        <v>14490</v>
      </c>
      <c r="W91" s="293">
        <f>$F$91*Продажи!Q12</f>
        <v>16905</v>
      </c>
      <c r="X91" s="293">
        <f>$F$91*Продажи!R12</f>
        <v>19320</v>
      </c>
      <c r="Y91" s="293">
        <f>$F$91*Продажи!S12</f>
        <v>21735</v>
      </c>
      <c r="Z91" s="293">
        <f>$F$91*Продажи!T12</f>
        <v>24150</v>
      </c>
      <c r="AA91" s="293">
        <f>$F$91*Продажи!U12</f>
        <v>26565</v>
      </c>
      <c r="AB91" s="293">
        <f>$F$91*Продажи!V12</f>
        <v>28980</v>
      </c>
      <c r="AC91" s="293">
        <f>$F$91*Продажи!W12</f>
        <v>31395</v>
      </c>
      <c r="AD91" s="293">
        <f>$F$91*Продажи!X12</f>
        <v>33810</v>
      </c>
      <c r="AE91" s="293">
        <f>$F$91*Продажи!Y12</f>
        <v>36225</v>
      </c>
      <c r="AF91" s="293">
        <f>$F$91*Продажи!Z12</f>
        <v>38640</v>
      </c>
      <c r="AG91" s="290">
        <f t="shared" si="34"/>
        <v>304290</v>
      </c>
      <c r="AH91" s="292">
        <f>$G$91*Продажи!AB12</f>
        <v>49990.5</v>
      </c>
      <c r="AI91" s="292">
        <f>$G$91*Продажи!AC12</f>
        <v>55545</v>
      </c>
      <c r="AJ91" s="292">
        <f>$G$91*Продажи!AD12</f>
        <v>61099.5</v>
      </c>
      <c r="AK91" s="292">
        <f>$G$91*Продажи!AE12</f>
        <v>66654</v>
      </c>
      <c r="AL91" s="292">
        <f>$G$91*Продажи!AF12</f>
        <v>72208.5</v>
      </c>
      <c r="AM91" s="292">
        <f>$G$91*Продажи!AG12</f>
        <v>77763</v>
      </c>
      <c r="AN91" s="292">
        <f>$G$91*Продажи!AH12</f>
        <v>83317.5</v>
      </c>
      <c r="AO91" s="292">
        <f>$G$91*Продажи!AI12</f>
        <v>88872</v>
      </c>
      <c r="AP91" s="292">
        <f>$G$91*Продажи!AJ12</f>
        <v>94426.5</v>
      </c>
      <c r="AQ91" s="292">
        <f>$G$91*Продажи!AK12</f>
        <v>99981</v>
      </c>
      <c r="AR91" s="292">
        <f>$G$91*Продажи!AL12</f>
        <v>105535.5</v>
      </c>
      <c r="AS91" s="292">
        <f>$G$91*Продажи!AM12</f>
        <v>111090</v>
      </c>
      <c r="AT91" s="290">
        <f t="shared" si="35"/>
        <v>966483</v>
      </c>
    </row>
    <row r="92" spans="1:46" s="269" customFormat="1" outlineLevel="1">
      <c r="A92" s="283" t="s">
        <v>52</v>
      </c>
      <c r="B92" s="284" t="s">
        <v>533</v>
      </c>
      <c r="C92" s="285">
        <v>4000</v>
      </c>
      <c r="D92" s="285">
        <v>1</v>
      </c>
      <c r="E92" s="286">
        <f t="shared" si="36"/>
        <v>4000</v>
      </c>
      <c r="F92" s="286">
        <f>E92+E92*'Вводные данные'!$D$4</f>
        <v>4600</v>
      </c>
      <c r="G92" s="287">
        <f>F92+F92*'Вводные данные'!$E$4</f>
        <v>5290</v>
      </c>
      <c r="H92" s="288">
        <f>$E$92*Продажи!B12</f>
        <v>0</v>
      </c>
      <c r="I92" s="288">
        <f>$E$92*Продажи!C12</f>
        <v>0</v>
      </c>
      <c r="J92" s="288">
        <f>$E$92*Продажи!D12</f>
        <v>4000</v>
      </c>
      <c r="K92" s="288">
        <f>$E$92*Продажи!E12</f>
        <v>4000</v>
      </c>
      <c r="L92" s="288">
        <f>$E$92*Продажи!F12</f>
        <v>4000</v>
      </c>
      <c r="M92" s="288">
        <f>$E$92*Продажи!G12</f>
        <v>8000</v>
      </c>
      <c r="N92" s="288">
        <f>$E$92*Продажи!H12</f>
        <v>8000</v>
      </c>
      <c r="O92" s="288">
        <f>$E$92*Продажи!I12</f>
        <v>8000</v>
      </c>
      <c r="P92" s="288">
        <f>$E$92*Продажи!J12</f>
        <v>12000</v>
      </c>
      <c r="Q92" s="288">
        <f>$E$92*Продажи!K12</f>
        <v>12000</v>
      </c>
      <c r="R92" s="288">
        <f>$E$92*Продажи!L12</f>
        <v>12000</v>
      </c>
      <c r="S92" s="288">
        <f>$E$92*Продажи!M12</f>
        <v>16000</v>
      </c>
      <c r="T92" s="290">
        <f t="shared" si="38"/>
        <v>88000</v>
      </c>
      <c r="U92" s="304">
        <f>$F$92*Продажи!O12</f>
        <v>23000</v>
      </c>
      <c r="V92" s="293">
        <f>$F$92*Продажи!P12</f>
        <v>27600</v>
      </c>
      <c r="W92" s="293">
        <f>$F$92*Продажи!Q12</f>
        <v>32200</v>
      </c>
      <c r="X92" s="293">
        <f>$F$92*Продажи!R12</f>
        <v>36800</v>
      </c>
      <c r="Y92" s="293">
        <f>$F$92*Продажи!S12</f>
        <v>41400</v>
      </c>
      <c r="Z92" s="293">
        <f>$F$92*Продажи!T12</f>
        <v>46000</v>
      </c>
      <c r="AA92" s="293">
        <f>$F$92*Продажи!U12</f>
        <v>50600</v>
      </c>
      <c r="AB92" s="293">
        <f>$F$92*Продажи!V12</f>
        <v>55200</v>
      </c>
      <c r="AC92" s="293">
        <f>$F$92*Продажи!W12</f>
        <v>59800</v>
      </c>
      <c r="AD92" s="293">
        <f>$F$92*Продажи!X12</f>
        <v>64400</v>
      </c>
      <c r="AE92" s="293">
        <f>$F$92*Продажи!Y12</f>
        <v>69000</v>
      </c>
      <c r="AF92" s="293">
        <f>$F$92*Продажи!Z12</f>
        <v>73600</v>
      </c>
      <c r="AG92" s="290">
        <f t="shared" si="34"/>
        <v>579600</v>
      </c>
      <c r="AH92" s="292">
        <f>$G$92*Продажи!AB12</f>
        <v>95220</v>
      </c>
      <c r="AI92" s="292">
        <f>$G$92*Продажи!AC12</f>
        <v>105800</v>
      </c>
      <c r="AJ92" s="292">
        <f>$G$92*Продажи!AD12</f>
        <v>116380</v>
      </c>
      <c r="AK92" s="292">
        <f>$G$92*Продажи!AE12</f>
        <v>126960</v>
      </c>
      <c r="AL92" s="292">
        <f>$G$92*Продажи!AF12</f>
        <v>137540</v>
      </c>
      <c r="AM92" s="292">
        <f>$G$92*Продажи!AG12</f>
        <v>148120</v>
      </c>
      <c r="AN92" s="292">
        <f>$G$92*Продажи!AH12</f>
        <v>158700</v>
      </c>
      <c r="AO92" s="292">
        <f>$G$92*Продажи!AI12</f>
        <v>169280</v>
      </c>
      <c r="AP92" s="292">
        <f>$G$92*Продажи!AJ12</f>
        <v>179860</v>
      </c>
      <c r="AQ92" s="292">
        <f>$G$92*Продажи!AK12</f>
        <v>190440</v>
      </c>
      <c r="AR92" s="292">
        <f>$G$92*Продажи!AL12</f>
        <v>201020</v>
      </c>
      <c r="AS92" s="292">
        <f>$G$92*Продажи!AM12</f>
        <v>211600</v>
      </c>
      <c r="AT92" s="290">
        <f t="shared" si="35"/>
        <v>1840920</v>
      </c>
    </row>
    <row r="93" spans="1:46" s="269" customFormat="1" outlineLevel="1">
      <c r="A93" s="283" t="s">
        <v>53</v>
      </c>
      <c r="B93" s="284" t="s">
        <v>534</v>
      </c>
      <c r="C93" s="285">
        <v>1000</v>
      </c>
      <c r="D93" s="285">
        <v>1</v>
      </c>
      <c r="E93" s="286">
        <f t="shared" si="36"/>
        <v>1000</v>
      </c>
      <c r="F93" s="286">
        <f>E93+E93*'Вводные данные'!$D$4</f>
        <v>1150</v>
      </c>
      <c r="G93" s="287">
        <f>F93+F93*'Вводные данные'!$E$4</f>
        <v>1322.5</v>
      </c>
      <c r="H93" s="288">
        <f>$E$93*Продажи!B12</f>
        <v>0</v>
      </c>
      <c r="I93" s="288">
        <f>$E$93*Продажи!C12</f>
        <v>0</v>
      </c>
      <c r="J93" s="288">
        <f>$E$93*Продажи!D12</f>
        <v>1000</v>
      </c>
      <c r="K93" s="288">
        <f>$E$93*Продажи!E12</f>
        <v>1000</v>
      </c>
      <c r="L93" s="288">
        <f>$E$93*Продажи!F12</f>
        <v>1000</v>
      </c>
      <c r="M93" s="288">
        <f>$E$93*Продажи!G12</f>
        <v>2000</v>
      </c>
      <c r="N93" s="288">
        <f>$E$93*Продажи!H12</f>
        <v>2000</v>
      </c>
      <c r="O93" s="288">
        <f>$E$93*Продажи!I12</f>
        <v>2000</v>
      </c>
      <c r="P93" s="288">
        <f>$E$93*Продажи!J12</f>
        <v>3000</v>
      </c>
      <c r="Q93" s="288">
        <f>$E$93*Продажи!K12</f>
        <v>3000</v>
      </c>
      <c r="R93" s="288">
        <f>$E$93*Продажи!L12</f>
        <v>3000</v>
      </c>
      <c r="S93" s="288">
        <f>$E$93*Продажи!M12</f>
        <v>4000</v>
      </c>
      <c r="T93" s="290">
        <f t="shared" si="38"/>
        <v>22000</v>
      </c>
      <c r="U93" s="304">
        <f>$F$93*Продажи!O12</f>
        <v>5750</v>
      </c>
      <c r="V93" s="293">
        <f>$F$93*Продажи!P12</f>
        <v>6900</v>
      </c>
      <c r="W93" s="293">
        <f>$F$93*Продажи!Q12</f>
        <v>8050</v>
      </c>
      <c r="X93" s="293">
        <f>$F$93*Продажи!R12</f>
        <v>9200</v>
      </c>
      <c r="Y93" s="293">
        <f>$F$93*Продажи!S12</f>
        <v>10350</v>
      </c>
      <c r="Z93" s="293">
        <f>$F$93*Продажи!T12</f>
        <v>11500</v>
      </c>
      <c r="AA93" s="293">
        <f>$F$93*Продажи!U12</f>
        <v>12650</v>
      </c>
      <c r="AB93" s="293">
        <f>$F$93*Продажи!V12</f>
        <v>13800</v>
      </c>
      <c r="AC93" s="293">
        <f>$F$93*Продажи!W12</f>
        <v>14950</v>
      </c>
      <c r="AD93" s="293">
        <f>$F$93*Продажи!X12</f>
        <v>16100</v>
      </c>
      <c r="AE93" s="293">
        <f>$F$93*Продажи!Y12</f>
        <v>17250</v>
      </c>
      <c r="AF93" s="293">
        <f>$F$93*Продажи!Z12</f>
        <v>18400</v>
      </c>
      <c r="AG93" s="290">
        <f t="shared" si="34"/>
        <v>144900</v>
      </c>
      <c r="AH93" s="292">
        <f>$G$93*Продажи!AB12</f>
        <v>23805</v>
      </c>
      <c r="AI93" s="292">
        <f>$G$93*Продажи!AC12</f>
        <v>26450</v>
      </c>
      <c r="AJ93" s="292">
        <f>$G$93*Продажи!AD12</f>
        <v>29095</v>
      </c>
      <c r="AK93" s="292">
        <f>$G$93*Продажи!AE12</f>
        <v>31740</v>
      </c>
      <c r="AL93" s="292">
        <f>$G$93*Продажи!AF12</f>
        <v>34385</v>
      </c>
      <c r="AM93" s="292">
        <f>$G$93*Продажи!AG12</f>
        <v>37030</v>
      </c>
      <c r="AN93" s="292">
        <f>$G$93*Продажи!AH12</f>
        <v>39675</v>
      </c>
      <c r="AO93" s="292">
        <f>$G$93*Продажи!AI12</f>
        <v>42320</v>
      </c>
      <c r="AP93" s="292">
        <f>$G$93*Продажи!AJ12</f>
        <v>44965</v>
      </c>
      <c r="AQ93" s="292">
        <f>$G$93*Продажи!AK12</f>
        <v>47610</v>
      </c>
      <c r="AR93" s="292">
        <f>$G$93*Продажи!AL12</f>
        <v>50255</v>
      </c>
      <c r="AS93" s="292">
        <f>$G$93*Продажи!AM12</f>
        <v>52900</v>
      </c>
      <c r="AT93" s="290">
        <f t="shared" si="35"/>
        <v>460230</v>
      </c>
    </row>
    <row r="94" spans="1:46" s="269" customFormat="1" outlineLevel="1">
      <c r="A94" s="283" t="s">
        <v>54</v>
      </c>
      <c r="B94" s="284" t="s">
        <v>149</v>
      </c>
      <c r="C94" s="285"/>
      <c r="D94" s="285"/>
      <c r="E94" s="286">
        <f t="shared" si="36"/>
        <v>0</v>
      </c>
      <c r="F94" s="286">
        <f>E94+E94*'Вводные данные'!$D$4</f>
        <v>0</v>
      </c>
      <c r="G94" s="287">
        <f>F94+F94*'Вводные данные'!$E$4</f>
        <v>0</v>
      </c>
      <c r="H94" s="288">
        <f>$E$94*Продажи!B12</f>
        <v>0</v>
      </c>
      <c r="I94" s="288">
        <f>$E$94*Продажи!C12</f>
        <v>0</v>
      </c>
      <c r="J94" s="288">
        <f>$E$94*Продажи!D12</f>
        <v>0</v>
      </c>
      <c r="K94" s="288">
        <f>$E$94*Продажи!E12</f>
        <v>0</v>
      </c>
      <c r="L94" s="288">
        <f>$E$94*Продажи!F12</f>
        <v>0</v>
      </c>
      <c r="M94" s="288">
        <f>$E$94*Продажи!G12</f>
        <v>0</v>
      </c>
      <c r="N94" s="288">
        <f>$E$94*Продажи!H12</f>
        <v>0</v>
      </c>
      <c r="O94" s="288">
        <f>$E$94*Продажи!I12</f>
        <v>0</v>
      </c>
      <c r="P94" s="288">
        <f>$E$94*Продажи!J12</f>
        <v>0</v>
      </c>
      <c r="Q94" s="288">
        <f>$E$94*Продажи!K12</f>
        <v>0</v>
      </c>
      <c r="R94" s="288">
        <f>$E$94*Продажи!L12</f>
        <v>0</v>
      </c>
      <c r="S94" s="288">
        <f>$E$94*Продажи!M12</f>
        <v>0</v>
      </c>
      <c r="T94" s="290">
        <f t="shared" si="38"/>
        <v>0</v>
      </c>
      <c r="U94" s="304">
        <f>$F$94*Продажи!O12</f>
        <v>0</v>
      </c>
      <c r="V94" s="293">
        <f>$F$94*Продажи!P12</f>
        <v>0</v>
      </c>
      <c r="W94" s="293">
        <f>$F$94*Продажи!Q12</f>
        <v>0</v>
      </c>
      <c r="X94" s="293">
        <f>$F$94*Продажи!R12</f>
        <v>0</v>
      </c>
      <c r="Y94" s="293">
        <f>$F$94*Продажи!S12</f>
        <v>0</v>
      </c>
      <c r="Z94" s="293">
        <f>$F$94*Продажи!T12</f>
        <v>0</v>
      </c>
      <c r="AA94" s="293">
        <f>$F$94*Продажи!U12</f>
        <v>0</v>
      </c>
      <c r="AB94" s="293">
        <f>$F$94*Продажи!V12</f>
        <v>0</v>
      </c>
      <c r="AC94" s="293">
        <f>$F$94*Продажи!W12</f>
        <v>0</v>
      </c>
      <c r="AD94" s="293">
        <f>$F$94*Продажи!X12</f>
        <v>0</v>
      </c>
      <c r="AE94" s="293">
        <f>$F$94*Продажи!Y12</f>
        <v>0</v>
      </c>
      <c r="AF94" s="293">
        <f>$F$94*Продажи!Z12</f>
        <v>0</v>
      </c>
      <c r="AG94" s="290">
        <f t="shared" si="34"/>
        <v>0</v>
      </c>
      <c r="AH94" s="292">
        <f>$G$94*Продажи!AB12</f>
        <v>0</v>
      </c>
      <c r="AI94" s="292">
        <f>$G$94*Продажи!AC12</f>
        <v>0</v>
      </c>
      <c r="AJ94" s="292">
        <f>$G$94*Продажи!AD12</f>
        <v>0</v>
      </c>
      <c r="AK94" s="292">
        <f>$G$94*Продажи!AE12</f>
        <v>0</v>
      </c>
      <c r="AL94" s="292">
        <f>$G$94*Продажи!AF12</f>
        <v>0</v>
      </c>
      <c r="AM94" s="292">
        <f>$G$94*Продажи!AG12</f>
        <v>0</v>
      </c>
      <c r="AN94" s="292">
        <f>$G$94*Продажи!AH12</f>
        <v>0</v>
      </c>
      <c r="AO94" s="292">
        <f>$G$94*Продажи!AI12</f>
        <v>0</v>
      </c>
      <c r="AP94" s="292">
        <f>$G$94*Продажи!AJ12</f>
        <v>0</v>
      </c>
      <c r="AQ94" s="292">
        <f>$G$94*Продажи!AK12</f>
        <v>0</v>
      </c>
      <c r="AR94" s="292">
        <f>$G$94*Продажи!AL12</f>
        <v>0</v>
      </c>
      <c r="AS94" s="292">
        <f>$G$94*Продажи!AM12</f>
        <v>0</v>
      </c>
      <c r="AT94" s="290">
        <f t="shared" si="35"/>
        <v>0</v>
      </c>
    </row>
    <row r="95" spans="1:46" s="269" customFormat="1" outlineLevel="1">
      <c r="A95" s="283" t="s">
        <v>55</v>
      </c>
      <c r="B95" s="284" t="s">
        <v>151</v>
      </c>
      <c r="C95" s="285"/>
      <c r="D95" s="285"/>
      <c r="E95" s="286">
        <f t="shared" si="36"/>
        <v>0</v>
      </c>
      <c r="F95" s="286">
        <f>E95+E95*'Вводные данные'!$D$4</f>
        <v>0</v>
      </c>
      <c r="G95" s="287">
        <f>F95+F95*'Вводные данные'!$E$4</f>
        <v>0</v>
      </c>
      <c r="H95" s="288">
        <f>$E$95*Продажи!B12</f>
        <v>0</v>
      </c>
      <c r="I95" s="288">
        <f>$E$95*Продажи!C12</f>
        <v>0</v>
      </c>
      <c r="J95" s="288">
        <f>$E$95*Продажи!D12</f>
        <v>0</v>
      </c>
      <c r="K95" s="288">
        <f>$E$95*Продажи!E12</f>
        <v>0</v>
      </c>
      <c r="L95" s="288">
        <f>$E$95*Продажи!F12</f>
        <v>0</v>
      </c>
      <c r="M95" s="288">
        <f>$E$95*Продажи!G12</f>
        <v>0</v>
      </c>
      <c r="N95" s="288">
        <f>$E$95*Продажи!H12</f>
        <v>0</v>
      </c>
      <c r="O95" s="288">
        <f>$E$95*Продажи!I12</f>
        <v>0</v>
      </c>
      <c r="P95" s="288">
        <f>$E$95*Продажи!J12</f>
        <v>0</v>
      </c>
      <c r="Q95" s="288">
        <f>$E$95*Продажи!K12</f>
        <v>0</v>
      </c>
      <c r="R95" s="288">
        <f>$E$95*Продажи!L12</f>
        <v>0</v>
      </c>
      <c r="S95" s="288">
        <f>$E$95*Продажи!M12</f>
        <v>0</v>
      </c>
      <c r="T95" s="290">
        <f t="shared" si="38"/>
        <v>0</v>
      </c>
      <c r="U95" s="304">
        <f>$F$95*Продажи!O12</f>
        <v>0</v>
      </c>
      <c r="V95" s="293">
        <f>$F$95*Продажи!P12</f>
        <v>0</v>
      </c>
      <c r="W95" s="293">
        <f>$F$95*Продажи!Q12</f>
        <v>0</v>
      </c>
      <c r="X95" s="293">
        <f>$F$95*Продажи!R12</f>
        <v>0</v>
      </c>
      <c r="Y95" s="293">
        <f>$F$95*Продажи!S12</f>
        <v>0</v>
      </c>
      <c r="Z95" s="293">
        <f>$F$95*Продажи!T12</f>
        <v>0</v>
      </c>
      <c r="AA95" s="293">
        <f>$F$95*Продажи!U12</f>
        <v>0</v>
      </c>
      <c r="AB95" s="293">
        <f>$F$95*Продажи!V12</f>
        <v>0</v>
      </c>
      <c r="AC95" s="293">
        <f>$F$95*Продажи!W12</f>
        <v>0</v>
      </c>
      <c r="AD95" s="293">
        <f>$F$95*Продажи!X12</f>
        <v>0</v>
      </c>
      <c r="AE95" s="293">
        <f>$F$95*Продажи!Y12</f>
        <v>0</v>
      </c>
      <c r="AF95" s="293">
        <f>$F$95*Продажи!Z12</f>
        <v>0</v>
      </c>
      <c r="AG95" s="290">
        <f t="shared" si="34"/>
        <v>0</v>
      </c>
      <c r="AH95" s="292">
        <f>$G$95*Продажи!AB12</f>
        <v>0</v>
      </c>
      <c r="AI95" s="292">
        <f>$G$95*Продажи!AC12</f>
        <v>0</v>
      </c>
      <c r="AJ95" s="292">
        <f>$G$95*Продажи!AD12</f>
        <v>0</v>
      </c>
      <c r="AK95" s="292">
        <f>$G$95*Продажи!AE12</f>
        <v>0</v>
      </c>
      <c r="AL95" s="292">
        <f>$G$95*Продажи!AF12</f>
        <v>0</v>
      </c>
      <c r="AM95" s="292">
        <f>$G$95*Продажи!AG12</f>
        <v>0</v>
      </c>
      <c r="AN95" s="292">
        <f>$G$95*Продажи!AH12</f>
        <v>0</v>
      </c>
      <c r="AO95" s="292">
        <f>$G$95*Продажи!AI12</f>
        <v>0</v>
      </c>
      <c r="AP95" s="292">
        <f>$G$95*Продажи!AJ12</f>
        <v>0</v>
      </c>
      <c r="AQ95" s="292">
        <f>$G$95*Продажи!AK12</f>
        <v>0</v>
      </c>
      <c r="AR95" s="292">
        <f>$G$95*Продажи!AL12</f>
        <v>0</v>
      </c>
      <c r="AS95" s="292">
        <f>$G$95*Продажи!AM12</f>
        <v>0</v>
      </c>
      <c r="AT95" s="290">
        <f t="shared" si="35"/>
        <v>0</v>
      </c>
    </row>
    <row r="96" spans="1:46" s="269" customFormat="1" outlineLevel="1">
      <c r="A96" s="283" t="s">
        <v>56</v>
      </c>
      <c r="B96" s="284" t="s">
        <v>153</v>
      </c>
      <c r="C96" s="285"/>
      <c r="D96" s="285"/>
      <c r="E96" s="286">
        <f t="shared" si="36"/>
        <v>0</v>
      </c>
      <c r="F96" s="286">
        <f>E96+E96*'Вводные данные'!$D$4</f>
        <v>0</v>
      </c>
      <c r="G96" s="287">
        <f>F96+F96*'Вводные данные'!$E$4</f>
        <v>0</v>
      </c>
      <c r="H96" s="288">
        <f>$E$96*Продажи!B12</f>
        <v>0</v>
      </c>
      <c r="I96" s="288">
        <f>$E$96*Продажи!C12</f>
        <v>0</v>
      </c>
      <c r="J96" s="288">
        <f>$E$96*Продажи!D12</f>
        <v>0</v>
      </c>
      <c r="K96" s="288">
        <f>$E$96*Продажи!E12</f>
        <v>0</v>
      </c>
      <c r="L96" s="288">
        <f>$E$96*Продажи!F12</f>
        <v>0</v>
      </c>
      <c r="M96" s="288">
        <f>$E$96*Продажи!G12</f>
        <v>0</v>
      </c>
      <c r="N96" s="288">
        <f>$E$96*Продажи!H12</f>
        <v>0</v>
      </c>
      <c r="O96" s="288">
        <f>$E$96*Продажи!I12</f>
        <v>0</v>
      </c>
      <c r="P96" s="288">
        <f>$E$96*Продажи!J12</f>
        <v>0</v>
      </c>
      <c r="Q96" s="288">
        <f>$E$96*Продажи!K12</f>
        <v>0</v>
      </c>
      <c r="R96" s="288">
        <f>$E$96*Продажи!L12</f>
        <v>0</v>
      </c>
      <c r="S96" s="288">
        <f>$E$96*Продажи!M12</f>
        <v>0</v>
      </c>
      <c r="T96" s="290">
        <f t="shared" si="38"/>
        <v>0</v>
      </c>
      <c r="U96" s="304">
        <f>$F$96*Продажи!O12</f>
        <v>0</v>
      </c>
      <c r="V96" s="293">
        <f>$F$96*Продажи!P12</f>
        <v>0</v>
      </c>
      <c r="W96" s="293">
        <f>$F$96*Продажи!Q12</f>
        <v>0</v>
      </c>
      <c r="X96" s="293">
        <f>$F$96*Продажи!R12</f>
        <v>0</v>
      </c>
      <c r="Y96" s="293">
        <f>$F$96*Продажи!S12</f>
        <v>0</v>
      </c>
      <c r="Z96" s="293">
        <f>$F$96*Продажи!T12</f>
        <v>0</v>
      </c>
      <c r="AA96" s="293">
        <f>$F$96*Продажи!U12</f>
        <v>0</v>
      </c>
      <c r="AB96" s="293">
        <f>$F$96*Продажи!V12</f>
        <v>0</v>
      </c>
      <c r="AC96" s="293">
        <f>$F$96*Продажи!W12</f>
        <v>0</v>
      </c>
      <c r="AD96" s="293">
        <f>$F$96*Продажи!X12</f>
        <v>0</v>
      </c>
      <c r="AE96" s="293">
        <f>$F$96*Продажи!Y12</f>
        <v>0</v>
      </c>
      <c r="AF96" s="293">
        <f>$F$96*Продажи!Z12</f>
        <v>0</v>
      </c>
      <c r="AG96" s="290">
        <f t="shared" si="34"/>
        <v>0</v>
      </c>
      <c r="AH96" s="292">
        <f>$G$96*Продажи!AB12</f>
        <v>0</v>
      </c>
      <c r="AI96" s="292">
        <f>$G$96*Продажи!AC12</f>
        <v>0</v>
      </c>
      <c r="AJ96" s="292">
        <f>$G$96*Продажи!AD12</f>
        <v>0</v>
      </c>
      <c r="AK96" s="292">
        <f>$G$96*Продажи!AE12</f>
        <v>0</v>
      </c>
      <c r="AL96" s="292">
        <f>$G$96*Продажи!AF12</f>
        <v>0</v>
      </c>
      <c r="AM96" s="292">
        <f>$G$96*Продажи!AG12</f>
        <v>0</v>
      </c>
      <c r="AN96" s="292">
        <f>$G$96*Продажи!AH12</f>
        <v>0</v>
      </c>
      <c r="AO96" s="292">
        <f>$G$96*Продажи!AI12</f>
        <v>0</v>
      </c>
      <c r="AP96" s="292">
        <f>$G$96*Продажи!AJ12</f>
        <v>0</v>
      </c>
      <c r="AQ96" s="292">
        <f>$G$96*Продажи!AK12</f>
        <v>0</v>
      </c>
      <c r="AR96" s="292">
        <f>$G$96*Продажи!AL12</f>
        <v>0</v>
      </c>
      <c r="AS96" s="292">
        <f>$G$96*Продажи!AM12</f>
        <v>0</v>
      </c>
      <c r="AT96" s="290">
        <f t="shared" si="35"/>
        <v>0</v>
      </c>
    </row>
    <row r="97" spans="1:46" s="269" customFormat="1" outlineLevel="1">
      <c r="A97" s="283" t="s">
        <v>57</v>
      </c>
      <c r="B97" s="284" t="s">
        <v>155</v>
      </c>
      <c r="C97" s="285"/>
      <c r="D97" s="285"/>
      <c r="E97" s="286">
        <f t="shared" si="36"/>
        <v>0</v>
      </c>
      <c r="F97" s="286">
        <f>E97+E97*'Вводные данные'!$D$4</f>
        <v>0</v>
      </c>
      <c r="G97" s="287">
        <f>F97+F97*'Вводные данные'!$E$4</f>
        <v>0</v>
      </c>
      <c r="H97" s="288">
        <f>$E$97*Продажи!B12</f>
        <v>0</v>
      </c>
      <c r="I97" s="288">
        <f>$E$97*Продажи!C12</f>
        <v>0</v>
      </c>
      <c r="J97" s="288">
        <f>$E$97*Продажи!D12</f>
        <v>0</v>
      </c>
      <c r="K97" s="288">
        <f>$E$97*Продажи!E12</f>
        <v>0</v>
      </c>
      <c r="L97" s="288">
        <f>$E$97*Продажи!F12</f>
        <v>0</v>
      </c>
      <c r="M97" s="288">
        <f>$E$97*Продажи!G12</f>
        <v>0</v>
      </c>
      <c r="N97" s="288">
        <f>$E$97*Продажи!H12</f>
        <v>0</v>
      </c>
      <c r="O97" s="288">
        <f>$E$97*Продажи!I12</f>
        <v>0</v>
      </c>
      <c r="P97" s="288">
        <f>$E$97*Продажи!J12</f>
        <v>0</v>
      </c>
      <c r="Q97" s="288">
        <f>$E$97*Продажи!K12</f>
        <v>0</v>
      </c>
      <c r="R97" s="288">
        <f>$E$97*Продажи!L12</f>
        <v>0</v>
      </c>
      <c r="S97" s="288">
        <f>$E$97*Продажи!M12</f>
        <v>0</v>
      </c>
      <c r="T97" s="290">
        <f t="shared" si="38"/>
        <v>0</v>
      </c>
      <c r="U97" s="304">
        <f>$F$97*Продажи!O12</f>
        <v>0</v>
      </c>
      <c r="V97" s="293">
        <f>$F$97*Продажи!P12</f>
        <v>0</v>
      </c>
      <c r="W97" s="293">
        <f>$F$97*Продажи!Q12</f>
        <v>0</v>
      </c>
      <c r="X97" s="293">
        <f>$F$97*Продажи!R12</f>
        <v>0</v>
      </c>
      <c r="Y97" s="293">
        <f>$F$97*Продажи!S12</f>
        <v>0</v>
      </c>
      <c r="Z97" s="293">
        <f>$F$97*Продажи!T12</f>
        <v>0</v>
      </c>
      <c r="AA97" s="293">
        <f>$F$97*Продажи!U12</f>
        <v>0</v>
      </c>
      <c r="AB97" s="293">
        <f>$F$97*Продажи!V12</f>
        <v>0</v>
      </c>
      <c r="AC97" s="293">
        <f>$F$97*Продажи!W12</f>
        <v>0</v>
      </c>
      <c r="AD97" s="293">
        <f>$F$97*Продажи!X12</f>
        <v>0</v>
      </c>
      <c r="AE97" s="293">
        <f>$F$97*Продажи!Y12</f>
        <v>0</v>
      </c>
      <c r="AF97" s="293">
        <f>$F$97*Продажи!Z12</f>
        <v>0</v>
      </c>
      <c r="AG97" s="290">
        <f t="shared" si="34"/>
        <v>0</v>
      </c>
      <c r="AH97" s="292">
        <f>$G$97*Продажи!AB12</f>
        <v>0</v>
      </c>
      <c r="AI97" s="292">
        <f>$G$97*Продажи!AC12</f>
        <v>0</v>
      </c>
      <c r="AJ97" s="292">
        <f>$G$97*Продажи!AD12</f>
        <v>0</v>
      </c>
      <c r="AK97" s="292">
        <f>$G$97*Продажи!AE12</f>
        <v>0</v>
      </c>
      <c r="AL97" s="292">
        <f>$G$97*Продажи!AF12</f>
        <v>0</v>
      </c>
      <c r="AM97" s="292">
        <f>$G$97*Продажи!AG12</f>
        <v>0</v>
      </c>
      <c r="AN97" s="292">
        <f>$G$97*Продажи!AH12</f>
        <v>0</v>
      </c>
      <c r="AO97" s="292">
        <f>$G$97*Продажи!AI12</f>
        <v>0</v>
      </c>
      <c r="AP97" s="292">
        <f>$G$97*Продажи!AJ12</f>
        <v>0</v>
      </c>
      <c r="AQ97" s="292">
        <f>$G$97*Продажи!AK12</f>
        <v>0</v>
      </c>
      <c r="AR97" s="292">
        <f>$G$97*Продажи!AL12</f>
        <v>0</v>
      </c>
      <c r="AS97" s="292">
        <f>$G$97*Продажи!AM12</f>
        <v>0</v>
      </c>
      <c r="AT97" s="290">
        <f t="shared" si="35"/>
        <v>0</v>
      </c>
    </row>
    <row r="98" spans="1:46" s="269" customFormat="1" outlineLevel="1">
      <c r="A98" s="283" t="s">
        <v>58</v>
      </c>
      <c r="B98" s="284" t="s">
        <v>157</v>
      </c>
      <c r="C98" s="285"/>
      <c r="D98" s="285"/>
      <c r="E98" s="286">
        <f t="shared" si="36"/>
        <v>0</v>
      </c>
      <c r="F98" s="286">
        <f>E98+E98*'Вводные данные'!$D$4</f>
        <v>0</v>
      </c>
      <c r="G98" s="287">
        <f>F98+F98*'Вводные данные'!$E$4</f>
        <v>0</v>
      </c>
      <c r="H98" s="288">
        <f>$E$98*Продажи!B12</f>
        <v>0</v>
      </c>
      <c r="I98" s="288">
        <f>$E$98*Продажи!C12</f>
        <v>0</v>
      </c>
      <c r="J98" s="288">
        <f>$E$98*Продажи!D12</f>
        <v>0</v>
      </c>
      <c r="K98" s="288">
        <f>$E$98*Продажи!E12</f>
        <v>0</v>
      </c>
      <c r="L98" s="288">
        <f>$E$98*Продажи!F12</f>
        <v>0</v>
      </c>
      <c r="M98" s="288">
        <f>$E$98*Продажи!G12</f>
        <v>0</v>
      </c>
      <c r="N98" s="288">
        <f>$E$98*Продажи!H12</f>
        <v>0</v>
      </c>
      <c r="O98" s="288">
        <f>$E$98*Продажи!I12</f>
        <v>0</v>
      </c>
      <c r="P98" s="288">
        <f>$E$98*Продажи!J12</f>
        <v>0</v>
      </c>
      <c r="Q98" s="288">
        <f>$E$98*Продажи!K12</f>
        <v>0</v>
      </c>
      <c r="R98" s="288">
        <f>$E$98*Продажи!L12</f>
        <v>0</v>
      </c>
      <c r="S98" s="288">
        <f>$E$98*Продажи!M12</f>
        <v>0</v>
      </c>
      <c r="T98" s="290">
        <f t="shared" si="38"/>
        <v>0</v>
      </c>
      <c r="U98" s="304">
        <f>$F$98*Продажи!O12</f>
        <v>0</v>
      </c>
      <c r="V98" s="293">
        <f>$F$98*Продажи!P12</f>
        <v>0</v>
      </c>
      <c r="W98" s="293">
        <f>$F$98*Продажи!Q12</f>
        <v>0</v>
      </c>
      <c r="X98" s="293">
        <f>$F$98*Продажи!R12</f>
        <v>0</v>
      </c>
      <c r="Y98" s="293">
        <f>$F$98*Продажи!S12</f>
        <v>0</v>
      </c>
      <c r="Z98" s="293">
        <f>$F$98*Продажи!T12</f>
        <v>0</v>
      </c>
      <c r="AA98" s="293">
        <f>$F$98*Продажи!U12</f>
        <v>0</v>
      </c>
      <c r="AB98" s="293">
        <f>$F$98*Продажи!V12</f>
        <v>0</v>
      </c>
      <c r="AC98" s="293">
        <f>$F$98*Продажи!W12</f>
        <v>0</v>
      </c>
      <c r="AD98" s="293">
        <f>$F$98*Продажи!X12</f>
        <v>0</v>
      </c>
      <c r="AE98" s="293">
        <f>$F$98*Продажи!Y12</f>
        <v>0</v>
      </c>
      <c r="AF98" s="293">
        <f>$F$98*Продажи!Z12</f>
        <v>0</v>
      </c>
      <c r="AG98" s="290">
        <f t="shared" si="34"/>
        <v>0</v>
      </c>
      <c r="AH98" s="292">
        <f>$G$98*Продажи!AB12</f>
        <v>0</v>
      </c>
      <c r="AI98" s="292">
        <f>$G$98*Продажи!AC12</f>
        <v>0</v>
      </c>
      <c r="AJ98" s="292">
        <f>$G$98*Продажи!AD12</f>
        <v>0</v>
      </c>
      <c r="AK98" s="292">
        <f>$G$98*Продажи!AE12</f>
        <v>0</v>
      </c>
      <c r="AL98" s="292">
        <f>$G$98*Продажи!AF12</f>
        <v>0</v>
      </c>
      <c r="AM98" s="292">
        <f>$G$98*Продажи!AG12</f>
        <v>0</v>
      </c>
      <c r="AN98" s="292">
        <f>$G$98*Продажи!AH12</f>
        <v>0</v>
      </c>
      <c r="AO98" s="292">
        <f>$G$98*Продажи!AI12</f>
        <v>0</v>
      </c>
      <c r="AP98" s="292">
        <f>$G$98*Продажи!AJ12</f>
        <v>0</v>
      </c>
      <c r="AQ98" s="292">
        <f>$G$98*Продажи!AK12</f>
        <v>0</v>
      </c>
      <c r="AR98" s="292">
        <f>$G$98*Продажи!AL12</f>
        <v>0</v>
      </c>
      <c r="AS98" s="292">
        <f>$G$98*Продажи!AM12</f>
        <v>0</v>
      </c>
      <c r="AT98" s="290">
        <f t="shared" si="35"/>
        <v>0</v>
      </c>
    </row>
    <row r="99" spans="1:46" s="269" customFormat="1" outlineLevel="1">
      <c r="A99" s="283" t="s">
        <v>59</v>
      </c>
      <c r="B99" s="284" t="s">
        <v>159</v>
      </c>
      <c r="C99" s="285"/>
      <c r="D99" s="285"/>
      <c r="E99" s="286">
        <f t="shared" si="36"/>
        <v>0</v>
      </c>
      <c r="F99" s="286">
        <f>E99+E99*'Вводные данные'!$D$4</f>
        <v>0</v>
      </c>
      <c r="G99" s="287">
        <f>F99+F99*'Вводные данные'!$E$4</f>
        <v>0</v>
      </c>
      <c r="H99" s="288">
        <f>$E$99*Продажи!B12</f>
        <v>0</v>
      </c>
      <c r="I99" s="288">
        <f>$E$99*Продажи!C12</f>
        <v>0</v>
      </c>
      <c r="J99" s="288">
        <f>$E$99*Продажи!D12</f>
        <v>0</v>
      </c>
      <c r="K99" s="288">
        <f>$E$99*Продажи!E12</f>
        <v>0</v>
      </c>
      <c r="L99" s="288">
        <f>$E$99*Продажи!F12</f>
        <v>0</v>
      </c>
      <c r="M99" s="288">
        <f>$E$99*Продажи!G12</f>
        <v>0</v>
      </c>
      <c r="N99" s="288">
        <f>$E$99*Продажи!H12</f>
        <v>0</v>
      </c>
      <c r="O99" s="288">
        <f>$E$99*Продажи!I12</f>
        <v>0</v>
      </c>
      <c r="P99" s="288">
        <f>$E$99*Продажи!J12</f>
        <v>0</v>
      </c>
      <c r="Q99" s="288">
        <f>$E$99*Продажи!K12</f>
        <v>0</v>
      </c>
      <c r="R99" s="288">
        <f>$E$99*Продажи!L12</f>
        <v>0</v>
      </c>
      <c r="S99" s="288">
        <f>$E$99*Продажи!M12</f>
        <v>0</v>
      </c>
      <c r="T99" s="290">
        <f t="shared" si="38"/>
        <v>0</v>
      </c>
      <c r="U99" s="304">
        <f>$F$99*Продажи!O12</f>
        <v>0</v>
      </c>
      <c r="V99" s="293">
        <f>$F$99*Продажи!P12</f>
        <v>0</v>
      </c>
      <c r="W99" s="293">
        <f>$F$99*Продажи!Q12</f>
        <v>0</v>
      </c>
      <c r="X99" s="293">
        <f>$F$99*Продажи!R12</f>
        <v>0</v>
      </c>
      <c r="Y99" s="293">
        <f>$F$99*Продажи!S12</f>
        <v>0</v>
      </c>
      <c r="Z99" s="293">
        <f>$F$99*Продажи!T12</f>
        <v>0</v>
      </c>
      <c r="AA99" s="293">
        <f>$F$99*Продажи!U12</f>
        <v>0</v>
      </c>
      <c r="AB99" s="293">
        <f>$F$99*Продажи!V12</f>
        <v>0</v>
      </c>
      <c r="AC99" s="293">
        <f>$F$99*Продажи!W12</f>
        <v>0</v>
      </c>
      <c r="AD99" s="293">
        <f>$F$99*Продажи!X12</f>
        <v>0</v>
      </c>
      <c r="AE99" s="293">
        <f>$F$99*Продажи!Y12</f>
        <v>0</v>
      </c>
      <c r="AF99" s="293">
        <f>$F$99*Продажи!Z12</f>
        <v>0</v>
      </c>
      <c r="AG99" s="290">
        <f t="shared" si="34"/>
        <v>0</v>
      </c>
      <c r="AH99" s="292">
        <f>$G$99*Продажи!AB12</f>
        <v>0</v>
      </c>
      <c r="AI99" s="292">
        <f>$G$99*Продажи!AC12</f>
        <v>0</v>
      </c>
      <c r="AJ99" s="292">
        <f>$G$99*Продажи!AD12</f>
        <v>0</v>
      </c>
      <c r="AK99" s="292">
        <f>$G$99*Продажи!AE12</f>
        <v>0</v>
      </c>
      <c r="AL99" s="292">
        <f>$G$99*Продажи!AF12</f>
        <v>0</v>
      </c>
      <c r="AM99" s="292">
        <f>$G$99*Продажи!AG12</f>
        <v>0</v>
      </c>
      <c r="AN99" s="292">
        <f>$G$99*Продажи!AH12</f>
        <v>0</v>
      </c>
      <c r="AO99" s="292">
        <f>$G$99*Продажи!AI12</f>
        <v>0</v>
      </c>
      <c r="AP99" s="292">
        <f>$G$99*Продажи!AJ12</f>
        <v>0</v>
      </c>
      <c r="AQ99" s="292">
        <f>$G$99*Продажи!AK12</f>
        <v>0</v>
      </c>
      <c r="AR99" s="292">
        <f>$G$99*Продажи!AL12</f>
        <v>0</v>
      </c>
      <c r="AS99" s="292">
        <f>$G$99*Продажи!AM12</f>
        <v>0</v>
      </c>
      <c r="AT99" s="290">
        <f t="shared" si="35"/>
        <v>0</v>
      </c>
    </row>
    <row r="100" spans="1:46" s="269" customFormat="1" outlineLevel="1">
      <c r="A100" s="283" t="s">
        <v>60</v>
      </c>
      <c r="B100" s="284" t="s">
        <v>161</v>
      </c>
      <c r="C100" s="285"/>
      <c r="D100" s="285"/>
      <c r="E100" s="286">
        <f t="shared" si="36"/>
        <v>0</v>
      </c>
      <c r="F100" s="286">
        <f>E100+E100*'Вводные данные'!$D$4</f>
        <v>0</v>
      </c>
      <c r="G100" s="287">
        <f>F100+F100*'Вводные данные'!$E$4</f>
        <v>0</v>
      </c>
      <c r="H100" s="288">
        <f>$E$100*Продажи!B12</f>
        <v>0</v>
      </c>
      <c r="I100" s="288">
        <f>$E$100*Продажи!C12</f>
        <v>0</v>
      </c>
      <c r="J100" s="288">
        <f>$E$100*Продажи!D12</f>
        <v>0</v>
      </c>
      <c r="K100" s="288">
        <f>$E$100*Продажи!E12</f>
        <v>0</v>
      </c>
      <c r="L100" s="288">
        <f>$E$100*Продажи!F12</f>
        <v>0</v>
      </c>
      <c r="M100" s="288">
        <f>$E$100*Продажи!G12</f>
        <v>0</v>
      </c>
      <c r="N100" s="288">
        <f>$E$100*Продажи!H12</f>
        <v>0</v>
      </c>
      <c r="O100" s="288">
        <f>$E$100*Продажи!I12</f>
        <v>0</v>
      </c>
      <c r="P100" s="288">
        <f>$E$100*Продажи!J12</f>
        <v>0</v>
      </c>
      <c r="Q100" s="288">
        <f>$E$100*Продажи!K12</f>
        <v>0</v>
      </c>
      <c r="R100" s="288">
        <f>$E$100*Продажи!L12</f>
        <v>0</v>
      </c>
      <c r="S100" s="288">
        <f>$E$100*Продажи!M12</f>
        <v>0</v>
      </c>
      <c r="T100" s="290">
        <f t="shared" si="38"/>
        <v>0</v>
      </c>
      <c r="U100" s="304">
        <f>$F$100*Продажи!O12</f>
        <v>0</v>
      </c>
      <c r="V100" s="293">
        <f>$F$100*Продажи!P12</f>
        <v>0</v>
      </c>
      <c r="W100" s="293">
        <f>$F$100*Продажи!Q12</f>
        <v>0</v>
      </c>
      <c r="X100" s="293">
        <f>$F$100*Продажи!R12</f>
        <v>0</v>
      </c>
      <c r="Y100" s="293">
        <f>$F$100*Продажи!S12</f>
        <v>0</v>
      </c>
      <c r="Z100" s="293">
        <f>$F$100*Продажи!T12</f>
        <v>0</v>
      </c>
      <c r="AA100" s="293">
        <f>$F$100*Продажи!U12</f>
        <v>0</v>
      </c>
      <c r="AB100" s="293">
        <f>$F$100*Продажи!V12</f>
        <v>0</v>
      </c>
      <c r="AC100" s="293">
        <f>$F$100*Продажи!W12</f>
        <v>0</v>
      </c>
      <c r="AD100" s="293">
        <f>$F$100*Продажи!X12</f>
        <v>0</v>
      </c>
      <c r="AE100" s="293">
        <f>$F$100*Продажи!Y12</f>
        <v>0</v>
      </c>
      <c r="AF100" s="293">
        <f>$F$100*Продажи!Z12</f>
        <v>0</v>
      </c>
      <c r="AG100" s="290">
        <f t="shared" si="34"/>
        <v>0</v>
      </c>
      <c r="AH100" s="292">
        <f>$G$100*Продажи!AB12</f>
        <v>0</v>
      </c>
      <c r="AI100" s="292">
        <f>$G$100*Продажи!AC12</f>
        <v>0</v>
      </c>
      <c r="AJ100" s="292">
        <f>$G$100*Продажи!AD12</f>
        <v>0</v>
      </c>
      <c r="AK100" s="292">
        <f>$G$100*Продажи!AE12</f>
        <v>0</v>
      </c>
      <c r="AL100" s="292">
        <f>$G$100*Продажи!AF12</f>
        <v>0</v>
      </c>
      <c r="AM100" s="292">
        <f>$G$100*Продажи!AG12</f>
        <v>0</v>
      </c>
      <c r="AN100" s="292">
        <f>$G$100*Продажи!AH12</f>
        <v>0</v>
      </c>
      <c r="AO100" s="292">
        <f>$G$100*Продажи!AI12</f>
        <v>0</v>
      </c>
      <c r="AP100" s="292">
        <f>$G$100*Продажи!AJ12</f>
        <v>0</v>
      </c>
      <c r="AQ100" s="292">
        <f>$G$100*Продажи!AK12</f>
        <v>0</v>
      </c>
      <c r="AR100" s="292">
        <f>$G$100*Продажи!AL12</f>
        <v>0</v>
      </c>
      <c r="AS100" s="292">
        <f>$G$100*Продажи!AM12</f>
        <v>0</v>
      </c>
      <c r="AT100" s="290">
        <f t="shared" si="35"/>
        <v>0</v>
      </c>
    </row>
    <row r="101" spans="1:46" s="269" customFormat="1" ht="24" customHeight="1" outlineLevel="1">
      <c r="A101" s="294" t="s">
        <v>61</v>
      </c>
      <c r="B101" s="485" t="s">
        <v>163</v>
      </c>
      <c r="C101" s="486"/>
      <c r="D101" s="486"/>
      <c r="E101" s="486"/>
      <c r="F101" s="486"/>
      <c r="G101" s="487"/>
      <c r="H101" s="295">
        <f>'Продукция и цена '!C11</f>
        <v>65000</v>
      </c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7">
        <f>H101</f>
        <v>65000</v>
      </c>
      <c r="U101" s="298">
        <f>'Продукция и цена '!D11</f>
        <v>74750</v>
      </c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7">
        <f t="shared" ref="AG101:AG126" si="41">SUM(U101:AF101)</f>
        <v>74750</v>
      </c>
      <c r="AH101" s="295">
        <f>'Продукция и цена '!E11</f>
        <v>85962.5</v>
      </c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7">
        <f t="shared" ref="AT101:AT126" si="42">SUM(AH101:AS101)</f>
        <v>85962.5</v>
      </c>
    </row>
    <row r="102" spans="1:46" s="270" customFormat="1" ht="14.25">
      <c r="A102" s="299">
        <v>9</v>
      </c>
      <c r="B102" s="300" t="str">
        <f>'Продукция и цена '!A12</f>
        <v>Аренда системы: "Бизнес" тариф</v>
      </c>
      <c r="C102" s="301" t="s">
        <v>103</v>
      </c>
      <c r="D102" s="301" t="s">
        <v>103</v>
      </c>
      <c r="E102" s="301" t="s">
        <v>3</v>
      </c>
      <c r="F102" s="301" t="s">
        <v>4</v>
      </c>
      <c r="G102" s="302" t="s">
        <v>5</v>
      </c>
      <c r="H102" s="303">
        <f t="shared" ref="H102:S102" si="43">SUM(H103:H112)</f>
        <v>0</v>
      </c>
      <c r="I102" s="281">
        <f t="shared" si="43"/>
        <v>0</v>
      </c>
      <c r="J102" s="281">
        <f t="shared" si="43"/>
        <v>0</v>
      </c>
      <c r="K102" s="281">
        <f t="shared" si="43"/>
        <v>0</v>
      </c>
      <c r="L102" s="281">
        <f t="shared" si="43"/>
        <v>0</v>
      </c>
      <c r="M102" s="281">
        <f t="shared" si="43"/>
        <v>0</v>
      </c>
      <c r="N102" s="281">
        <f t="shared" si="43"/>
        <v>0</v>
      </c>
      <c r="O102" s="281">
        <f t="shared" si="43"/>
        <v>13900</v>
      </c>
      <c r="P102" s="281">
        <f t="shared" si="43"/>
        <v>13900</v>
      </c>
      <c r="Q102" s="281">
        <f t="shared" si="43"/>
        <v>13900</v>
      </c>
      <c r="R102" s="281">
        <f t="shared" si="43"/>
        <v>13900</v>
      </c>
      <c r="S102" s="281">
        <f t="shared" si="43"/>
        <v>13900</v>
      </c>
      <c r="T102" s="282">
        <f t="shared" ref="T102:T112" si="44">SUM(H102:S102)</f>
        <v>69500</v>
      </c>
      <c r="U102" s="280">
        <f t="shared" ref="U102:AF102" si="45">SUM(U103:U112)</f>
        <v>15985</v>
      </c>
      <c r="V102" s="281">
        <f t="shared" si="45"/>
        <v>15985</v>
      </c>
      <c r="W102" s="281">
        <f t="shared" si="45"/>
        <v>15985</v>
      </c>
      <c r="X102" s="281">
        <f t="shared" si="45"/>
        <v>31970</v>
      </c>
      <c r="Y102" s="281">
        <f t="shared" si="45"/>
        <v>31970</v>
      </c>
      <c r="Z102" s="281">
        <f t="shared" si="45"/>
        <v>31970</v>
      </c>
      <c r="AA102" s="281">
        <f t="shared" si="45"/>
        <v>31970</v>
      </c>
      <c r="AB102" s="281">
        <f t="shared" si="45"/>
        <v>47955</v>
      </c>
      <c r="AC102" s="281">
        <f t="shared" si="45"/>
        <v>47955</v>
      </c>
      <c r="AD102" s="281">
        <f t="shared" si="45"/>
        <v>47955</v>
      </c>
      <c r="AE102" s="281">
        <f t="shared" si="45"/>
        <v>47955</v>
      </c>
      <c r="AF102" s="281">
        <f t="shared" si="45"/>
        <v>63940</v>
      </c>
      <c r="AG102" s="282">
        <f t="shared" si="41"/>
        <v>431595</v>
      </c>
      <c r="AH102" s="303">
        <f t="shared" ref="AH102:AS102" si="46">SUM(AH103:AH112)</f>
        <v>73531</v>
      </c>
      <c r="AI102" s="281">
        <f t="shared" si="46"/>
        <v>91913.75</v>
      </c>
      <c r="AJ102" s="281">
        <f t="shared" si="46"/>
        <v>91913.75</v>
      </c>
      <c r="AK102" s="281">
        <f t="shared" si="46"/>
        <v>104168.91666666672</v>
      </c>
      <c r="AL102" s="281">
        <f t="shared" si="46"/>
        <v>113360.29166666672</v>
      </c>
      <c r="AM102" s="281">
        <f t="shared" si="46"/>
        <v>122551.66666666672</v>
      </c>
      <c r="AN102" s="281">
        <f t="shared" si="46"/>
        <v>131743.04166666674</v>
      </c>
      <c r="AO102" s="281">
        <f t="shared" si="46"/>
        <v>140934.41666666674</v>
      </c>
      <c r="AP102" s="281">
        <f t="shared" si="46"/>
        <v>150125.79166666674</v>
      </c>
      <c r="AQ102" s="281">
        <f t="shared" si="46"/>
        <v>159317.16666666674</v>
      </c>
      <c r="AR102" s="281">
        <f t="shared" si="46"/>
        <v>168508.54166666674</v>
      </c>
      <c r="AS102" s="281">
        <f t="shared" si="46"/>
        <v>177699.91666666674</v>
      </c>
      <c r="AT102" s="282">
        <f t="shared" si="42"/>
        <v>1525768.2500000007</v>
      </c>
    </row>
    <row r="103" spans="1:46" s="269" customFormat="1" outlineLevel="1">
      <c r="A103" s="283" t="s">
        <v>220</v>
      </c>
      <c r="B103" s="284" t="s">
        <v>532</v>
      </c>
      <c r="C103" s="285">
        <v>5000</v>
      </c>
      <c r="D103" s="285">
        <v>1</v>
      </c>
      <c r="E103" s="286">
        <f t="shared" ref="E103:E124" si="47">C103*D103</f>
        <v>5000</v>
      </c>
      <c r="F103" s="286">
        <f>E103+E103*'Вводные данные'!$D$4</f>
        <v>5750</v>
      </c>
      <c r="G103" s="287">
        <f>F103+F103*'Вводные данные'!$E$4</f>
        <v>6612.5</v>
      </c>
      <c r="H103" s="288">
        <f>$E$103*Продажи!B13</f>
        <v>0</v>
      </c>
      <c r="I103" s="288">
        <f>$E$103*Продажи!C13</f>
        <v>0</v>
      </c>
      <c r="J103" s="288">
        <f>$E$103*Продажи!D13</f>
        <v>0</v>
      </c>
      <c r="K103" s="288">
        <f>$E$103*Продажи!E13</f>
        <v>0</v>
      </c>
      <c r="L103" s="288">
        <f>$E$103*Продажи!F13</f>
        <v>0</v>
      </c>
      <c r="M103" s="288">
        <f>$E$103*Продажи!G13</f>
        <v>0</v>
      </c>
      <c r="N103" s="288">
        <f>$E$103*Продажи!H13</f>
        <v>0</v>
      </c>
      <c r="O103" s="288">
        <f>$E$103*Продажи!I13</f>
        <v>5000</v>
      </c>
      <c r="P103" s="288">
        <f>$E$103*Продажи!J13</f>
        <v>5000</v>
      </c>
      <c r="Q103" s="288">
        <f>$E$103*Продажи!K13</f>
        <v>5000</v>
      </c>
      <c r="R103" s="288">
        <f>$E$103*Продажи!L13</f>
        <v>5000</v>
      </c>
      <c r="S103" s="288">
        <f>$E$103*Продажи!M13</f>
        <v>5000</v>
      </c>
      <c r="T103" s="290">
        <f t="shared" si="44"/>
        <v>25000</v>
      </c>
      <c r="U103" s="304">
        <f>$F$103*Продажи!O13</f>
        <v>5750</v>
      </c>
      <c r="V103" s="293">
        <f>$F$103*Продажи!P13</f>
        <v>5750</v>
      </c>
      <c r="W103" s="293">
        <f>$F$103*Продажи!Q13</f>
        <v>5750</v>
      </c>
      <c r="X103" s="293">
        <f>$F$103*Продажи!R13</f>
        <v>11500</v>
      </c>
      <c r="Y103" s="293">
        <f>$F$103*Продажи!S13</f>
        <v>11500</v>
      </c>
      <c r="Z103" s="293">
        <f>$F$103*Продажи!T13</f>
        <v>11500</v>
      </c>
      <c r="AA103" s="293">
        <f>$F$103*Продажи!U13</f>
        <v>11500</v>
      </c>
      <c r="AB103" s="293">
        <f>$F$103*Продажи!V13</f>
        <v>17250</v>
      </c>
      <c r="AC103" s="293">
        <f>$F$103*Продажи!W13</f>
        <v>17250</v>
      </c>
      <c r="AD103" s="293">
        <f>$F$103*Продажи!X13</f>
        <v>17250</v>
      </c>
      <c r="AE103" s="293">
        <f>$F$103*Продажи!Y13</f>
        <v>17250</v>
      </c>
      <c r="AF103" s="293">
        <f>$F$103*Продажи!Z13</f>
        <v>23000</v>
      </c>
      <c r="AG103" s="290">
        <f t="shared" si="41"/>
        <v>155250</v>
      </c>
      <c r="AH103" s="292">
        <f>$G$103*Продажи!AB13</f>
        <v>26450</v>
      </c>
      <c r="AI103" s="292">
        <f>$G$103*Продажи!AC13</f>
        <v>33062.5</v>
      </c>
      <c r="AJ103" s="292">
        <f>$G$103*Продажи!AD13</f>
        <v>33062.5</v>
      </c>
      <c r="AK103" s="292">
        <f>$G$103*Продажи!AE13</f>
        <v>37470.83333333335</v>
      </c>
      <c r="AL103" s="292">
        <f>$G$103*Продажи!AF13</f>
        <v>40777.08333333335</v>
      </c>
      <c r="AM103" s="292">
        <f>$G$103*Продажи!AG13</f>
        <v>44083.33333333335</v>
      </c>
      <c r="AN103" s="292">
        <f>$G$103*Продажи!AH13</f>
        <v>47389.58333333335</v>
      </c>
      <c r="AO103" s="292">
        <f>$G$103*Продажи!AI13</f>
        <v>50695.83333333335</v>
      </c>
      <c r="AP103" s="292">
        <f>$G$103*Продажи!AJ13</f>
        <v>54002.08333333335</v>
      </c>
      <c r="AQ103" s="292">
        <f>$G$103*Продажи!AK13</f>
        <v>57308.33333333335</v>
      </c>
      <c r="AR103" s="292">
        <f>$G$103*Продажи!AL13</f>
        <v>60614.58333333335</v>
      </c>
      <c r="AS103" s="292">
        <f>$G$103*Продажи!AM13</f>
        <v>63920.83333333335</v>
      </c>
      <c r="AT103" s="290">
        <f t="shared" si="42"/>
        <v>548837.50000000023</v>
      </c>
    </row>
    <row r="104" spans="1:46" s="269" customFormat="1" outlineLevel="1">
      <c r="A104" s="283" t="s">
        <v>221</v>
      </c>
      <c r="B104" s="284" t="s">
        <v>533</v>
      </c>
      <c r="C104" s="285">
        <v>7000</v>
      </c>
      <c r="D104" s="285">
        <v>1</v>
      </c>
      <c r="E104" s="286">
        <f t="shared" si="47"/>
        <v>7000</v>
      </c>
      <c r="F104" s="286">
        <f>E104+E104*'Вводные данные'!$D$4</f>
        <v>8050</v>
      </c>
      <c r="G104" s="287">
        <f>F104+F104*'Вводные данные'!$E$4</f>
        <v>9257.5</v>
      </c>
      <c r="H104" s="288">
        <f>$E$104*Продажи!B13</f>
        <v>0</v>
      </c>
      <c r="I104" s="288">
        <f>$E$104*Продажи!C13</f>
        <v>0</v>
      </c>
      <c r="J104" s="288">
        <f>$E$104*Продажи!D13</f>
        <v>0</v>
      </c>
      <c r="K104" s="288">
        <f>$E$104*Продажи!E13</f>
        <v>0</v>
      </c>
      <c r="L104" s="288">
        <f>$E$104*Продажи!F13</f>
        <v>0</v>
      </c>
      <c r="M104" s="288">
        <f>$E$104*Продажи!G13</f>
        <v>0</v>
      </c>
      <c r="N104" s="288">
        <f>$E$104*Продажи!H13</f>
        <v>0</v>
      </c>
      <c r="O104" s="288">
        <f>$E$104*Продажи!I13</f>
        <v>7000</v>
      </c>
      <c r="P104" s="288">
        <f>$E$104*Продажи!J13</f>
        <v>7000</v>
      </c>
      <c r="Q104" s="288">
        <f>$E$104*Продажи!K13</f>
        <v>7000</v>
      </c>
      <c r="R104" s="288">
        <f>$E$104*Продажи!L13</f>
        <v>7000</v>
      </c>
      <c r="S104" s="288">
        <f>$E$104*Продажи!M13</f>
        <v>7000</v>
      </c>
      <c r="T104" s="290">
        <f t="shared" si="44"/>
        <v>35000</v>
      </c>
      <c r="U104" s="304">
        <f>$F$104*Продажи!O13</f>
        <v>8050</v>
      </c>
      <c r="V104" s="293">
        <f>$F$104*Продажи!P13</f>
        <v>8050</v>
      </c>
      <c r="W104" s="293">
        <f>$F$104*Продажи!Q13</f>
        <v>8050</v>
      </c>
      <c r="X104" s="293">
        <f>$F$104*Продажи!R13</f>
        <v>16100</v>
      </c>
      <c r="Y104" s="293">
        <f>$F$104*Продажи!S13</f>
        <v>16100</v>
      </c>
      <c r="Z104" s="293">
        <f>$F$104*Продажи!T13</f>
        <v>16100</v>
      </c>
      <c r="AA104" s="293">
        <f>$F$104*Продажи!U13</f>
        <v>16100</v>
      </c>
      <c r="AB104" s="293">
        <f>$F$104*Продажи!V13</f>
        <v>24150</v>
      </c>
      <c r="AC104" s="293">
        <f>$F$104*Продажи!W13</f>
        <v>24150</v>
      </c>
      <c r="AD104" s="293">
        <f>$F$104*Продажи!X13</f>
        <v>24150</v>
      </c>
      <c r="AE104" s="293">
        <f>$F$104*Продажи!Y13</f>
        <v>24150</v>
      </c>
      <c r="AF104" s="293">
        <f>$F$104*Продажи!Z13</f>
        <v>32200</v>
      </c>
      <c r="AG104" s="290">
        <f t="shared" si="41"/>
        <v>217350</v>
      </c>
      <c r="AH104" s="292">
        <f>$G$104*Продажи!AB13</f>
        <v>37030</v>
      </c>
      <c r="AI104" s="292">
        <f>$G$104*Продажи!AC13</f>
        <v>46287.5</v>
      </c>
      <c r="AJ104" s="292">
        <f>$G$104*Продажи!AD13</f>
        <v>46287.5</v>
      </c>
      <c r="AK104" s="292">
        <f>$G$104*Продажи!AE13</f>
        <v>52459.166666666693</v>
      </c>
      <c r="AL104" s="292">
        <f>$G$104*Продажи!AF13</f>
        <v>57087.916666666693</v>
      </c>
      <c r="AM104" s="292">
        <f>$G$104*Продажи!AG13</f>
        <v>61716.666666666693</v>
      </c>
      <c r="AN104" s="292">
        <f>$G$104*Продажи!AH13</f>
        <v>66345.416666666701</v>
      </c>
      <c r="AO104" s="292">
        <f>$G$104*Продажи!AI13</f>
        <v>70974.166666666701</v>
      </c>
      <c r="AP104" s="292">
        <f>$G$104*Продажи!AJ13</f>
        <v>75602.916666666701</v>
      </c>
      <c r="AQ104" s="292">
        <f>$G$104*Продажи!AK13</f>
        <v>80231.666666666701</v>
      </c>
      <c r="AR104" s="292">
        <f>$G$104*Продажи!AL13</f>
        <v>84860.416666666701</v>
      </c>
      <c r="AS104" s="292">
        <f>$G$104*Продажи!AM13</f>
        <v>89489.166666666701</v>
      </c>
      <c r="AT104" s="290">
        <f t="shared" si="42"/>
        <v>768372.50000000035</v>
      </c>
    </row>
    <row r="105" spans="1:46" s="269" customFormat="1" outlineLevel="1">
      <c r="A105" s="283" t="s">
        <v>222</v>
      </c>
      <c r="B105" s="284" t="s">
        <v>534</v>
      </c>
      <c r="C105" s="285">
        <v>1900</v>
      </c>
      <c r="D105" s="285">
        <v>1</v>
      </c>
      <c r="E105" s="286">
        <f t="shared" si="47"/>
        <v>1900</v>
      </c>
      <c r="F105" s="286">
        <f>E105+E105*'Вводные данные'!$D$4</f>
        <v>2185</v>
      </c>
      <c r="G105" s="287">
        <f>F105+F105*'Вводные данные'!$E$4</f>
        <v>2512.75</v>
      </c>
      <c r="H105" s="288">
        <f>$E$105*Продажи!B13</f>
        <v>0</v>
      </c>
      <c r="I105" s="288">
        <f>$E$105*Продажи!C13</f>
        <v>0</v>
      </c>
      <c r="J105" s="288">
        <f>$E$105*Продажи!D13</f>
        <v>0</v>
      </c>
      <c r="K105" s="288">
        <f>$E$105*Продажи!E13</f>
        <v>0</v>
      </c>
      <c r="L105" s="288">
        <f>$E$105*Продажи!F13</f>
        <v>0</v>
      </c>
      <c r="M105" s="288">
        <f>$E$105*Продажи!G13</f>
        <v>0</v>
      </c>
      <c r="N105" s="288">
        <f>$E$105*Продажи!H13</f>
        <v>0</v>
      </c>
      <c r="O105" s="288">
        <f>$E$105*Продажи!I13</f>
        <v>1900</v>
      </c>
      <c r="P105" s="288">
        <f>$E$105*Продажи!J13</f>
        <v>1900</v>
      </c>
      <c r="Q105" s="288">
        <f>$E$105*Продажи!K13</f>
        <v>1900</v>
      </c>
      <c r="R105" s="288">
        <f>$E$105*Продажи!L13</f>
        <v>1900</v>
      </c>
      <c r="S105" s="288">
        <f>$E$105*Продажи!M13</f>
        <v>1900</v>
      </c>
      <c r="T105" s="290">
        <f t="shared" si="44"/>
        <v>9500</v>
      </c>
      <c r="U105" s="304">
        <f>$F$105*Продажи!O13</f>
        <v>2185</v>
      </c>
      <c r="V105" s="293">
        <f>$F$105*Продажи!P13</f>
        <v>2185</v>
      </c>
      <c r="W105" s="293">
        <f>$F$105*Продажи!Q13</f>
        <v>2185</v>
      </c>
      <c r="X105" s="293">
        <f>$F$105*Продажи!R13</f>
        <v>4370</v>
      </c>
      <c r="Y105" s="293">
        <f>$F$105*Продажи!S13</f>
        <v>4370</v>
      </c>
      <c r="Z105" s="293">
        <f>$F$105*Продажи!T13</f>
        <v>4370</v>
      </c>
      <c r="AA105" s="293">
        <f>$F$105*Продажи!U13</f>
        <v>4370</v>
      </c>
      <c r="AB105" s="293">
        <f>$F$105*Продажи!V13</f>
        <v>6555</v>
      </c>
      <c r="AC105" s="293">
        <f>$F$105*Продажи!W13</f>
        <v>6555</v>
      </c>
      <c r="AD105" s="293">
        <f>$F$105*Продажи!X13</f>
        <v>6555</v>
      </c>
      <c r="AE105" s="293">
        <f>$F$105*Продажи!Y13</f>
        <v>6555</v>
      </c>
      <c r="AF105" s="293">
        <f>$F$105*Продажи!Z13</f>
        <v>8740</v>
      </c>
      <c r="AG105" s="290">
        <f t="shared" si="41"/>
        <v>58995</v>
      </c>
      <c r="AH105" s="292">
        <f>$G$105*Продажи!AB13</f>
        <v>10051</v>
      </c>
      <c r="AI105" s="292">
        <f>$G$105*Продажи!AC13</f>
        <v>12563.75</v>
      </c>
      <c r="AJ105" s="292">
        <f>$G$105*Продажи!AD13</f>
        <v>12563.75</v>
      </c>
      <c r="AK105" s="292">
        <f>$G$105*Продажи!AE13</f>
        <v>14238.916666666673</v>
      </c>
      <c r="AL105" s="292">
        <f>$G$105*Продажи!AF13</f>
        <v>15495.291666666673</v>
      </c>
      <c r="AM105" s="292">
        <f>$G$105*Продажи!AG13</f>
        <v>16751.666666666675</v>
      </c>
      <c r="AN105" s="292">
        <f>$G$105*Продажи!AH13</f>
        <v>18008.041666666675</v>
      </c>
      <c r="AO105" s="292">
        <f>$G$105*Продажи!AI13</f>
        <v>19264.416666666675</v>
      </c>
      <c r="AP105" s="292">
        <f>$G$105*Продажи!AJ13</f>
        <v>20520.791666666675</v>
      </c>
      <c r="AQ105" s="292">
        <f>$G$105*Продажи!AK13</f>
        <v>21777.166666666675</v>
      </c>
      <c r="AR105" s="292">
        <f>$G$105*Продажи!AL13</f>
        <v>23033.541666666675</v>
      </c>
      <c r="AS105" s="292">
        <f>$G$105*Продажи!AM13</f>
        <v>24289.916666666675</v>
      </c>
      <c r="AT105" s="290">
        <f t="shared" si="42"/>
        <v>208558.25000000009</v>
      </c>
    </row>
    <row r="106" spans="1:46" s="269" customFormat="1" outlineLevel="1">
      <c r="A106" s="283" t="s">
        <v>223</v>
      </c>
      <c r="B106" s="284" t="s">
        <v>149</v>
      </c>
      <c r="C106" s="285"/>
      <c r="D106" s="285"/>
      <c r="E106" s="286">
        <f t="shared" si="47"/>
        <v>0</v>
      </c>
      <c r="F106" s="286">
        <f>E106+E106*'Вводные данные'!$D$4</f>
        <v>0</v>
      </c>
      <c r="G106" s="287">
        <f>F106+F106*'Вводные данные'!$E$4</f>
        <v>0</v>
      </c>
      <c r="H106" s="288">
        <f>$E$106*Продажи!B13</f>
        <v>0</v>
      </c>
      <c r="I106" s="288">
        <f>$E$106*Продажи!C13</f>
        <v>0</v>
      </c>
      <c r="J106" s="288">
        <f>$E$106*Продажи!D13</f>
        <v>0</v>
      </c>
      <c r="K106" s="288">
        <f>$E$106*Продажи!E13</f>
        <v>0</v>
      </c>
      <c r="L106" s="288">
        <f>$E$106*Продажи!F13</f>
        <v>0</v>
      </c>
      <c r="M106" s="288">
        <f>$E$106*Продажи!G13</f>
        <v>0</v>
      </c>
      <c r="N106" s="288">
        <f>$E$106*Продажи!H13</f>
        <v>0</v>
      </c>
      <c r="O106" s="288">
        <f>$E$106*Продажи!I13</f>
        <v>0</v>
      </c>
      <c r="P106" s="288">
        <f>$E$106*Продажи!J13</f>
        <v>0</v>
      </c>
      <c r="Q106" s="288">
        <f>$E$106*Продажи!K13</f>
        <v>0</v>
      </c>
      <c r="R106" s="288">
        <f>$E$106*Продажи!L13</f>
        <v>0</v>
      </c>
      <c r="S106" s="288">
        <f>$E$106*Продажи!M13</f>
        <v>0</v>
      </c>
      <c r="T106" s="290">
        <f t="shared" si="44"/>
        <v>0</v>
      </c>
      <c r="U106" s="304">
        <f>$F$106*Продажи!O13</f>
        <v>0</v>
      </c>
      <c r="V106" s="293">
        <f>$F$106*Продажи!P13</f>
        <v>0</v>
      </c>
      <c r="W106" s="293">
        <f>$F$106*Продажи!Q13</f>
        <v>0</v>
      </c>
      <c r="X106" s="293">
        <f>$F$106*Продажи!R13</f>
        <v>0</v>
      </c>
      <c r="Y106" s="293">
        <f>$F$106*Продажи!S13</f>
        <v>0</v>
      </c>
      <c r="Z106" s="293">
        <f>$F$106*Продажи!T13</f>
        <v>0</v>
      </c>
      <c r="AA106" s="293">
        <f>$F$106*Продажи!U13</f>
        <v>0</v>
      </c>
      <c r="AB106" s="293">
        <f>$F$106*Продажи!V13</f>
        <v>0</v>
      </c>
      <c r="AC106" s="293">
        <f>$F$106*Продажи!W13</f>
        <v>0</v>
      </c>
      <c r="AD106" s="293">
        <f>$F$106*Продажи!X13</f>
        <v>0</v>
      </c>
      <c r="AE106" s="293">
        <f>$F$106*Продажи!Y13</f>
        <v>0</v>
      </c>
      <c r="AF106" s="293">
        <f>$F$106*Продажи!Z13</f>
        <v>0</v>
      </c>
      <c r="AG106" s="290">
        <f t="shared" si="41"/>
        <v>0</v>
      </c>
      <c r="AH106" s="292">
        <f>$G$106*Продажи!AB13</f>
        <v>0</v>
      </c>
      <c r="AI106" s="292">
        <f>$G$106*Продажи!AC13</f>
        <v>0</v>
      </c>
      <c r="AJ106" s="292">
        <f>$G$106*Продажи!AD13</f>
        <v>0</v>
      </c>
      <c r="AK106" s="292">
        <f>$G$106*Продажи!AE13</f>
        <v>0</v>
      </c>
      <c r="AL106" s="292">
        <f>$G$106*Продажи!AF13</f>
        <v>0</v>
      </c>
      <c r="AM106" s="292">
        <f>$G$106*Продажи!AG13</f>
        <v>0</v>
      </c>
      <c r="AN106" s="292">
        <f>$G$106*Продажи!AH13</f>
        <v>0</v>
      </c>
      <c r="AO106" s="292">
        <f>$G$106*Продажи!AI13</f>
        <v>0</v>
      </c>
      <c r="AP106" s="292">
        <f>$G$106*Продажи!AJ13</f>
        <v>0</v>
      </c>
      <c r="AQ106" s="292">
        <f>$G$106*Продажи!AK13</f>
        <v>0</v>
      </c>
      <c r="AR106" s="292">
        <f>$G$106*Продажи!AL13</f>
        <v>0</v>
      </c>
      <c r="AS106" s="292">
        <f>$G$106*Продажи!AM13</f>
        <v>0</v>
      </c>
      <c r="AT106" s="290">
        <f t="shared" si="42"/>
        <v>0</v>
      </c>
    </row>
    <row r="107" spans="1:46" s="269" customFormat="1" outlineLevel="1">
      <c r="A107" s="283" t="s">
        <v>224</v>
      </c>
      <c r="B107" s="284" t="s">
        <v>151</v>
      </c>
      <c r="C107" s="285"/>
      <c r="D107" s="285"/>
      <c r="E107" s="286">
        <f t="shared" si="47"/>
        <v>0</v>
      </c>
      <c r="F107" s="286">
        <f>E107+E107*'Вводные данные'!$D$4</f>
        <v>0</v>
      </c>
      <c r="G107" s="287">
        <f>F107+F107*'Вводные данные'!$E$4</f>
        <v>0</v>
      </c>
      <c r="H107" s="288">
        <f>$E$107*Продажи!B13</f>
        <v>0</v>
      </c>
      <c r="I107" s="288">
        <f>$E$107*Продажи!C13</f>
        <v>0</v>
      </c>
      <c r="J107" s="288">
        <f>$E$107*Продажи!D13</f>
        <v>0</v>
      </c>
      <c r="K107" s="288">
        <f>$E$107*Продажи!E13</f>
        <v>0</v>
      </c>
      <c r="L107" s="288">
        <f>$E$107*Продажи!F13</f>
        <v>0</v>
      </c>
      <c r="M107" s="288">
        <f>$E$107*Продажи!G13</f>
        <v>0</v>
      </c>
      <c r="N107" s="288">
        <f>$E$107*Продажи!H13</f>
        <v>0</v>
      </c>
      <c r="O107" s="288">
        <f>$E$107*Продажи!I13</f>
        <v>0</v>
      </c>
      <c r="P107" s="288">
        <f>$E$107*Продажи!J13</f>
        <v>0</v>
      </c>
      <c r="Q107" s="288">
        <f>$E$107*Продажи!K13</f>
        <v>0</v>
      </c>
      <c r="R107" s="288">
        <f>$E$107*Продажи!L13</f>
        <v>0</v>
      </c>
      <c r="S107" s="288">
        <f>$E$107*Продажи!M13</f>
        <v>0</v>
      </c>
      <c r="T107" s="290">
        <f t="shared" si="44"/>
        <v>0</v>
      </c>
      <c r="U107" s="304">
        <f>$F$107*Продажи!O13</f>
        <v>0</v>
      </c>
      <c r="V107" s="293">
        <f>$F$107*Продажи!P13</f>
        <v>0</v>
      </c>
      <c r="W107" s="293">
        <f>$F$107*Продажи!Q13</f>
        <v>0</v>
      </c>
      <c r="X107" s="293">
        <f>$F$107*Продажи!R13</f>
        <v>0</v>
      </c>
      <c r="Y107" s="293">
        <f>$F$107*Продажи!S13</f>
        <v>0</v>
      </c>
      <c r="Z107" s="293">
        <f>$F$107*Продажи!T13</f>
        <v>0</v>
      </c>
      <c r="AA107" s="293">
        <f>$F$107*Продажи!U13</f>
        <v>0</v>
      </c>
      <c r="AB107" s="293">
        <f>$F$107*Продажи!V13</f>
        <v>0</v>
      </c>
      <c r="AC107" s="293">
        <f>$F$107*Продажи!W13</f>
        <v>0</v>
      </c>
      <c r="AD107" s="293">
        <f>$F$107*Продажи!X13</f>
        <v>0</v>
      </c>
      <c r="AE107" s="293">
        <f>$F$107*Продажи!Y13</f>
        <v>0</v>
      </c>
      <c r="AF107" s="293">
        <f>$F$107*Продажи!Z13</f>
        <v>0</v>
      </c>
      <c r="AG107" s="290">
        <f t="shared" si="41"/>
        <v>0</v>
      </c>
      <c r="AH107" s="292">
        <f>$G$107*Продажи!AB13</f>
        <v>0</v>
      </c>
      <c r="AI107" s="292">
        <f>$G$107*Продажи!AC13</f>
        <v>0</v>
      </c>
      <c r="AJ107" s="292">
        <f>$G$107*Продажи!AD13</f>
        <v>0</v>
      </c>
      <c r="AK107" s="292">
        <f>$G$107*Продажи!AE13</f>
        <v>0</v>
      </c>
      <c r="AL107" s="292">
        <f>$G$107*Продажи!AF13</f>
        <v>0</v>
      </c>
      <c r="AM107" s="292">
        <f>$G$107*Продажи!AG13</f>
        <v>0</v>
      </c>
      <c r="AN107" s="292">
        <f>$G$107*Продажи!AH13</f>
        <v>0</v>
      </c>
      <c r="AO107" s="292">
        <f>$G$107*Продажи!AI13</f>
        <v>0</v>
      </c>
      <c r="AP107" s="292">
        <f>$G$107*Продажи!AJ13</f>
        <v>0</v>
      </c>
      <c r="AQ107" s="292">
        <f>$G$107*Продажи!AK13</f>
        <v>0</v>
      </c>
      <c r="AR107" s="292">
        <f>$G$107*Продажи!AL13</f>
        <v>0</v>
      </c>
      <c r="AS107" s="292">
        <f>$G$107*Продажи!AM13</f>
        <v>0</v>
      </c>
      <c r="AT107" s="290">
        <f t="shared" si="42"/>
        <v>0</v>
      </c>
    </row>
    <row r="108" spans="1:46" s="269" customFormat="1" outlineLevel="1">
      <c r="A108" s="283" t="s">
        <v>225</v>
      </c>
      <c r="B108" s="284" t="s">
        <v>153</v>
      </c>
      <c r="C108" s="285"/>
      <c r="D108" s="285"/>
      <c r="E108" s="286">
        <f t="shared" si="47"/>
        <v>0</v>
      </c>
      <c r="F108" s="286">
        <f>E108+E108*'Вводные данные'!$D$4</f>
        <v>0</v>
      </c>
      <c r="G108" s="287">
        <f>F108+F108*'Вводные данные'!$E$4</f>
        <v>0</v>
      </c>
      <c r="H108" s="288">
        <f>$E$108*Продажи!B13</f>
        <v>0</v>
      </c>
      <c r="I108" s="288">
        <f>$E$108*Продажи!C13</f>
        <v>0</v>
      </c>
      <c r="J108" s="288">
        <f>$E$108*Продажи!D13</f>
        <v>0</v>
      </c>
      <c r="K108" s="288">
        <f>$E$108*Продажи!E13</f>
        <v>0</v>
      </c>
      <c r="L108" s="288">
        <f>$E$108*Продажи!F13</f>
        <v>0</v>
      </c>
      <c r="M108" s="288">
        <f>$E$108*Продажи!G13</f>
        <v>0</v>
      </c>
      <c r="N108" s="288">
        <f>$E$108*Продажи!H13</f>
        <v>0</v>
      </c>
      <c r="O108" s="288">
        <f>$E$108*Продажи!I13</f>
        <v>0</v>
      </c>
      <c r="P108" s="288">
        <f>$E$108*Продажи!J13</f>
        <v>0</v>
      </c>
      <c r="Q108" s="288">
        <f>$E$108*Продажи!K13</f>
        <v>0</v>
      </c>
      <c r="R108" s="288">
        <f>$E$108*Продажи!L13</f>
        <v>0</v>
      </c>
      <c r="S108" s="288">
        <f>$E$108*Продажи!M13</f>
        <v>0</v>
      </c>
      <c r="T108" s="290">
        <f t="shared" si="44"/>
        <v>0</v>
      </c>
      <c r="U108" s="304">
        <f>$F$108*Продажи!O13</f>
        <v>0</v>
      </c>
      <c r="V108" s="293">
        <f>$F$108*Продажи!P13</f>
        <v>0</v>
      </c>
      <c r="W108" s="293">
        <f>$F$108*Продажи!Q13</f>
        <v>0</v>
      </c>
      <c r="X108" s="293">
        <f>$F$108*Продажи!R13</f>
        <v>0</v>
      </c>
      <c r="Y108" s="293">
        <f>$F$108*Продажи!S13</f>
        <v>0</v>
      </c>
      <c r="Z108" s="293">
        <f>$F$108*Продажи!T13</f>
        <v>0</v>
      </c>
      <c r="AA108" s="293">
        <f>$F$108*Продажи!U13</f>
        <v>0</v>
      </c>
      <c r="AB108" s="293">
        <f>$F$108*Продажи!V13</f>
        <v>0</v>
      </c>
      <c r="AC108" s="293">
        <f>$F$108*Продажи!W13</f>
        <v>0</v>
      </c>
      <c r="AD108" s="293">
        <f>$F$108*Продажи!X13</f>
        <v>0</v>
      </c>
      <c r="AE108" s="293">
        <f>$F$108*Продажи!Y13</f>
        <v>0</v>
      </c>
      <c r="AF108" s="293">
        <f>$F$108*Продажи!Z13</f>
        <v>0</v>
      </c>
      <c r="AG108" s="290">
        <f t="shared" si="41"/>
        <v>0</v>
      </c>
      <c r="AH108" s="292">
        <f>$G$108*Продажи!AB13</f>
        <v>0</v>
      </c>
      <c r="AI108" s="292">
        <f>$G$108*Продажи!AC13</f>
        <v>0</v>
      </c>
      <c r="AJ108" s="292">
        <f>$G$108*Продажи!AD13</f>
        <v>0</v>
      </c>
      <c r="AK108" s="292">
        <f>$G$108*Продажи!AE13</f>
        <v>0</v>
      </c>
      <c r="AL108" s="292">
        <f>$G$108*Продажи!AF13</f>
        <v>0</v>
      </c>
      <c r="AM108" s="292">
        <f>$G$108*Продажи!AG13</f>
        <v>0</v>
      </c>
      <c r="AN108" s="292">
        <f>$G$108*Продажи!AH13</f>
        <v>0</v>
      </c>
      <c r="AO108" s="292">
        <f>$G$108*Продажи!AI13</f>
        <v>0</v>
      </c>
      <c r="AP108" s="292">
        <f>$G$108*Продажи!AJ13</f>
        <v>0</v>
      </c>
      <c r="AQ108" s="292">
        <f>$G$108*Продажи!AK13</f>
        <v>0</v>
      </c>
      <c r="AR108" s="292">
        <f>$G$108*Продажи!AL13</f>
        <v>0</v>
      </c>
      <c r="AS108" s="292">
        <f>$G$108*Продажи!AM13</f>
        <v>0</v>
      </c>
      <c r="AT108" s="290">
        <f t="shared" si="42"/>
        <v>0</v>
      </c>
    </row>
    <row r="109" spans="1:46" s="269" customFormat="1" outlineLevel="1">
      <c r="A109" s="283" t="s">
        <v>226</v>
      </c>
      <c r="B109" s="284" t="s">
        <v>155</v>
      </c>
      <c r="C109" s="285"/>
      <c r="D109" s="285"/>
      <c r="E109" s="286">
        <f t="shared" si="47"/>
        <v>0</v>
      </c>
      <c r="F109" s="286">
        <f>E109+E109*'Вводные данные'!$D$4</f>
        <v>0</v>
      </c>
      <c r="G109" s="287">
        <f>F109+F109*'Вводные данные'!$E$4</f>
        <v>0</v>
      </c>
      <c r="H109" s="288">
        <f>$E$109*Продажи!B13</f>
        <v>0</v>
      </c>
      <c r="I109" s="288">
        <f>$E$109*Продажи!C13</f>
        <v>0</v>
      </c>
      <c r="J109" s="288">
        <f>$E$109*Продажи!D13</f>
        <v>0</v>
      </c>
      <c r="K109" s="288">
        <f>$E$109*Продажи!E13</f>
        <v>0</v>
      </c>
      <c r="L109" s="288">
        <f>$E$109*Продажи!F13</f>
        <v>0</v>
      </c>
      <c r="M109" s="288">
        <f>$E$109*Продажи!G13</f>
        <v>0</v>
      </c>
      <c r="N109" s="288">
        <f>$E$109*Продажи!H13</f>
        <v>0</v>
      </c>
      <c r="O109" s="288">
        <f>$E$109*Продажи!I13</f>
        <v>0</v>
      </c>
      <c r="P109" s="288">
        <f>$E$109*Продажи!J13</f>
        <v>0</v>
      </c>
      <c r="Q109" s="288">
        <f>$E$109*Продажи!K13</f>
        <v>0</v>
      </c>
      <c r="R109" s="288">
        <f>$E$109*Продажи!L13</f>
        <v>0</v>
      </c>
      <c r="S109" s="288">
        <f>$E$109*Продажи!M13</f>
        <v>0</v>
      </c>
      <c r="T109" s="290">
        <f t="shared" si="44"/>
        <v>0</v>
      </c>
      <c r="U109" s="304">
        <f>$F$109*Продажи!O13</f>
        <v>0</v>
      </c>
      <c r="V109" s="293">
        <f>$F$109*Продажи!P13</f>
        <v>0</v>
      </c>
      <c r="W109" s="293">
        <f>$F$109*Продажи!Q13</f>
        <v>0</v>
      </c>
      <c r="X109" s="293">
        <f>$F$109*Продажи!R13</f>
        <v>0</v>
      </c>
      <c r="Y109" s="293">
        <f>$F$109*Продажи!S13</f>
        <v>0</v>
      </c>
      <c r="Z109" s="293">
        <f>$F$109*Продажи!T13</f>
        <v>0</v>
      </c>
      <c r="AA109" s="293">
        <f>$F$109*Продажи!U13</f>
        <v>0</v>
      </c>
      <c r="AB109" s="293">
        <f>$F$109*Продажи!V13</f>
        <v>0</v>
      </c>
      <c r="AC109" s="293">
        <f>$F$109*Продажи!W13</f>
        <v>0</v>
      </c>
      <c r="AD109" s="293">
        <f>$F$109*Продажи!X13</f>
        <v>0</v>
      </c>
      <c r="AE109" s="293">
        <f>$F$109*Продажи!Y13</f>
        <v>0</v>
      </c>
      <c r="AF109" s="293">
        <f>$F$109*Продажи!Z13</f>
        <v>0</v>
      </c>
      <c r="AG109" s="290">
        <f t="shared" si="41"/>
        <v>0</v>
      </c>
      <c r="AH109" s="292">
        <f>$G$109*Продажи!AB13</f>
        <v>0</v>
      </c>
      <c r="AI109" s="292">
        <f>$G$109*Продажи!AC13</f>
        <v>0</v>
      </c>
      <c r="AJ109" s="292">
        <f>$G$109*Продажи!AD13</f>
        <v>0</v>
      </c>
      <c r="AK109" s="292">
        <f>$G$109*Продажи!AE13</f>
        <v>0</v>
      </c>
      <c r="AL109" s="292">
        <f>$G$109*Продажи!AF13</f>
        <v>0</v>
      </c>
      <c r="AM109" s="292">
        <f>$G$109*Продажи!AG13</f>
        <v>0</v>
      </c>
      <c r="AN109" s="292">
        <f>$G$109*Продажи!AH13</f>
        <v>0</v>
      </c>
      <c r="AO109" s="292">
        <f>$G$109*Продажи!AI13</f>
        <v>0</v>
      </c>
      <c r="AP109" s="292">
        <f>$G$109*Продажи!AJ13</f>
        <v>0</v>
      </c>
      <c r="AQ109" s="292">
        <f>$G$109*Продажи!AK13</f>
        <v>0</v>
      </c>
      <c r="AR109" s="292">
        <f>$G$109*Продажи!AL13</f>
        <v>0</v>
      </c>
      <c r="AS109" s="292">
        <f>$G$109*Продажи!AM13</f>
        <v>0</v>
      </c>
      <c r="AT109" s="290">
        <f t="shared" si="42"/>
        <v>0</v>
      </c>
    </row>
    <row r="110" spans="1:46" s="269" customFormat="1" outlineLevel="1">
      <c r="A110" s="283" t="s">
        <v>227</v>
      </c>
      <c r="B110" s="284" t="s">
        <v>157</v>
      </c>
      <c r="C110" s="285"/>
      <c r="D110" s="285"/>
      <c r="E110" s="286">
        <f t="shared" si="47"/>
        <v>0</v>
      </c>
      <c r="F110" s="286">
        <f>E110+E110*'Вводные данные'!$D$4</f>
        <v>0</v>
      </c>
      <c r="G110" s="287">
        <f>F110+F110*'Вводные данные'!$E$4</f>
        <v>0</v>
      </c>
      <c r="H110" s="288">
        <f>$E$110*Продажи!B13</f>
        <v>0</v>
      </c>
      <c r="I110" s="288">
        <f>$E$110*Продажи!C13</f>
        <v>0</v>
      </c>
      <c r="J110" s="288">
        <f>$E$110*Продажи!D13</f>
        <v>0</v>
      </c>
      <c r="K110" s="288">
        <f>$E$110*Продажи!E13</f>
        <v>0</v>
      </c>
      <c r="L110" s="288">
        <f>$E$110*Продажи!F13</f>
        <v>0</v>
      </c>
      <c r="M110" s="288">
        <f>$E$110*Продажи!G13</f>
        <v>0</v>
      </c>
      <c r="N110" s="288">
        <f>$E$110*Продажи!H13</f>
        <v>0</v>
      </c>
      <c r="O110" s="288">
        <f>$E$110*Продажи!I13</f>
        <v>0</v>
      </c>
      <c r="P110" s="288">
        <f>$E$110*Продажи!J13</f>
        <v>0</v>
      </c>
      <c r="Q110" s="288">
        <f>$E$110*Продажи!K13</f>
        <v>0</v>
      </c>
      <c r="R110" s="288">
        <f>$E$110*Продажи!L13</f>
        <v>0</v>
      </c>
      <c r="S110" s="288">
        <f>$E$110*Продажи!M13</f>
        <v>0</v>
      </c>
      <c r="T110" s="290">
        <f t="shared" si="44"/>
        <v>0</v>
      </c>
      <c r="U110" s="304">
        <f>$F$110*Продажи!O13</f>
        <v>0</v>
      </c>
      <c r="V110" s="293">
        <f>$F$110*Продажи!P13</f>
        <v>0</v>
      </c>
      <c r="W110" s="293">
        <f>$F$110*Продажи!Q13</f>
        <v>0</v>
      </c>
      <c r="X110" s="293">
        <f>$F$110*Продажи!R13</f>
        <v>0</v>
      </c>
      <c r="Y110" s="293">
        <f>$F$110*Продажи!S13</f>
        <v>0</v>
      </c>
      <c r="Z110" s="293">
        <f>$F$110*Продажи!T13</f>
        <v>0</v>
      </c>
      <c r="AA110" s="293">
        <f>$F$110*Продажи!U13</f>
        <v>0</v>
      </c>
      <c r="AB110" s="293">
        <f>$F$110*Продажи!V13</f>
        <v>0</v>
      </c>
      <c r="AC110" s="293">
        <f>$F$110*Продажи!W13</f>
        <v>0</v>
      </c>
      <c r="AD110" s="293">
        <f>$F$110*Продажи!X13</f>
        <v>0</v>
      </c>
      <c r="AE110" s="293">
        <f>$F$110*Продажи!Y13</f>
        <v>0</v>
      </c>
      <c r="AF110" s="293">
        <f>$F$110*Продажи!Z13</f>
        <v>0</v>
      </c>
      <c r="AG110" s="290">
        <f t="shared" si="41"/>
        <v>0</v>
      </c>
      <c r="AH110" s="292">
        <f>$G$110*Продажи!AB13</f>
        <v>0</v>
      </c>
      <c r="AI110" s="292">
        <f>$G$110*Продажи!AC13</f>
        <v>0</v>
      </c>
      <c r="AJ110" s="292">
        <f>$G$110*Продажи!AD13</f>
        <v>0</v>
      </c>
      <c r="AK110" s="292">
        <f>$G$110*Продажи!AE13</f>
        <v>0</v>
      </c>
      <c r="AL110" s="292">
        <f>$G$110*Продажи!AF13</f>
        <v>0</v>
      </c>
      <c r="AM110" s="292">
        <f>$G$110*Продажи!AG13</f>
        <v>0</v>
      </c>
      <c r="AN110" s="292">
        <f>$G$110*Продажи!AH13</f>
        <v>0</v>
      </c>
      <c r="AO110" s="292">
        <f>$G$110*Продажи!AI13</f>
        <v>0</v>
      </c>
      <c r="AP110" s="292">
        <f>$G$110*Продажи!AJ13</f>
        <v>0</v>
      </c>
      <c r="AQ110" s="292">
        <f>$G$110*Продажи!AK13</f>
        <v>0</v>
      </c>
      <c r="AR110" s="292">
        <f>$G$110*Продажи!AL13</f>
        <v>0</v>
      </c>
      <c r="AS110" s="292">
        <f>$G$110*Продажи!AM13</f>
        <v>0</v>
      </c>
      <c r="AT110" s="290">
        <f t="shared" si="42"/>
        <v>0</v>
      </c>
    </row>
    <row r="111" spans="1:46" s="269" customFormat="1" outlineLevel="1">
      <c r="A111" s="283" t="s">
        <v>228</v>
      </c>
      <c r="B111" s="284" t="s">
        <v>159</v>
      </c>
      <c r="C111" s="285"/>
      <c r="D111" s="285"/>
      <c r="E111" s="286">
        <f t="shared" si="47"/>
        <v>0</v>
      </c>
      <c r="F111" s="286">
        <f>E111+E111*'Вводные данные'!$D$4</f>
        <v>0</v>
      </c>
      <c r="G111" s="287">
        <f>F111+F111*'Вводные данные'!$E$4</f>
        <v>0</v>
      </c>
      <c r="H111" s="288">
        <f>$E$111*Продажи!B13</f>
        <v>0</v>
      </c>
      <c r="I111" s="288">
        <f>$E$111*Продажи!C13</f>
        <v>0</v>
      </c>
      <c r="J111" s="288">
        <f>$E$111*Продажи!D13</f>
        <v>0</v>
      </c>
      <c r="K111" s="288">
        <f>$E$111*Продажи!E13</f>
        <v>0</v>
      </c>
      <c r="L111" s="288">
        <f>$E$111*Продажи!F13</f>
        <v>0</v>
      </c>
      <c r="M111" s="288">
        <f>$E$111*Продажи!G13</f>
        <v>0</v>
      </c>
      <c r="N111" s="288">
        <f>$E$111*Продажи!H13</f>
        <v>0</v>
      </c>
      <c r="O111" s="288">
        <f>$E$111*Продажи!I13</f>
        <v>0</v>
      </c>
      <c r="P111" s="288">
        <f>$E$111*Продажи!J13</f>
        <v>0</v>
      </c>
      <c r="Q111" s="288">
        <f>$E$111*Продажи!K13</f>
        <v>0</v>
      </c>
      <c r="R111" s="288">
        <f>$E$111*Продажи!L13</f>
        <v>0</v>
      </c>
      <c r="S111" s="288">
        <f>$E$111*Продажи!M13</f>
        <v>0</v>
      </c>
      <c r="T111" s="290">
        <f t="shared" si="44"/>
        <v>0</v>
      </c>
      <c r="U111" s="304">
        <f>$F$111*Продажи!O13</f>
        <v>0</v>
      </c>
      <c r="V111" s="293">
        <f>$F$111*Продажи!P13</f>
        <v>0</v>
      </c>
      <c r="W111" s="293">
        <f>$F$111*Продажи!Q13</f>
        <v>0</v>
      </c>
      <c r="X111" s="293">
        <f>$F$111*Продажи!R13</f>
        <v>0</v>
      </c>
      <c r="Y111" s="293">
        <f>$F$111*Продажи!S13</f>
        <v>0</v>
      </c>
      <c r="Z111" s="293">
        <f>$F$111*Продажи!T13</f>
        <v>0</v>
      </c>
      <c r="AA111" s="293">
        <f>$F$111*Продажи!U13</f>
        <v>0</v>
      </c>
      <c r="AB111" s="293">
        <f>$F$111*Продажи!V13</f>
        <v>0</v>
      </c>
      <c r="AC111" s="293">
        <f>$F$111*Продажи!W13</f>
        <v>0</v>
      </c>
      <c r="AD111" s="293">
        <f>$F$111*Продажи!X13</f>
        <v>0</v>
      </c>
      <c r="AE111" s="293">
        <f>$F$111*Продажи!Y13</f>
        <v>0</v>
      </c>
      <c r="AF111" s="293">
        <f>$F$111*Продажи!Z13</f>
        <v>0</v>
      </c>
      <c r="AG111" s="290">
        <f t="shared" si="41"/>
        <v>0</v>
      </c>
      <c r="AH111" s="292">
        <f>$G$111*Продажи!AB13</f>
        <v>0</v>
      </c>
      <c r="AI111" s="292">
        <f>$G$111*Продажи!AC13</f>
        <v>0</v>
      </c>
      <c r="AJ111" s="292">
        <f>$G$111*Продажи!AD13</f>
        <v>0</v>
      </c>
      <c r="AK111" s="292">
        <f>$G$111*Продажи!AE13</f>
        <v>0</v>
      </c>
      <c r="AL111" s="292">
        <f>$G$111*Продажи!AF13</f>
        <v>0</v>
      </c>
      <c r="AM111" s="292">
        <f>$G$111*Продажи!AG13</f>
        <v>0</v>
      </c>
      <c r="AN111" s="292">
        <f>$G$111*Продажи!AH13</f>
        <v>0</v>
      </c>
      <c r="AO111" s="292">
        <f>$G$111*Продажи!AI13</f>
        <v>0</v>
      </c>
      <c r="AP111" s="292">
        <f>$G$111*Продажи!AJ13</f>
        <v>0</v>
      </c>
      <c r="AQ111" s="292">
        <f>$G$111*Продажи!AK13</f>
        <v>0</v>
      </c>
      <c r="AR111" s="292">
        <f>$G$111*Продажи!AL13</f>
        <v>0</v>
      </c>
      <c r="AS111" s="292">
        <f>$G$111*Продажи!AM13</f>
        <v>0</v>
      </c>
      <c r="AT111" s="290">
        <f t="shared" si="42"/>
        <v>0</v>
      </c>
    </row>
    <row r="112" spans="1:46" s="269" customFormat="1" outlineLevel="1">
      <c r="A112" s="283" t="s">
        <v>229</v>
      </c>
      <c r="B112" s="284" t="s">
        <v>161</v>
      </c>
      <c r="C112" s="285"/>
      <c r="D112" s="285"/>
      <c r="E112" s="286">
        <f t="shared" si="47"/>
        <v>0</v>
      </c>
      <c r="F112" s="286">
        <f>E112+E112*'Вводные данные'!$D$4</f>
        <v>0</v>
      </c>
      <c r="G112" s="287">
        <f>F112+F112*'Вводные данные'!$E$4</f>
        <v>0</v>
      </c>
      <c r="H112" s="288">
        <f>$E$112*Продажи!B13</f>
        <v>0</v>
      </c>
      <c r="I112" s="288">
        <f>$E$112*Продажи!C13</f>
        <v>0</v>
      </c>
      <c r="J112" s="288">
        <f>$E$112*Продажи!D13</f>
        <v>0</v>
      </c>
      <c r="K112" s="288">
        <f>$E$112*Продажи!E13</f>
        <v>0</v>
      </c>
      <c r="L112" s="288">
        <f>$E$112*Продажи!F13</f>
        <v>0</v>
      </c>
      <c r="M112" s="288">
        <f>$E$112*Продажи!G13</f>
        <v>0</v>
      </c>
      <c r="N112" s="288">
        <f>$E$112*Продажи!H13</f>
        <v>0</v>
      </c>
      <c r="O112" s="288">
        <f>$E$112*Продажи!I13</f>
        <v>0</v>
      </c>
      <c r="P112" s="288">
        <f>$E$112*Продажи!J13</f>
        <v>0</v>
      </c>
      <c r="Q112" s="288">
        <f>$E$112*Продажи!K13</f>
        <v>0</v>
      </c>
      <c r="R112" s="288">
        <f>$E$112*Продажи!L13</f>
        <v>0</v>
      </c>
      <c r="S112" s="288">
        <f>$E$112*Продажи!M13</f>
        <v>0</v>
      </c>
      <c r="T112" s="290">
        <f t="shared" si="44"/>
        <v>0</v>
      </c>
      <c r="U112" s="304">
        <f>$F$112*Продажи!O13</f>
        <v>0</v>
      </c>
      <c r="V112" s="293">
        <f>$F$112*Продажи!P13</f>
        <v>0</v>
      </c>
      <c r="W112" s="293">
        <f>$F$112*Продажи!Q13</f>
        <v>0</v>
      </c>
      <c r="X112" s="293">
        <f>$F$112*Продажи!R13</f>
        <v>0</v>
      </c>
      <c r="Y112" s="293">
        <f>$F$112*Продажи!S13</f>
        <v>0</v>
      </c>
      <c r="Z112" s="293">
        <f>$F$112*Продажи!T13</f>
        <v>0</v>
      </c>
      <c r="AA112" s="293">
        <f>$F$112*Продажи!U13</f>
        <v>0</v>
      </c>
      <c r="AB112" s="293">
        <f>$F$112*Продажи!V13</f>
        <v>0</v>
      </c>
      <c r="AC112" s="293">
        <f>$F$112*Продажи!W13</f>
        <v>0</v>
      </c>
      <c r="AD112" s="293">
        <f>$F$112*Продажи!X13</f>
        <v>0</v>
      </c>
      <c r="AE112" s="293">
        <f>$F$112*Продажи!Y13</f>
        <v>0</v>
      </c>
      <c r="AF112" s="293">
        <f>$F$112*Продажи!Z13</f>
        <v>0</v>
      </c>
      <c r="AG112" s="290">
        <f t="shared" si="41"/>
        <v>0</v>
      </c>
      <c r="AH112" s="292">
        <f>$G$112*Продажи!AB13</f>
        <v>0</v>
      </c>
      <c r="AI112" s="292">
        <f>$G$112*Продажи!AC13</f>
        <v>0</v>
      </c>
      <c r="AJ112" s="292">
        <f>$G$112*Продажи!AD13</f>
        <v>0</v>
      </c>
      <c r="AK112" s="292">
        <f>$G$112*Продажи!AE13</f>
        <v>0</v>
      </c>
      <c r="AL112" s="292">
        <f>$G$112*Продажи!AF13</f>
        <v>0</v>
      </c>
      <c r="AM112" s="292">
        <f>$G$112*Продажи!AG13</f>
        <v>0</v>
      </c>
      <c r="AN112" s="292">
        <f>$G$112*Продажи!AH13</f>
        <v>0</v>
      </c>
      <c r="AO112" s="292">
        <f>$G$112*Продажи!AI13</f>
        <v>0</v>
      </c>
      <c r="AP112" s="292">
        <f>$G$112*Продажи!AJ13</f>
        <v>0</v>
      </c>
      <c r="AQ112" s="292">
        <f>$G$112*Продажи!AK13</f>
        <v>0</v>
      </c>
      <c r="AR112" s="292">
        <f>$G$112*Продажи!AL13</f>
        <v>0</v>
      </c>
      <c r="AS112" s="292">
        <f>$G$112*Продажи!AM13</f>
        <v>0</v>
      </c>
      <c r="AT112" s="290">
        <f t="shared" si="42"/>
        <v>0</v>
      </c>
    </row>
    <row r="113" spans="1:46" s="269" customFormat="1" ht="24" customHeight="1" outlineLevel="1">
      <c r="A113" s="294" t="s">
        <v>230</v>
      </c>
      <c r="B113" s="485" t="s">
        <v>163</v>
      </c>
      <c r="C113" s="486"/>
      <c r="D113" s="486"/>
      <c r="E113" s="486"/>
      <c r="F113" s="486"/>
      <c r="G113" s="487"/>
      <c r="H113" s="295">
        <f>'Продукция и цена '!C12</f>
        <v>12000</v>
      </c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7">
        <f>H113</f>
        <v>12000</v>
      </c>
      <c r="U113" s="298">
        <f>'Продукция и цена '!D12</f>
        <v>13800</v>
      </c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7">
        <f t="shared" si="41"/>
        <v>13800</v>
      </c>
      <c r="AH113" s="295">
        <f>'Продукция и цена '!E13</f>
        <v>0</v>
      </c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7">
        <f t="shared" si="42"/>
        <v>0</v>
      </c>
    </row>
    <row r="114" spans="1:46" s="270" customFormat="1" ht="14.25">
      <c r="A114" s="299">
        <v>10</v>
      </c>
      <c r="B114" s="300">
        <f>'Продукция и цена '!A13</f>
        <v>0</v>
      </c>
      <c r="C114" s="301" t="s">
        <v>103</v>
      </c>
      <c r="D114" s="301" t="s">
        <v>103</v>
      </c>
      <c r="E114" s="301" t="s">
        <v>3</v>
      </c>
      <c r="F114" s="301" t="s">
        <v>4</v>
      </c>
      <c r="G114" s="302" t="s">
        <v>5</v>
      </c>
      <c r="H114" s="303">
        <f t="shared" ref="H114:S114" si="48">SUM(H115:H124)</f>
        <v>0</v>
      </c>
      <c r="I114" s="281">
        <f t="shared" si="48"/>
        <v>0</v>
      </c>
      <c r="J114" s="281">
        <f t="shared" si="48"/>
        <v>0</v>
      </c>
      <c r="K114" s="281">
        <f t="shared" si="48"/>
        <v>0</v>
      </c>
      <c r="L114" s="281">
        <f t="shared" si="48"/>
        <v>0</v>
      </c>
      <c r="M114" s="281">
        <f t="shared" si="48"/>
        <v>0</v>
      </c>
      <c r="N114" s="281">
        <f t="shared" si="48"/>
        <v>0</v>
      </c>
      <c r="O114" s="281">
        <f t="shared" si="48"/>
        <v>0</v>
      </c>
      <c r="P114" s="281">
        <f t="shared" si="48"/>
        <v>0</v>
      </c>
      <c r="Q114" s="281">
        <f t="shared" si="48"/>
        <v>0</v>
      </c>
      <c r="R114" s="281">
        <f t="shared" si="48"/>
        <v>0</v>
      </c>
      <c r="S114" s="281">
        <f t="shared" si="48"/>
        <v>0</v>
      </c>
      <c r="T114" s="282">
        <f t="shared" ref="T114:T124" si="49">SUM(H114:S114)</f>
        <v>0</v>
      </c>
      <c r="U114" s="280">
        <f t="shared" ref="U114:AF114" si="50">SUM(U115:U124)</f>
        <v>0</v>
      </c>
      <c r="V114" s="281">
        <f t="shared" si="50"/>
        <v>0</v>
      </c>
      <c r="W114" s="281">
        <f t="shared" si="50"/>
        <v>0</v>
      </c>
      <c r="X114" s="281">
        <f t="shared" si="50"/>
        <v>0</v>
      </c>
      <c r="Y114" s="281">
        <f t="shared" si="50"/>
        <v>0</v>
      </c>
      <c r="Z114" s="281">
        <f t="shared" si="50"/>
        <v>0</v>
      </c>
      <c r="AA114" s="281">
        <f t="shared" si="50"/>
        <v>0</v>
      </c>
      <c r="AB114" s="281">
        <f t="shared" si="50"/>
        <v>0</v>
      </c>
      <c r="AC114" s="281">
        <f t="shared" si="50"/>
        <v>0</v>
      </c>
      <c r="AD114" s="281">
        <f t="shared" si="50"/>
        <v>0</v>
      </c>
      <c r="AE114" s="281">
        <f t="shared" si="50"/>
        <v>0</v>
      </c>
      <c r="AF114" s="281">
        <f t="shared" si="50"/>
        <v>0</v>
      </c>
      <c r="AG114" s="282">
        <f t="shared" si="41"/>
        <v>0</v>
      </c>
      <c r="AH114" s="303">
        <f t="shared" ref="AH114:AS114" si="51">SUM(AH115:AH124)</f>
        <v>0</v>
      </c>
      <c r="AI114" s="281">
        <f t="shared" si="51"/>
        <v>0</v>
      </c>
      <c r="AJ114" s="281">
        <f t="shared" si="51"/>
        <v>0</v>
      </c>
      <c r="AK114" s="281">
        <f t="shared" si="51"/>
        <v>0</v>
      </c>
      <c r="AL114" s="281">
        <f t="shared" si="51"/>
        <v>0</v>
      </c>
      <c r="AM114" s="281">
        <f t="shared" si="51"/>
        <v>0</v>
      </c>
      <c r="AN114" s="281">
        <f t="shared" si="51"/>
        <v>0</v>
      </c>
      <c r="AO114" s="281">
        <f t="shared" si="51"/>
        <v>0</v>
      </c>
      <c r="AP114" s="281">
        <f t="shared" si="51"/>
        <v>0</v>
      </c>
      <c r="AQ114" s="281">
        <f t="shared" si="51"/>
        <v>0</v>
      </c>
      <c r="AR114" s="281">
        <f t="shared" si="51"/>
        <v>0</v>
      </c>
      <c r="AS114" s="281">
        <f t="shared" si="51"/>
        <v>0</v>
      </c>
      <c r="AT114" s="282">
        <f t="shared" si="42"/>
        <v>0</v>
      </c>
    </row>
    <row r="115" spans="1:46" s="269" customFormat="1" outlineLevel="1">
      <c r="A115" s="283" t="s">
        <v>231</v>
      </c>
      <c r="B115" s="284" t="s">
        <v>143</v>
      </c>
      <c r="C115" s="285"/>
      <c r="D115" s="285"/>
      <c r="E115" s="286">
        <f t="shared" si="47"/>
        <v>0</v>
      </c>
      <c r="F115" s="286">
        <f>E115+E115*'Вводные данные'!$D$4</f>
        <v>0</v>
      </c>
      <c r="G115" s="287">
        <f>F115+F115*'Вводные данные'!$E$4</f>
        <v>0</v>
      </c>
      <c r="H115" s="288">
        <f>$E$115*Продажи!B14</f>
        <v>0</v>
      </c>
      <c r="I115" s="288">
        <f>$E$115*Продажи!C14</f>
        <v>0</v>
      </c>
      <c r="J115" s="288">
        <f>$E$115*Продажи!D14</f>
        <v>0</v>
      </c>
      <c r="K115" s="288">
        <f>$E$115*Продажи!E14</f>
        <v>0</v>
      </c>
      <c r="L115" s="288">
        <f>$E$115*Продажи!F14</f>
        <v>0</v>
      </c>
      <c r="M115" s="288">
        <f>$E$115*Продажи!G14</f>
        <v>0</v>
      </c>
      <c r="N115" s="288">
        <f>$E$115*Продажи!H14</f>
        <v>0</v>
      </c>
      <c r="O115" s="288">
        <f>$E$115*Продажи!I14</f>
        <v>0</v>
      </c>
      <c r="P115" s="288">
        <f>$E$115*Продажи!J14</f>
        <v>0</v>
      </c>
      <c r="Q115" s="288">
        <f>$E$115*Продажи!K14</f>
        <v>0</v>
      </c>
      <c r="R115" s="288">
        <f>$E$115*Продажи!L14</f>
        <v>0</v>
      </c>
      <c r="S115" s="288">
        <f>$E$115*Продажи!M14</f>
        <v>0</v>
      </c>
      <c r="T115" s="290">
        <f t="shared" si="49"/>
        <v>0</v>
      </c>
      <c r="U115" s="304">
        <f>$F$115*Продажи!O14</f>
        <v>0</v>
      </c>
      <c r="V115" s="293">
        <f>$F$115*Продажи!P14</f>
        <v>0</v>
      </c>
      <c r="W115" s="293">
        <f>$F$115*Продажи!Q14</f>
        <v>0</v>
      </c>
      <c r="X115" s="293">
        <f>$F$115*Продажи!R14</f>
        <v>0</v>
      </c>
      <c r="Y115" s="293">
        <f>$F$115*Продажи!S14</f>
        <v>0</v>
      </c>
      <c r="Z115" s="293">
        <f>$F$115*Продажи!T14</f>
        <v>0</v>
      </c>
      <c r="AA115" s="293">
        <f>$F$115*Продажи!U14</f>
        <v>0</v>
      </c>
      <c r="AB115" s="293">
        <f>$F$115*Продажи!V14</f>
        <v>0</v>
      </c>
      <c r="AC115" s="293">
        <f>$F$115*Продажи!W14</f>
        <v>0</v>
      </c>
      <c r="AD115" s="293">
        <f>$F$115*Продажи!X14</f>
        <v>0</v>
      </c>
      <c r="AE115" s="293">
        <f>$F$115*Продажи!Y14</f>
        <v>0</v>
      </c>
      <c r="AF115" s="293">
        <f>$F$115*Продажи!Z14</f>
        <v>0</v>
      </c>
      <c r="AG115" s="290">
        <f t="shared" si="41"/>
        <v>0</v>
      </c>
      <c r="AH115" s="292">
        <f>$G$115*Продажи!AB14</f>
        <v>0</v>
      </c>
      <c r="AI115" s="292">
        <f>$G$115*Продажи!AC14</f>
        <v>0</v>
      </c>
      <c r="AJ115" s="292">
        <f>$G$115*Продажи!AD14</f>
        <v>0</v>
      </c>
      <c r="AK115" s="292">
        <f>$G$115*Продажи!AE14</f>
        <v>0</v>
      </c>
      <c r="AL115" s="292">
        <f>$G$115*Продажи!AF14</f>
        <v>0</v>
      </c>
      <c r="AM115" s="292">
        <f>$G$115*Продажи!AG14</f>
        <v>0</v>
      </c>
      <c r="AN115" s="292">
        <f>$G$115*Продажи!AH14</f>
        <v>0</v>
      </c>
      <c r="AO115" s="292">
        <f>$G$115*Продажи!AI14</f>
        <v>0</v>
      </c>
      <c r="AP115" s="292">
        <f>$G$115*Продажи!AJ14</f>
        <v>0</v>
      </c>
      <c r="AQ115" s="292">
        <f>$G$115*Продажи!AK14</f>
        <v>0</v>
      </c>
      <c r="AR115" s="292">
        <f>$G$115*Продажи!AL14</f>
        <v>0</v>
      </c>
      <c r="AS115" s="292">
        <f>$G$115*Продажи!AM14</f>
        <v>0</v>
      </c>
      <c r="AT115" s="290">
        <f t="shared" si="42"/>
        <v>0</v>
      </c>
    </row>
    <row r="116" spans="1:46" s="269" customFormat="1" outlineLevel="1">
      <c r="A116" s="283" t="s">
        <v>232</v>
      </c>
      <c r="B116" s="284" t="s">
        <v>145</v>
      </c>
      <c r="C116" s="285"/>
      <c r="D116" s="285"/>
      <c r="E116" s="286">
        <f t="shared" si="47"/>
        <v>0</v>
      </c>
      <c r="F116" s="286">
        <f>E116+E116*'Вводные данные'!$D$4</f>
        <v>0</v>
      </c>
      <c r="G116" s="287">
        <f>F116+F116*'Вводные данные'!$E$4</f>
        <v>0</v>
      </c>
      <c r="H116" s="288">
        <f>$E$116*Продажи!B14</f>
        <v>0</v>
      </c>
      <c r="I116" s="288">
        <f>$E$116*Продажи!C14</f>
        <v>0</v>
      </c>
      <c r="J116" s="288">
        <f>$E$116*Продажи!D14</f>
        <v>0</v>
      </c>
      <c r="K116" s="288">
        <f>$E$116*Продажи!E14</f>
        <v>0</v>
      </c>
      <c r="L116" s="288">
        <f>$E$116*Продажи!F14</f>
        <v>0</v>
      </c>
      <c r="M116" s="288">
        <f>$E$116*Продажи!G14</f>
        <v>0</v>
      </c>
      <c r="N116" s="288">
        <f>$E$116*Продажи!H14</f>
        <v>0</v>
      </c>
      <c r="O116" s="288">
        <f>$E$116*Продажи!I14</f>
        <v>0</v>
      </c>
      <c r="P116" s="288">
        <f>$E$116*Продажи!J14</f>
        <v>0</v>
      </c>
      <c r="Q116" s="288">
        <f>$E$116*Продажи!K14</f>
        <v>0</v>
      </c>
      <c r="R116" s="288">
        <f>$E$116*Продажи!L14</f>
        <v>0</v>
      </c>
      <c r="S116" s="288">
        <f>$E$116*Продажи!M14</f>
        <v>0</v>
      </c>
      <c r="T116" s="290">
        <f t="shared" si="49"/>
        <v>0</v>
      </c>
      <c r="U116" s="304">
        <f>$F$116*Продажи!O14</f>
        <v>0</v>
      </c>
      <c r="V116" s="293">
        <f>$F$116*Продажи!P14</f>
        <v>0</v>
      </c>
      <c r="W116" s="293">
        <f>$F$116*Продажи!Q14</f>
        <v>0</v>
      </c>
      <c r="X116" s="293">
        <f>$F$116*Продажи!R14</f>
        <v>0</v>
      </c>
      <c r="Y116" s="293">
        <f>$F$116*Продажи!S14</f>
        <v>0</v>
      </c>
      <c r="Z116" s="293">
        <f>$F$116*Продажи!T14</f>
        <v>0</v>
      </c>
      <c r="AA116" s="293">
        <f>$F$116*Продажи!U14</f>
        <v>0</v>
      </c>
      <c r="AB116" s="293">
        <f>$F$116*Продажи!V14</f>
        <v>0</v>
      </c>
      <c r="AC116" s="293">
        <f>$F$116*Продажи!W14</f>
        <v>0</v>
      </c>
      <c r="AD116" s="293">
        <f>$F$116*Продажи!X14</f>
        <v>0</v>
      </c>
      <c r="AE116" s="293">
        <f>$F$116*Продажи!Y14</f>
        <v>0</v>
      </c>
      <c r="AF116" s="293">
        <f>$F$116*Продажи!Z14</f>
        <v>0</v>
      </c>
      <c r="AG116" s="290">
        <f t="shared" si="41"/>
        <v>0</v>
      </c>
      <c r="AH116" s="292">
        <f>$G$116*Продажи!AB14</f>
        <v>0</v>
      </c>
      <c r="AI116" s="292">
        <f>$G$116*Продажи!AC14</f>
        <v>0</v>
      </c>
      <c r="AJ116" s="292">
        <f>$G$116*Продажи!AD14</f>
        <v>0</v>
      </c>
      <c r="AK116" s="292">
        <f>$G$116*Продажи!AE14</f>
        <v>0</v>
      </c>
      <c r="AL116" s="292">
        <f>$G$116*Продажи!AF14</f>
        <v>0</v>
      </c>
      <c r="AM116" s="292">
        <f>$G$116*Продажи!AG14</f>
        <v>0</v>
      </c>
      <c r="AN116" s="292">
        <f>$G$116*Продажи!AH14</f>
        <v>0</v>
      </c>
      <c r="AO116" s="292">
        <f>$G$116*Продажи!AI14</f>
        <v>0</v>
      </c>
      <c r="AP116" s="292">
        <f>$G$116*Продажи!AJ14</f>
        <v>0</v>
      </c>
      <c r="AQ116" s="292">
        <f>$G$116*Продажи!AK14</f>
        <v>0</v>
      </c>
      <c r="AR116" s="292">
        <f>$G$116*Продажи!AL14</f>
        <v>0</v>
      </c>
      <c r="AS116" s="292">
        <f>$G$116*Продажи!AM14</f>
        <v>0</v>
      </c>
      <c r="AT116" s="290">
        <f t="shared" si="42"/>
        <v>0</v>
      </c>
    </row>
    <row r="117" spans="1:46" s="269" customFormat="1" outlineLevel="1">
      <c r="A117" s="283" t="s">
        <v>233</v>
      </c>
      <c r="B117" s="284" t="s">
        <v>147</v>
      </c>
      <c r="C117" s="285"/>
      <c r="D117" s="285"/>
      <c r="E117" s="286">
        <f t="shared" si="47"/>
        <v>0</v>
      </c>
      <c r="F117" s="286">
        <f>E117+E117*'Вводные данные'!$D$4</f>
        <v>0</v>
      </c>
      <c r="G117" s="287">
        <f>F117+F117*'Вводные данные'!$E$4</f>
        <v>0</v>
      </c>
      <c r="H117" s="288">
        <f>$E$117*Продажи!B14</f>
        <v>0</v>
      </c>
      <c r="I117" s="288">
        <f>$E$117*Продажи!C14</f>
        <v>0</v>
      </c>
      <c r="J117" s="288">
        <f>$E$117*Продажи!D14</f>
        <v>0</v>
      </c>
      <c r="K117" s="288">
        <f>$E$117*Продажи!E14</f>
        <v>0</v>
      </c>
      <c r="L117" s="288">
        <f>$E$117*Продажи!F14</f>
        <v>0</v>
      </c>
      <c r="M117" s="288">
        <f>$E$117*Продажи!G14</f>
        <v>0</v>
      </c>
      <c r="N117" s="288">
        <f>$E$117*Продажи!H14</f>
        <v>0</v>
      </c>
      <c r="O117" s="288">
        <f>$E$117*Продажи!I14</f>
        <v>0</v>
      </c>
      <c r="P117" s="288">
        <f>$E$117*Продажи!J14</f>
        <v>0</v>
      </c>
      <c r="Q117" s="288">
        <f>$E$117*Продажи!K14</f>
        <v>0</v>
      </c>
      <c r="R117" s="288">
        <f>$E$117*Продажи!L14</f>
        <v>0</v>
      </c>
      <c r="S117" s="288">
        <f>$E$117*Продажи!M14</f>
        <v>0</v>
      </c>
      <c r="T117" s="290">
        <f t="shared" si="49"/>
        <v>0</v>
      </c>
      <c r="U117" s="304">
        <f>$F$117*Продажи!O14</f>
        <v>0</v>
      </c>
      <c r="V117" s="293">
        <f>$F$117*Продажи!P14</f>
        <v>0</v>
      </c>
      <c r="W117" s="293">
        <f>$F$117*Продажи!Q14</f>
        <v>0</v>
      </c>
      <c r="X117" s="293">
        <f>$F$117*Продажи!R14</f>
        <v>0</v>
      </c>
      <c r="Y117" s="293">
        <f>$F$117*Продажи!S14</f>
        <v>0</v>
      </c>
      <c r="Z117" s="293">
        <f>$F$117*Продажи!T14</f>
        <v>0</v>
      </c>
      <c r="AA117" s="293">
        <f>$F$117*Продажи!U14</f>
        <v>0</v>
      </c>
      <c r="AB117" s="293">
        <f>$F$117*Продажи!V14</f>
        <v>0</v>
      </c>
      <c r="AC117" s="293">
        <f>$F$117*Продажи!W14</f>
        <v>0</v>
      </c>
      <c r="AD117" s="293">
        <f>$F$117*Продажи!X14</f>
        <v>0</v>
      </c>
      <c r="AE117" s="293">
        <f>$F$117*Продажи!Y14</f>
        <v>0</v>
      </c>
      <c r="AF117" s="293">
        <f>$F$117*Продажи!Z14</f>
        <v>0</v>
      </c>
      <c r="AG117" s="290">
        <f t="shared" si="41"/>
        <v>0</v>
      </c>
      <c r="AH117" s="292">
        <f>$G$117*Продажи!AB14</f>
        <v>0</v>
      </c>
      <c r="AI117" s="292">
        <f>$G$117*Продажи!AC14</f>
        <v>0</v>
      </c>
      <c r="AJ117" s="292">
        <f>$G$117*Продажи!AD14</f>
        <v>0</v>
      </c>
      <c r="AK117" s="292">
        <f>$G$117*Продажи!AE14</f>
        <v>0</v>
      </c>
      <c r="AL117" s="292">
        <f>$G$117*Продажи!AF14</f>
        <v>0</v>
      </c>
      <c r="AM117" s="292">
        <f>$G$117*Продажи!AG14</f>
        <v>0</v>
      </c>
      <c r="AN117" s="292">
        <f>$G$117*Продажи!AH14</f>
        <v>0</v>
      </c>
      <c r="AO117" s="292">
        <f>$G$117*Продажи!AI14</f>
        <v>0</v>
      </c>
      <c r="AP117" s="292">
        <f>$G$117*Продажи!AJ14</f>
        <v>0</v>
      </c>
      <c r="AQ117" s="292">
        <f>$G$117*Продажи!AK14</f>
        <v>0</v>
      </c>
      <c r="AR117" s="292">
        <f>$G$117*Продажи!AL14</f>
        <v>0</v>
      </c>
      <c r="AS117" s="292">
        <f>$G$117*Продажи!AM14</f>
        <v>0</v>
      </c>
      <c r="AT117" s="290">
        <f t="shared" si="42"/>
        <v>0</v>
      </c>
    </row>
    <row r="118" spans="1:46" s="269" customFormat="1" outlineLevel="1">
      <c r="A118" s="283" t="s">
        <v>234</v>
      </c>
      <c r="B118" s="284" t="s">
        <v>149</v>
      </c>
      <c r="C118" s="285"/>
      <c r="D118" s="285"/>
      <c r="E118" s="286">
        <f t="shared" si="47"/>
        <v>0</v>
      </c>
      <c r="F118" s="286">
        <f>E118+E118*'Вводные данные'!$D$4</f>
        <v>0</v>
      </c>
      <c r="G118" s="287">
        <f>F118+F118*'Вводные данные'!$E$4</f>
        <v>0</v>
      </c>
      <c r="H118" s="288">
        <f>$E$118*Продажи!B14</f>
        <v>0</v>
      </c>
      <c r="I118" s="288">
        <f>$E$118*Продажи!C14</f>
        <v>0</v>
      </c>
      <c r="J118" s="288">
        <f>$E$118*Продажи!D14</f>
        <v>0</v>
      </c>
      <c r="K118" s="288">
        <f>$E$118*Продажи!E14</f>
        <v>0</v>
      </c>
      <c r="L118" s="288">
        <f>$E$118*Продажи!F14</f>
        <v>0</v>
      </c>
      <c r="M118" s="288">
        <f>$E$118*Продажи!G14</f>
        <v>0</v>
      </c>
      <c r="N118" s="288">
        <f>$E$118*Продажи!H14</f>
        <v>0</v>
      </c>
      <c r="O118" s="288">
        <f>$E$118*Продажи!I14</f>
        <v>0</v>
      </c>
      <c r="P118" s="288">
        <f>$E$118*Продажи!J14</f>
        <v>0</v>
      </c>
      <c r="Q118" s="288">
        <f>$E$118*Продажи!K14</f>
        <v>0</v>
      </c>
      <c r="R118" s="288">
        <f>$E$118*Продажи!L14</f>
        <v>0</v>
      </c>
      <c r="S118" s="288">
        <f>$E$118*Продажи!M14</f>
        <v>0</v>
      </c>
      <c r="T118" s="290">
        <f t="shared" si="49"/>
        <v>0</v>
      </c>
      <c r="U118" s="304">
        <f>$F$118*Продажи!O14</f>
        <v>0</v>
      </c>
      <c r="V118" s="293">
        <f>$F$118*Продажи!P14</f>
        <v>0</v>
      </c>
      <c r="W118" s="293">
        <f>$F$118*Продажи!Q14</f>
        <v>0</v>
      </c>
      <c r="X118" s="293">
        <f>$F$118*Продажи!R14</f>
        <v>0</v>
      </c>
      <c r="Y118" s="293">
        <f>$F$118*Продажи!S14</f>
        <v>0</v>
      </c>
      <c r="Z118" s="293">
        <f>$F$118*Продажи!T14</f>
        <v>0</v>
      </c>
      <c r="AA118" s="293">
        <f>$F$118*Продажи!U14</f>
        <v>0</v>
      </c>
      <c r="AB118" s="293">
        <f>$F$118*Продажи!V14</f>
        <v>0</v>
      </c>
      <c r="AC118" s="293">
        <f>$F$118*Продажи!W14</f>
        <v>0</v>
      </c>
      <c r="AD118" s="293">
        <f>$F$118*Продажи!X14</f>
        <v>0</v>
      </c>
      <c r="AE118" s="293">
        <f>$F$118*Продажи!Y14</f>
        <v>0</v>
      </c>
      <c r="AF118" s="293">
        <f>$F$118*Продажи!Z14</f>
        <v>0</v>
      </c>
      <c r="AG118" s="290">
        <f t="shared" si="41"/>
        <v>0</v>
      </c>
      <c r="AH118" s="292">
        <f>$G$118*Продажи!AB14</f>
        <v>0</v>
      </c>
      <c r="AI118" s="292">
        <f>$G$118*Продажи!AC14</f>
        <v>0</v>
      </c>
      <c r="AJ118" s="292">
        <f>$G$118*Продажи!AD14</f>
        <v>0</v>
      </c>
      <c r="AK118" s="292">
        <f>$G$118*Продажи!AE14</f>
        <v>0</v>
      </c>
      <c r="AL118" s="292">
        <f>$G$118*Продажи!AF14</f>
        <v>0</v>
      </c>
      <c r="AM118" s="292">
        <f>$G$118*Продажи!AG14</f>
        <v>0</v>
      </c>
      <c r="AN118" s="292">
        <f>$G$118*Продажи!AH14</f>
        <v>0</v>
      </c>
      <c r="AO118" s="292">
        <f>$G$118*Продажи!AI14</f>
        <v>0</v>
      </c>
      <c r="AP118" s="292">
        <f>$G$118*Продажи!AJ14</f>
        <v>0</v>
      </c>
      <c r="AQ118" s="292">
        <f>$G$118*Продажи!AK14</f>
        <v>0</v>
      </c>
      <c r="AR118" s="292">
        <f>$G$118*Продажи!AL14</f>
        <v>0</v>
      </c>
      <c r="AS118" s="292">
        <f>$G$118*Продажи!AM14</f>
        <v>0</v>
      </c>
      <c r="AT118" s="290">
        <f t="shared" si="42"/>
        <v>0</v>
      </c>
    </row>
    <row r="119" spans="1:46" s="269" customFormat="1" outlineLevel="1">
      <c r="A119" s="283" t="s">
        <v>235</v>
      </c>
      <c r="B119" s="284" t="s">
        <v>151</v>
      </c>
      <c r="C119" s="285"/>
      <c r="D119" s="285"/>
      <c r="E119" s="286">
        <f t="shared" si="47"/>
        <v>0</v>
      </c>
      <c r="F119" s="286">
        <f>E119+E119*'Вводные данные'!$D$4</f>
        <v>0</v>
      </c>
      <c r="G119" s="287">
        <f>F119+F119*'Вводные данные'!$E$4</f>
        <v>0</v>
      </c>
      <c r="H119" s="288">
        <f>$E$119*Продажи!B14</f>
        <v>0</v>
      </c>
      <c r="I119" s="288">
        <f>$E$119*Продажи!C14</f>
        <v>0</v>
      </c>
      <c r="J119" s="288">
        <f>$E$119*Продажи!D14</f>
        <v>0</v>
      </c>
      <c r="K119" s="288">
        <f>$E$119*Продажи!E14</f>
        <v>0</v>
      </c>
      <c r="L119" s="288">
        <f>$E$119*Продажи!F14</f>
        <v>0</v>
      </c>
      <c r="M119" s="288">
        <f>$E$119*Продажи!G14</f>
        <v>0</v>
      </c>
      <c r="N119" s="288">
        <f>$E$119*Продажи!H14</f>
        <v>0</v>
      </c>
      <c r="O119" s="288">
        <f>$E$119*Продажи!I14</f>
        <v>0</v>
      </c>
      <c r="P119" s="288">
        <f>$E$119*Продажи!J14</f>
        <v>0</v>
      </c>
      <c r="Q119" s="288">
        <f>$E$119*Продажи!K14</f>
        <v>0</v>
      </c>
      <c r="R119" s="288">
        <f>$E$119*Продажи!L14</f>
        <v>0</v>
      </c>
      <c r="S119" s="288">
        <f>$E$119*Продажи!M14</f>
        <v>0</v>
      </c>
      <c r="T119" s="290">
        <f t="shared" si="49"/>
        <v>0</v>
      </c>
      <c r="U119" s="304">
        <f>$F$119*Продажи!O14</f>
        <v>0</v>
      </c>
      <c r="V119" s="293">
        <f>$F$119*Продажи!P14</f>
        <v>0</v>
      </c>
      <c r="W119" s="293">
        <f>$F$119*Продажи!Q14</f>
        <v>0</v>
      </c>
      <c r="X119" s="293">
        <f>$F$119*Продажи!R14</f>
        <v>0</v>
      </c>
      <c r="Y119" s="293">
        <f>$F$119*Продажи!S14</f>
        <v>0</v>
      </c>
      <c r="Z119" s="293">
        <f>$F$119*Продажи!T14</f>
        <v>0</v>
      </c>
      <c r="AA119" s="293">
        <f>$F$119*Продажи!U14</f>
        <v>0</v>
      </c>
      <c r="AB119" s="293">
        <f>$F$119*Продажи!V14</f>
        <v>0</v>
      </c>
      <c r="AC119" s="293">
        <f>$F$119*Продажи!W14</f>
        <v>0</v>
      </c>
      <c r="AD119" s="293">
        <f>$F$119*Продажи!X14</f>
        <v>0</v>
      </c>
      <c r="AE119" s="293">
        <f>$F$119*Продажи!Y14</f>
        <v>0</v>
      </c>
      <c r="AF119" s="293">
        <f>$F$119*Продажи!Z14</f>
        <v>0</v>
      </c>
      <c r="AG119" s="290">
        <f t="shared" si="41"/>
        <v>0</v>
      </c>
      <c r="AH119" s="292">
        <f>$G$119*Продажи!AB14</f>
        <v>0</v>
      </c>
      <c r="AI119" s="292">
        <f>$G$119*Продажи!AC14</f>
        <v>0</v>
      </c>
      <c r="AJ119" s="292">
        <f>$G$119*Продажи!AD14</f>
        <v>0</v>
      </c>
      <c r="AK119" s="292">
        <f>$G$119*Продажи!AE14</f>
        <v>0</v>
      </c>
      <c r="AL119" s="292">
        <f>$G$119*Продажи!AF14</f>
        <v>0</v>
      </c>
      <c r="AM119" s="292">
        <f>$G$119*Продажи!AG14</f>
        <v>0</v>
      </c>
      <c r="AN119" s="292">
        <f>$G$119*Продажи!AH14</f>
        <v>0</v>
      </c>
      <c r="AO119" s="292">
        <f>$G$119*Продажи!AI14</f>
        <v>0</v>
      </c>
      <c r="AP119" s="292">
        <f>$G$119*Продажи!AJ14</f>
        <v>0</v>
      </c>
      <c r="AQ119" s="292">
        <f>$G$119*Продажи!AK14</f>
        <v>0</v>
      </c>
      <c r="AR119" s="292">
        <f>$G$119*Продажи!AL14</f>
        <v>0</v>
      </c>
      <c r="AS119" s="292">
        <f>$G$119*Продажи!AM14</f>
        <v>0</v>
      </c>
      <c r="AT119" s="290">
        <f t="shared" si="42"/>
        <v>0</v>
      </c>
    </row>
    <row r="120" spans="1:46" s="269" customFormat="1" outlineLevel="1">
      <c r="A120" s="283" t="s">
        <v>236</v>
      </c>
      <c r="B120" s="284" t="s">
        <v>153</v>
      </c>
      <c r="C120" s="285"/>
      <c r="D120" s="285"/>
      <c r="E120" s="286">
        <f t="shared" si="47"/>
        <v>0</v>
      </c>
      <c r="F120" s="286">
        <f>E120+E120*'Вводные данные'!$D$4</f>
        <v>0</v>
      </c>
      <c r="G120" s="287">
        <f>F120+F120*'Вводные данные'!$E$4</f>
        <v>0</v>
      </c>
      <c r="H120" s="288">
        <f>$E$120*Продажи!B14</f>
        <v>0</v>
      </c>
      <c r="I120" s="288">
        <f>$E$120*Продажи!C14</f>
        <v>0</v>
      </c>
      <c r="J120" s="288">
        <f>$E$120*Продажи!D14</f>
        <v>0</v>
      </c>
      <c r="K120" s="288">
        <f>$E$120*Продажи!E14</f>
        <v>0</v>
      </c>
      <c r="L120" s="288">
        <f>$E$120*Продажи!F14</f>
        <v>0</v>
      </c>
      <c r="M120" s="288">
        <f>$E$120*Продажи!G14</f>
        <v>0</v>
      </c>
      <c r="N120" s="288">
        <f>$E$120*Продажи!H14</f>
        <v>0</v>
      </c>
      <c r="O120" s="288">
        <f>$E$120*Продажи!I14</f>
        <v>0</v>
      </c>
      <c r="P120" s="288">
        <f>$E$120*Продажи!J14</f>
        <v>0</v>
      </c>
      <c r="Q120" s="288">
        <f>$E$120*Продажи!K14</f>
        <v>0</v>
      </c>
      <c r="R120" s="288">
        <f>$E$120*Продажи!L14</f>
        <v>0</v>
      </c>
      <c r="S120" s="288">
        <f>$E$120*Продажи!M14</f>
        <v>0</v>
      </c>
      <c r="T120" s="290">
        <f t="shared" si="49"/>
        <v>0</v>
      </c>
      <c r="U120" s="304">
        <f>$F$120*Продажи!O14</f>
        <v>0</v>
      </c>
      <c r="V120" s="293">
        <f>$F$120*Продажи!P14</f>
        <v>0</v>
      </c>
      <c r="W120" s="293">
        <f>$F$120*Продажи!Q14</f>
        <v>0</v>
      </c>
      <c r="X120" s="293">
        <f>$F$120*Продажи!R14</f>
        <v>0</v>
      </c>
      <c r="Y120" s="293">
        <f>$F$120*Продажи!S14</f>
        <v>0</v>
      </c>
      <c r="Z120" s="293">
        <f>$F$120*Продажи!T14</f>
        <v>0</v>
      </c>
      <c r="AA120" s="293">
        <f>$F$120*Продажи!U14</f>
        <v>0</v>
      </c>
      <c r="AB120" s="293">
        <f>$F$120*Продажи!V14</f>
        <v>0</v>
      </c>
      <c r="AC120" s="293">
        <f>$F$120*Продажи!W14</f>
        <v>0</v>
      </c>
      <c r="AD120" s="293">
        <f>$F$120*Продажи!X14</f>
        <v>0</v>
      </c>
      <c r="AE120" s="293">
        <f>$F$120*Продажи!Y14</f>
        <v>0</v>
      </c>
      <c r="AF120" s="293">
        <f>$F$120*Продажи!Z14</f>
        <v>0</v>
      </c>
      <c r="AG120" s="290">
        <f t="shared" si="41"/>
        <v>0</v>
      </c>
      <c r="AH120" s="292">
        <f>$G$120*Продажи!AB14</f>
        <v>0</v>
      </c>
      <c r="AI120" s="292">
        <f>$G$120*Продажи!AC14</f>
        <v>0</v>
      </c>
      <c r="AJ120" s="292">
        <f>$G$120*Продажи!AD14</f>
        <v>0</v>
      </c>
      <c r="AK120" s="292">
        <f>$G$120*Продажи!AE14</f>
        <v>0</v>
      </c>
      <c r="AL120" s="292">
        <f>$G$120*Продажи!AF14</f>
        <v>0</v>
      </c>
      <c r="AM120" s="292">
        <f>$G$120*Продажи!AG14</f>
        <v>0</v>
      </c>
      <c r="AN120" s="292">
        <f>$G$120*Продажи!AH14</f>
        <v>0</v>
      </c>
      <c r="AO120" s="292">
        <f>$G$120*Продажи!AI14</f>
        <v>0</v>
      </c>
      <c r="AP120" s="292">
        <f>$G$120*Продажи!AJ14</f>
        <v>0</v>
      </c>
      <c r="AQ120" s="292">
        <f>$G$120*Продажи!AK14</f>
        <v>0</v>
      </c>
      <c r="AR120" s="292">
        <f>$G$120*Продажи!AL14</f>
        <v>0</v>
      </c>
      <c r="AS120" s="292">
        <f>$G$120*Продажи!AM14</f>
        <v>0</v>
      </c>
      <c r="AT120" s="290">
        <f t="shared" si="42"/>
        <v>0</v>
      </c>
    </row>
    <row r="121" spans="1:46" s="269" customFormat="1" outlineLevel="1">
      <c r="A121" s="283" t="s">
        <v>237</v>
      </c>
      <c r="B121" s="284" t="s">
        <v>155</v>
      </c>
      <c r="C121" s="285"/>
      <c r="D121" s="285"/>
      <c r="E121" s="286">
        <f t="shared" si="47"/>
        <v>0</v>
      </c>
      <c r="F121" s="286">
        <f>E121+E121*'Вводные данные'!$D$4</f>
        <v>0</v>
      </c>
      <c r="G121" s="287">
        <f>F121+F121*'Вводные данные'!$E$4</f>
        <v>0</v>
      </c>
      <c r="H121" s="288">
        <f>$E$121*Продажи!B14</f>
        <v>0</v>
      </c>
      <c r="I121" s="288">
        <f>$E$121*Продажи!C14</f>
        <v>0</v>
      </c>
      <c r="J121" s="288">
        <f>$E$121*Продажи!D14</f>
        <v>0</v>
      </c>
      <c r="K121" s="288">
        <f>$E$121*Продажи!E14</f>
        <v>0</v>
      </c>
      <c r="L121" s="288">
        <f>$E$121*Продажи!F14</f>
        <v>0</v>
      </c>
      <c r="M121" s="288">
        <f>$E$121*Продажи!G14</f>
        <v>0</v>
      </c>
      <c r="N121" s="288">
        <f>$E$121*Продажи!H14</f>
        <v>0</v>
      </c>
      <c r="O121" s="288">
        <f>$E$121*Продажи!I14</f>
        <v>0</v>
      </c>
      <c r="P121" s="288">
        <f>$E$121*Продажи!J14</f>
        <v>0</v>
      </c>
      <c r="Q121" s="288">
        <f>$E$121*Продажи!K14</f>
        <v>0</v>
      </c>
      <c r="R121" s="288">
        <f>$E$121*Продажи!L14</f>
        <v>0</v>
      </c>
      <c r="S121" s="288">
        <f>$E$121*Продажи!M14</f>
        <v>0</v>
      </c>
      <c r="T121" s="290">
        <f t="shared" si="49"/>
        <v>0</v>
      </c>
      <c r="U121" s="304">
        <f>$F$121*Продажи!O14</f>
        <v>0</v>
      </c>
      <c r="V121" s="293">
        <f>$F$121*Продажи!P14</f>
        <v>0</v>
      </c>
      <c r="W121" s="293">
        <f>$F$121*Продажи!Q14</f>
        <v>0</v>
      </c>
      <c r="X121" s="293">
        <f>$F$121*Продажи!R14</f>
        <v>0</v>
      </c>
      <c r="Y121" s="293">
        <f>$F$121*Продажи!S14</f>
        <v>0</v>
      </c>
      <c r="Z121" s="293">
        <f>$F$121*Продажи!T14</f>
        <v>0</v>
      </c>
      <c r="AA121" s="293">
        <f>$F$121*Продажи!U14</f>
        <v>0</v>
      </c>
      <c r="AB121" s="293">
        <f>$F$121*Продажи!V14</f>
        <v>0</v>
      </c>
      <c r="AC121" s="293">
        <f>$F$121*Продажи!W14</f>
        <v>0</v>
      </c>
      <c r="AD121" s="293">
        <f>$F$121*Продажи!X14</f>
        <v>0</v>
      </c>
      <c r="AE121" s="293">
        <f>$F$121*Продажи!Y14</f>
        <v>0</v>
      </c>
      <c r="AF121" s="293">
        <f>$F$121*Продажи!Z14</f>
        <v>0</v>
      </c>
      <c r="AG121" s="290">
        <f t="shared" si="41"/>
        <v>0</v>
      </c>
      <c r="AH121" s="292">
        <f>$G$121*Продажи!AB14</f>
        <v>0</v>
      </c>
      <c r="AI121" s="292">
        <f>$G$121*Продажи!AC14</f>
        <v>0</v>
      </c>
      <c r="AJ121" s="292">
        <f>$G$121*Продажи!AD14</f>
        <v>0</v>
      </c>
      <c r="AK121" s="292">
        <f>$G$121*Продажи!AE14</f>
        <v>0</v>
      </c>
      <c r="AL121" s="292">
        <f>$G$121*Продажи!AF14</f>
        <v>0</v>
      </c>
      <c r="AM121" s="292">
        <f>$G$121*Продажи!AG14</f>
        <v>0</v>
      </c>
      <c r="AN121" s="292">
        <f>$G$121*Продажи!AH14</f>
        <v>0</v>
      </c>
      <c r="AO121" s="292">
        <f>$G$121*Продажи!AI14</f>
        <v>0</v>
      </c>
      <c r="AP121" s="292">
        <f>$G$121*Продажи!AJ14</f>
        <v>0</v>
      </c>
      <c r="AQ121" s="292">
        <f>$G$121*Продажи!AK14</f>
        <v>0</v>
      </c>
      <c r="AR121" s="292">
        <f>$G$121*Продажи!AL14</f>
        <v>0</v>
      </c>
      <c r="AS121" s="292">
        <f>$G$121*Продажи!AM14</f>
        <v>0</v>
      </c>
      <c r="AT121" s="290">
        <f t="shared" si="42"/>
        <v>0</v>
      </c>
    </row>
    <row r="122" spans="1:46" s="269" customFormat="1" outlineLevel="1">
      <c r="A122" s="283" t="s">
        <v>238</v>
      </c>
      <c r="B122" s="284" t="s">
        <v>157</v>
      </c>
      <c r="C122" s="285"/>
      <c r="D122" s="285"/>
      <c r="E122" s="286">
        <f t="shared" si="47"/>
        <v>0</v>
      </c>
      <c r="F122" s="286">
        <f>E122+E122*'Вводные данные'!$D$4</f>
        <v>0</v>
      </c>
      <c r="G122" s="287">
        <f>F122+F122*'Вводные данные'!$E$4</f>
        <v>0</v>
      </c>
      <c r="H122" s="288">
        <f>$E$122*Продажи!B14</f>
        <v>0</v>
      </c>
      <c r="I122" s="288">
        <f>$E$122*Продажи!C14</f>
        <v>0</v>
      </c>
      <c r="J122" s="288">
        <f>$E$122*Продажи!D14</f>
        <v>0</v>
      </c>
      <c r="K122" s="288">
        <f>$E$122*Продажи!E14</f>
        <v>0</v>
      </c>
      <c r="L122" s="288">
        <f>$E$122*Продажи!F14</f>
        <v>0</v>
      </c>
      <c r="M122" s="288">
        <f>$E$122*Продажи!G14</f>
        <v>0</v>
      </c>
      <c r="N122" s="288">
        <f>$E$122*Продажи!H14</f>
        <v>0</v>
      </c>
      <c r="O122" s="288">
        <f>$E$122*Продажи!I14</f>
        <v>0</v>
      </c>
      <c r="P122" s="288">
        <f>$E$122*Продажи!J14</f>
        <v>0</v>
      </c>
      <c r="Q122" s="288">
        <f>$E$122*Продажи!K14</f>
        <v>0</v>
      </c>
      <c r="R122" s="288">
        <f>$E$122*Продажи!L14</f>
        <v>0</v>
      </c>
      <c r="S122" s="288">
        <f>$E$122*Продажи!M14</f>
        <v>0</v>
      </c>
      <c r="T122" s="290">
        <f t="shared" si="49"/>
        <v>0</v>
      </c>
      <c r="U122" s="304">
        <f>$F$122*Продажи!O14</f>
        <v>0</v>
      </c>
      <c r="V122" s="293">
        <f>$F$122*Продажи!P14</f>
        <v>0</v>
      </c>
      <c r="W122" s="293">
        <f>$F$122*Продажи!Q14</f>
        <v>0</v>
      </c>
      <c r="X122" s="293">
        <f>$F$122*Продажи!R14</f>
        <v>0</v>
      </c>
      <c r="Y122" s="293">
        <f>$F$122*Продажи!S14</f>
        <v>0</v>
      </c>
      <c r="Z122" s="293">
        <f>$F$122*Продажи!T14</f>
        <v>0</v>
      </c>
      <c r="AA122" s="293">
        <f>$F$122*Продажи!U14</f>
        <v>0</v>
      </c>
      <c r="AB122" s="293">
        <f>$F$122*Продажи!V14</f>
        <v>0</v>
      </c>
      <c r="AC122" s="293">
        <f>$F$122*Продажи!W14</f>
        <v>0</v>
      </c>
      <c r="AD122" s="293">
        <f>$F$122*Продажи!X14</f>
        <v>0</v>
      </c>
      <c r="AE122" s="293">
        <f>$F$122*Продажи!Y14</f>
        <v>0</v>
      </c>
      <c r="AF122" s="293">
        <f>$F$122*Продажи!Z14</f>
        <v>0</v>
      </c>
      <c r="AG122" s="290">
        <f t="shared" si="41"/>
        <v>0</v>
      </c>
      <c r="AH122" s="292">
        <f>$G$122*Продажи!AB14</f>
        <v>0</v>
      </c>
      <c r="AI122" s="292">
        <f>$G$122*Продажи!AC14</f>
        <v>0</v>
      </c>
      <c r="AJ122" s="292">
        <f>$G$122*Продажи!AD14</f>
        <v>0</v>
      </c>
      <c r="AK122" s="292">
        <f>$G$122*Продажи!AE14</f>
        <v>0</v>
      </c>
      <c r="AL122" s="292">
        <f>$G$122*Продажи!AF14</f>
        <v>0</v>
      </c>
      <c r="AM122" s="292">
        <f>$G$122*Продажи!AG14</f>
        <v>0</v>
      </c>
      <c r="AN122" s="292">
        <f>$G$122*Продажи!AH14</f>
        <v>0</v>
      </c>
      <c r="AO122" s="292">
        <f>$G$122*Продажи!AI14</f>
        <v>0</v>
      </c>
      <c r="AP122" s="292">
        <f>$G$122*Продажи!AJ14</f>
        <v>0</v>
      </c>
      <c r="AQ122" s="292">
        <f>$G$122*Продажи!AK14</f>
        <v>0</v>
      </c>
      <c r="AR122" s="292">
        <f>$G$122*Продажи!AL14</f>
        <v>0</v>
      </c>
      <c r="AS122" s="292">
        <f>$G$122*Продажи!AM14</f>
        <v>0</v>
      </c>
      <c r="AT122" s="290">
        <f t="shared" si="42"/>
        <v>0</v>
      </c>
    </row>
    <row r="123" spans="1:46" s="269" customFormat="1" outlineLevel="1">
      <c r="A123" s="283" t="s">
        <v>239</v>
      </c>
      <c r="B123" s="284" t="s">
        <v>159</v>
      </c>
      <c r="C123" s="285"/>
      <c r="D123" s="285"/>
      <c r="E123" s="286">
        <f t="shared" si="47"/>
        <v>0</v>
      </c>
      <c r="F123" s="286">
        <f>E123+E123*'Вводные данные'!$D$4</f>
        <v>0</v>
      </c>
      <c r="G123" s="287">
        <f>F123+F123*'Вводные данные'!$E$4</f>
        <v>0</v>
      </c>
      <c r="H123" s="288">
        <f>$E$123*Продажи!B14</f>
        <v>0</v>
      </c>
      <c r="I123" s="288">
        <f>$E$123*Продажи!C14</f>
        <v>0</v>
      </c>
      <c r="J123" s="288">
        <f>$E$123*Продажи!D14</f>
        <v>0</v>
      </c>
      <c r="K123" s="288">
        <f>$E$123*Продажи!E14</f>
        <v>0</v>
      </c>
      <c r="L123" s="288">
        <f>$E$123*Продажи!F14</f>
        <v>0</v>
      </c>
      <c r="M123" s="288">
        <f>$E$123*Продажи!G14</f>
        <v>0</v>
      </c>
      <c r="N123" s="288">
        <f>$E$123*Продажи!H14</f>
        <v>0</v>
      </c>
      <c r="O123" s="288">
        <f>$E$123*Продажи!I14</f>
        <v>0</v>
      </c>
      <c r="P123" s="288">
        <f>$E$123*Продажи!J14</f>
        <v>0</v>
      </c>
      <c r="Q123" s="288">
        <f>$E$123*Продажи!K14</f>
        <v>0</v>
      </c>
      <c r="R123" s="288">
        <f>$E$123*Продажи!L14</f>
        <v>0</v>
      </c>
      <c r="S123" s="288">
        <f>$E$123*Продажи!M14</f>
        <v>0</v>
      </c>
      <c r="T123" s="290">
        <f t="shared" si="49"/>
        <v>0</v>
      </c>
      <c r="U123" s="304">
        <f>$F$123*Продажи!O14</f>
        <v>0</v>
      </c>
      <c r="V123" s="293">
        <f>$F$123*Продажи!P14</f>
        <v>0</v>
      </c>
      <c r="W123" s="293">
        <f>$F$123*Продажи!Q14</f>
        <v>0</v>
      </c>
      <c r="X123" s="293">
        <f>$F$123*Продажи!R14</f>
        <v>0</v>
      </c>
      <c r="Y123" s="293">
        <f>$F$123*Продажи!S14</f>
        <v>0</v>
      </c>
      <c r="Z123" s="293">
        <f>$F$123*Продажи!T14</f>
        <v>0</v>
      </c>
      <c r="AA123" s="293">
        <f>$F$123*Продажи!U14</f>
        <v>0</v>
      </c>
      <c r="AB123" s="293">
        <f>$F$123*Продажи!V14</f>
        <v>0</v>
      </c>
      <c r="AC123" s="293">
        <f>$F$123*Продажи!W14</f>
        <v>0</v>
      </c>
      <c r="AD123" s="293">
        <f>$F$123*Продажи!X14</f>
        <v>0</v>
      </c>
      <c r="AE123" s="293">
        <f>$F$123*Продажи!Y14</f>
        <v>0</v>
      </c>
      <c r="AF123" s="293">
        <f>$F$123*Продажи!Z14</f>
        <v>0</v>
      </c>
      <c r="AG123" s="290">
        <f t="shared" si="41"/>
        <v>0</v>
      </c>
      <c r="AH123" s="292">
        <f>$G$123*Продажи!AB14</f>
        <v>0</v>
      </c>
      <c r="AI123" s="292">
        <f>$G$123*Продажи!AC14</f>
        <v>0</v>
      </c>
      <c r="AJ123" s="292">
        <f>$G$123*Продажи!AD14</f>
        <v>0</v>
      </c>
      <c r="AK123" s="292">
        <f>$G$123*Продажи!AE14</f>
        <v>0</v>
      </c>
      <c r="AL123" s="292">
        <f>$G$123*Продажи!AF14</f>
        <v>0</v>
      </c>
      <c r="AM123" s="292">
        <f>$G$123*Продажи!AG14</f>
        <v>0</v>
      </c>
      <c r="AN123" s="292">
        <f>$G$123*Продажи!AH14</f>
        <v>0</v>
      </c>
      <c r="AO123" s="292">
        <f>$G$123*Продажи!AI14</f>
        <v>0</v>
      </c>
      <c r="AP123" s="292">
        <f>$G$123*Продажи!AJ14</f>
        <v>0</v>
      </c>
      <c r="AQ123" s="292">
        <f>$G$123*Продажи!AK14</f>
        <v>0</v>
      </c>
      <c r="AR123" s="292">
        <f>$G$123*Продажи!AL14</f>
        <v>0</v>
      </c>
      <c r="AS123" s="292">
        <f>$G$123*Продажи!AM14</f>
        <v>0</v>
      </c>
      <c r="AT123" s="290">
        <f t="shared" si="42"/>
        <v>0</v>
      </c>
    </row>
    <row r="124" spans="1:46" s="269" customFormat="1" outlineLevel="1">
      <c r="A124" s="283" t="s">
        <v>240</v>
      </c>
      <c r="B124" s="284" t="s">
        <v>161</v>
      </c>
      <c r="C124" s="285"/>
      <c r="D124" s="285"/>
      <c r="E124" s="286">
        <f t="shared" si="47"/>
        <v>0</v>
      </c>
      <c r="F124" s="286">
        <f>E124+E124*'Вводные данные'!$D$4</f>
        <v>0</v>
      </c>
      <c r="G124" s="287">
        <f>F124+F124*'Вводные данные'!$E$4</f>
        <v>0</v>
      </c>
      <c r="H124" s="288">
        <f>$E$124*Продажи!B14</f>
        <v>0</v>
      </c>
      <c r="I124" s="288">
        <f>$E$124*Продажи!C14</f>
        <v>0</v>
      </c>
      <c r="J124" s="288">
        <f>$E$124*Продажи!D14</f>
        <v>0</v>
      </c>
      <c r="K124" s="288">
        <f>$E$124*Продажи!E14</f>
        <v>0</v>
      </c>
      <c r="L124" s="288">
        <f>$E$124*Продажи!F14</f>
        <v>0</v>
      </c>
      <c r="M124" s="288">
        <f>$E$124*Продажи!G14</f>
        <v>0</v>
      </c>
      <c r="N124" s="288">
        <f>$E$124*Продажи!H14</f>
        <v>0</v>
      </c>
      <c r="O124" s="288">
        <f>$E$124*Продажи!I14</f>
        <v>0</v>
      </c>
      <c r="P124" s="288">
        <f>$E$124*Продажи!J14</f>
        <v>0</v>
      </c>
      <c r="Q124" s="288">
        <f>$E$124*Продажи!K14</f>
        <v>0</v>
      </c>
      <c r="R124" s="288">
        <f>$E$124*Продажи!L14</f>
        <v>0</v>
      </c>
      <c r="S124" s="288">
        <f>$E$124*Продажи!M14</f>
        <v>0</v>
      </c>
      <c r="T124" s="290">
        <f t="shared" si="49"/>
        <v>0</v>
      </c>
      <c r="U124" s="304">
        <f>$F$124*Продажи!O14</f>
        <v>0</v>
      </c>
      <c r="V124" s="293">
        <f>$F$124*Продажи!P14</f>
        <v>0</v>
      </c>
      <c r="W124" s="293">
        <f>$F$124*Продажи!Q14</f>
        <v>0</v>
      </c>
      <c r="X124" s="293">
        <f>$F$124*Продажи!R14</f>
        <v>0</v>
      </c>
      <c r="Y124" s="293">
        <f>$F$124*Продажи!S14</f>
        <v>0</v>
      </c>
      <c r="Z124" s="293">
        <f>$F$124*Продажи!T14</f>
        <v>0</v>
      </c>
      <c r="AA124" s="293">
        <f>$F$124*Продажи!U14</f>
        <v>0</v>
      </c>
      <c r="AB124" s="293">
        <f>$F$124*Продажи!V14</f>
        <v>0</v>
      </c>
      <c r="AC124" s="293">
        <f>$F$124*Продажи!W14</f>
        <v>0</v>
      </c>
      <c r="AD124" s="293">
        <f>$F$124*Продажи!X14</f>
        <v>0</v>
      </c>
      <c r="AE124" s="293">
        <f>$F$124*Продажи!Y14</f>
        <v>0</v>
      </c>
      <c r="AF124" s="293">
        <f>$F$124*Продажи!Z14</f>
        <v>0</v>
      </c>
      <c r="AG124" s="290">
        <f t="shared" si="41"/>
        <v>0</v>
      </c>
      <c r="AH124" s="292">
        <f>$G$124*Продажи!AB14</f>
        <v>0</v>
      </c>
      <c r="AI124" s="292">
        <f>$G$124*Продажи!AC14</f>
        <v>0</v>
      </c>
      <c r="AJ124" s="292">
        <f>$G$124*Продажи!AD14</f>
        <v>0</v>
      </c>
      <c r="AK124" s="292">
        <f>$G$124*Продажи!AE14</f>
        <v>0</v>
      </c>
      <c r="AL124" s="292">
        <f>$G$124*Продажи!AF14</f>
        <v>0</v>
      </c>
      <c r="AM124" s="292">
        <f>$G$124*Продажи!AG14</f>
        <v>0</v>
      </c>
      <c r="AN124" s="292">
        <f>$G$124*Продажи!AH14</f>
        <v>0</v>
      </c>
      <c r="AO124" s="292">
        <f>$G$124*Продажи!AI14</f>
        <v>0</v>
      </c>
      <c r="AP124" s="292">
        <f>$G$124*Продажи!AJ14</f>
        <v>0</v>
      </c>
      <c r="AQ124" s="292">
        <f>$G$124*Продажи!AK14</f>
        <v>0</v>
      </c>
      <c r="AR124" s="292">
        <f>$G$124*Продажи!AL14</f>
        <v>0</v>
      </c>
      <c r="AS124" s="292">
        <f>$G$124*Продажи!AM14</f>
        <v>0</v>
      </c>
      <c r="AT124" s="290">
        <f t="shared" si="42"/>
        <v>0</v>
      </c>
    </row>
    <row r="125" spans="1:46" s="269" customFormat="1" ht="24" customHeight="1" outlineLevel="1">
      <c r="A125" s="305" t="s">
        <v>241</v>
      </c>
      <c r="B125" s="479" t="s">
        <v>163</v>
      </c>
      <c r="C125" s="480"/>
      <c r="D125" s="480"/>
      <c r="E125" s="480"/>
      <c r="F125" s="480"/>
      <c r="G125" s="481"/>
      <c r="H125" s="306">
        <f>'Продукция и цена '!C13</f>
        <v>0</v>
      </c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8">
        <f>H125</f>
        <v>0</v>
      </c>
      <c r="U125" s="309">
        <f>'Продукция и цена '!D13</f>
        <v>0</v>
      </c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  <c r="AG125" s="308">
        <f t="shared" si="41"/>
        <v>0</v>
      </c>
      <c r="AH125" s="306">
        <f>'Продукция и цена '!E13</f>
        <v>0</v>
      </c>
      <c r="AI125" s="307"/>
      <c r="AJ125" s="307"/>
      <c r="AK125" s="307"/>
      <c r="AL125" s="307"/>
      <c r="AM125" s="307"/>
      <c r="AN125" s="307"/>
      <c r="AO125" s="307"/>
      <c r="AP125" s="307"/>
      <c r="AQ125" s="307"/>
      <c r="AR125" s="307"/>
      <c r="AS125" s="307"/>
      <c r="AT125" s="308">
        <f t="shared" si="42"/>
        <v>0</v>
      </c>
    </row>
    <row r="126" spans="1:46" s="268" customFormat="1">
      <c r="A126" s="482" t="s">
        <v>102</v>
      </c>
      <c r="B126" s="483"/>
      <c r="C126" s="483"/>
      <c r="D126" s="483"/>
      <c r="E126" s="483"/>
      <c r="F126" s="483"/>
      <c r="G126" s="484"/>
      <c r="H126" s="310">
        <f>H6+H18+H30+H42+H54+H66+H78+H90+H102+H114</f>
        <v>53800</v>
      </c>
      <c r="I126" s="310">
        <f t="shared" ref="I126:S126" si="52">I6+I18+I30+I42+I54+I66+I78+I90+I102+I114</f>
        <v>8400</v>
      </c>
      <c r="J126" s="310">
        <f t="shared" si="52"/>
        <v>113100</v>
      </c>
      <c r="K126" s="310">
        <f t="shared" si="52"/>
        <v>28000</v>
      </c>
      <c r="L126" s="310">
        <f t="shared" si="52"/>
        <v>78600</v>
      </c>
      <c r="M126" s="310">
        <f t="shared" si="52"/>
        <v>94900</v>
      </c>
      <c r="N126" s="310">
        <f t="shared" si="52"/>
        <v>100500</v>
      </c>
      <c r="O126" s="310">
        <f t="shared" si="52"/>
        <v>116400</v>
      </c>
      <c r="P126" s="310">
        <f t="shared" si="52"/>
        <v>179700</v>
      </c>
      <c r="Q126" s="310">
        <f t="shared" si="52"/>
        <v>96900</v>
      </c>
      <c r="R126" s="310">
        <f t="shared" si="52"/>
        <v>147500</v>
      </c>
      <c r="S126" s="310">
        <f t="shared" si="52"/>
        <v>160200</v>
      </c>
      <c r="T126" s="310">
        <f>SUM(H126:S126)</f>
        <v>1178000</v>
      </c>
      <c r="U126" s="311">
        <f>U6+U18+U30+U42+U54+U66+U78+U90+U102+U114</f>
        <v>265305</v>
      </c>
      <c r="V126" s="311">
        <f t="shared" ref="V126:AF126" si="53">V6+V18+V30+V42+V54+V66+V78+V90+V102+V114</f>
        <v>336260</v>
      </c>
      <c r="W126" s="311">
        <f t="shared" si="53"/>
        <v>305555</v>
      </c>
      <c r="X126" s="311">
        <f t="shared" si="53"/>
        <v>447924.99999999988</v>
      </c>
      <c r="Y126" s="311">
        <f t="shared" si="53"/>
        <v>366159.99999999988</v>
      </c>
      <c r="Z126" s="311">
        <f t="shared" si="53"/>
        <v>439184.99999999988</v>
      </c>
      <c r="AA126" s="311">
        <f t="shared" si="53"/>
        <v>412044.99999999988</v>
      </c>
      <c r="AB126" s="311">
        <f t="shared" si="53"/>
        <v>553724.99999999988</v>
      </c>
      <c r="AC126" s="311">
        <f t="shared" si="53"/>
        <v>473224.99999999988</v>
      </c>
      <c r="AD126" s="311">
        <f t="shared" si="53"/>
        <v>546249.99999999988</v>
      </c>
      <c r="AE126" s="310">
        <f>AE6+AE18+AE30+AE42+AE54+AE66+AE78+AE90+AE102+AE114</f>
        <v>514969.99999999988</v>
      </c>
      <c r="AF126" s="311">
        <f t="shared" si="53"/>
        <v>658029.99999999988</v>
      </c>
      <c r="AG126" s="311">
        <f t="shared" si="41"/>
        <v>5318635</v>
      </c>
      <c r="AH126" s="311">
        <f>AH6+AH18+AH30+AH42+AH54+AH66+AH78+AH90+AH102+AH114</f>
        <v>792971</v>
      </c>
      <c r="AI126" s="311">
        <f t="shared" ref="AI126:AS126" si="54">AI6+AI18+AI30+AI42+AI54+AI66+AI78+AI90+AI102+AI114</f>
        <v>846003.25</v>
      </c>
      <c r="AJ126" s="311">
        <f t="shared" si="54"/>
        <v>756337.75</v>
      </c>
      <c r="AK126" s="311">
        <f t="shared" si="54"/>
        <v>922267.41666666674</v>
      </c>
      <c r="AL126" s="311">
        <f t="shared" si="54"/>
        <v>846554.29166666674</v>
      </c>
      <c r="AM126" s="311">
        <f t="shared" si="54"/>
        <v>1007700.9166666667</v>
      </c>
      <c r="AN126" s="311">
        <f t="shared" si="54"/>
        <v>940055.04166666674</v>
      </c>
      <c r="AO126" s="311">
        <f t="shared" si="54"/>
        <v>1099746.9166666667</v>
      </c>
      <c r="AP126" s="311">
        <f t="shared" si="54"/>
        <v>1020859.7916666667</v>
      </c>
      <c r="AQ126" s="311">
        <f t="shared" si="54"/>
        <v>1182006.4166666667</v>
      </c>
      <c r="AR126" s="311">
        <f t="shared" si="54"/>
        <v>1104838.5416666667</v>
      </c>
      <c r="AS126" s="311">
        <f t="shared" si="54"/>
        <v>1267704.4166666667</v>
      </c>
      <c r="AT126" s="312">
        <f t="shared" si="42"/>
        <v>11787045.75</v>
      </c>
    </row>
  </sheetData>
  <mergeCells count="22">
    <mergeCell ref="A4:A5"/>
    <mergeCell ref="B4:B5"/>
    <mergeCell ref="C4:C5"/>
    <mergeCell ref="D4:D5"/>
    <mergeCell ref="E4:G5"/>
    <mergeCell ref="AT4:AT5"/>
    <mergeCell ref="B17:G17"/>
    <mergeCell ref="B29:G29"/>
    <mergeCell ref="B41:G41"/>
    <mergeCell ref="B53:G53"/>
    <mergeCell ref="H4:S4"/>
    <mergeCell ref="T4:T5"/>
    <mergeCell ref="U4:AF4"/>
    <mergeCell ref="AG4:AG5"/>
    <mergeCell ref="AH4:AS4"/>
    <mergeCell ref="B125:G125"/>
    <mergeCell ref="A126:G126"/>
    <mergeCell ref="B65:G65"/>
    <mergeCell ref="B77:G77"/>
    <mergeCell ref="B89:G89"/>
    <mergeCell ref="B101:G101"/>
    <mergeCell ref="B113:G113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3">
    <tabColor theme="9"/>
  </sheetPr>
  <dimension ref="A2:AN48"/>
  <sheetViews>
    <sheetView zoomScale="130" workbookViewId="0">
      <pane xSplit="1" ySplit="4" topLeftCell="B5" activePane="bottomRight" state="frozen"/>
      <selection activeCell="C21" sqref="C21:C24"/>
      <selection pane="topRight"/>
      <selection pane="bottomLeft"/>
      <selection pane="bottomRight" activeCell="K19" sqref="K19"/>
    </sheetView>
  </sheetViews>
  <sheetFormatPr defaultColWidth="9.140625" defaultRowHeight="15"/>
  <cols>
    <col min="1" max="1" width="22.42578125" style="234" customWidth="1"/>
    <col min="2" max="2" width="11.42578125" style="234" customWidth="1"/>
    <col min="3" max="3" width="12.42578125" style="234" customWidth="1"/>
    <col min="4" max="4" width="11.42578125" style="234" customWidth="1"/>
    <col min="5" max="13" width="10.42578125" style="234" customWidth="1"/>
    <col min="14" max="14" width="12.28515625" style="234" customWidth="1"/>
    <col min="15" max="15" width="11.42578125" style="234" customWidth="1"/>
    <col min="16" max="16" width="12.140625" style="234" customWidth="1"/>
    <col min="17" max="17" width="11.85546875" style="234" customWidth="1"/>
    <col min="18" max="18" width="11.7109375" style="234" customWidth="1"/>
    <col min="19" max="19" width="11.42578125" style="234" customWidth="1"/>
    <col min="20" max="20" width="11.140625" style="234" customWidth="1"/>
    <col min="21" max="21" width="10.28515625" style="234" customWidth="1"/>
    <col min="22" max="22" width="11.140625" style="234" customWidth="1"/>
    <col min="23" max="23" width="10.28515625" style="234" customWidth="1"/>
    <col min="24" max="26" width="10.140625" style="234" bestFit="1" customWidth="1"/>
    <col min="27" max="27" width="12.28515625" style="234" customWidth="1"/>
    <col min="28" max="36" width="10.140625" style="234" customWidth="1"/>
    <col min="37" max="39" width="10.140625" style="234" bestFit="1" customWidth="1"/>
    <col min="40" max="40" width="13.140625" style="234" customWidth="1"/>
    <col min="41" max="41" width="10.140625" style="234" customWidth="1"/>
    <col min="42" max="45" width="10.140625" style="234" bestFit="1" customWidth="1"/>
    <col min="46" max="16384" width="9.140625" style="234"/>
  </cols>
  <sheetData>
    <row r="2" spans="1:40" ht="18.75">
      <c r="A2" s="236" t="s">
        <v>242</v>
      </c>
    </row>
    <row r="3" spans="1:40" ht="17.25" customHeight="1">
      <c r="A3" s="508" t="s">
        <v>243</v>
      </c>
      <c r="B3" s="510" t="s">
        <v>3</v>
      </c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2"/>
      <c r="N3" s="513" t="s">
        <v>244</v>
      </c>
      <c r="O3" s="505" t="s">
        <v>4</v>
      </c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13" t="s">
        <v>245</v>
      </c>
      <c r="AB3" s="505" t="s">
        <v>5</v>
      </c>
      <c r="AC3" s="505"/>
      <c r="AD3" s="505"/>
      <c r="AE3" s="505"/>
      <c r="AF3" s="505"/>
      <c r="AG3" s="505"/>
      <c r="AH3" s="505"/>
      <c r="AI3" s="505"/>
      <c r="AJ3" s="505"/>
      <c r="AK3" s="505"/>
      <c r="AL3" s="505"/>
      <c r="AM3" s="505"/>
      <c r="AN3" s="506" t="s">
        <v>246</v>
      </c>
    </row>
    <row r="4" spans="1:40">
      <c r="A4" s="509"/>
      <c r="B4" s="313">
        <f>РДДС!D5</f>
        <v>45809</v>
      </c>
      <c r="C4" s="313">
        <f>РДДС!E5</f>
        <v>45839</v>
      </c>
      <c r="D4" s="313">
        <f>РДДС!F5</f>
        <v>45870</v>
      </c>
      <c r="E4" s="313">
        <f>РДДС!G5</f>
        <v>45901</v>
      </c>
      <c r="F4" s="313">
        <f>РДДС!H5</f>
        <v>45931</v>
      </c>
      <c r="G4" s="313">
        <f>РДДС!I5</f>
        <v>45962</v>
      </c>
      <c r="H4" s="313">
        <f>РДДС!J5</f>
        <v>45992</v>
      </c>
      <c r="I4" s="313">
        <f>РДДС!K5</f>
        <v>46023</v>
      </c>
      <c r="J4" s="313">
        <f>РДДС!L5</f>
        <v>46054</v>
      </c>
      <c r="K4" s="313">
        <f>РДДС!M5</f>
        <v>46082</v>
      </c>
      <c r="L4" s="313">
        <f>РДДС!N5</f>
        <v>46113</v>
      </c>
      <c r="M4" s="313">
        <f>РДДС!O5</f>
        <v>46143</v>
      </c>
      <c r="N4" s="514"/>
      <c r="O4" s="315">
        <f>РДДС!Q5</f>
        <v>46174</v>
      </c>
      <c r="P4" s="315">
        <f>РДДС!R5</f>
        <v>46204</v>
      </c>
      <c r="Q4" s="315">
        <f>РДДС!S5</f>
        <v>46235</v>
      </c>
      <c r="R4" s="315">
        <f>РДДС!T5</f>
        <v>46266</v>
      </c>
      <c r="S4" s="315">
        <f>РДДС!U5</f>
        <v>46296</v>
      </c>
      <c r="T4" s="315">
        <f>РДДС!V5</f>
        <v>46327</v>
      </c>
      <c r="U4" s="315">
        <f>РДДС!W5</f>
        <v>46357</v>
      </c>
      <c r="V4" s="315">
        <f>РДДС!X5</f>
        <v>46388</v>
      </c>
      <c r="W4" s="315">
        <f>РДДС!Y5</f>
        <v>46419</v>
      </c>
      <c r="X4" s="315">
        <f>РДДС!Z5</f>
        <v>46447</v>
      </c>
      <c r="Y4" s="315">
        <f>РДДС!AA5</f>
        <v>46478</v>
      </c>
      <c r="Z4" s="315">
        <f>РДДС!AB5</f>
        <v>46508</v>
      </c>
      <c r="AA4" s="514"/>
      <c r="AB4" s="315">
        <f>РДДС!AD5</f>
        <v>46539</v>
      </c>
      <c r="AC4" s="315">
        <f>РДДС!AE5</f>
        <v>46569</v>
      </c>
      <c r="AD4" s="315">
        <f>РДДС!AF5</f>
        <v>46600</v>
      </c>
      <c r="AE4" s="315">
        <f>РДДС!AG5</f>
        <v>46631</v>
      </c>
      <c r="AF4" s="315">
        <f>РДДС!AH5</f>
        <v>46661</v>
      </c>
      <c r="AG4" s="315">
        <f>РДДС!AI5</f>
        <v>46692</v>
      </c>
      <c r="AH4" s="315">
        <f>РДДС!AJ5</f>
        <v>46722</v>
      </c>
      <c r="AI4" s="315">
        <f>РДДС!AK5</f>
        <v>46753</v>
      </c>
      <c r="AJ4" s="315">
        <f>РДДС!AL5</f>
        <v>46784</v>
      </c>
      <c r="AK4" s="315">
        <f>РДДС!AM5</f>
        <v>46813</v>
      </c>
      <c r="AL4" s="315">
        <f>РДДС!AN5</f>
        <v>46844</v>
      </c>
      <c r="AM4" s="315">
        <f>РДДС!AO5</f>
        <v>46874</v>
      </c>
      <c r="AN4" s="507"/>
    </row>
    <row r="5" spans="1:40">
      <c r="A5" s="252" t="s">
        <v>525</v>
      </c>
      <c r="B5" s="253">
        <v>1</v>
      </c>
      <c r="C5" s="253">
        <v>1</v>
      </c>
      <c r="D5" s="253">
        <v>1</v>
      </c>
      <c r="E5" s="253">
        <v>1</v>
      </c>
      <c r="F5" s="253">
        <v>1</v>
      </c>
      <c r="G5" s="253">
        <v>1</v>
      </c>
      <c r="H5" s="253">
        <v>1</v>
      </c>
      <c r="I5" s="253">
        <v>1</v>
      </c>
      <c r="J5" s="253">
        <v>1</v>
      </c>
      <c r="K5" s="253">
        <v>1</v>
      </c>
      <c r="L5" s="253">
        <v>1</v>
      </c>
      <c r="M5" s="253">
        <v>1</v>
      </c>
      <c r="N5" s="314">
        <f t="shared" ref="N5:N15" si="0">SUM(B5:M5)/12</f>
        <v>1</v>
      </c>
      <c r="O5" s="253">
        <v>1</v>
      </c>
      <c r="P5" s="253">
        <v>1</v>
      </c>
      <c r="Q5" s="253">
        <v>1</v>
      </c>
      <c r="R5" s="253">
        <v>1</v>
      </c>
      <c r="S5" s="253">
        <v>1</v>
      </c>
      <c r="T5" s="253">
        <v>1</v>
      </c>
      <c r="U5" s="253">
        <v>1</v>
      </c>
      <c r="V5" s="253">
        <v>1</v>
      </c>
      <c r="W5" s="253">
        <v>1</v>
      </c>
      <c r="X5" s="253">
        <v>1</v>
      </c>
      <c r="Y5" s="253">
        <v>1</v>
      </c>
      <c r="Z5" s="253">
        <v>1</v>
      </c>
      <c r="AA5" s="316">
        <f t="shared" ref="AA5:AA15" si="1">SUM(O5:Z5)/12</f>
        <v>1</v>
      </c>
      <c r="AB5" s="253">
        <v>1</v>
      </c>
      <c r="AC5" s="253">
        <v>1</v>
      </c>
      <c r="AD5" s="253">
        <v>1</v>
      </c>
      <c r="AE5" s="253">
        <v>1</v>
      </c>
      <c r="AF5" s="253">
        <v>1</v>
      </c>
      <c r="AG5" s="253">
        <v>1</v>
      </c>
      <c r="AH5" s="253">
        <v>1</v>
      </c>
      <c r="AI5" s="253">
        <v>1</v>
      </c>
      <c r="AJ5" s="253">
        <v>1</v>
      </c>
      <c r="AK5" s="253">
        <v>1</v>
      </c>
      <c r="AL5" s="253">
        <v>1</v>
      </c>
      <c r="AM5" s="253">
        <v>1</v>
      </c>
      <c r="AN5" s="317">
        <f t="shared" ref="AN5:AN15" si="2">SUM(AB5:AM5)/12</f>
        <v>1</v>
      </c>
    </row>
    <row r="6" spans="1:40" ht="30">
      <c r="A6" s="252" t="s">
        <v>530</v>
      </c>
      <c r="B6" s="253">
        <v>0</v>
      </c>
      <c r="C6" s="253">
        <v>0</v>
      </c>
      <c r="D6" s="253">
        <v>0</v>
      </c>
      <c r="E6" s="253">
        <v>0</v>
      </c>
      <c r="F6" s="253">
        <v>0</v>
      </c>
      <c r="G6" s="253">
        <v>0</v>
      </c>
      <c r="H6" s="253">
        <v>0</v>
      </c>
      <c r="I6" s="253">
        <v>0</v>
      </c>
      <c r="J6" s="253">
        <v>0</v>
      </c>
      <c r="K6" s="253">
        <v>0</v>
      </c>
      <c r="L6" s="253">
        <v>0</v>
      </c>
      <c r="M6" s="253">
        <v>0</v>
      </c>
      <c r="N6" s="314">
        <f t="shared" si="0"/>
        <v>0</v>
      </c>
      <c r="O6" s="253">
        <v>1</v>
      </c>
      <c r="P6" s="253">
        <v>1</v>
      </c>
      <c r="Q6" s="253">
        <v>1</v>
      </c>
      <c r="R6" s="253">
        <v>1</v>
      </c>
      <c r="S6" s="253">
        <v>1</v>
      </c>
      <c r="T6" s="253">
        <v>1</v>
      </c>
      <c r="U6" s="253">
        <v>1</v>
      </c>
      <c r="V6" s="253">
        <v>1</v>
      </c>
      <c r="W6" s="253">
        <v>1</v>
      </c>
      <c r="X6" s="253">
        <v>1</v>
      </c>
      <c r="Y6" s="253">
        <v>1</v>
      </c>
      <c r="Z6" s="253">
        <v>1</v>
      </c>
      <c r="AA6" s="316">
        <f t="shared" si="1"/>
        <v>1</v>
      </c>
      <c r="AB6" s="430">
        <v>1</v>
      </c>
      <c r="AC6" s="430">
        <v>1</v>
      </c>
      <c r="AD6" s="430">
        <v>1</v>
      </c>
      <c r="AE6" s="430">
        <v>1</v>
      </c>
      <c r="AF6" s="253">
        <v>1</v>
      </c>
      <c r="AG6" s="253">
        <v>1</v>
      </c>
      <c r="AH6" s="253">
        <v>1</v>
      </c>
      <c r="AI6" s="253">
        <v>1</v>
      </c>
      <c r="AJ6" s="253">
        <v>1</v>
      </c>
      <c r="AK6" s="253">
        <v>1</v>
      </c>
      <c r="AL6" s="253">
        <v>1</v>
      </c>
      <c r="AM6" s="253">
        <v>1</v>
      </c>
      <c r="AN6" s="317">
        <f t="shared" si="2"/>
        <v>1</v>
      </c>
    </row>
    <row r="7" spans="1:40">
      <c r="A7" s="252" t="s">
        <v>529</v>
      </c>
      <c r="B7" s="430">
        <v>0</v>
      </c>
      <c r="C7" s="430">
        <v>0</v>
      </c>
      <c r="D7" s="430">
        <v>0</v>
      </c>
      <c r="E7" s="430">
        <v>0</v>
      </c>
      <c r="F7" s="430">
        <v>0</v>
      </c>
      <c r="G7" s="430">
        <v>0</v>
      </c>
      <c r="H7" s="430">
        <v>0</v>
      </c>
      <c r="I7" s="430">
        <v>0</v>
      </c>
      <c r="J7" s="430">
        <v>0</v>
      </c>
      <c r="K7" s="430">
        <v>0</v>
      </c>
      <c r="L7" s="430">
        <v>0</v>
      </c>
      <c r="M7" s="430">
        <v>0</v>
      </c>
      <c r="N7" s="314">
        <f t="shared" si="0"/>
        <v>0</v>
      </c>
      <c r="O7" s="253">
        <v>1</v>
      </c>
      <c r="P7" s="253">
        <v>1</v>
      </c>
      <c r="Q7" s="253">
        <v>1</v>
      </c>
      <c r="R7" s="253">
        <v>1</v>
      </c>
      <c r="S7" s="253">
        <v>1</v>
      </c>
      <c r="T7" s="253">
        <v>1</v>
      </c>
      <c r="U7" s="253">
        <v>1</v>
      </c>
      <c r="V7" s="253">
        <v>1</v>
      </c>
      <c r="W7" s="253">
        <v>1</v>
      </c>
      <c r="X7" s="253">
        <v>1</v>
      </c>
      <c r="Y7" s="253">
        <v>1</v>
      </c>
      <c r="Z7" s="253">
        <v>1</v>
      </c>
      <c r="AA7" s="316">
        <f t="shared" si="1"/>
        <v>1</v>
      </c>
      <c r="AB7" s="253">
        <v>1</v>
      </c>
      <c r="AC7" s="253">
        <v>1</v>
      </c>
      <c r="AD7" s="253">
        <v>1</v>
      </c>
      <c r="AE7" s="253">
        <v>1</v>
      </c>
      <c r="AF7" s="253">
        <v>1</v>
      </c>
      <c r="AG7" s="253">
        <v>1</v>
      </c>
      <c r="AH7" s="253">
        <v>1</v>
      </c>
      <c r="AI7" s="253">
        <v>1</v>
      </c>
      <c r="AJ7" s="253">
        <v>1</v>
      </c>
      <c r="AK7" s="253">
        <v>1</v>
      </c>
      <c r="AL7" s="253">
        <v>1</v>
      </c>
      <c r="AM7" s="253">
        <v>1</v>
      </c>
      <c r="AN7" s="317">
        <f t="shared" si="2"/>
        <v>1</v>
      </c>
    </row>
    <row r="8" spans="1:40" ht="30">
      <c r="A8" s="252" t="s">
        <v>528</v>
      </c>
      <c r="B8" s="253">
        <v>0.5</v>
      </c>
      <c r="C8" s="253">
        <v>0.5</v>
      </c>
      <c r="D8" s="253">
        <v>0.5</v>
      </c>
      <c r="E8" s="253">
        <v>0.5</v>
      </c>
      <c r="F8" s="253">
        <v>0.5</v>
      </c>
      <c r="G8" s="253">
        <v>0.5</v>
      </c>
      <c r="H8" s="253">
        <v>0.5</v>
      </c>
      <c r="I8" s="253">
        <v>0.5</v>
      </c>
      <c r="J8" s="253">
        <v>0.5</v>
      </c>
      <c r="K8" s="253">
        <v>0.5</v>
      </c>
      <c r="L8" s="253">
        <v>0.5</v>
      </c>
      <c r="M8" s="253">
        <v>0.5</v>
      </c>
      <c r="N8" s="314">
        <f t="shared" si="0"/>
        <v>0.5</v>
      </c>
      <c r="O8" s="253">
        <v>1</v>
      </c>
      <c r="P8" s="253">
        <v>1</v>
      </c>
      <c r="Q8" s="253">
        <v>1</v>
      </c>
      <c r="R8" s="253">
        <v>1</v>
      </c>
      <c r="S8" s="253">
        <v>1</v>
      </c>
      <c r="T8" s="253">
        <v>1</v>
      </c>
      <c r="U8" s="253">
        <v>1</v>
      </c>
      <c r="V8" s="253">
        <v>1</v>
      </c>
      <c r="W8" s="253">
        <v>1</v>
      </c>
      <c r="X8" s="253">
        <v>1</v>
      </c>
      <c r="Y8" s="253">
        <v>1</v>
      </c>
      <c r="Z8" s="253">
        <v>1</v>
      </c>
      <c r="AA8" s="316">
        <f t="shared" si="1"/>
        <v>1</v>
      </c>
      <c r="AB8" s="253">
        <v>1</v>
      </c>
      <c r="AC8" s="253">
        <v>1</v>
      </c>
      <c r="AD8" s="253">
        <v>1</v>
      </c>
      <c r="AE8" s="253">
        <v>1</v>
      </c>
      <c r="AF8" s="253">
        <v>1</v>
      </c>
      <c r="AG8" s="253">
        <v>1</v>
      </c>
      <c r="AH8" s="253">
        <v>1</v>
      </c>
      <c r="AI8" s="253">
        <v>1</v>
      </c>
      <c r="AJ8" s="253">
        <v>1</v>
      </c>
      <c r="AK8" s="253">
        <v>1</v>
      </c>
      <c r="AL8" s="253">
        <v>1</v>
      </c>
      <c r="AM8" s="253">
        <v>1</v>
      </c>
      <c r="AN8" s="317">
        <f t="shared" si="2"/>
        <v>1</v>
      </c>
    </row>
    <row r="9" spans="1:40">
      <c r="A9" s="252" t="s">
        <v>526</v>
      </c>
      <c r="B9" s="253">
        <v>1</v>
      </c>
      <c r="C9" s="253">
        <v>1</v>
      </c>
      <c r="D9" s="253">
        <v>1</v>
      </c>
      <c r="E9" s="253">
        <v>1</v>
      </c>
      <c r="F9" s="253">
        <v>1</v>
      </c>
      <c r="G9" s="253">
        <v>1</v>
      </c>
      <c r="H9" s="253">
        <v>1</v>
      </c>
      <c r="I9" s="253">
        <v>1</v>
      </c>
      <c r="J9" s="253">
        <v>1</v>
      </c>
      <c r="K9" s="253">
        <v>1</v>
      </c>
      <c r="L9" s="253">
        <v>1</v>
      </c>
      <c r="M9" s="253">
        <v>1</v>
      </c>
      <c r="N9" s="314">
        <f t="shared" si="0"/>
        <v>1</v>
      </c>
      <c r="O9" s="253">
        <v>0</v>
      </c>
      <c r="P9" s="253">
        <v>0</v>
      </c>
      <c r="Q9" s="253">
        <v>0</v>
      </c>
      <c r="R9" s="253">
        <v>0</v>
      </c>
      <c r="S9" s="253">
        <v>0</v>
      </c>
      <c r="T9" s="253">
        <v>0</v>
      </c>
      <c r="U9" s="253">
        <v>0</v>
      </c>
      <c r="V9" s="253">
        <v>0</v>
      </c>
      <c r="W9" s="253">
        <v>0</v>
      </c>
      <c r="X9" s="253">
        <v>0</v>
      </c>
      <c r="Y9" s="253">
        <v>0</v>
      </c>
      <c r="Z9" s="253">
        <v>0</v>
      </c>
      <c r="AA9" s="316">
        <f t="shared" si="1"/>
        <v>0</v>
      </c>
      <c r="AB9" s="253">
        <v>0</v>
      </c>
      <c r="AC9" s="253">
        <v>0</v>
      </c>
      <c r="AD9" s="253">
        <v>0</v>
      </c>
      <c r="AE9" s="253">
        <v>0</v>
      </c>
      <c r="AF9" s="253">
        <v>0</v>
      </c>
      <c r="AG9" s="253">
        <v>0</v>
      </c>
      <c r="AH9" s="253">
        <v>0</v>
      </c>
      <c r="AI9" s="253">
        <v>0</v>
      </c>
      <c r="AJ9" s="253">
        <v>0</v>
      </c>
      <c r="AK9" s="253">
        <v>0</v>
      </c>
      <c r="AL9" s="253">
        <v>0</v>
      </c>
      <c r="AM9" s="253">
        <v>0</v>
      </c>
      <c r="AN9" s="317">
        <f t="shared" si="2"/>
        <v>0</v>
      </c>
    </row>
    <row r="10" spans="1:40">
      <c r="A10" s="252" t="s">
        <v>527</v>
      </c>
      <c r="B10" s="253">
        <v>0.5</v>
      </c>
      <c r="C10" s="253">
        <v>0.5</v>
      </c>
      <c r="D10" s="253">
        <v>0.5</v>
      </c>
      <c r="E10" s="253">
        <v>0.5</v>
      </c>
      <c r="F10" s="253">
        <v>0.5</v>
      </c>
      <c r="G10" s="253">
        <v>0.5</v>
      </c>
      <c r="H10" s="253">
        <v>0.5</v>
      </c>
      <c r="I10" s="253">
        <v>0.5</v>
      </c>
      <c r="J10" s="253">
        <v>0.5</v>
      </c>
      <c r="K10" s="253">
        <v>0.5</v>
      </c>
      <c r="L10" s="253">
        <v>0.5</v>
      </c>
      <c r="M10" s="253">
        <v>0.5</v>
      </c>
      <c r="N10" s="314">
        <f t="shared" si="0"/>
        <v>0.5</v>
      </c>
      <c r="O10" s="253">
        <v>1</v>
      </c>
      <c r="P10" s="253">
        <v>1</v>
      </c>
      <c r="Q10" s="253">
        <v>1</v>
      </c>
      <c r="R10" s="253">
        <v>1</v>
      </c>
      <c r="S10" s="253">
        <v>1</v>
      </c>
      <c r="T10" s="253">
        <v>1</v>
      </c>
      <c r="U10" s="253">
        <v>1</v>
      </c>
      <c r="V10" s="253">
        <v>1</v>
      </c>
      <c r="W10" s="253">
        <v>1</v>
      </c>
      <c r="X10" s="253">
        <v>1</v>
      </c>
      <c r="Y10" s="253">
        <v>1</v>
      </c>
      <c r="Z10" s="253">
        <v>1</v>
      </c>
      <c r="AA10" s="316">
        <f t="shared" si="1"/>
        <v>1</v>
      </c>
      <c r="AB10" s="253">
        <v>1</v>
      </c>
      <c r="AC10" s="253">
        <v>1</v>
      </c>
      <c r="AD10" s="253">
        <v>1</v>
      </c>
      <c r="AE10" s="253">
        <v>1</v>
      </c>
      <c r="AF10" s="253">
        <v>1</v>
      </c>
      <c r="AG10" s="253">
        <v>1</v>
      </c>
      <c r="AH10" s="253">
        <v>1</v>
      </c>
      <c r="AI10" s="253">
        <v>1</v>
      </c>
      <c r="AJ10" s="253">
        <v>1</v>
      </c>
      <c r="AK10" s="253">
        <v>1</v>
      </c>
      <c r="AL10" s="253">
        <v>1</v>
      </c>
      <c r="AM10" s="253">
        <v>1</v>
      </c>
      <c r="AN10" s="317">
        <f t="shared" si="2"/>
        <v>1</v>
      </c>
    </row>
    <row r="11" spans="1:40">
      <c r="A11" s="252" t="s">
        <v>531</v>
      </c>
      <c r="B11" s="253">
        <v>0</v>
      </c>
      <c r="C11" s="253">
        <v>0</v>
      </c>
      <c r="D11" s="253">
        <v>0</v>
      </c>
      <c r="E11" s="253">
        <v>0</v>
      </c>
      <c r="F11" s="253">
        <v>0</v>
      </c>
      <c r="G11" s="253">
        <v>0</v>
      </c>
      <c r="H11" s="253">
        <v>0</v>
      </c>
      <c r="I11" s="253">
        <v>0</v>
      </c>
      <c r="J11" s="253">
        <v>0</v>
      </c>
      <c r="K11" s="253">
        <v>0</v>
      </c>
      <c r="L11" s="253">
        <v>0</v>
      </c>
      <c r="M11" s="253">
        <v>0</v>
      </c>
      <c r="N11" s="314">
        <f t="shared" si="0"/>
        <v>0</v>
      </c>
      <c r="O11" s="253">
        <v>1</v>
      </c>
      <c r="P11" s="253">
        <v>1</v>
      </c>
      <c r="Q11" s="253">
        <v>1</v>
      </c>
      <c r="R11" s="253">
        <v>1</v>
      </c>
      <c r="S11" s="253">
        <v>1</v>
      </c>
      <c r="T11" s="253">
        <v>1</v>
      </c>
      <c r="U11" s="253">
        <v>1</v>
      </c>
      <c r="V11" s="253">
        <v>1</v>
      </c>
      <c r="W11" s="253">
        <v>1</v>
      </c>
      <c r="X11" s="253">
        <v>1</v>
      </c>
      <c r="Y11" s="253">
        <v>1</v>
      </c>
      <c r="Z11" s="253">
        <v>1</v>
      </c>
      <c r="AA11" s="316">
        <f t="shared" si="1"/>
        <v>1</v>
      </c>
      <c r="AB11" s="253">
        <v>1</v>
      </c>
      <c r="AC11" s="253">
        <v>1</v>
      </c>
      <c r="AD11" s="253">
        <v>1</v>
      </c>
      <c r="AE11" s="253">
        <v>1</v>
      </c>
      <c r="AF11" s="253">
        <v>1</v>
      </c>
      <c r="AG11" s="253">
        <v>1</v>
      </c>
      <c r="AH11" s="253">
        <v>1</v>
      </c>
      <c r="AI11" s="253">
        <v>1</v>
      </c>
      <c r="AJ11" s="253">
        <v>1</v>
      </c>
      <c r="AK11" s="253">
        <v>1</v>
      </c>
      <c r="AL11" s="253">
        <v>1</v>
      </c>
      <c r="AM11" s="253">
        <v>1</v>
      </c>
      <c r="AN11" s="317">
        <f t="shared" si="2"/>
        <v>1</v>
      </c>
    </row>
    <row r="12" spans="1:40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314">
        <f t="shared" si="0"/>
        <v>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316">
        <f t="shared" si="1"/>
        <v>0</v>
      </c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317">
        <f t="shared" si="2"/>
        <v>0</v>
      </c>
    </row>
    <row r="13" spans="1:40">
      <c r="A13" s="252"/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314">
        <f t="shared" si="0"/>
        <v>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316">
        <f t="shared" si="1"/>
        <v>0</v>
      </c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317">
        <f t="shared" si="2"/>
        <v>0</v>
      </c>
    </row>
    <row r="14" spans="1:40">
      <c r="A14" s="252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314">
        <f t="shared" si="0"/>
        <v>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316">
        <f t="shared" si="1"/>
        <v>0</v>
      </c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317">
        <f t="shared" si="2"/>
        <v>0</v>
      </c>
    </row>
    <row r="15" spans="1:40">
      <c r="A15" s="318" t="s">
        <v>102</v>
      </c>
      <c r="B15" s="319">
        <f t="shared" ref="B15:M15" si="3">SUM(B5:B14)</f>
        <v>3</v>
      </c>
      <c r="C15" s="319">
        <f t="shared" si="3"/>
        <v>3</v>
      </c>
      <c r="D15" s="319">
        <f t="shared" si="3"/>
        <v>3</v>
      </c>
      <c r="E15" s="319">
        <f t="shared" si="3"/>
        <v>3</v>
      </c>
      <c r="F15" s="319">
        <f t="shared" si="3"/>
        <v>3</v>
      </c>
      <c r="G15" s="319">
        <f t="shared" si="3"/>
        <v>3</v>
      </c>
      <c r="H15" s="319">
        <f t="shared" si="3"/>
        <v>3</v>
      </c>
      <c r="I15" s="319">
        <f t="shared" si="3"/>
        <v>3</v>
      </c>
      <c r="J15" s="319">
        <f t="shared" si="3"/>
        <v>3</v>
      </c>
      <c r="K15" s="319">
        <f t="shared" si="3"/>
        <v>3</v>
      </c>
      <c r="L15" s="319">
        <f t="shared" si="3"/>
        <v>3</v>
      </c>
      <c r="M15" s="319">
        <f t="shared" si="3"/>
        <v>3</v>
      </c>
      <c r="N15" s="319">
        <f t="shared" si="0"/>
        <v>3</v>
      </c>
      <c r="O15" s="320">
        <f>SUM(O5:O14)</f>
        <v>6</v>
      </c>
      <c r="P15" s="320">
        <f t="shared" ref="P15:Z15" si="4">SUM(P5:P14)</f>
        <v>6</v>
      </c>
      <c r="Q15" s="320">
        <f t="shared" si="4"/>
        <v>6</v>
      </c>
      <c r="R15" s="320">
        <f t="shared" si="4"/>
        <v>6</v>
      </c>
      <c r="S15" s="320">
        <f t="shared" si="4"/>
        <v>6</v>
      </c>
      <c r="T15" s="320">
        <f t="shared" si="4"/>
        <v>6</v>
      </c>
      <c r="U15" s="320">
        <f t="shared" si="4"/>
        <v>6</v>
      </c>
      <c r="V15" s="320">
        <f t="shared" si="4"/>
        <v>6</v>
      </c>
      <c r="W15" s="320">
        <f t="shared" si="4"/>
        <v>6</v>
      </c>
      <c r="X15" s="320">
        <f t="shared" si="4"/>
        <v>6</v>
      </c>
      <c r="Y15" s="320">
        <f t="shared" si="4"/>
        <v>6</v>
      </c>
      <c r="Z15" s="320">
        <f t="shared" si="4"/>
        <v>6</v>
      </c>
      <c r="AA15" s="320">
        <f t="shared" si="1"/>
        <v>6</v>
      </c>
      <c r="AB15" s="320">
        <f>SUM(AB5:AB14)</f>
        <v>6</v>
      </c>
      <c r="AC15" s="320">
        <f t="shared" ref="AC15:AM15" si="5">SUM(AC5:AC14)</f>
        <v>6</v>
      </c>
      <c r="AD15" s="320">
        <f t="shared" si="5"/>
        <v>6</v>
      </c>
      <c r="AE15" s="320">
        <f t="shared" si="5"/>
        <v>6</v>
      </c>
      <c r="AF15" s="320">
        <f t="shared" si="5"/>
        <v>6</v>
      </c>
      <c r="AG15" s="320">
        <f t="shared" si="5"/>
        <v>6</v>
      </c>
      <c r="AH15" s="320">
        <f t="shared" si="5"/>
        <v>6</v>
      </c>
      <c r="AI15" s="320">
        <f t="shared" si="5"/>
        <v>6</v>
      </c>
      <c r="AJ15" s="320">
        <f t="shared" si="5"/>
        <v>6</v>
      </c>
      <c r="AK15" s="320">
        <f t="shared" si="5"/>
        <v>6</v>
      </c>
      <c r="AL15" s="320">
        <f t="shared" si="5"/>
        <v>6</v>
      </c>
      <c r="AM15" s="320">
        <f t="shared" si="5"/>
        <v>6</v>
      </c>
      <c r="AN15" s="321">
        <f t="shared" si="2"/>
        <v>6</v>
      </c>
    </row>
    <row r="16" spans="1:40" s="261" customFormat="1">
      <c r="A16" s="322"/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</row>
    <row r="18" spans="1:7" ht="18.75">
      <c r="A18" s="236" t="s">
        <v>252</v>
      </c>
    </row>
    <row r="19" spans="1:7" ht="30.75" customHeight="1">
      <c r="A19" s="515" t="s">
        <v>243</v>
      </c>
      <c r="B19" s="517" t="s">
        <v>253</v>
      </c>
      <c r="C19" s="517" t="s">
        <v>254</v>
      </c>
      <c r="D19" s="517"/>
      <c r="E19" s="519"/>
    </row>
    <row r="20" spans="1:7" s="235" customFormat="1" ht="20.25" customHeight="1">
      <c r="A20" s="516"/>
      <c r="B20" s="518"/>
      <c r="C20" s="325" t="s">
        <v>3</v>
      </c>
      <c r="D20" s="325" t="s">
        <v>4</v>
      </c>
      <c r="E20" s="326" t="s">
        <v>5</v>
      </c>
      <c r="G20" s="234"/>
    </row>
    <row r="21" spans="1:7" ht="30">
      <c r="A21" s="327" t="str">
        <f t="shared" ref="A21:A30" si="6">A5</f>
        <v>Дизайн (UX/UI)</v>
      </c>
      <c r="B21" s="328" t="s">
        <v>492</v>
      </c>
      <c r="C21" s="329">
        <v>70000</v>
      </c>
      <c r="D21" s="330">
        <f>C21+C21*'Вводные данные'!$D$4</f>
        <v>80500</v>
      </c>
      <c r="E21" s="331">
        <f>D21+D21*'Вводные данные'!$E$4</f>
        <v>92575</v>
      </c>
    </row>
    <row r="22" spans="1:7" ht="30">
      <c r="A22" s="327" t="str">
        <f t="shared" si="6"/>
        <v>Программист (Backend)</v>
      </c>
      <c r="B22" s="328" t="s">
        <v>255</v>
      </c>
      <c r="C22" s="329">
        <v>300000</v>
      </c>
      <c r="D22" s="330">
        <f>C22+C22*'Вводные данные'!$D$4</f>
        <v>345000</v>
      </c>
      <c r="E22" s="331">
        <f>D22+D22*'Вводные данные'!$E$4</f>
        <v>396750</v>
      </c>
    </row>
    <row r="23" spans="1:7">
      <c r="A23" s="327" t="str">
        <f t="shared" si="6"/>
        <v>Программист (Fronted)</v>
      </c>
      <c r="B23" s="328" t="s">
        <v>255</v>
      </c>
      <c r="C23" s="329">
        <v>200000</v>
      </c>
      <c r="D23" s="330">
        <f>C23+C23*'Вводные данные'!$D$4</f>
        <v>230000</v>
      </c>
      <c r="E23" s="331">
        <f>D23+D23*'Вводные данные'!$E$4</f>
        <v>264500</v>
      </c>
    </row>
    <row r="24" spans="1:7" ht="30">
      <c r="A24" s="327" t="str">
        <f t="shared" si="6"/>
        <v>Менеджер по продажам</v>
      </c>
      <c r="B24" s="332"/>
      <c r="C24" s="329">
        <v>100000</v>
      </c>
      <c r="D24" s="330">
        <f>C24+C24*'Вводные данные'!$D$4</f>
        <v>115000</v>
      </c>
      <c r="E24" s="331">
        <f>D24+D24*'Вводные данные'!$E$4</f>
        <v>132250</v>
      </c>
    </row>
    <row r="25" spans="1:7">
      <c r="A25" s="327" t="str">
        <f t="shared" si="6"/>
        <v>Fullstack-разработчик</v>
      </c>
      <c r="B25" s="332"/>
      <c r="C25" s="329">
        <v>350000</v>
      </c>
      <c r="D25" s="330">
        <f>C25+C25*'Вводные данные'!$D$4</f>
        <v>402500</v>
      </c>
      <c r="E25" s="331">
        <f>D25+D25*'Вводные данные'!$E$4</f>
        <v>462875</v>
      </c>
    </row>
    <row r="26" spans="1:7">
      <c r="A26" s="327" t="str">
        <f t="shared" si="6"/>
        <v>Mobile-разработчик</v>
      </c>
      <c r="B26" s="332"/>
      <c r="C26" s="329">
        <v>100000</v>
      </c>
      <c r="D26" s="330">
        <f>C26+C26*'Вводные данные'!$D$4</f>
        <v>115000</v>
      </c>
      <c r="E26" s="331">
        <f>D26+D26*'Вводные данные'!$E$4</f>
        <v>132250</v>
      </c>
    </row>
    <row r="27" spans="1:7">
      <c r="A27" s="327" t="str">
        <f t="shared" si="6"/>
        <v>CEO</v>
      </c>
      <c r="B27" s="332"/>
      <c r="C27" s="329">
        <v>150000</v>
      </c>
      <c r="D27" s="330">
        <f>C27+C27*'Вводные данные'!$D$4</f>
        <v>172500</v>
      </c>
      <c r="E27" s="331">
        <f>D27+D27*'Вводные данные'!$E$4</f>
        <v>198375</v>
      </c>
    </row>
    <row r="28" spans="1:7" ht="30">
      <c r="A28" s="327">
        <f t="shared" si="6"/>
        <v>0</v>
      </c>
      <c r="B28" s="332"/>
      <c r="C28" s="329">
        <v>100000</v>
      </c>
      <c r="D28" s="330">
        <f>C28+C28*'Вводные данные'!$D$4</f>
        <v>115000</v>
      </c>
      <c r="E28" s="331">
        <f>D28+D28*'Вводные данные'!$E$4</f>
        <v>132250</v>
      </c>
    </row>
    <row r="29" spans="1:7" ht="30">
      <c r="A29" s="327">
        <f t="shared" si="6"/>
        <v>0</v>
      </c>
      <c r="B29" s="332"/>
      <c r="C29" s="329">
        <v>100000</v>
      </c>
      <c r="D29" s="330">
        <f>C29+C29*'Вводные данные'!$D$4</f>
        <v>115000</v>
      </c>
      <c r="E29" s="331">
        <f>D29+D29*'Вводные данные'!$E$4</f>
        <v>132250</v>
      </c>
    </row>
    <row r="30" spans="1:7" ht="30">
      <c r="A30" s="333">
        <f t="shared" si="6"/>
        <v>0</v>
      </c>
      <c r="B30" s="334"/>
      <c r="C30" s="335">
        <v>100000</v>
      </c>
      <c r="D30" s="336">
        <f>C30+C30*'Вводные данные'!$D$4</f>
        <v>115000</v>
      </c>
      <c r="E30" s="337">
        <f>D30+D30*'Вводные данные'!$E$4</f>
        <v>132250</v>
      </c>
    </row>
    <row r="31" spans="1:7" s="261" customFormat="1">
      <c r="A31" s="338"/>
      <c r="B31" s="338"/>
      <c r="C31" s="338"/>
    </row>
    <row r="32" spans="1:7" s="261" customFormat="1">
      <c r="A32" s="338"/>
      <c r="B32" s="338"/>
      <c r="C32" s="338"/>
    </row>
    <row r="33" spans="1:40" ht="18.75">
      <c r="A33" s="236" t="s">
        <v>256</v>
      </c>
    </row>
    <row r="34" spans="1:40" ht="16.5" customHeight="1">
      <c r="A34" s="508" t="s">
        <v>243</v>
      </c>
      <c r="B34" s="510" t="s">
        <v>3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2"/>
      <c r="N34" s="513" t="s">
        <v>121</v>
      </c>
      <c r="O34" s="505" t="s">
        <v>4</v>
      </c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13" t="s">
        <v>122</v>
      </c>
      <c r="AB34" s="505" t="s">
        <v>5</v>
      </c>
      <c r="AC34" s="505"/>
      <c r="AD34" s="505"/>
      <c r="AE34" s="505"/>
      <c r="AF34" s="505"/>
      <c r="AG34" s="505"/>
      <c r="AH34" s="505"/>
      <c r="AI34" s="505"/>
      <c r="AJ34" s="505"/>
      <c r="AK34" s="505"/>
      <c r="AL34" s="505"/>
      <c r="AM34" s="505"/>
      <c r="AN34" s="506" t="s">
        <v>123</v>
      </c>
    </row>
    <row r="35" spans="1:40">
      <c r="A35" s="509"/>
      <c r="B35" s="313">
        <f>B4</f>
        <v>45809</v>
      </c>
      <c r="C35" s="313">
        <f t="shared" ref="C35:M35" si="7">C4</f>
        <v>45839</v>
      </c>
      <c r="D35" s="313">
        <f t="shared" si="7"/>
        <v>45870</v>
      </c>
      <c r="E35" s="313">
        <f t="shared" si="7"/>
        <v>45901</v>
      </c>
      <c r="F35" s="313">
        <f t="shared" si="7"/>
        <v>45931</v>
      </c>
      <c r="G35" s="313">
        <f t="shared" si="7"/>
        <v>45962</v>
      </c>
      <c r="H35" s="313">
        <f t="shared" si="7"/>
        <v>45992</v>
      </c>
      <c r="I35" s="313">
        <f t="shared" si="7"/>
        <v>46023</v>
      </c>
      <c r="J35" s="313">
        <f t="shared" si="7"/>
        <v>46054</v>
      </c>
      <c r="K35" s="313">
        <f t="shared" si="7"/>
        <v>46082</v>
      </c>
      <c r="L35" s="313">
        <f t="shared" si="7"/>
        <v>46113</v>
      </c>
      <c r="M35" s="313">
        <f t="shared" si="7"/>
        <v>46143</v>
      </c>
      <c r="N35" s="514"/>
      <c r="O35" s="315">
        <f>O4</f>
        <v>46174</v>
      </c>
      <c r="P35" s="315">
        <f t="shared" ref="P35:Z35" si="8">P4</f>
        <v>46204</v>
      </c>
      <c r="Q35" s="315">
        <f t="shared" si="8"/>
        <v>46235</v>
      </c>
      <c r="R35" s="315">
        <f t="shared" si="8"/>
        <v>46266</v>
      </c>
      <c r="S35" s="315">
        <f t="shared" si="8"/>
        <v>46296</v>
      </c>
      <c r="T35" s="315">
        <f t="shared" si="8"/>
        <v>46327</v>
      </c>
      <c r="U35" s="315">
        <f t="shared" si="8"/>
        <v>46357</v>
      </c>
      <c r="V35" s="315">
        <f t="shared" si="8"/>
        <v>46388</v>
      </c>
      <c r="W35" s="315">
        <f t="shared" si="8"/>
        <v>46419</v>
      </c>
      <c r="X35" s="315">
        <f t="shared" si="8"/>
        <v>46447</v>
      </c>
      <c r="Y35" s="315">
        <f t="shared" si="8"/>
        <v>46478</v>
      </c>
      <c r="Z35" s="315">
        <f t="shared" si="8"/>
        <v>46508</v>
      </c>
      <c r="AA35" s="514"/>
      <c r="AB35" s="315">
        <f>AB4</f>
        <v>46539</v>
      </c>
      <c r="AC35" s="315">
        <f t="shared" ref="AC35:AM35" si="9">AC4</f>
        <v>46569</v>
      </c>
      <c r="AD35" s="315">
        <f t="shared" si="9"/>
        <v>46600</v>
      </c>
      <c r="AE35" s="315">
        <f t="shared" si="9"/>
        <v>46631</v>
      </c>
      <c r="AF35" s="315">
        <f t="shared" si="9"/>
        <v>46661</v>
      </c>
      <c r="AG35" s="315">
        <f t="shared" si="9"/>
        <v>46692</v>
      </c>
      <c r="AH35" s="315">
        <f t="shared" si="9"/>
        <v>46722</v>
      </c>
      <c r="AI35" s="315">
        <f t="shared" si="9"/>
        <v>46753</v>
      </c>
      <c r="AJ35" s="315">
        <f t="shared" si="9"/>
        <v>46784</v>
      </c>
      <c r="AK35" s="315">
        <f t="shared" si="9"/>
        <v>46813</v>
      </c>
      <c r="AL35" s="315">
        <f t="shared" si="9"/>
        <v>46844</v>
      </c>
      <c r="AM35" s="315">
        <f t="shared" si="9"/>
        <v>46874</v>
      </c>
      <c r="AN35" s="507"/>
    </row>
    <row r="36" spans="1:40">
      <c r="A36" s="339" t="str">
        <f t="shared" ref="A36:A45" si="10">A5</f>
        <v>Дизайн (UX/UI)</v>
      </c>
      <c r="B36" s="340">
        <f>B5*$C$21</f>
        <v>70000</v>
      </c>
      <c r="C36" s="340">
        <f t="shared" ref="C36:M36" si="11">C5*$C$21</f>
        <v>70000</v>
      </c>
      <c r="D36" s="340">
        <f t="shared" si="11"/>
        <v>70000</v>
      </c>
      <c r="E36" s="340">
        <f t="shared" si="11"/>
        <v>70000</v>
      </c>
      <c r="F36" s="340">
        <f t="shared" si="11"/>
        <v>70000</v>
      </c>
      <c r="G36" s="340">
        <f t="shared" si="11"/>
        <v>70000</v>
      </c>
      <c r="H36" s="340">
        <f t="shared" si="11"/>
        <v>70000</v>
      </c>
      <c r="I36" s="340">
        <f t="shared" si="11"/>
        <v>70000</v>
      </c>
      <c r="J36" s="340">
        <f t="shared" si="11"/>
        <v>70000</v>
      </c>
      <c r="K36" s="340">
        <f t="shared" si="11"/>
        <v>70000</v>
      </c>
      <c r="L36" s="340">
        <f t="shared" si="11"/>
        <v>70000</v>
      </c>
      <c r="M36" s="340">
        <f t="shared" si="11"/>
        <v>70000</v>
      </c>
      <c r="N36" s="314">
        <f t="shared" ref="N36:N46" si="12">SUM(B36:M36)</f>
        <v>840000</v>
      </c>
      <c r="O36" s="341">
        <f>O5*$D$21</f>
        <v>80500</v>
      </c>
      <c r="P36" s="341">
        <f t="shared" ref="P36:Z36" si="13">P5*$D$21</f>
        <v>80500</v>
      </c>
      <c r="Q36" s="341">
        <f t="shared" si="13"/>
        <v>80500</v>
      </c>
      <c r="R36" s="341">
        <f t="shared" si="13"/>
        <v>80500</v>
      </c>
      <c r="S36" s="341">
        <f t="shared" si="13"/>
        <v>80500</v>
      </c>
      <c r="T36" s="341">
        <f t="shared" si="13"/>
        <v>80500</v>
      </c>
      <c r="U36" s="341">
        <f t="shared" si="13"/>
        <v>80500</v>
      </c>
      <c r="V36" s="341">
        <f t="shared" si="13"/>
        <v>80500</v>
      </c>
      <c r="W36" s="341">
        <f t="shared" si="13"/>
        <v>80500</v>
      </c>
      <c r="X36" s="341">
        <f t="shared" si="13"/>
        <v>80500</v>
      </c>
      <c r="Y36" s="341">
        <f t="shared" si="13"/>
        <v>80500</v>
      </c>
      <c r="Z36" s="341">
        <f t="shared" si="13"/>
        <v>80500</v>
      </c>
      <c r="AA36" s="316">
        <f t="shared" ref="AA36:AA46" si="14">SUM(O36:Z36)</f>
        <v>966000</v>
      </c>
      <c r="AB36" s="341">
        <f>AB5*$E$21</f>
        <v>92575</v>
      </c>
      <c r="AC36" s="341">
        <f t="shared" ref="AC36:AM36" si="15">AC5*$E$21</f>
        <v>92575</v>
      </c>
      <c r="AD36" s="341">
        <f t="shared" si="15"/>
        <v>92575</v>
      </c>
      <c r="AE36" s="341">
        <f t="shared" si="15"/>
        <v>92575</v>
      </c>
      <c r="AF36" s="341">
        <f t="shared" si="15"/>
        <v>92575</v>
      </c>
      <c r="AG36" s="341">
        <f t="shared" si="15"/>
        <v>92575</v>
      </c>
      <c r="AH36" s="341">
        <f t="shared" si="15"/>
        <v>92575</v>
      </c>
      <c r="AI36" s="341">
        <f t="shared" si="15"/>
        <v>92575</v>
      </c>
      <c r="AJ36" s="341">
        <f t="shared" si="15"/>
        <v>92575</v>
      </c>
      <c r="AK36" s="341">
        <f t="shared" si="15"/>
        <v>92575</v>
      </c>
      <c r="AL36" s="341">
        <f t="shared" si="15"/>
        <v>92575</v>
      </c>
      <c r="AM36" s="341">
        <f t="shared" si="15"/>
        <v>92575</v>
      </c>
      <c r="AN36" s="317">
        <f t="shared" ref="AN36:AN46" si="16">SUM(AB36:AM36)</f>
        <v>1110900</v>
      </c>
    </row>
    <row r="37" spans="1:40">
      <c r="A37" s="339" t="str">
        <f t="shared" si="10"/>
        <v>Программист (Backend)</v>
      </c>
      <c r="B37" s="340">
        <f t="shared" ref="B37:M37" si="17">B6*$C$22</f>
        <v>0</v>
      </c>
      <c r="C37" s="340">
        <f t="shared" si="17"/>
        <v>0</v>
      </c>
      <c r="D37" s="340">
        <f t="shared" si="17"/>
        <v>0</v>
      </c>
      <c r="E37" s="340">
        <f t="shared" si="17"/>
        <v>0</v>
      </c>
      <c r="F37" s="340">
        <f t="shared" si="17"/>
        <v>0</v>
      </c>
      <c r="G37" s="340">
        <f t="shared" si="17"/>
        <v>0</v>
      </c>
      <c r="H37" s="340">
        <f t="shared" si="17"/>
        <v>0</v>
      </c>
      <c r="I37" s="340">
        <f t="shared" si="17"/>
        <v>0</v>
      </c>
      <c r="J37" s="340">
        <f t="shared" si="17"/>
        <v>0</v>
      </c>
      <c r="K37" s="340">
        <f t="shared" si="17"/>
        <v>0</v>
      </c>
      <c r="L37" s="340">
        <f t="shared" si="17"/>
        <v>0</v>
      </c>
      <c r="M37" s="340">
        <f t="shared" si="17"/>
        <v>0</v>
      </c>
      <c r="N37" s="314">
        <f t="shared" si="12"/>
        <v>0</v>
      </c>
      <c r="O37" s="341">
        <f>O6*$D$22</f>
        <v>345000</v>
      </c>
      <c r="P37" s="341">
        <f t="shared" ref="P37:Z37" si="18">P6*$D$22</f>
        <v>345000</v>
      </c>
      <c r="Q37" s="341">
        <f t="shared" si="18"/>
        <v>345000</v>
      </c>
      <c r="R37" s="341">
        <f t="shared" si="18"/>
        <v>345000</v>
      </c>
      <c r="S37" s="341">
        <f t="shared" si="18"/>
        <v>345000</v>
      </c>
      <c r="T37" s="341">
        <f t="shared" si="18"/>
        <v>345000</v>
      </c>
      <c r="U37" s="341">
        <f t="shared" si="18"/>
        <v>345000</v>
      </c>
      <c r="V37" s="341">
        <f t="shared" si="18"/>
        <v>345000</v>
      </c>
      <c r="W37" s="341">
        <f t="shared" si="18"/>
        <v>345000</v>
      </c>
      <c r="X37" s="341">
        <f t="shared" si="18"/>
        <v>345000</v>
      </c>
      <c r="Y37" s="341">
        <f t="shared" si="18"/>
        <v>345000</v>
      </c>
      <c r="Z37" s="341">
        <f t="shared" si="18"/>
        <v>345000</v>
      </c>
      <c r="AA37" s="316">
        <f t="shared" si="14"/>
        <v>4140000</v>
      </c>
      <c r="AB37" s="341">
        <f>AB6*$E$22</f>
        <v>396750</v>
      </c>
      <c r="AC37" s="341">
        <f t="shared" ref="AC37:AM37" si="19">AC6*$E$22</f>
        <v>396750</v>
      </c>
      <c r="AD37" s="341">
        <f t="shared" si="19"/>
        <v>396750</v>
      </c>
      <c r="AE37" s="341">
        <f t="shared" si="19"/>
        <v>396750</v>
      </c>
      <c r="AF37" s="341">
        <f t="shared" si="19"/>
        <v>396750</v>
      </c>
      <c r="AG37" s="341">
        <f t="shared" si="19"/>
        <v>396750</v>
      </c>
      <c r="AH37" s="341">
        <f t="shared" si="19"/>
        <v>396750</v>
      </c>
      <c r="AI37" s="341">
        <f t="shared" si="19"/>
        <v>396750</v>
      </c>
      <c r="AJ37" s="341">
        <f t="shared" si="19"/>
        <v>396750</v>
      </c>
      <c r="AK37" s="341">
        <f t="shared" si="19"/>
        <v>396750</v>
      </c>
      <c r="AL37" s="341">
        <f t="shared" si="19"/>
        <v>396750</v>
      </c>
      <c r="AM37" s="341">
        <f t="shared" si="19"/>
        <v>396750</v>
      </c>
      <c r="AN37" s="317">
        <f t="shared" si="16"/>
        <v>4761000</v>
      </c>
    </row>
    <row r="38" spans="1:40">
      <c r="A38" s="339" t="str">
        <f t="shared" si="10"/>
        <v>Программист (Fronted)</v>
      </c>
      <c r="B38" s="340">
        <f t="shared" ref="B38:M38" si="20">B7*$C$23</f>
        <v>0</v>
      </c>
      <c r="C38" s="340">
        <f t="shared" si="20"/>
        <v>0</v>
      </c>
      <c r="D38" s="340">
        <f t="shared" si="20"/>
        <v>0</v>
      </c>
      <c r="E38" s="340">
        <f t="shared" si="20"/>
        <v>0</v>
      </c>
      <c r="F38" s="340">
        <f t="shared" si="20"/>
        <v>0</v>
      </c>
      <c r="G38" s="340">
        <f t="shared" si="20"/>
        <v>0</v>
      </c>
      <c r="H38" s="340">
        <f t="shared" si="20"/>
        <v>0</v>
      </c>
      <c r="I38" s="340">
        <f t="shared" si="20"/>
        <v>0</v>
      </c>
      <c r="J38" s="340">
        <f t="shared" si="20"/>
        <v>0</v>
      </c>
      <c r="K38" s="340">
        <f t="shared" si="20"/>
        <v>0</v>
      </c>
      <c r="L38" s="340">
        <f t="shared" si="20"/>
        <v>0</v>
      </c>
      <c r="M38" s="340">
        <f t="shared" si="20"/>
        <v>0</v>
      </c>
      <c r="N38" s="314">
        <f t="shared" si="12"/>
        <v>0</v>
      </c>
      <c r="O38" s="341">
        <f>O7*$D$23</f>
        <v>230000</v>
      </c>
      <c r="P38" s="341">
        <f t="shared" ref="P38:Z38" si="21">P7*$D$23</f>
        <v>230000</v>
      </c>
      <c r="Q38" s="341">
        <f t="shared" si="21"/>
        <v>230000</v>
      </c>
      <c r="R38" s="341">
        <f t="shared" si="21"/>
        <v>230000</v>
      </c>
      <c r="S38" s="341">
        <f t="shared" si="21"/>
        <v>230000</v>
      </c>
      <c r="T38" s="341">
        <f t="shared" si="21"/>
        <v>230000</v>
      </c>
      <c r="U38" s="341">
        <f t="shared" si="21"/>
        <v>230000</v>
      </c>
      <c r="V38" s="341">
        <f t="shared" si="21"/>
        <v>230000</v>
      </c>
      <c r="W38" s="341">
        <f t="shared" si="21"/>
        <v>230000</v>
      </c>
      <c r="X38" s="341">
        <f t="shared" si="21"/>
        <v>230000</v>
      </c>
      <c r="Y38" s="341">
        <f t="shared" si="21"/>
        <v>230000</v>
      </c>
      <c r="Z38" s="341">
        <f t="shared" si="21"/>
        <v>230000</v>
      </c>
      <c r="AA38" s="316">
        <f t="shared" si="14"/>
        <v>2760000</v>
      </c>
      <c r="AB38" s="341">
        <f>AB7*$E$23</f>
        <v>264500</v>
      </c>
      <c r="AC38" s="341">
        <f t="shared" ref="AC38:AM38" si="22">AC7*$E$23</f>
        <v>264500</v>
      </c>
      <c r="AD38" s="341">
        <f t="shared" si="22"/>
        <v>264500</v>
      </c>
      <c r="AE38" s="341">
        <f t="shared" si="22"/>
        <v>264500</v>
      </c>
      <c r="AF38" s="341">
        <f t="shared" si="22"/>
        <v>264500</v>
      </c>
      <c r="AG38" s="341">
        <f t="shared" si="22"/>
        <v>264500</v>
      </c>
      <c r="AH38" s="341">
        <f t="shared" si="22"/>
        <v>264500</v>
      </c>
      <c r="AI38" s="341">
        <f t="shared" si="22"/>
        <v>264500</v>
      </c>
      <c r="AJ38" s="341">
        <f t="shared" si="22"/>
        <v>264500</v>
      </c>
      <c r="AK38" s="341">
        <f t="shared" si="22"/>
        <v>264500</v>
      </c>
      <c r="AL38" s="341">
        <f t="shared" si="22"/>
        <v>264500</v>
      </c>
      <c r="AM38" s="341">
        <f t="shared" si="22"/>
        <v>264500</v>
      </c>
      <c r="AN38" s="317">
        <f t="shared" si="16"/>
        <v>3174000</v>
      </c>
    </row>
    <row r="39" spans="1:40">
      <c r="A39" s="339" t="str">
        <f t="shared" si="10"/>
        <v>Менеджер по продажам</v>
      </c>
      <c r="B39" s="340">
        <f t="shared" ref="B39:M39" si="23">B8*$C$24</f>
        <v>50000</v>
      </c>
      <c r="C39" s="340">
        <f t="shared" si="23"/>
        <v>50000</v>
      </c>
      <c r="D39" s="340">
        <f t="shared" si="23"/>
        <v>50000</v>
      </c>
      <c r="E39" s="340">
        <f t="shared" si="23"/>
        <v>50000</v>
      </c>
      <c r="F39" s="340">
        <f t="shared" si="23"/>
        <v>50000</v>
      </c>
      <c r="G39" s="340">
        <f t="shared" si="23"/>
        <v>50000</v>
      </c>
      <c r="H39" s="340">
        <f t="shared" si="23"/>
        <v>50000</v>
      </c>
      <c r="I39" s="340">
        <f t="shared" si="23"/>
        <v>50000</v>
      </c>
      <c r="J39" s="340">
        <f t="shared" si="23"/>
        <v>50000</v>
      </c>
      <c r="K39" s="340">
        <f t="shared" si="23"/>
        <v>50000</v>
      </c>
      <c r="L39" s="340">
        <f t="shared" si="23"/>
        <v>50000</v>
      </c>
      <c r="M39" s="340">
        <f t="shared" si="23"/>
        <v>50000</v>
      </c>
      <c r="N39" s="314">
        <f t="shared" si="12"/>
        <v>600000</v>
      </c>
      <c r="O39" s="341">
        <f>O8*$D$24</f>
        <v>115000</v>
      </c>
      <c r="P39" s="341">
        <f t="shared" ref="P39:Z39" si="24">P8*$D$24</f>
        <v>115000</v>
      </c>
      <c r="Q39" s="341">
        <f t="shared" si="24"/>
        <v>115000</v>
      </c>
      <c r="R39" s="341">
        <f t="shared" si="24"/>
        <v>115000</v>
      </c>
      <c r="S39" s="341">
        <f t="shared" si="24"/>
        <v>115000</v>
      </c>
      <c r="T39" s="341">
        <f t="shared" si="24"/>
        <v>115000</v>
      </c>
      <c r="U39" s="341">
        <f t="shared" si="24"/>
        <v>115000</v>
      </c>
      <c r="V39" s="341">
        <f t="shared" si="24"/>
        <v>115000</v>
      </c>
      <c r="W39" s="341">
        <f t="shared" si="24"/>
        <v>115000</v>
      </c>
      <c r="X39" s="341">
        <f t="shared" si="24"/>
        <v>115000</v>
      </c>
      <c r="Y39" s="341">
        <f t="shared" si="24"/>
        <v>115000</v>
      </c>
      <c r="Z39" s="341">
        <f t="shared" si="24"/>
        <v>115000</v>
      </c>
      <c r="AA39" s="316">
        <f t="shared" si="14"/>
        <v>1380000</v>
      </c>
      <c r="AB39" s="341">
        <f>AB8*$E$24</f>
        <v>132250</v>
      </c>
      <c r="AC39" s="341">
        <f t="shared" ref="AC39:AM39" si="25">AC8*$E$24</f>
        <v>132250</v>
      </c>
      <c r="AD39" s="341">
        <f t="shared" si="25"/>
        <v>132250</v>
      </c>
      <c r="AE39" s="341">
        <f t="shared" si="25"/>
        <v>132250</v>
      </c>
      <c r="AF39" s="341">
        <f t="shared" si="25"/>
        <v>132250</v>
      </c>
      <c r="AG39" s="341">
        <f t="shared" si="25"/>
        <v>132250</v>
      </c>
      <c r="AH39" s="341">
        <f t="shared" si="25"/>
        <v>132250</v>
      </c>
      <c r="AI39" s="341">
        <f t="shared" si="25"/>
        <v>132250</v>
      </c>
      <c r="AJ39" s="341">
        <f t="shared" si="25"/>
        <v>132250</v>
      </c>
      <c r="AK39" s="341">
        <f t="shared" si="25"/>
        <v>132250</v>
      </c>
      <c r="AL39" s="341">
        <f t="shared" si="25"/>
        <v>132250</v>
      </c>
      <c r="AM39" s="341">
        <f t="shared" si="25"/>
        <v>132250</v>
      </c>
      <c r="AN39" s="317">
        <f t="shared" si="16"/>
        <v>1587000</v>
      </c>
    </row>
    <row r="40" spans="1:40">
      <c r="A40" s="339" t="str">
        <f t="shared" si="10"/>
        <v>Fullstack-разработчик</v>
      </c>
      <c r="B40" s="340">
        <f t="shared" ref="B40:M40" si="26">B9*$C$25</f>
        <v>350000</v>
      </c>
      <c r="C40" s="340">
        <f t="shared" si="26"/>
        <v>350000</v>
      </c>
      <c r="D40" s="340">
        <f t="shared" si="26"/>
        <v>350000</v>
      </c>
      <c r="E40" s="340">
        <f t="shared" si="26"/>
        <v>350000</v>
      </c>
      <c r="F40" s="340">
        <f t="shared" si="26"/>
        <v>350000</v>
      </c>
      <c r="G40" s="340">
        <f t="shared" si="26"/>
        <v>350000</v>
      </c>
      <c r="H40" s="340">
        <f t="shared" si="26"/>
        <v>350000</v>
      </c>
      <c r="I40" s="340">
        <f t="shared" si="26"/>
        <v>350000</v>
      </c>
      <c r="J40" s="340">
        <f t="shared" si="26"/>
        <v>350000</v>
      </c>
      <c r="K40" s="340">
        <f t="shared" si="26"/>
        <v>350000</v>
      </c>
      <c r="L40" s="340">
        <f t="shared" si="26"/>
        <v>350000</v>
      </c>
      <c r="M40" s="340">
        <f t="shared" si="26"/>
        <v>350000</v>
      </c>
      <c r="N40" s="314">
        <f t="shared" si="12"/>
        <v>4200000</v>
      </c>
      <c r="O40" s="341">
        <f>O9*$D$25</f>
        <v>0</v>
      </c>
      <c r="P40" s="341">
        <f t="shared" ref="P40:Z40" si="27">P9*$D$25</f>
        <v>0</v>
      </c>
      <c r="Q40" s="341">
        <f t="shared" si="27"/>
        <v>0</v>
      </c>
      <c r="R40" s="341">
        <f t="shared" si="27"/>
        <v>0</v>
      </c>
      <c r="S40" s="341">
        <f t="shared" si="27"/>
        <v>0</v>
      </c>
      <c r="T40" s="341">
        <f t="shared" si="27"/>
        <v>0</v>
      </c>
      <c r="U40" s="341">
        <f t="shared" si="27"/>
        <v>0</v>
      </c>
      <c r="V40" s="341">
        <f t="shared" si="27"/>
        <v>0</v>
      </c>
      <c r="W40" s="341">
        <f t="shared" si="27"/>
        <v>0</v>
      </c>
      <c r="X40" s="341">
        <f t="shared" si="27"/>
        <v>0</v>
      </c>
      <c r="Y40" s="341">
        <f t="shared" si="27"/>
        <v>0</v>
      </c>
      <c r="Z40" s="341">
        <f t="shared" si="27"/>
        <v>0</v>
      </c>
      <c r="AA40" s="316">
        <f t="shared" si="14"/>
        <v>0</v>
      </c>
      <c r="AB40" s="341">
        <f>AB9*$E$25</f>
        <v>0</v>
      </c>
      <c r="AC40" s="341">
        <f t="shared" ref="AC40:AM40" si="28">AC9*$E$25</f>
        <v>0</v>
      </c>
      <c r="AD40" s="341">
        <f t="shared" si="28"/>
        <v>0</v>
      </c>
      <c r="AE40" s="341">
        <f t="shared" si="28"/>
        <v>0</v>
      </c>
      <c r="AF40" s="341">
        <f t="shared" si="28"/>
        <v>0</v>
      </c>
      <c r="AG40" s="341">
        <f t="shared" si="28"/>
        <v>0</v>
      </c>
      <c r="AH40" s="341">
        <f t="shared" si="28"/>
        <v>0</v>
      </c>
      <c r="AI40" s="341">
        <f t="shared" si="28"/>
        <v>0</v>
      </c>
      <c r="AJ40" s="341">
        <f t="shared" si="28"/>
        <v>0</v>
      </c>
      <c r="AK40" s="341">
        <f t="shared" si="28"/>
        <v>0</v>
      </c>
      <c r="AL40" s="341">
        <f t="shared" si="28"/>
        <v>0</v>
      </c>
      <c r="AM40" s="341">
        <f t="shared" si="28"/>
        <v>0</v>
      </c>
      <c r="AN40" s="317">
        <f t="shared" si="16"/>
        <v>0</v>
      </c>
    </row>
    <row r="41" spans="1:40">
      <c r="A41" s="339" t="str">
        <f t="shared" si="10"/>
        <v>Mobile-разработчик</v>
      </c>
      <c r="B41" s="340">
        <f t="shared" ref="B41:M41" si="29">B10*$C$26</f>
        <v>50000</v>
      </c>
      <c r="C41" s="340">
        <f t="shared" si="29"/>
        <v>50000</v>
      </c>
      <c r="D41" s="340">
        <f t="shared" si="29"/>
        <v>50000</v>
      </c>
      <c r="E41" s="340">
        <f t="shared" si="29"/>
        <v>50000</v>
      </c>
      <c r="F41" s="340">
        <f t="shared" si="29"/>
        <v>50000</v>
      </c>
      <c r="G41" s="340">
        <f t="shared" si="29"/>
        <v>50000</v>
      </c>
      <c r="H41" s="340">
        <f t="shared" si="29"/>
        <v>50000</v>
      </c>
      <c r="I41" s="340">
        <f t="shared" si="29"/>
        <v>50000</v>
      </c>
      <c r="J41" s="340">
        <f t="shared" si="29"/>
        <v>50000</v>
      </c>
      <c r="K41" s="340">
        <f t="shared" si="29"/>
        <v>50000</v>
      </c>
      <c r="L41" s="340">
        <f t="shared" si="29"/>
        <v>50000</v>
      </c>
      <c r="M41" s="340">
        <f t="shared" si="29"/>
        <v>50000</v>
      </c>
      <c r="N41" s="314">
        <f t="shared" si="12"/>
        <v>600000</v>
      </c>
      <c r="O41" s="341">
        <f>O10*$D$26</f>
        <v>115000</v>
      </c>
      <c r="P41" s="341">
        <f t="shared" ref="P41:Z41" si="30">P10*$D$26</f>
        <v>115000</v>
      </c>
      <c r="Q41" s="341">
        <f t="shared" si="30"/>
        <v>115000</v>
      </c>
      <c r="R41" s="341">
        <f t="shared" si="30"/>
        <v>115000</v>
      </c>
      <c r="S41" s="341">
        <f t="shared" si="30"/>
        <v>115000</v>
      </c>
      <c r="T41" s="341">
        <f t="shared" si="30"/>
        <v>115000</v>
      </c>
      <c r="U41" s="341">
        <f t="shared" si="30"/>
        <v>115000</v>
      </c>
      <c r="V41" s="341">
        <f t="shared" si="30"/>
        <v>115000</v>
      </c>
      <c r="W41" s="341">
        <f t="shared" si="30"/>
        <v>115000</v>
      </c>
      <c r="X41" s="341">
        <f t="shared" si="30"/>
        <v>115000</v>
      </c>
      <c r="Y41" s="341">
        <f t="shared" si="30"/>
        <v>115000</v>
      </c>
      <c r="Z41" s="341">
        <f t="shared" si="30"/>
        <v>115000</v>
      </c>
      <c r="AA41" s="316">
        <f t="shared" si="14"/>
        <v>1380000</v>
      </c>
      <c r="AB41" s="341">
        <f>AB10*$E$26</f>
        <v>132250</v>
      </c>
      <c r="AC41" s="341">
        <f t="shared" ref="AC41:AM41" si="31">AC10*$E$26</f>
        <v>132250</v>
      </c>
      <c r="AD41" s="341">
        <f t="shared" si="31"/>
        <v>132250</v>
      </c>
      <c r="AE41" s="341">
        <f t="shared" si="31"/>
        <v>132250</v>
      </c>
      <c r="AF41" s="341">
        <f t="shared" si="31"/>
        <v>132250</v>
      </c>
      <c r="AG41" s="341">
        <f t="shared" si="31"/>
        <v>132250</v>
      </c>
      <c r="AH41" s="341">
        <f t="shared" si="31"/>
        <v>132250</v>
      </c>
      <c r="AI41" s="341">
        <f t="shared" si="31"/>
        <v>132250</v>
      </c>
      <c r="AJ41" s="341">
        <f t="shared" si="31"/>
        <v>132250</v>
      </c>
      <c r="AK41" s="341">
        <f t="shared" si="31"/>
        <v>132250</v>
      </c>
      <c r="AL41" s="341">
        <f t="shared" si="31"/>
        <v>132250</v>
      </c>
      <c r="AM41" s="341">
        <f t="shared" si="31"/>
        <v>132250</v>
      </c>
      <c r="AN41" s="317">
        <f t="shared" si="16"/>
        <v>1587000</v>
      </c>
    </row>
    <row r="42" spans="1:40">
      <c r="A42" s="339" t="str">
        <f t="shared" si="10"/>
        <v>CEO</v>
      </c>
      <c r="B42" s="340">
        <f t="shared" ref="B42:M42" si="32">B11*$C$27</f>
        <v>0</v>
      </c>
      <c r="C42" s="340">
        <f t="shared" si="32"/>
        <v>0</v>
      </c>
      <c r="D42" s="340">
        <f t="shared" si="32"/>
        <v>0</v>
      </c>
      <c r="E42" s="340">
        <f t="shared" si="32"/>
        <v>0</v>
      </c>
      <c r="F42" s="340">
        <f t="shared" si="32"/>
        <v>0</v>
      </c>
      <c r="G42" s="340">
        <f t="shared" si="32"/>
        <v>0</v>
      </c>
      <c r="H42" s="340">
        <f t="shared" si="32"/>
        <v>0</v>
      </c>
      <c r="I42" s="340">
        <f t="shared" si="32"/>
        <v>0</v>
      </c>
      <c r="J42" s="340">
        <f t="shared" si="32"/>
        <v>0</v>
      </c>
      <c r="K42" s="340">
        <f t="shared" si="32"/>
        <v>0</v>
      </c>
      <c r="L42" s="340">
        <f t="shared" si="32"/>
        <v>0</v>
      </c>
      <c r="M42" s="340">
        <f t="shared" si="32"/>
        <v>0</v>
      </c>
      <c r="N42" s="314">
        <f t="shared" si="12"/>
        <v>0</v>
      </c>
      <c r="O42" s="341">
        <f>O11*$D$27</f>
        <v>172500</v>
      </c>
      <c r="P42" s="341">
        <f t="shared" ref="P42:Z42" si="33">P11*$D$27</f>
        <v>172500</v>
      </c>
      <c r="Q42" s="341">
        <f t="shared" si="33"/>
        <v>172500</v>
      </c>
      <c r="R42" s="341">
        <f t="shared" si="33"/>
        <v>172500</v>
      </c>
      <c r="S42" s="341">
        <f t="shared" si="33"/>
        <v>172500</v>
      </c>
      <c r="T42" s="341">
        <f t="shared" si="33"/>
        <v>172500</v>
      </c>
      <c r="U42" s="341">
        <f t="shared" si="33"/>
        <v>172500</v>
      </c>
      <c r="V42" s="341">
        <f t="shared" si="33"/>
        <v>172500</v>
      </c>
      <c r="W42" s="341">
        <f t="shared" si="33"/>
        <v>172500</v>
      </c>
      <c r="X42" s="341">
        <f t="shared" si="33"/>
        <v>172500</v>
      </c>
      <c r="Y42" s="341">
        <f t="shared" si="33"/>
        <v>172500</v>
      </c>
      <c r="Z42" s="341">
        <f t="shared" si="33"/>
        <v>172500</v>
      </c>
      <c r="AA42" s="316">
        <f t="shared" si="14"/>
        <v>2070000</v>
      </c>
      <c r="AB42" s="341">
        <f>AB11*$E$27</f>
        <v>198375</v>
      </c>
      <c r="AC42" s="341">
        <f t="shared" ref="AC42:AM42" si="34">AC11*$E$27</f>
        <v>198375</v>
      </c>
      <c r="AD42" s="341">
        <f t="shared" si="34"/>
        <v>198375</v>
      </c>
      <c r="AE42" s="341">
        <f t="shared" si="34"/>
        <v>198375</v>
      </c>
      <c r="AF42" s="341">
        <f t="shared" si="34"/>
        <v>198375</v>
      </c>
      <c r="AG42" s="341">
        <f t="shared" si="34"/>
        <v>198375</v>
      </c>
      <c r="AH42" s="341">
        <f t="shared" si="34"/>
        <v>198375</v>
      </c>
      <c r="AI42" s="341">
        <f t="shared" si="34"/>
        <v>198375</v>
      </c>
      <c r="AJ42" s="341">
        <f t="shared" si="34"/>
        <v>198375</v>
      </c>
      <c r="AK42" s="341">
        <f t="shared" si="34"/>
        <v>198375</v>
      </c>
      <c r="AL42" s="341">
        <f t="shared" si="34"/>
        <v>198375</v>
      </c>
      <c r="AM42" s="341">
        <f t="shared" si="34"/>
        <v>198375</v>
      </c>
      <c r="AN42" s="317">
        <f t="shared" si="16"/>
        <v>2380500</v>
      </c>
    </row>
    <row r="43" spans="1:40">
      <c r="A43" s="339">
        <f t="shared" si="10"/>
        <v>0</v>
      </c>
      <c r="B43" s="340">
        <f t="shared" ref="B43:M43" si="35">B12*$C$28</f>
        <v>0</v>
      </c>
      <c r="C43" s="340">
        <f t="shared" si="35"/>
        <v>0</v>
      </c>
      <c r="D43" s="340">
        <f t="shared" si="35"/>
        <v>0</v>
      </c>
      <c r="E43" s="340">
        <f t="shared" si="35"/>
        <v>0</v>
      </c>
      <c r="F43" s="340">
        <f t="shared" si="35"/>
        <v>0</v>
      </c>
      <c r="G43" s="340">
        <f t="shared" si="35"/>
        <v>0</v>
      </c>
      <c r="H43" s="340">
        <f t="shared" si="35"/>
        <v>0</v>
      </c>
      <c r="I43" s="340">
        <f t="shared" si="35"/>
        <v>0</v>
      </c>
      <c r="J43" s="340">
        <f t="shared" si="35"/>
        <v>0</v>
      </c>
      <c r="K43" s="340">
        <f t="shared" si="35"/>
        <v>0</v>
      </c>
      <c r="L43" s="340">
        <f t="shared" si="35"/>
        <v>0</v>
      </c>
      <c r="M43" s="340">
        <f t="shared" si="35"/>
        <v>0</v>
      </c>
      <c r="N43" s="314">
        <f t="shared" si="12"/>
        <v>0</v>
      </c>
      <c r="O43" s="341">
        <f>O12*$D$28</f>
        <v>0</v>
      </c>
      <c r="P43" s="341">
        <f t="shared" ref="P43:Z43" si="36">P12*$D$28</f>
        <v>0</v>
      </c>
      <c r="Q43" s="341">
        <f t="shared" si="36"/>
        <v>0</v>
      </c>
      <c r="R43" s="341">
        <f t="shared" si="36"/>
        <v>0</v>
      </c>
      <c r="S43" s="341">
        <f t="shared" si="36"/>
        <v>0</v>
      </c>
      <c r="T43" s="341">
        <f t="shared" si="36"/>
        <v>0</v>
      </c>
      <c r="U43" s="341">
        <f t="shared" si="36"/>
        <v>0</v>
      </c>
      <c r="V43" s="341">
        <f t="shared" si="36"/>
        <v>0</v>
      </c>
      <c r="W43" s="341">
        <f t="shared" si="36"/>
        <v>0</v>
      </c>
      <c r="X43" s="341">
        <f t="shared" si="36"/>
        <v>0</v>
      </c>
      <c r="Y43" s="341">
        <f t="shared" si="36"/>
        <v>0</v>
      </c>
      <c r="Z43" s="341">
        <f t="shared" si="36"/>
        <v>0</v>
      </c>
      <c r="AA43" s="316">
        <f t="shared" si="14"/>
        <v>0</v>
      </c>
      <c r="AB43" s="341">
        <f>AB12*$E$28</f>
        <v>0</v>
      </c>
      <c r="AC43" s="341">
        <f t="shared" ref="AC43:AM43" si="37">AC12*$E$28</f>
        <v>0</v>
      </c>
      <c r="AD43" s="341">
        <f t="shared" si="37"/>
        <v>0</v>
      </c>
      <c r="AE43" s="341">
        <f t="shared" si="37"/>
        <v>0</v>
      </c>
      <c r="AF43" s="341">
        <f t="shared" si="37"/>
        <v>0</v>
      </c>
      <c r="AG43" s="341">
        <f t="shared" si="37"/>
        <v>0</v>
      </c>
      <c r="AH43" s="341">
        <f t="shared" si="37"/>
        <v>0</v>
      </c>
      <c r="AI43" s="341">
        <f t="shared" si="37"/>
        <v>0</v>
      </c>
      <c r="AJ43" s="341">
        <f t="shared" si="37"/>
        <v>0</v>
      </c>
      <c r="AK43" s="341">
        <f t="shared" si="37"/>
        <v>0</v>
      </c>
      <c r="AL43" s="341">
        <f t="shared" si="37"/>
        <v>0</v>
      </c>
      <c r="AM43" s="341">
        <f t="shared" si="37"/>
        <v>0</v>
      </c>
      <c r="AN43" s="317">
        <f t="shared" si="16"/>
        <v>0</v>
      </c>
    </row>
    <row r="44" spans="1:40">
      <c r="A44" s="339">
        <f t="shared" si="10"/>
        <v>0</v>
      </c>
      <c r="B44" s="340">
        <f t="shared" ref="B44:M44" si="38">B13*$C$29</f>
        <v>0</v>
      </c>
      <c r="C44" s="340">
        <f t="shared" si="38"/>
        <v>0</v>
      </c>
      <c r="D44" s="340">
        <f t="shared" si="38"/>
        <v>0</v>
      </c>
      <c r="E44" s="340">
        <f t="shared" si="38"/>
        <v>0</v>
      </c>
      <c r="F44" s="340">
        <f t="shared" si="38"/>
        <v>0</v>
      </c>
      <c r="G44" s="340">
        <f t="shared" si="38"/>
        <v>0</v>
      </c>
      <c r="H44" s="340">
        <f t="shared" si="38"/>
        <v>0</v>
      </c>
      <c r="I44" s="340">
        <f t="shared" si="38"/>
        <v>0</v>
      </c>
      <c r="J44" s="340">
        <f t="shared" si="38"/>
        <v>0</v>
      </c>
      <c r="K44" s="340">
        <f t="shared" si="38"/>
        <v>0</v>
      </c>
      <c r="L44" s="340">
        <f t="shared" si="38"/>
        <v>0</v>
      </c>
      <c r="M44" s="340">
        <f t="shared" si="38"/>
        <v>0</v>
      </c>
      <c r="N44" s="314">
        <f t="shared" si="12"/>
        <v>0</v>
      </c>
      <c r="O44" s="341">
        <f>O13*$D$29</f>
        <v>0</v>
      </c>
      <c r="P44" s="341">
        <f t="shared" ref="P44:Z44" si="39">P13*$D$29</f>
        <v>0</v>
      </c>
      <c r="Q44" s="341">
        <f t="shared" si="39"/>
        <v>0</v>
      </c>
      <c r="R44" s="341">
        <f t="shared" si="39"/>
        <v>0</v>
      </c>
      <c r="S44" s="341">
        <f t="shared" si="39"/>
        <v>0</v>
      </c>
      <c r="T44" s="341">
        <f t="shared" si="39"/>
        <v>0</v>
      </c>
      <c r="U44" s="341">
        <f t="shared" si="39"/>
        <v>0</v>
      </c>
      <c r="V44" s="341">
        <f t="shared" si="39"/>
        <v>0</v>
      </c>
      <c r="W44" s="341">
        <f t="shared" si="39"/>
        <v>0</v>
      </c>
      <c r="X44" s="341">
        <f t="shared" si="39"/>
        <v>0</v>
      </c>
      <c r="Y44" s="341">
        <f t="shared" si="39"/>
        <v>0</v>
      </c>
      <c r="Z44" s="341">
        <f t="shared" si="39"/>
        <v>0</v>
      </c>
      <c r="AA44" s="316">
        <f t="shared" si="14"/>
        <v>0</v>
      </c>
      <c r="AB44" s="341">
        <f>AB13*$E$29</f>
        <v>0</v>
      </c>
      <c r="AC44" s="341">
        <f t="shared" ref="AC44:AM44" si="40">AC13*$E$29</f>
        <v>0</v>
      </c>
      <c r="AD44" s="341">
        <f t="shared" si="40"/>
        <v>0</v>
      </c>
      <c r="AE44" s="341">
        <f t="shared" si="40"/>
        <v>0</v>
      </c>
      <c r="AF44" s="341">
        <f t="shared" si="40"/>
        <v>0</v>
      </c>
      <c r="AG44" s="341">
        <f t="shared" si="40"/>
        <v>0</v>
      </c>
      <c r="AH44" s="341">
        <f t="shared" si="40"/>
        <v>0</v>
      </c>
      <c r="AI44" s="341">
        <f t="shared" si="40"/>
        <v>0</v>
      </c>
      <c r="AJ44" s="341">
        <f t="shared" si="40"/>
        <v>0</v>
      </c>
      <c r="AK44" s="341">
        <f t="shared" si="40"/>
        <v>0</v>
      </c>
      <c r="AL44" s="341">
        <f t="shared" si="40"/>
        <v>0</v>
      </c>
      <c r="AM44" s="341">
        <f t="shared" si="40"/>
        <v>0</v>
      </c>
      <c r="AN44" s="317">
        <f t="shared" si="16"/>
        <v>0</v>
      </c>
    </row>
    <row r="45" spans="1:40">
      <c r="A45" s="339">
        <f t="shared" si="10"/>
        <v>0</v>
      </c>
      <c r="B45" s="340">
        <f t="shared" ref="B45:M45" si="41">B14*$C$30</f>
        <v>0</v>
      </c>
      <c r="C45" s="340">
        <f t="shared" si="41"/>
        <v>0</v>
      </c>
      <c r="D45" s="340">
        <f t="shared" si="41"/>
        <v>0</v>
      </c>
      <c r="E45" s="340">
        <f t="shared" si="41"/>
        <v>0</v>
      </c>
      <c r="F45" s="340">
        <f t="shared" si="41"/>
        <v>0</v>
      </c>
      <c r="G45" s="340">
        <f t="shared" si="41"/>
        <v>0</v>
      </c>
      <c r="H45" s="340">
        <f t="shared" si="41"/>
        <v>0</v>
      </c>
      <c r="I45" s="340">
        <f t="shared" si="41"/>
        <v>0</v>
      </c>
      <c r="J45" s="340">
        <f t="shared" si="41"/>
        <v>0</v>
      </c>
      <c r="K45" s="340">
        <f t="shared" si="41"/>
        <v>0</v>
      </c>
      <c r="L45" s="340">
        <f t="shared" si="41"/>
        <v>0</v>
      </c>
      <c r="M45" s="340">
        <f t="shared" si="41"/>
        <v>0</v>
      </c>
      <c r="N45" s="314">
        <f t="shared" si="12"/>
        <v>0</v>
      </c>
      <c r="O45" s="341">
        <f>O14*$D$30</f>
        <v>0</v>
      </c>
      <c r="P45" s="341">
        <f t="shared" ref="P45:Z45" si="42">P14*$D$30</f>
        <v>0</v>
      </c>
      <c r="Q45" s="341">
        <f t="shared" si="42"/>
        <v>0</v>
      </c>
      <c r="R45" s="341">
        <f t="shared" si="42"/>
        <v>0</v>
      </c>
      <c r="S45" s="341">
        <f t="shared" si="42"/>
        <v>0</v>
      </c>
      <c r="T45" s="341">
        <f t="shared" si="42"/>
        <v>0</v>
      </c>
      <c r="U45" s="341">
        <f t="shared" si="42"/>
        <v>0</v>
      </c>
      <c r="V45" s="341">
        <f t="shared" si="42"/>
        <v>0</v>
      </c>
      <c r="W45" s="341">
        <f t="shared" si="42"/>
        <v>0</v>
      </c>
      <c r="X45" s="341">
        <f t="shared" si="42"/>
        <v>0</v>
      </c>
      <c r="Y45" s="341">
        <f t="shared" si="42"/>
        <v>0</v>
      </c>
      <c r="Z45" s="341">
        <f t="shared" si="42"/>
        <v>0</v>
      </c>
      <c r="AA45" s="316">
        <f t="shared" si="14"/>
        <v>0</v>
      </c>
      <c r="AB45" s="341">
        <f>AB14*$E$30</f>
        <v>0</v>
      </c>
      <c r="AC45" s="341">
        <f t="shared" ref="AC45:AM45" si="43">AC14*$E$30</f>
        <v>0</v>
      </c>
      <c r="AD45" s="341">
        <f t="shared" si="43"/>
        <v>0</v>
      </c>
      <c r="AE45" s="341">
        <f t="shared" si="43"/>
        <v>0</v>
      </c>
      <c r="AF45" s="341">
        <f t="shared" si="43"/>
        <v>0</v>
      </c>
      <c r="AG45" s="341">
        <f t="shared" si="43"/>
        <v>0</v>
      </c>
      <c r="AH45" s="341">
        <f t="shared" si="43"/>
        <v>0</v>
      </c>
      <c r="AI45" s="341">
        <f t="shared" si="43"/>
        <v>0</v>
      </c>
      <c r="AJ45" s="341">
        <f t="shared" si="43"/>
        <v>0</v>
      </c>
      <c r="AK45" s="341">
        <f t="shared" si="43"/>
        <v>0</v>
      </c>
      <c r="AL45" s="341">
        <f t="shared" si="43"/>
        <v>0</v>
      </c>
      <c r="AM45" s="341">
        <f t="shared" si="43"/>
        <v>0</v>
      </c>
      <c r="AN45" s="317">
        <f t="shared" si="16"/>
        <v>0</v>
      </c>
    </row>
    <row r="46" spans="1:40" ht="18" customHeight="1">
      <c r="A46" s="318" t="s">
        <v>102</v>
      </c>
      <c r="B46" s="319">
        <f t="shared" ref="B46:M46" si="44">SUM(B36:B45)</f>
        <v>520000</v>
      </c>
      <c r="C46" s="319">
        <f t="shared" si="44"/>
        <v>520000</v>
      </c>
      <c r="D46" s="319">
        <f t="shared" si="44"/>
        <v>520000</v>
      </c>
      <c r="E46" s="319">
        <f t="shared" si="44"/>
        <v>520000</v>
      </c>
      <c r="F46" s="319">
        <f t="shared" si="44"/>
        <v>520000</v>
      </c>
      <c r="G46" s="319">
        <f t="shared" si="44"/>
        <v>520000</v>
      </c>
      <c r="H46" s="319">
        <f t="shared" si="44"/>
        <v>520000</v>
      </c>
      <c r="I46" s="319">
        <f t="shared" si="44"/>
        <v>520000</v>
      </c>
      <c r="J46" s="319">
        <f t="shared" si="44"/>
        <v>520000</v>
      </c>
      <c r="K46" s="319">
        <f t="shared" si="44"/>
        <v>520000</v>
      </c>
      <c r="L46" s="319">
        <f t="shared" si="44"/>
        <v>520000</v>
      </c>
      <c r="M46" s="319">
        <f t="shared" si="44"/>
        <v>520000</v>
      </c>
      <c r="N46" s="319">
        <f t="shared" si="12"/>
        <v>6240000</v>
      </c>
      <c r="O46" s="320">
        <f>SUM(O36:O45)</f>
        <v>1058000</v>
      </c>
      <c r="P46" s="320">
        <f t="shared" ref="P46:Z46" si="45">SUM(P36:P45)</f>
        <v>1058000</v>
      </c>
      <c r="Q46" s="320">
        <f t="shared" si="45"/>
        <v>1058000</v>
      </c>
      <c r="R46" s="320">
        <f t="shared" si="45"/>
        <v>1058000</v>
      </c>
      <c r="S46" s="320">
        <f t="shared" si="45"/>
        <v>1058000</v>
      </c>
      <c r="T46" s="320">
        <f t="shared" si="45"/>
        <v>1058000</v>
      </c>
      <c r="U46" s="320">
        <f t="shared" si="45"/>
        <v>1058000</v>
      </c>
      <c r="V46" s="320">
        <f t="shared" si="45"/>
        <v>1058000</v>
      </c>
      <c r="W46" s="320">
        <f t="shared" si="45"/>
        <v>1058000</v>
      </c>
      <c r="X46" s="320">
        <f t="shared" si="45"/>
        <v>1058000</v>
      </c>
      <c r="Y46" s="320">
        <f t="shared" si="45"/>
        <v>1058000</v>
      </c>
      <c r="Z46" s="320">
        <f t="shared" si="45"/>
        <v>1058000</v>
      </c>
      <c r="AA46" s="320">
        <f t="shared" si="14"/>
        <v>12696000</v>
      </c>
      <c r="AB46" s="320">
        <f>SUM(AB36:AB45)</f>
        <v>1216700</v>
      </c>
      <c r="AC46" s="320">
        <f t="shared" ref="AC46:AM46" si="46">SUM(AC36:AC45)</f>
        <v>1216700</v>
      </c>
      <c r="AD46" s="320">
        <f t="shared" si="46"/>
        <v>1216700</v>
      </c>
      <c r="AE46" s="320">
        <f t="shared" si="46"/>
        <v>1216700</v>
      </c>
      <c r="AF46" s="320">
        <f t="shared" si="46"/>
        <v>1216700</v>
      </c>
      <c r="AG46" s="320">
        <f t="shared" si="46"/>
        <v>1216700</v>
      </c>
      <c r="AH46" s="320">
        <f t="shared" si="46"/>
        <v>1216700</v>
      </c>
      <c r="AI46" s="320">
        <f t="shared" si="46"/>
        <v>1216700</v>
      </c>
      <c r="AJ46" s="320">
        <f t="shared" si="46"/>
        <v>1216700</v>
      </c>
      <c r="AK46" s="320">
        <f t="shared" si="46"/>
        <v>1216700</v>
      </c>
      <c r="AL46" s="320">
        <f t="shared" si="46"/>
        <v>1216700</v>
      </c>
      <c r="AM46" s="320">
        <f t="shared" si="46"/>
        <v>1216700</v>
      </c>
      <c r="AN46" s="321">
        <f t="shared" si="16"/>
        <v>14600400</v>
      </c>
    </row>
    <row r="47" spans="1:40" s="261" customFormat="1">
      <c r="A47" s="342"/>
      <c r="B47" s="342"/>
      <c r="C47" s="342"/>
      <c r="D47" s="342"/>
      <c r="E47" s="343"/>
    </row>
    <row r="48" spans="1:40" s="261" customFormat="1">
      <c r="A48" s="342"/>
      <c r="B48" s="342"/>
      <c r="C48" s="342"/>
      <c r="D48" s="342"/>
      <c r="E48" s="343"/>
    </row>
  </sheetData>
  <sheetProtection sheet="1" formatCells="0" formatColumns="0"/>
  <mergeCells count="17">
    <mergeCell ref="AB3:AM3"/>
    <mergeCell ref="AN3:AN4"/>
    <mergeCell ref="A19:A20"/>
    <mergeCell ref="B19:B20"/>
    <mergeCell ref="C19:E19"/>
    <mergeCell ref="A3:A4"/>
    <mergeCell ref="B3:M3"/>
    <mergeCell ref="N3:N4"/>
    <mergeCell ref="O3:Z3"/>
    <mergeCell ref="AA3:AA4"/>
    <mergeCell ref="AB34:AM34"/>
    <mergeCell ref="AN34:AN35"/>
    <mergeCell ref="A34:A35"/>
    <mergeCell ref="B34:M34"/>
    <mergeCell ref="N34:N35"/>
    <mergeCell ref="O34:Z34"/>
    <mergeCell ref="AA34:AA35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7">
    <tabColor theme="9"/>
  </sheetPr>
  <dimension ref="A2:AO269"/>
  <sheetViews>
    <sheetView zoomScale="62" zoomScaleNormal="62" workbookViewId="0">
      <pane xSplit="2" ySplit="6" topLeftCell="P7" activePane="bottomRight" state="frozen"/>
      <selection activeCell="AC8" sqref="AC8:AN8"/>
      <selection pane="topRight"/>
      <selection pane="bottomLeft"/>
      <selection pane="bottomRight" activeCell="AD13" sqref="AD13:AN13"/>
    </sheetView>
  </sheetViews>
  <sheetFormatPr defaultColWidth="9.140625" defaultRowHeight="15" outlineLevelRow="1"/>
  <cols>
    <col min="1" max="1" width="6.42578125" style="345" customWidth="1"/>
    <col min="2" max="2" width="28" style="344" customWidth="1"/>
    <col min="3" max="3" width="12.85546875" style="344" bestFit="1" customWidth="1"/>
    <col min="4" max="14" width="12" style="344" bestFit="1" customWidth="1"/>
    <col min="15" max="15" width="11" style="344" bestFit="1" customWidth="1"/>
    <col min="16" max="16" width="12" style="344" bestFit="1" customWidth="1"/>
    <col min="17" max="24" width="12" style="344" customWidth="1"/>
    <col min="25" max="27" width="12" style="344" bestFit="1" customWidth="1"/>
    <col min="28" max="28" width="11" style="346" bestFit="1" customWidth="1"/>
    <col min="29" max="29" width="12" style="344" bestFit="1" customWidth="1"/>
    <col min="30" max="37" width="12" style="344" customWidth="1"/>
    <col min="38" max="40" width="12" style="344" bestFit="1" customWidth="1"/>
    <col min="41" max="41" width="12" style="346" bestFit="1" customWidth="1"/>
    <col min="42" max="16384" width="9.140625" style="344"/>
  </cols>
  <sheetData>
    <row r="2" spans="1:41" ht="18.75">
      <c r="A2" s="347" t="s">
        <v>257</v>
      </c>
      <c r="B2" s="346"/>
    </row>
    <row r="4" spans="1:41">
      <c r="A4" s="525" t="s">
        <v>1</v>
      </c>
      <c r="B4" s="527" t="s">
        <v>2</v>
      </c>
      <c r="C4" s="529" t="s">
        <v>3</v>
      </c>
      <c r="D4" s="529"/>
      <c r="E4" s="529"/>
      <c r="F4" s="529"/>
      <c r="G4" s="529"/>
      <c r="H4" s="529"/>
      <c r="I4" s="529"/>
      <c r="J4" s="529"/>
      <c r="K4" s="529"/>
      <c r="L4" s="529"/>
      <c r="M4" s="529"/>
      <c r="N4" s="529"/>
      <c r="O4" s="520" t="s">
        <v>17</v>
      </c>
      <c r="P4" s="522" t="s">
        <v>4</v>
      </c>
      <c r="Q4" s="522"/>
      <c r="R4" s="522"/>
      <c r="S4" s="522"/>
      <c r="T4" s="522"/>
      <c r="U4" s="522"/>
      <c r="V4" s="522"/>
      <c r="W4" s="522"/>
      <c r="X4" s="522"/>
      <c r="Y4" s="522"/>
      <c r="Z4" s="522"/>
      <c r="AA4" s="522"/>
      <c r="AB4" s="520" t="s">
        <v>18</v>
      </c>
      <c r="AC4" s="522" t="s">
        <v>5</v>
      </c>
      <c r="AD4" s="522"/>
      <c r="AE4" s="522"/>
      <c r="AF4" s="522"/>
      <c r="AG4" s="522"/>
      <c r="AH4" s="522"/>
      <c r="AI4" s="522"/>
      <c r="AJ4" s="522"/>
      <c r="AK4" s="522"/>
      <c r="AL4" s="522"/>
      <c r="AM4" s="522"/>
      <c r="AN4" s="522"/>
      <c r="AO4" s="523" t="s">
        <v>19</v>
      </c>
    </row>
    <row r="5" spans="1:41">
      <c r="A5" s="526"/>
      <c r="B5" s="528"/>
      <c r="C5" s="348">
        <f>РДДС!D5</f>
        <v>45809</v>
      </c>
      <c r="D5" s="348">
        <f>РДДС!E5</f>
        <v>45839</v>
      </c>
      <c r="E5" s="348">
        <f>РДДС!F5</f>
        <v>45870</v>
      </c>
      <c r="F5" s="348">
        <f>РДДС!G5</f>
        <v>45901</v>
      </c>
      <c r="G5" s="348">
        <f>РДДС!H5</f>
        <v>45931</v>
      </c>
      <c r="H5" s="348">
        <f>РДДС!I5</f>
        <v>45962</v>
      </c>
      <c r="I5" s="348">
        <f>РДДС!J5</f>
        <v>45992</v>
      </c>
      <c r="J5" s="348">
        <f>РДДС!K5</f>
        <v>46023</v>
      </c>
      <c r="K5" s="348">
        <f>РДДС!L5</f>
        <v>46054</v>
      </c>
      <c r="L5" s="348">
        <f>РДДС!M5</f>
        <v>46082</v>
      </c>
      <c r="M5" s="348">
        <f>РДДС!N5</f>
        <v>46113</v>
      </c>
      <c r="N5" s="348">
        <f>РДДС!O5</f>
        <v>46143</v>
      </c>
      <c r="O5" s="521"/>
      <c r="P5" s="348">
        <f>РДДС!Q5</f>
        <v>46174</v>
      </c>
      <c r="Q5" s="348">
        <f>РДДС!R5</f>
        <v>46204</v>
      </c>
      <c r="R5" s="348">
        <f>РДДС!S5</f>
        <v>46235</v>
      </c>
      <c r="S5" s="348">
        <f>РДДС!T5</f>
        <v>46266</v>
      </c>
      <c r="T5" s="348">
        <f>РДДС!U5</f>
        <v>46296</v>
      </c>
      <c r="U5" s="348">
        <f>РДДС!V5</f>
        <v>46327</v>
      </c>
      <c r="V5" s="348">
        <f>РДДС!W5</f>
        <v>46357</v>
      </c>
      <c r="W5" s="348">
        <f>РДДС!X5</f>
        <v>46388</v>
      </c>
      <c r="X5" s="348">
        <f>РДДС!Y5</f>
        <v>46419</v>
      </c>
      <c r="Y5" s="348">
        <f>РДДС!Z5</f>
        <v>46447</v>
      </c>
      <c r="Z5" s="348">
        <f>РДДС!AA5</f>
        <v>46478</v>
      </c>
      <c r="AA5" s="348">
        <f>РДДС!AB5</f>
        <v>46508</v>
      </c>
      <c r="AB5" s="521"/>
      <c r="AC5" s="348">
        <f>РДДС!AD5</f>
        <v>46539</v>
      </c>
      <c r="AD5" s="348">
        <f>РДДС!AE5</f>
        <v>46569</v>
      </c>
      <c r="AE5" s="348">
        <f>РДДС!AF5</f>
        <v>46600</v>
      </c>
      <c r="AF5" s="348">
        <f>РДДС!AG5</f>
        <v>46631</v>
      </c>
      <c r="AG5" s="348">
        <f>РДДС!AH5</f>
        <v>46661</v>
      </c>
      <c r="AH5" s="348">
        <f>РДДС!AI5</f>
        <v>46692</v>
      </c>
      <c r="AI5" s="348">
        <f>РДДС!AJ5</f>
        <v>46722</v>
      </c>
      <c r="AJ5" s="348">
        <f>РДДС!AK5</f>
        <v>46753</v>
      </c>
      <c r="AK5" s="348">
        <f>РДДС!AL5</f>
        <v>46784</v>
      </c>
      <c r="AL5" s="348">
        <f>РДДС!AM5</f>
        <v>46813</v>
      </c>
      <c r="AM5" s="348">
        <f>РДДС!AN5</f>
        <v>46844</v>
      </c>
      <c r="AN5" s="348">
        <f>РДДС!AO5</f>
        <v>46874</v>
      </c>
      <c r="AO5" s="524"/>
    </row>
    <row r="6" spans="1:41" s="346" customFormat="1" ht="14.25">
      <c r="A6" s="349">
        <v>1</v>
      </c>
      <c r="B6" s="350" t="str">
        <f>'Продукция и цена '!A4</f>
        <v>Аренда системы: "Базовый" тариф</v>
      </c>
      <c r="C6" s="351">
        <f>(C7+C12+C17+C22+C27)*Продажи!B5</f>
        <v>100</v>
      </c>
      <c r="D6" s="351">
        <f>(D7+D12+D17+D22+D27)*Продажи!C5</f>
        <v>200</v>
      </c>
      <c r="E6" s="351">
        <f>(E7+E12+E17+E22+E27)*Продажи!D5</f>
        <v>300</v>
      </c>
      <c r="F6" s="351">
        <f>(F7+F12+F17+F22+F27)*Продажи!E5</f>
        <v>400</v>
      </c>
      <c r="G6" s="351">
        <f>(G7+G12+G17+G22+G27)*Продажи!F5</f>
        <v>500</v>
      </c>
      <c r="H6" s="351">
        <f>(H7+H12+H17+H22+H27)*Продажи!G5</f>
        <v>700</v>
      </c>
      <c r="I6" s="351">
        <f>(I7+I12+I17+I22+I27)*Продажи!H5</f>
        <v>800</v>
      </c>
      <c r="J6" s="351">
        <f>(J7+J12+J17+J22+J27)*Продажи!I5</f>
        <v>800</v>
      </c>
      <c r="K6" s="351">
        <f>(K7+K12+K17+K22+K27)*Продажи!J5</f>
        <v>1000</v>
      </c>
      <c r="L6" s="351">
        <f>(L7+L12+L17+L22+L27)*Продажи!K5</f>
        <v>1200</v>
      </c>
      <c r="M6" s="351">
        <f>(M7+M12+M17+M22+M27)*Продажи!L5</f>
        <v>1300</v>
      </c>
      <c r="N6" s="351">
        <f>(N7+N12+N17+N22+N27)*Продажи!M5</f>
        <v>1400</v>
      </c>
      <c r="O6" s="352">
        <f>SUM(C6:N6)</f>
        <v>8700</v>
      </c>
      <c r="P6" s="353">
        <f>(P7+P12+P17+P22+P27)*Продажи!O5</f>
        <v>2250</v>
      </c>
      <c r="Q6" s="351">
        <f>(Q7+Q12+Q17+Q22+Q27)*Продажи!P5</f>
        <v>2400</v>
      </c>
      <c r="R6" s="351">
        <f>(R7+R12+R17+R22+R27)*Продажи!Q5</f>
        <v>2700</v>
      </c>
      <c r="S6" s="351">
        <f>(S7+S12+S17+S22+S27)*Продажи!R5</f>
        <v>2899.999999999995</v>
      </c>
      <c r="T6" s="351">
        <f>(T7+T12+T17+T22+T27)*Продажи!S5</f>
        <v>3124.999999999995</v>
      </c>
      <c r="U6" s="351">
        <f>(U7+U12+U17+U22+U27)*Продажи!T5</f>
        <v>3349.999999999995</v>
      </c>
      <c r="V6" s="351">
        <f>(V7+V12+V17+V22+V27)*Продажи!U5</f>
        <v>3574.999999999995</v>
      </c>
      <c r="W6" s="351">
        <f>(W7+W12+W17+W22+W27)*Продажи!V5</f>
        <v>3799.999999999995</v>
      </c>
      <c r="X6" s="351">
        <f>(X7+X12+X17+X22+X27)*Продажи!W5</f>
        <v>4024.999999999995</v>
      </c>
      <c r="Y6" s="351">
        <f>(Y7+Y12+Y17+Y22+Y27)*Продажи!X5</f>
        <v>4249.9999999999955</v>
      </c>
      <c r="Z6" s="351">
        <f>(Z7+Z12+Z17+Z22+Z27)*Продажи!Y5</f>
        <v>4474.9999999999955</v>
      </c>
      <c r="AA6" s="351">
        <f>(AA7+AA12+AA17+AA22+AA27)*Продажи!Z5</f>
        <v>4699.9999999999955</v>
      </c>
      <c r="AB6" s="354">
        <f>SUM(P6:AA6)</f>
        <v>41549.999999999956</v>
      </c>
      <c r="AC6" s="355">
        <f>(AC7+AC12+AC17+AC22+AC27)*Продажи!AB5</f>
        <v>1200</v>
      </c>
      <c r="AD6" s="351">
        <f>(AD7+AD12+AD17+AD22+AD27)*Продажи!AC5</f>
        <v>1200</v>
      </c>
      <c r="AE6" s="351">
        <f>(AE7+AE12+AE17+AE22+AE27)*Продажи!AD5</f>
        <v>1200</v>
      </c>
      <c r="AF6" s="351">
        <f>(AF7+AF12+AF17+AF22+AF27)*Продажи!AE5</f>
        <v>1200</v>
      </c>
      <c r="AG6" s="351">
        <f>(AG7+AG12+AG17+AG22+AG27)*Продажи!AF5</f>
        <v>1200</v>
      </c>
      <c r="AH6" s="351">
        <f>(AH7+AH12+AH17+AH22+AH27)*Продажи!AG5</f>
        <v>1200</v>
      </c>
      <c r="AI6" s="351">
        <f>(AI7+AI12+AI17+AI22+AI27)*Продажи!AH5</f>
        <v>1400</v>
      </c>
      <c r="AJ6" s="351">
        <f>(AJ7+AJ12+AJ17+AJ22+AJ27)*Продажи!AI5</f>
        <v>1400</v>
      </c>
      <c r="AK6" s="351">
        <f>(AK7+AK12+AK17+AK22+AK27)*Продажи!AJ5</f>
        <v>1400</v>
      </c>
      <c r="AL6" s="351">
        <f>(AL7+AL12+AL17+AL22+AL27)*Продажи!AK5</f>
        <v>1400</v>
      </c>
      <c r="AM6" s="351">
        <f>(AM7+AM12+AM17+AM22+AM27)*Продажи!AL5</f>
        <v>1400</v>
      </c>
      <c r="AN6" s="351">
        <f>(AN7+AN12+AN17+AN22+AN27)*Продажи!AM5</f>
        <v>1400</v>
      </c>
      <c r="AO6" s="354">
        <f>SUM(AC6:AN6)</f>
        <v>15600</v>
      </c>
    </row>
    <row r="7" spans="1:41" s="346" customFormat="1" ht="14.25" outlineLevel="1">
      <c r="A7" s="356" t="s">
        <v>142</v>
      </c>
      <c r="B7" s="357" t="str">
        <f>Персонал!A36</f>
        <v>Дизайн (UX/UI)</v>
      </c>
      <c r="C7" s="358">
        <f>C8*C9</f>
        <v>50</v>
      </c>
      <c r="D7" s="358">
        <f t="shared" ref="D7:N7" si="0">D8*D9</f>
        <v>50</v>
      </c>
      <c r="E7" s="358">
        <f t="shared" si="0"/>
        <v>50</v>
      </c>
      <c r="F7" s="358">
        <f t="shared" si="0"/>
        <v>50</v>
      </c>
      <c r="G7" s="358">
        <f t="shared" si="0"/>
        <v>50</v>
      </c>
      <c r="H7" s="358">
        <f t="shared" si="0"/>
        <v>50</v>
      </c>
      <c r="I7" s="358">
        <f t="shared" si="0"/>
        <v>50</v>
      </c>
      <c r="J7" s="358">
        <f t="shared" si="0"/>
        <v>50</v>
      </c>
      <c r="K7" s="358">
        <f t="shared" si="0"/>
        <v>50</v>
      </c>
      <c r="L7" s="358">
        <f t="shared" si="0"/>
        <v>50</v>
      </c>
      <c r="M7" s="358">
        <f t="shared" si="0"/>
        <v>50</v>
      </c>
      <c r="N7" s="358">
        <f t="shared" si="0"/>
        <v>50</v>
      </c>
      <c r="O7" s="359">
        <f>SUM(C7:N7)</f>
        <v>600</v>
      </c>
      <c r="P7" s="360">
        <f t="shared" ref="P7:AA7" si="1">P8*P9</f>
        <v>75</v>
      </c>
      <c r="Q7" s="358">
        <f t="shared" si="1"/>
        <v>75</v>
      </c>
      <c r="R7" s="358">
        <f t="shared" si="1"/>
        <v>75</v>
      </c>
      <c r="S7" s="358">
        <f t="shared" si="1"/>
        <v>75</v>
      </c>
      <c r="T7" s="358">
        <f t="shared" si="1"/>
        <v>75</v>
      </c>
      <c r="U7" s="358">
        <f t="shared" si="1"/>
        <v>75</v>
      </c>
      <c r="V7" s="358">
        <f t="shared" si="1"/>
        <v>75</v>
      </c>
      <c r="W7" s="358">
        <f t="shared" si="1"/>
        <v>75</v>
      </c>
      <c r="X7" s="358">
        <f t="shared" si="1"/>
        <v>75</v>
      </c>
      <c r="Y7" s="358">
        <f t="shared" si="1"/>
        <v>75</v>
      </c>
      <c r="Z7" s="358">
        <f t="shared" si="1"/>
        <v>75</v>
      </c>
      <c r="AA7" s="358">
        <f t="shared" si="1"/>
        <v>75</v>
      </c>
      <c r="AB7" s="359">
        <f>SUM(P7:AA7)</f>
        <v>900</v>
      </c>
      <c r="AC7" s="361">
        <f t="shared" ref="AC7:AN7" si="2">AC8*AC9</f>
        <v>100</v>
      </c>
      <c r="AD7" s="358">
        <f t="shared" si="2"/>
        <v>100</v>
      </c>
      <c r="AE7" s="358">
        <f t="shared" si="2"/>
        <v>100</v>
      </c>
      <c r="AF7" s="358">
        <f t="shared" si="2"/>
        <v>100</v>
      </c>
      <c r="AG7" s="358">
        <f t="shared" si="2"/>
        <v>100</v>
      </c>
      <c r="AH7" s="358">
        <f t="shared" si="2"/>
        <v>100</v>
      </c>
      <c r="AI7" s="358">
        <f t="shared" si="2"/>
        <v>100</v>
      </c>
      <c r="AJ7" s="358">
        <f t="shared" si="2"/>
        <v>100</v>
      </c>
      <c r="AK7" s="358">
        <f t="shared" si="2"/>
        <v>100</v>
      </c>
      <c r="AL7" s="358">
        <f t="shared" si="2"/>
        <v>100</v>
      </c>
      <c r="AM7" s="358">
        <f t="shared" si="2"/>
        <v>100</v>
      </c>
      <c r="AN7" s="358">
        <f t="shared" si="2"/>
        <v>100</v>
      </c>
      <c r="AO7" s="362">
        <f>SUM(AC7:AN7)</f>
        <v>1200</v>
      </c>
    </row>
    <row r="8" spans="1:41" ht="30" outlineLevel="1">
      <c r="A8" s="283" t="s">
        <v>258</v>
      </c>
      <c r="B8" s="363" t="s">
        <v>259</v>
      </c>
      <c r="C8" s="364">
        <v>1</v>
      </c>
      <c r="D8" s="364">
        <v>1</v>
      </c>
      <c r="E8" s="364">
        <v>1</v>
      </c>
      <c r="F8" s="364">
        <v>1</v>
      </c>
      <c r="G8" s="364">
        <v>1</v>
      </c>
      <c r="H8" s="364">
        <v>1</v>
      </c>
      <c r="I8" s="364">
        <v>1</v>
      </c>
      <c r="J8" s="364">
        <v>1</v>
      </c>
      <c r="K8" s="364">
        <v>1</v>
      </c>
      <c r="L8" s="364">
        <v>1</v>
      </c>
      <c r="M8" s="364">
        <v>1</v>
      </c>
      <c r="N8" s="364">
        <v>1</v>
      </c>
      <c r="O8" s="359"/>
      <c r="P8" s="365">
        <v>1</v>
      </c>
      <c r="Q8" s="365">
        <v>1</v>
      </c>
      <c r="R8" s="365">
        <v>1</v>
      </c>
      <c r="S8" s="365">
        <v>1</v>
      </c>
      <c r="T8" s="365">
        <v>1</v>
      </c>
      <c r="U8" s="365">
        <v>1</v>
      </c>
      <c r="V8" s="365">
        <v>1</v>
      </c>
      <c r="W8" s="365">
        <v>1</v>
      </c>
      <c r="X8" s="365">
        <v>1</v>
      </c>
      <c r="Y8" s="365">
        <v>1</v>
      </c>
      <c r="Z8" s="365">
        <v>1</v>
      </c>
      <c r="AA8" s="365">
        <v>1</v>
      </c>
      <c r="AB8" s="359"/>
      <c r="AC8" s="366">
        <v>1</v>
      </c>
      <c r="AD8" s="366">
        <v>1</v>
      </c>
      <c r="AE8" s="366">
        <v>1</v>
      </c>
      <c r="AF8" s="366">
        <v>1</v>
      </c>
      <c r="AG8" s="366">
        <v>1</v>
      </c>
      <c r="AH8" s="366">
        <v>1</v>
      </c>
      <c r="AI8" s="366">
        <v>1</v>
      </c>
      <c r="AJ8" s="366">
        <v>1</v>
      </c>
      <c r="AK8" s="366">
        <v>1</v>
      </c>
      <c r="AL8" s="366">
        <v>1</v>
      </c>
      <c r="AM8" s="366">
        <v>1</v>
      </c>
      <c r="AN8" s="366">
        <v>1</v>
      </c>
      <c r="AO8" s="362"/>
    </row>
    <row r="9" spans="1:41" outlineLevel="1">
      <c r="A9" s="283" t="s">
        <v>260</v>
      </c>
      <c r="B9" s="367" t="s">
        <v>261</v>
      </c>
      <c r="C9" s="364">
        <v>50</v>
      </c>
      <c r="D9" s="364">
        <v>50</v>
      </c>
      <c r="E9" s="364">
        <v>50</v>
      </c>
      <c r="F9" s="364">
        <v>50</v>
      </c>
      <c r="G9" s="364">
        <v>50</v>
      </c>
      <c r="H9" s="364">
        <v>50</v>
      </c>
      <c r="I9" s="364">
        <v>50</v>
      </c>
      <c r="J9" s="364">
        <v>50</v>
      </c>
      <c r="K9" s="364">
        <v>50</v>
      </c>
      <c r="L9" s="364">
        <v>50</v>
      </c>
      <c r="M9" s="364">
        <v>50</v>
      </c>
      <c r="N9" s="364">
        <v>50</v>
      </c>
      <c r="O9" s="359"/>
      <c r="P9" s="365">
        <v>75</v>
      </c>
      <c r="Q9" s="365">
        <v>75</v>
      </c>
      <c r="R9" s="365">
        <v>75</v>
      </c>
      <c r="S9" s="365">
        <v>75</v>
      </c>
      <c r="T9" s="365">
        <v>75</v>
      </c>
      <c r="U9" s="365">
        <v>75</v>
      </c>
      <c r="V9" s="365">
        <v>75</v>
      </c>
      <c r="W9" s="365">
        <v>75</v>
      </c>
      <c r="X9" s="365">
        <v>75</v>
      </c>
      <c r="Y9" s="365">
        <v>75</v>
      </c>
      <c r="Z9" s="365">
        <v>75</v>
      </c>
      <c r="AA9" s="365">
        <v>75</v>
      </c>
      <c r="AB9" s="359"/>
      <c r="AC9" s="366">
        <v>100</v>
      </c>
      <c r="AD9" s="366">
        <v>100</v>
      </c>
      <c r="AE9" s="366">
        <v>100</v>
      </c>
      <c r="AF9" s="366">
        <v>100</v>
      </c>
      <c r="AG9" s="366">
        <v>100</v>
      </c>
      <c r="AH9" s="366">
        <v>100</v>
      </c>
      <c r="AI9" s="366">
        <v>100</v>
      </c>
      <c r="AJ9" s="366">
        <v>100</v>
      </c>
      <c r="AK9" s="366">
        <v>100</v>
      </c>
      <c r="AL9" s="366">
        <v>100</v>
      </c>
      <c r="AM9" s="366">
        <v>100</v>
      </c>
      <c r="AN9" s="366">
        <v>100</v>
      </c>
      <c r="AO9" s="362"/>
    </row>
    <row r="10" spans="1:41" outlineLevel="1">
      <c r="A10" s="283" t="s">
        <v>262</v>
      </c>
      <c r="B10" s="363" t="s">
        <v>263</v>
      </c>
      <c r="C10" s="368">
        <f>C7/'Продукция и цена '!$C$4</f>
        <v>1.4285714285714286E-3</v>
      </c>
      <c r="D10" s="368">
        <f>D7/'Продукция и цена '!$C$4</f>
        <v>1.4285714285714286E-3</v>
      </c>
      <c r="E10" s="368">
        <f>E7/'Продукция и цена '!$C$4</f>
        <v>1.4285714285714286E-3</v>
      </c>
      <c r="F10" s="368">
        <f>F7/'Продукция и цена '!$C$4</f>
        <v>1.4285714285714286E-3</v>
      </c>
      <c r="G10" s="368">
        <f>G7/'Продукция и цена '!$C$4</f>
        <v>1.4285714285714286E-3</v>
      </c>
      <c r="H10" s="368">
        <f>H7/'Продукция и цена '!$C$4</f>
        <v>1.4285714285714286E-3</v>
      </c>
      <c r="I10" s="368">
        <f>I7/'Продукция и цена '!$C$4</f>
        <v>1.4285714285714286E-3</v>
      </c>
      <c r="J10" s="368">
        <f>J7/'Продукция и цена '!$C$4</f>
        <v>1.4285714285714286E-3</v>
      </c>
      <c r="K10" s="368">
        <f>K7/'Продукция и цена '!$C$4</f>
        <v>1.4285714285714286E-3</v>
      </c>
      <c r="L10" s="368">
        <f>L7/'Продукция и цена '!$C$4</f>
        <v>1.4285714285714286E-3</v>
      </c>
      <c r="M10" s="368">
        <f>M7/'Продукция и цена '!$C$4</f>
        <v>1.4285714285714286E-3</v>
      </c>
      <c r="N10" s="368">
        <f>N7/'Продукция и цена '!$C$4</f>
        <v>1.4285714285714286E-3</v>
      </c>
      <c r="O10" s="359">
        <f>SUM(C10:N10)/12</f>
        <v>1.4285714285714286E-3</v>
      </c>
      <c r="P10" s="369">
        <f>P7/'Продукция и цена '!$D$4</f>
        <v>1.8633540372670807E-3</v>
      </c>
      <c r="Q10" s="368">
        <f>Q7/'Продукция и цена '!$D$4</f>
        <v>1.8633540372670807E-3</v>
      </c>
      <c r="R10" s="368">
        <f>R7/'Продукция и цена '!$D$4</f>
        <v>1.8633540372670807E-3</v>
      </c>
      <c r="S10" s="368">
        <f>S7/'Продукция и цена '!$D$4</f>
        <v>1.8633540372670807E-3</v>
      </c>
      <c r="T10" s="368">
        <f>T7/'Продукция и цена '!$D$4</f>
        <v>1.8633540372670807E-3</v>
      </c>
      <c r="U10" s="368">
        <f>U7/'Продукция и цена '!$D$4</f>
        <v>1.8633540372670807E-3</v>
      </c>
      <c r="V10" s="368">
        <f>V7/'Продукция и цена '!$D$4</f>
        <v>1.8633540372670807E-3</v>
      </c>
      <c r="W10" s="368">
        <f>W7/'Продукция и цена '!$D$4</f>
        <v>1.8633540372670807E-3</v>
      </c>
      <c r="X10" s="368">
        <f>X7/'Продукция и цена '!$D$4</f>
        <v>1.8633540372670807E-3</v>
      </c>
      <c r="Y10" s="368">
        <f>Y7/'Продукция и цена '!$D$4</f>
        <v>1.8633540372670807E-3</v>
      </c>
      <c r="Z10" s="368">
        <f>Z7/'Продукция и цена '!$D$4</f>
        <v>1.8633540372670807E-3</v>
      </c>
      <c r="AA10" s="368">
        <f>AA7/'Продукция и цена '!$D$4</f>
        <v>1.8633540372670807E-3</v>
      </c>
      <c r="AB10" s="359">
        <f>SUM(P10:AA10)/12</f>
        <v>1.8633540372670805E-3</v>
      </c>
      <c r="AC10" s="370">
        <f>AC7/'Продукция и цена '!$E$4</f>
        <v>2.1604104779908181E-3</v>
      </c>
      <c r="AD10" s="368">
        <f>AD7/'Продукция и цена '!$E$4</f>
        <v>2.1604104779908181E-3</v>
      </c>
      <c r="AE10" s="368">
        <f>AE7/'Продукция и цена '!$E$4</f>
        <v>2.1604104779908181E-3</v>
      </c>
      <c r="AF10" s="368">
        <f>AF7/'Продукция и цена '!$E$4</f>
        <v>2.1604104779908181E-3</v>
      </c>
      <c r="AG10" s="368">
        <f>AG7/'Продукция и цена '!$E$4</f>
        <v>2.1604104779908181E-3</v>
      </c>
      <c r="AH10" s="368">
        <f>AH7/'Продукция и цена '!$E$4</f>
        <v>2.1604104779908181E-3</v>
      </c>
      <c r="AI10" s="368">
        <f>AI7/'Продукция и цена '!$E$4</f>
        <v>2.1604104779908181E-3</v>
      </c>
      <c r="AJ10" s="368">
        <f>AJ7/'Продукция и цена '!$E$4</f>
        <v>2.1604104779908181E-3</v>
      </c>
      <c r="AK10" s="368">
        <f>AK7/'Продукция и цена '!$E$4</f>
        <v>2.1604104779908181E-3</v>
      </c>
      <c r="AL10" s="368">
        <f>AL7/'Продукция и цена '!$E$4</f>
        <v>2.1604104779908181E-3</v>
      </c>
      <c r="AM10" s="368">
        <f>AM7/'Продукция и цена '!$E$4</f>
        <v>2.1604104779908181E-3</v>
      </c>
      <c r="AN10" s="368">
        <f>AN7/'Продукция и цена '!$E$4</f>
        <v>2.1604104779908181E-3</v>
      </c>
      <c r="AO10" s="362">
        <f>SUM(AC10:AN10)/12</f>
        <v>2.1604104779908181E-3</v>
      </c>
    </row>
    <row r="11" spans="1:41" outlineLevel="1">
      <c r="A11" s="371" t="s">
        <v>264</v>
      </c>
      <c r="B11" s="372" t="s">
        <v>265</v>
      </c>
      <c r="C11" s="373">
        <f>'Продукция и цена '!$C$4</f>
        <v>35000</v>
      </c>
      <c r="D11" s="373">
        <f>C11</f>
        <v>35000</v>
      </c>
      <c r="E11" s="373">
        <f t="shared" ref="E11:N11" si="3">D11</f>
        <v>35000</v>
      </c>
      <c r="F11" s="373">
        <f t="shared" si="3"/>
        <v>35000</v>
      </c>
      <c r="G11" s="373">
        <f t="shared" si="3"/>
        <v>35000</v>
      </c>
      <c r="H11" s="373">
        <f t="shared" si="3"/>
        <v>35000</v>
      </c>
      <c r="I11" s="373">
        <f t="shared" si="3"/>
        <v>35000</v>
      </c>
      <c r="J11" s="373">
        <f t="shared" si="3"/>
        <v>35000</v>
      </c>
      <c r="K11" s="373">
        <f t="shared" si="3"/>
        <v>35000</v>
      </c>
      <c r="L11" s="373">
        <f t="shared" si="3"/>
        <v>35000</v>
      </c>
      <c r="M11" s="373">
        <f t="shared" si="3"/>
        <v>35000</v>
      </c>
      <c r="N11" s="373">
        <f t="shared" si="3"/>
        <v>35000</v>
      </c>
      <c r="O11" s="374">
        <f>SUM(C11:N11)/12</f>
        <v>35000</v>
      </c>
      <c r="P11" s="375">
        <f>'Продукция и цена '!$D$4</f>
        <v>40250</v>
      </c>
      <c r="Q11" s="373">
        <f>P11</f>
        <v>40250</v>
      </c>
      <c r="R11" s="373">
        <f t="shared" ref="R11:AA11" si="4">Q11</f>
        <v>40250</v>
      </c>
      <c r="S11" s="373">
        <f t="shared" si="4"/>
        <v>40250</v>
      </c>
      <c r="T11" s="373">
        <f t="shared" si="4"/>
        <v>40250</v>
      </c>
      <c r="U11" s="373">
        <f t="shared" si="4"/>
        <v>40250</v>
      </c>
      <c r="V11" s="373">
        <f t="shared" si="4"/>
        <v>40250</v>
      </c>
      <c r="W11" s="373">
        <f t="shared" si="4"/>
        <v>40250</v>
      </c>
      <c r="X11" s="373">
        <f t="shared" si="4"/>
        <v>40250</v>
      </c>
      <c r="Y11" s="373">
        <f t="shared" si="4"/>
        <v>40250</v>
      </c>
      <c r="Z11" s="373">
        <f t="shared" si="4"/>
        <v>40250</v>
      </c>
      <c r="AA11" s="373">
        <f t="shared" si="4"/>
        <v>40250</v>
      </c>
      <c r="AB11" s="374">
        <f>SUM(P11:AA11)/12</f>
        <v>40250</v>
      </c>
      <c r="AC11" s="376">
        <f>'Продукция и цена '!$E$4</f>
        <v>46287.5</v>
      </c>
      <c r="AD11" s="373">
        <f>AC11</f>
        <v>46287.5</v>
      </c>
      <c r="AE11" s="373">
        <f t="shared" ref="AE11:AN11" si="5">AD11</f>
        <v>46287.5</v>
      </c>
      <c r="AF11" s="373">
        <f t="shared" si="5"/>
        <v>46287.5</v>
      </c>
      <c r="AG11" s="373">
        <f t="shared" si="5"/>
        <v>46287.5</v>
      </c>
      <c r="AH11" s="373">
        <f t="shared" si="5"/>
        <v>46287.5</v>
      </c>
      <c r="AI11" s="373">
        <f t="shared" si="5"/>
        <v>46287.5</v>
      </c>
      <c r="AJ11" s="373">
        <f t="shared" si="5"/>
        <v>46287.5</v>
      </c>
      <c r="AK11" s="373">
        <f t="shared" si="5"/>
        <v>46287.5</v>
      </c>
      <c r="AL11" s="373">
        <f t="shared" si="5"/>
        <v>46287.5</v>
      </c>
      <c r="AM11" s="373">
        <f t="shared" si="5"/>
        <v>46287.5</v>
      </c>
      <c r="AN11" s="373">
        <f t="shared" si="5"/>
        <v>46287.5</v>
      </c>
      <c r="AO11" s="377">
        <f>SUM(AC11:AN11)/12</f>
        <v>46287.5</v>
      </c>
    </row>
    <row r="12" spans="1:41" s="346" customFormat="1" ht="14.25" outlineLevel="1">
      <c r="A12" s="378" t="s">
        <v>144</v>
      </c>
      <c r="B12" s="357" t="str">
        <f>Персонал!A37</f>
        <v>Программист (Backend)</v>
      </c>
      <c r="C12" s="358">
        <f t="shared" ref="C12:N12" si="6">C13*C14</f>
        <v>50</v>
      </c>
      <c r="D12" s="358">
        <f t="shared" si="6"/>
        <v>50</v>
      </c>
      <c r="E12" s="358">
        <f t="shared" si="6"/>
        <v>50</v>
      </c>
      <c r="F12" s="358">
        <f t="shared" si="6"/>
        <v>50</v>
      </c>
      <c r="G12" s="358">
        <f t="shared" si="6"/>
        <v>50</v>
      </c>
      <c r="H12" s="358">
        <f t="shared" si="6"/>
        <v>50</v>
      </c>
      <c r="I12" s="358">
        <f t="shared" si="6"/>
        <v>50</v>
      </c>
      <c r="J12" s="358">
        <f t="shared" si="6"/>
        <v>50</v>
      </c>
      <c r="K12" s="358">
        <f t="shared" si="6"/>
        <v>50</v>
      </c>
      <c r="L12" s="358">
        <f t="shared" si="6"/>
        <v>50</v>
      </c>
      <c r="M12" s="358">
        <f t="shared" si="6"/>
        <v>50</v>
      </c>
      <c r="N12" s="358">
        <f t="shared" si="6"/>
        <v>50</v>
      </c>
      <c r="O12" s="352">
        <f>SUM(C12:N12)</f>
        <v>600</v>
      </c>
      <c r="P12" s="379">
        <f t="shared" ref="P12:AA12" si="7">P13*P14</f>
        <v>75</v>
      </c>
      <c r="Q12" s="380">
        <f t="shared" si="7"/>
        <v>75</v>
      </c>
      <c r="R12" s="380">
        <f t="shared" si="7"/>
        <v>75</v>
      </c>
      <c r="S12" s="380">
        <f t="shared" si="7"/>
        <v>75</v>
      </c>
      <c r="T12" s="380">
        <f t="shared" si="7"/>
        <v>75</v>
      </c>
      <c r="U12" s="380">
        <f t="shared" si="7"/>
        <v>75</v>
      </c>
      <c r="V12" s="380">
        <f t="shared" si="7"/>
        <v>75</v>
      </c>
      <c r="W12" s="380">
        <f t="shared" si="7"/>
        <v>75</v>
      </c>
      <c r="X12" s="380">
        <f t="shared" si="7"/>
        <v>75</v>
      </c>
      <c r="Y12" s="380">
        <f t="shared" si="7"/>
        <v>75</v>
      </c>
      <c r="Z12" s="380">
        <f t="shared" si="7"/>
        <v>75</v>
      </c>
      <c r="AA12" s="380">
        <f t="shared" si="7"/>
        <v>75</v>
      </c>
      <c r="AB12" s="352">
        <f>SUM(P12:AA12)</f>
        <v>900</v>
      </c>
      <c r="AC12" s="379">
        <f t="shared" ref="AC12:AN12" si="8">AC13*AC14</f>
        <v>100</v>
      </c>
      <c r="AD12" s="380">
        <f t="shared" si="8"/>
        <v>100</v>
      </c>
      <c r="AE12" s="380">
        <f t="shared" si="8"/>
        <v>100</v>
      </c>
      <c r="AF12" s="380">
        <f t="shared" si="8"/>
        <v>100</v>
      </c>
      <c r="AG12" s="380">
        <f t="shared" si="8"/>
        <v>100</v>
      </c>
      <c r="AH12" s="380">
        <f t="shared" si="8"/>
        <v>100</v>
      </c>
      <c r="AI12" s="380">
        <f t="shared" si="8"/>
        <v>100</v>
      </c>
      <c r="AJ12" s="380">
        <f t="shared" si="8"/>
        <v>100</v>
      </c>
      <c r="AK12" s="380">
        <f t="shared" si="8"/>
        <v>100</v>
      </c>
      <c r="AL12" s="380">
        <f t="shared" si="8"/>
        <v>100</v>
      </c>
      <c r="AM12" s="380">
        <f t="shared" si="8"/>
        <v>100</v>
      </c>
      <c r="AN12" s="380">
        <f t="shared" si="8"/>
        <v>100</v>
      </c>
      <c r="AO12" s="354">
        <f>SUM(AC12:AN12)</f>
        <v>1200</v>
      </c>
    </row>
    <row r="13" spans="1:41" ht="30" outlineLevel="1">
      <c r="A13" s="283" t="s">
        <v>266</v>
      </c>
      <c r="B13" s="363" t="s">
        <v>259</v>
      </c>
      <c r="C13" s="364">
        <v>1</v>
      </c>
      <c r="D13" s="364">
        <v>1</v>
      </c>
      <c r="E13" s="364">
        <v>1</v>
      </c>
      <c r="F13" s="364">
        <v>1</v>
      </c>
      <c r="G13" s="364">
        <v>1</v>
      </c>
      <c r="H13" s="364">
        <v>1</v>
      </c>
      <c r="I13" s="364">
        <v>1</v>
      </c>
      <c r="J13" s="364">
        <v>1</v>
      </c>
      <c r="K13" s="364">
        <v>1</v>
      </c>
      <c r="L13" s="364">
        <v>1</v>
      </c>
      <c r="M13" s="364">
        <v>1</v>
      </c>
      <c r="N13" s="364">
        <v>1</v>
      </c>
      <c r="O13" s="359"/>
      <c r="P13" s="366">
        <v>1</v>
      </c>
      <c r="Q13" s="366">
        <v>1</v>
      </c>
      <c r="R13" s="366">
        <v>1</v>
      </c>
      <c r="S13" s="366">
        <v>1</v>
      </c>
      <c r="T13" s="366">
        <v>1</v>
      </c>
      <c r="U13" s="366">
        <v>1</v>
      </c>
      <c r="V13" s="366">
        <v>1</v>
      </c>
      <c r="W13" s="366">
        <v>1</v>
      </c>
      <c r="X13" s="366">
        <v>1</v>
      </c>
      <c r="Y13" s="366">
        <v>1</v>
      </c>
      <c r="Z13" s="366">
        <v>1</v>
      </c>
      <c r="AA13" s="366">
        <v>1</v>
      </c>
      <c r="AB13" s="359"/>
      <c r="AC13" s="366">
        <v>1</v>
      </c>
      <c r="AD13" s="364">
        <v>1</v>
      </c>
      <c r="AE13" s="364">
        <v>1</v>
      </c>
      <c r="AF13" s="364">
        <v>1</v>
      </c>
      <c r="AG13" s="364">
        <v>1</v>
      </c>
      <c r="AH13" s="364">
        <v>1</v>
      </c>
      <c r="AI13" s="364">
        <v>1</v>
      </c>
      <c r="AJ13" s="364">
        <v>1</v>
      </c>
      <c r="AK13" s="364">
        <v>1</v>
      </c>
      <c r="AL13" s="364">
        <v>1</v>
      </c>
      <c r="AM13" s="364">
        <v>1</v>
      </c>
      <c r="AN13" s="364">
        <v>1</v>
      </c>
      <c r="AO13" s="362"/>
    </row>
    <row r="14" spans="1:41" outlineLevel="1">
      <c r="A14" s="283" t="s">
        <v>267</v>
      </c>
      <c r="B14" s="367" t="s">
        <v>261</v>
      </c>
      <c r="C14" s="364">
        <v>50</v>
      </c>
      <c r="D14" s="364">
        <v>50</v>
      </c>
      <c r="E14" s="364">
        <v>50</v>
      </c>
      <c r="F14" s="364">
        <v>50</v>
      </c>
      <c r="G14" s="364">
        <v>50</v>
      </c>
      <c r="H14" s="364">
        <v>50</v>
      </c>
      <c r="I14" s="364">
        <v>50</v>
      </c>
      <c r="J14" s="364">
        <v>50</v>
      </c>
      <c r="K14" s="364">
        <v>50</v>
      </c>
      <c r="L14" s="364">
        <v>50</v>
      </c>
      <c r="M14" s="364">
        <v>50</v>
      </c>
      <c r="N14" s="364">
        <v>50</v>
      </c>
      <c r="O14" s="359"/>
      <c r="P14" s="366">
        <v>75</v>
      </c>
      <c r="Q14" s="366">
        <v>75</v>
      </c>
      <c r="R14" s="366">
        <v>75</v>
      </c>
      <c r="S14" s="366">
        <v>75</v>
      </c>
      <c r="T14" s="366">
        <v>75</v>
      </c>
      <c r="U14" s="366">
        <v>75</v>
      </c>
      <c r="V14" s="366">
        <v>75</v>
      </c>
      <c r="W14" s="366">
        <v>75</v>
      </c>
      <c r="X14" s="366">
        <v>75</v>
      </c>
      <c r="Y14" s="366">
        <v>75</v>
      </c>
      <c r="Z14" s="366">
        <v>75</v>
      </c>
      <c r="AA14" s="366">
        <v>75</v>
      </c>
      <c r="AB14" s="359"/>
      <c r="AC14" s="366">
        <v>100</v>
      </c>
      <c r="AD14" s="366">
        <v>100</v>
      </c>
      <c r="AE14" s="366">
        <v>100</v>
      </c>
      <c r="AF14" s="366">
        <v>100</v>
      </c>
      <c r="AG14" s="366">
        <v>100</v>
      </c>
      <c r="AH14" s="366">
        <v>100</v>
      </c>
      <c r="AI14" s="366">
        <v>100</v>
      </c>
      <c r="AJ14" s="366">
        <v>100</v>
      </c>
      <c r="AK14" s="366">
        <v>100</v>
      </c>
      <c r="AL14" s="366">
        <v>100</v>
      </c>
      <c r="AM14" s="366">
        <v>100</v>
      </c>
      <c r="AN14" s="364">
        <v>100</v>
      </c>
      <c r="AO14" s="362"/>
    </row>
    <row r="15" spans="1:41" outlineLevel="1">
      <c r="A15" s="283" t="s">
        <v>268</v>
      </c>
      <c r="B15" s="363" t="s">
        <v>263</v>
      </c>
      <c r="C15" s="368">
        <f>C12/'Продукция и цена '!$C$4</f>
        <v>1.4285714285714286E-3</v>
      </c>
      <c r="D15" s="368">
        <f>D12/'Продукция и цена '!$C$4</f>
        <v>1.4285714285714286E-3</v>
      </c>
      <c r="E15" s="368">
        <f>E12/'Продукция и цена '!$C$4</f>
        <v>1.4285714285714286E-3</v>
      </c>
      <c r="F15" s="368">
        <f>F12/'Продукция и цена '!$C$4</f>
        <v>1.4285714285714286E-3</v>
      </c>
      <c r="G15" s="368">
        <f>G12/'Продукция и цена '!$C$4</f>
        <v>1.4285714285714286E-3</v>
      </c>
      <c r="H15" s="368">
        <f>H12/'Продукция и цена '!$C$4</f>
        <v>1.4285714285714286E-3</v>
      </c>
      <c r="I15" s="368">
        <f>I12/'Продукция и цена '!$C$4</f>
        <v>1.4285714285714286E-3</v>
      </c>
      <c r="J15" s="368">
        <f>J12/'Продукция и цена '!$C$4</f>
        <v>1.4285714285714286E-3</v>
      </c>
      <c r="K15" s="368">
        <f>K12/'Продукция и цена '!$C$4</f>
        <v>1.4285714285714286E-3</v>
      </c>
      <c r="L15" s="368">
        <f>L12/'Продукция и цена '!$C$4</f>
        <v>1.4285714285714286E-3</v>
      </c>
      <c r="M15" s="368">
        <f>M12/'Продукция и цена '!$C$4</f>
        <v>1.4285714285714286E-3</v>
      </c>
      <c r="N15" s="368">
        <f>N12/'Продукция и цена '!$C$4</f>
        <v>1.4285714285714286E-3</v>
      </c>
      <c r="O15" s="359">
        <f>SUM(C15:N15)/12</f>
        <v>1.4285714285714286E-3</v>
      </c>
      <c r="P15" s="370">
        <f>P12/'Продукция и цена '!$D$4</f>
        <v>1.8633540372670807E-3</v>
      </c>
      <c r="Q15" s="368">
        <f>Q12/'Продукция и цена '!$D$4</f>
        <v>1.8633540372670807E-3</v>
      </c>
      <c r="R15" s="368">
        <f>R12/'Продукция и цена '!$D$4</f>
        <v>1.8633540372670807E-3</v>
      </c>
      <c r="S15" s="368">
        <f>S12/'Продукция и цена '!$D$4</f>
        <v>1.8633540372670807E-3</v>
      </c>
      <c r="T15" s="368">
        <f>T12/'Продукция и цена '!$D$4</f>
        <v>1.8633540372670807E-3</v>
      </c>
      <c r="U15" s="368">
        <f>U12/'Продукция и цена '!$D$4</f>
        <v>1.8633540372670807E-3</v>
      </c>
      <c r="V15" s="368">
        <f>V12/'Продукция и цена '!$D$4</f>
        <v>1.8633540372670807E-3</v>
      </c>
      <c r="W15" s="368">
        <f>W12/'Продукция и цена '!$D$4</f>
        <v>1.8633540372670807E-3</v>
      </c>
      <c r="X15" s="368">
        <f>X12/'Продукция и цена '!$D$4</f>
        <v>1.8633540372670807E-3</v>
      </c>
      <c r="Y15" s="368">
        <f>Y12/'Продукция и цена '!$D$4</f>
        <v>1.8633540372670807E-3</v>
      </c>
      <c r="Z15" s="368">
        <f>Z12/'Продукция и цена '!$D$4</f>
        <v>1.8633540372670807E-3</v>
      </c>
      <c r="AA15" s="368">
        <f>AA12/'Продукция и цена '!$D$4</f>
        <v>1.8633540372670807E-3</v>
      </c>
      <c r="AB15" s="359">
        <f>SUM(P15:AA15)/12</f>
        <v>1.8633540372670805E-3</v>
      </c>
      <c r="AC15" s="370">
        <f>AC12/'Продукция и цена '!$E$4</f>
        <v>2.1604104779908181E-3</v>
      </c>
      <c r="AD15" s="368">
        <f>AD12/'Продукция и цена '!$E$4</f>
        <v>2.1604104779908181E-3</v>
      </c>
      <c r="AE15" s="368">
        <f>AE12/'Продукция и цена '!$E$4</f>
        <v>2.1604104779908181E-3</v>
      </c>
      <c r="AF15" s="368">
        <f>AF12/'Продукция и цена '!$E$4</f>
        <v>2.1604104779908181E-3</v>
      </c>
      <c r="AG15" s="368">
        <f>AG12/'Продукция и цена '!$E$4</f>
        <v>2.1604104779908181E-3</v>
      </c>
      <c r="AH15" s="368">
        <f>AH12/'Продукция и цена '!$E$4</f>
        <v>2.1604104779908181E-3</v>
      </c>
      <c r="AI15" s="368">
        <f>AI12/'Продукция и цена '!$E$4</f>
        <v>2.1604104779908181E-3</v>
      </c>
      <c r="AJ15" s="368">
        <f>AJ12/'Продукция и цена '!$E$4</f>
        <v>2.1604104779908181E-3</v>
      </c>
      <c r="AK15" s="368">
        <f>AK12/'Продукция и цена '!$E$4</f>
        <v>2.1604104779908181E-3</v>
      </c>
      <c r="AL15" s="368">
        <f>AL12/'Продукция и цена '!$E$4</f>
        <v>2.1604104779908181E-3</v>
      </c>
      <c r="AM15" s="368">
        <f>AM12/'Продукция и цена '!$E$4</f>
        <v>2.1604104779908181E-3</v>
      </c>
      <c r="AN15" s="368">
        <f>AN12/'Продукция и цена '!$E$4</f>
        <v>2.1604104779908181E-3</v>
      </c>
      <c r="AO15" s="362">
        <f>SUM(AC15:AN15)/12</f>
        <v>2.1604104779908181E-3</v>
      </c>
    </row>
    <row r="16" spans="1:41" outlineLevel="1">
      <c r="A16" s="371" t="s">
        <v>269</v>
      </c>
      <c r="B16" s="372" t="s">
        <v>265</v>
      </c>
      <c r="C16" s="373">
        <f>'Продукция и цена '!$C$4</f>
        <v>35000</v>
      </c>
      <c r="D16" s="373">
        <f>C16</f>
        <v>35000</v>
      </c>
      <c r="E16" s="373">
        <f t="shared" ref="E16:N16" si="9">D16</f>
        <v>35000</v>
      </c>
      <c r="F16" s="373">
        <f t="shared" si="9"/>
        <v>35000</v>
      </c>
      <c r="G16" s="373">
        <f t="shared" si="9"/>
        <v>35000</v>
      </c>
      <c r="H16" s="373">
        <f t="shared" si="9"/>
        <v>35000</v>
      </c>
      <c r="I16" s="373">
        <f t="shared" si="9"/>
        <v>35000</v>
      </c>
      <c r="J16" s="373">
        <f t="shared" si="9"/>
        <v>35000</v>
      </c>
      <c r="K16" s="373">
        <f t="shared" si="9"/>
        <v>35000</v>
      </c>
      <c r="L16" s="373">
        <f t="shared" si="9"/>
        <v>35000</v>
      </c>
      <c r="M16" s="373">
        <f t="shared" si="9"/>
        <v>35000</v>
      </c>
      <c r="N16" s="373">
        <f t="shared" si="9"/>
        <v>35000</v>
      </c>
      <c r="O16" s="374">
        <f>SUM(C16:N16)/12</f>
        <v>35000</v>
      </c>
      <c r="P16" s="376">
        <f>'Продукция и цена '!$D$4</f>
        <v>40250</v>
      </c>
      <c r="Q16" s="373">
        <f>P16</f>
        <v>40250</v>
      </c>
      <c r="R16" s="373">
        <f t="shared" ref="R16:AA16" si="10">Q16</f>
        <v>40250</v>
      </c>
      <c r="S16" s="373">
        <f t="shared" si="10"/>
        <v>40250</v>
      </c>
      <c r="T16" s="373">
        <f t="shared" si="10"/>
        <v>40250</v>
      </c>
      <c r="U16" s="373">
        <f t="shared" si="10"/>
        <v>40250</v>
      </c>
      <c r="V16" s="373">
        <f t="shared" si="10"/>
        <v>40250</v>
      </c>
      <c r="W16" s="373">
        <f t="shared" si="10"/>
        <v>40250</v>
      </c>
      <c r="X16" s="373">
        <f t="shared" si="10"/>
        <v>40250</v>
      </c>
      <c r="Y16" s="373">
        <f t="shared" si="10"/>
        <v>40250</v>
      </c>
      <c r="Z16" s="373">
        <f t="shared" si="10"/>
        <v>40250</v>
      </c>
      <c r="AA16" s="373">
        <f t="shared" si="10"/>
        <v>40250</v>
      </c>
      <c r="AB16" s="374">
        <f>SUM(P16:AA16)/12</f>
        <v>40250</v>
      </c>
      <c r="AC16" s="376">
        <f>'Продукция и цена '!$E$4</f>
        <v>46287.5</v>
      </c>
      <c r="AD16" s="373">
        <f>AC16</f>
        <v>46287.5</v>
      </c>
      <c r="AE16" s="373">
        <f t="shared" ref="AE16:AN16" si="11">AD16</f>
        <v>46287.5</v>
      </c>
      <c r="AF16" s="373">
        <f t="shared" si="11"/>
        <v>46287.5</v>
      </c>
      <c r="AG16" s="373">
        <f t="shared" si="11"/>
        <v>46287.5</v>
      </c>
      <c r="AH16" s="373">
        <f t="shared" si="11"/>
        <v>46287.5</v>
      </c>
      <c r="AI16" s="373">
        <f t="shared" si="11"/>
        <v>46287.5</v>
      </c>
      <c r="AJ16" s="373">
        <f t="shared" si="11"/>
        <v>46287.5</v>
      </c>
      <c r="AK16" s="373">
        <f t="shared" si="11"/>
        <v>46287.5</v>
      </c>
      <c r="AL16" s="373">
        <f t="shared" si="11"/>
        <v>46287.5</v>
      </c>
      <c r="AM16" s="373">
        <f t="shared" si="11"/>
        <v>46287.5</v>
      </c>
      <c r="AN16" s="373">
        <f t="shared" si="11"/>
        <v>46287.5</v>
      </c>
      <c r="AO16" s="377">
        <f>SUM(AC16:AN16)/12</f>
        <v>46287.5</v>
      </c>
    </row>
    <row r="17" spans="1:41" s="346" customFormat="1" ht="14.25" outlineLevel="1">
      <c r="A17" s="378" t="s">
        <v>146</v>
      </c>
      <c r="B17" s="381" t="s">
        <v>249</v>
      </c>
      <c r="C17" s="380">
        <f t="shared" ref="C17:N17" si="12">C18*C19</f>
        <v>0</v>
      </c>
      <c r="D17" s="380">
        <f t="shared" si="12"/>
        <v>0</v>
      </c>
      <c r="E17" s="380">
        <f t="shared" si="12"/>
        <v>0</v>
      </c>
      <c r="F17" s="380">
        <f t="shared" si="12"/>
        <v>0</v>
      </c>
      <c r="G17" s="380">
        <f t="shared" si="12"/>
        <v>0</v>
      </c>
      <c r="H17" s="380">
        <f t="shared" si="12"/>
        <v>0</v>
      </c>
      <c r="I17" s="380">
        <f t="shared" si="12"/>
        <v>0</v>
      </c>
      <c r="J17" s="380">
        <f t="shared" si="12"/>
        <v>0</v>
      </c>
      <c r="K17" s="380">
        <f t="shared" si="12"/>
        <v>0</v>
      </c>
      <c r="L17" s="380">
        <f t="shared" si="12"/>
        <v>0</v>
      </c>
      <c r="M17" s="380">
        <f t="shared" si="12"/>
        <v>0</v>
      </c>
      <c r="N17" s="380">
        <f t="shared" si="12"/>
        <v>0</v>
      </c>
      <c r="O17" s="352">
        <f>SUM(C17:N17)</f>
        <v>0</v>
      </c>
      <c r="P17" s="379">
        <f t="shared" ref="P17:AA17" si="13">P18*P19</f>
        <v>0</v>
      </c>
      <c r="Q17" s="380">
        <f t="shared" si="13"/>
        <v>0</v>
      </c>
      <c r="R17" s="380">
        <f t="shared" si="13"/>
        <v>0</v>
      </c>
      <c r="S17" s="380">
        <f t="shared" si="13"/>
        <v>0</v>
      </c>
      <c r="T17" s="380">
        <f t="shared" si="13"/>
        <v>0</v>
      </c>
      <c r="U17" s="380">
        <f t="shared" si="13"/>
        <v>0</v>
      </c>
      <c r="V17" s="380">
        <f t="shared" si="13"/>
        <v>0</v>
      </c>
      <c r="W17" s="380">
        <f t="shared" si="13"/>
        <v>0</v>
      </c>
      <c r="X17" s="380">
        <f t="shared" si="13"/>
        <v>0</v>
      </c>
      <c r="Y17" s="380">
        <f t="shared" si="13"/>
        <v>0</v>
      </c>
      <c r="Z17" s="380">
        <f t="shared" si="13"/>
        <v>0</v>
      </c>
      <c r="AA17" s="380">
        <f t="shared" si="13"/>
        <v>0</v>
      </c>
      <c r="AB17" s="352">
        <f>SUM(P17:AA17)</f>
        <v>0</v>
      </c>
      <c r="AC17" s="379">
        <f t="shared" ref="AC17:AN17" si="14">AC18*AC19</f>
        <v>0</v>
      </c>
      <c r="AD17" s="380">
        <f t="shared" si="14"/>
        <v>0</v>
      </c>
      <c r="AE17" s="380">
        <f t="shared" si="14"/>
        <v>0</v>
      </c>
      <c r="AF17" s="380">
        <f t="shared" si="14"/>
        <v>0</v>
      </c>
      <c r="AG17" s="380">
        <f t="shared" si="14"/>
        <v>0</v>
      </c>
      <c r="AH17" s="380">
        <f t="shared" si="14"/>
        <v>0</v>
      </c>
      <c r="AI17" s="380">
        <f t="shared" si="14"/>
        <v>0</v>
      </c>
      <c r="AJ17" s="380">
        <f t="shared" si="14"/>
        <v>0</v>
      </c>
      <c r="AK17" s="380">
        <f t="shared" si="14"/>
        <v>0</v>
      </c>
      <c r="AL17" s="380">
        <f t="shared" si="14"/>
        <v>0</v>
      </c>
      <c r="AM17" s="380">
        <f t="shared" si="14"/>
        <v>0</v>
      </c>
      <c r="AN17" s="380">
        <f t="shared" si="14"/>
        <v>0</v>
      </c>
      <c r="AO17" s="354">
        <f>SUM(AC17:AN17)</f>
        <v>0</v>
      </c>
    </row>
    <row r="18" spans="1:41" ht="30" outlineLevel="1">
      <c r="A18" s="283" t="s">
        <v>270</v>
      </c>
      <c r="B18" s="363" t="s">
        <v>259</v>
      </c>
      <c r="C18" s="364"/>
      <c r="D18" s="364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359"/>
      <c r="P18" s="366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59"/>
      <c r="AC18" s="366"/>
      <c r="AD18" s="364"/>
      <c r="AE18" s="364"/>
      <c r="AF18" s="364"/>
      <c r="AG18" s="364"/>
      <c r="AH18" s="364"/>
      <c r="AI18" s="364"/>
      <c r="AJ18" s="364"/>
      <c r="AK18" s="364"/>
      <c r="AL18" s="364"/>
      <c r="AM18" s="364"/>
      <c r="AN18" s="364"/>
      <c r="AO18" s="362"/>
    </row>
    <row r="19" spans="1:41" outlineLevel="1">
      <c r="A19" s="283" t="s">
        <v>271</v>
      </c>
      <c r="B19" s="367" t="s">
        <v>261</v>
      </c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59"/>
      <c r="P19" s="366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364"/>
      <c r="AB19" s="359"/>
      <c r="AC19" s="366"/>
      <c r="AD19" s="364"/>
      <c r="AE19" s="364"/>
      <c r="AF19" s="364"/>
      <c r="AG19" s="364"/>
      <c r="AH19" s="364"/>
      <c r="AI19" s="364"/>
      <c r="AJ19" s="364"/>
      <c r="AK19" s="364"/>
      <c r="AL19" s="364"/>
      <c r="AM19" s="364"/>
      <c r="AN19" s="364"/>
      <c r="AO19" s="362"/>
    </row>
    <row r="20" spans="1:41" outlineLevel="1">
      <c r="A20" s="283" t="s">
        <v>272</v>
      </c>
      <c r="B20" s="363" t="s">
        <v>263</v>
      </c>
      <c r="C20" s="368">
        <f>C17/'Продукция и цена '!$C$4</f>
        <v>0</v>
      </c>
      <c r="D20" s="368">
        <f>D17/'Продукция и цена '!$C$4</f>
        <v>0</v>
      </c>
      <c r="E20" s="368">
        <f>E17/'Продукция и цена '!$C$4</f>
        <v>0</v>
      </c>
      <c r="F20" s="368">
        <f>F17/'Продукция и цена '!$C$4</f>
        <v>0</v>
      </c>
      <c r="G20" s="368">
        <f>G17/'Продукция и цена '!$C$4</f>
        <v>0</v>
      </c>
      <c r="H20" s="368">
        <f>H17/'Продукция и цена '!$C$4</f>
        <v>0</v>
      </c>
      <c r="I20" s="368">
        <f>I17/'Продукция и цена '!$C$4</f>
        <v>0</v>
      </c>
      <c r="J20" s="368">
        <f>J17/'Продукция и цена '!$C$4</f>
        <v>0</v>
      </c>
      <c r="K20" s="368">
        <f>K17/'Продукция и цена '!$C$4</f>
        <v>0</v>
      </c>
      <c r="L20" s="368">
        <f>L17/'Продукция и цена '!$C$4</f>
        <v>0</v>
      </c>
      <c r="M20" s="368">
        <f>M17/'Продукция и цена '!$C$4</f>
        <v>0</v>
      </c>
      <c r="N20" s="368">
        <f>N17/'Продукция и цена '!$C$4</f>
        <v>0</v>
      </c>
      <c r="O20" s="359">
        <f>SUM(C20:N20)/12</f>
        <v>0</v>
      </c>
      <c r="P20" s="370">
        <f>P17/'Продукция и цена '!$D$4</f>
        <v>0</v>
      </c>
      <c r="Q20" s="368">
        <f>Q17/'Продукция и цена '!$D$4</f>
        <v>0</v>
      </c>
      <c r="R20" s="368">
        <f>R17/'Продукция и цена '!$D$4</f>
        <v>0</v>
      </c>
      <c r="S20" s="368">
        <f>S17/'Продукция и цена '!$D$4</f>
        <v>0</v>
      </c>
      <c r="T20" s="368">
        <f>T17/'Продукция и цена '!$D$4</f>
        <v>0</v>
      </c>
      <c r="U20" s="368">
        <f>U17/'Продукция и цена '!$D$4</f>
        <v>0</v>
      </c>
      <c r="V20" s="368">
        <f>V17/'Продукция и цена '!$D$4</f>
        <v>0</v>
      </c>
      <c r="W20" s="368">
        <f>W17/'Продукция и цена '!$D$4</f>
        <v>0</v>
      </c>
      <c r="X20" s="368">
        <f>X17/'Продукция и цена '!$D$4</f>
        <v>0</v>
      </c>
      <c r="Y20" s="368">
        <f>Y17/'Продукция и цена '!$D$4</f>
        <v>0</v>
      </c>
      <c r="Z20" s="368">
        <f>Z17/'Продукция и цена '!$D$4</f>
        <v>0</v>
      </c>
      <c r="AA20" s="368">
        <f>AA17/'Продукция и цена '!$D$4</f>
        <v>0</v>
      </c>
      <c r="AB20" s="359">
        <f>SUM(P20:AA20)/12</f>
        <v>0</v>
      </c>
      <c r="AC20" s="370">
        <f>AC17/'Продукция и цена '!$E$4</f>
        <v>0</v>
      </c>
      <c r="AD20" s="368">
        <f>AD17/'Продукция и цена '!$E$4</f>
        <v>0</v>
      </c>
      <c r="AE20" s="368">
        <f>AE17/'Продукция и цена '!$E$4</f>
        <v>0</v>
      </c>
      <c r="AF20" s="368">
        <f>AF17/'Продукция и цена '!$E$4</f>
        <v>0</v>
      </c>
      <c r="AG20" s="368">
        <f>AG17/'Продукция и цена '!$E$4</f>
        <v>0</v>
      </c>
      <c r="AH20" s="368">
        <f>AH17/'Продукция и цена '!$E$4</f>
        <v>0</v>
      </c>
      <c r="AI20" s="368">
        <f>AI17/'Продукция и цена '!$E$4</f>
        <v>0</v>
      </c>
      <c r="AJ20" s="368">
        <f>AJ17/'Продукция и цена '!$E$4</f>
        <v>0</v>
      </c>
      <c r="AK20" s="368">
        <f>AK17/'Продукция и цена '!$E$4</f>
        <v>0</v>
      </c>
      <c r="AL20" s="368">
        <f>AL17/'Продукция и цена '!$E$4</f>
        <v>0</v>
      </c>
      <c r="AM20" s="368">
        <f>AM17/'Продукция и цена '!$E$4</f>
        <v>0</v>
      </c>
      <c r="AN20" s="368">
        <f>AN17/'Продукция и цена '!$E$4</f>
        <v>0</v>
      </c>
      <c r="AO20" s="362">
        <f>SUM(AC20:AN20)/12</f>
        <v>0</v>
      </c>
    </row>
    <row r="21" spans="1:41" outlineLevel="1">
      <c r="A21" s="371" t="s">
        <v>273</v>
      </c>
      <c r="B21" s="372" t="s">
        <v>265</v>
      </c>
      <c r="C21" s="373">
        <f>'Продукция и цена '!$C$4</f>
        <v>35000</v>
      </c>
      <c r="D21" s="373">
        <f>C21</f>
        <v>35000</v>
      </c>
      <c r="E21" s="373">
        <f t="shared" ref="E21:N21" si="15">D21</f>
        <v>35000</v>
      </c>
      <c r="F21" s="373">
        <f t="shared" si="15"/>
        <v>35000</v>
      </c>
      <c r="G21" s="373">
        <f t="shared" si="15"/>
        <v>35000</v>
      </c>
      <c r="H21" s="373">
        <f t="shared" si="15"/>
        <v>35000</v>
      </c>
      <c r="I21" s="373">
        <f t="shared" si="15"/>
        <v>35000</v>
      </c>
      <c r="J21" s="373">
        <f t="shared" si="15"/>
        <v>35000</v>
      </c>
      <c r="K21" s="373">
        <f t="shared" si="15"/>
        <v>35000</v>
      </c>
      <c r="L21" s="373">
        <f t="shared" si="15"/>
        <v>35000</v>
      </c>
      <c r="M21" s="373">
        <f t="shared" si="15"/>
        <v>35000</v>
      </c>
      <c r="N21" s="373">
        <f t="shared" si="15"/>
        <v>35000</v>
      </c>
      <c r="O21" s="374">
        <f>SUM(C21:N21)/12</f>
        <v>35000</v>
      </c>
      <c r="P21" s="376">
        <f>'Продукция и цена '!$D$4</f>
        <v>40250</v>
      </c>
      <c r="Q21" s="373">
        <f>P21</f>
        <v>40250</v>
      </c>
      <c r="R21" s="373">
        <f t="shared" ref="R21:AA21" si="16">Q21</f>
        <v>40250</v>
      </c>
      <c r="S21" s="373">
        <f t="shared" si="16"/>
        <v>40250</v>
      </c>
      <c r="T21" s="373">
        <f t="shared" si="16"/>
        <v>40250</v>
      </c>
      <c r="U21" s="373">
        <f t="shared" si="16"/>
        <v>40250</v>
      </c>
      <c r="V21" s="373">
        <f t="shared" si="16"/>
        <v>40250</v>
      </c>
      <c r="W21" s="373">
        <f t="shared" si="16"/>
        <v>40250</v>
      </c>
      <c r="X21" s="373">
        <f t="shared" si="16"/>
        <v>40250</v>
      </c>
      <c r="Y21" s="373">
        <f t="shared" si="16"/>
        <v>40250</v>
      </c>
      <c r="Z21" s="373">
        <f t="shared" si="16"/>
        <v>40250</v>
      </c>
      <c r="AA21" s="373">
        <f t="shared" si="16"/>
        <v>40250</v>
      </c>
      <c r="AB21" s="374">
        <f>SUM(P21:AA21)/12</f>
        <v>40250</v>
      </c>
      <c r="AC21" s="376">
        <f>'Продукция и цена '!$E$4</f>
        <v>46287.5</v>
      </c>
      <c r="AD21" s="373">
        <f>AC21</f>
        <v>46287.5</v>
      </c>
      <c r="AE21" s="373">
        <f t="shared" ref="AE21:AN21" si="17">AD21</f>
        <v>46287.5</v>
      </c>
      <c r="AF21" s="373">
        <f t="shared" si="17"/>
        <v>46287.5</v>
      </c>
      <c r="AG21" s="373">
        <f t="shared" si="17"/>
        <v>46287.5</v>
      </c>
      <c r="AH21" s="373">
        <f t="shared" si="17"/>
        <v>46287.5</v>
      </c>
      <c r="AI21" s="373">
        <f t="shared" si="17"/>
        <v>46287.5</v>
      </c>
      <c r="AJ21" s="373">
        <f t="shared" si="17"/>
        <v>46287.5</v>
      </c>
      <c r="AK21" s="373">
        <f t="shared" si="17"/>
        <v>46287.5</v>
      </c>
      <c r="AL21" s="373">
        <f t="shared" si="17"/>
        <v>46287.5</v>
      </c>
      <c r="AM21" s="373">
        <f t="shared" si="17"/>
        <v>46287.5</v>
      </c>
      <c r="AN21" s="373">
        <f t="shared" si="17"/>
        <v>46287.5</v>
      </c>
      <c r="AO21" s="377">
        <f>SUM(AC21:AN21)/12</f>
        <v>46287.5</v>
      </c>
    </row>
    <row r="22" spans="1:41" s="346" customFormat="1" ht="14.25" outlineLevel="1">
      <c r="A22" s="378" t="s">
        <v>148</v>
      </c>
      <c r="B22" s="381" t="s">
        <v>250</v>
      </c>
      <c r="C22" s="380">
        <f t="shared" ref="C22:N22" si="18">C23*C24</f>
        <v>0</v>
      </c>
      <c r="D22" s="380">
        <f t="shared" si="18"/>
        <v>0</v>
      </c>
      <c r="E22" s="380">
        <f t="shared" si="18"/>
        <v>0</v>
      </c>
      <c r="F22" s="380">
        <f t="shared" si="18"/>
        <v>0</v>
      </c>
      <c r="G22" s="380">
        <f t="shared" si="18"/>
        <v>0</v>
      </c>
      <c r="H22" s="380">
        <f t="shared" si="18"/>
        <v>0</v>
      </c>
      <c r="I22" s="380">
        <f t="shared" si="18"/>
        <v>0</v>
      </c>
      <c r="J22" s="380">
        <f t="shared" si="18"/>
        <v>0</v>
      </c>
      <c r="K22" s="380">
        <f t="shared" si="18"/>
        <v>0</v>
      </c>
      <c r="L22" s="380">
        <f t="shared" si="18"/>
        <v>0</v>
      </c>
      <c r="M22" s="380">
        <f t="shared" si="18"/>
        <v>0</v>
      </c>
      <c r="N22" s="380">
        <f t="shared" si="18"/>
        <v>0</v>
      </c>
      <c r="O22" s="352">
        <f>SUM(C22:N22)</f>
        <v>0</v>
      </c>
      <c r="P22" s="379">
        <f t="shared" ref="P22:AA22" si="19">P23*P24</f>
        <v>0</v>
      </c>
      <c r="Q22" s="380">
        <f t="shared" si="19"/>
        <v>0</v>
      </c>
      <c r="R22" s="380">
        <f t="shared" si="19"/>
        <v>0</v>
      </c>
      <c r="S22" s="380">
        <f t="shared" si="19"/>
        <v>0</v>
      </c>
      <c r="T22" s="380">
        <f t="shared" si="19"/>
        <v>0</v>
      </c>
      <c r="U22" s="380">
        <f t="shared" si="19"/>
        <v>0</v>
      </c>
      <c r="V22" s="380">
        <f t="shared" si="19"/>
        <v>0</v>
      </c>
      <c r="W22" s="380">
        <f t="shared" si="19"/>
        <v>0</v>
      </c>
      <c r="X22" s="380">
        <f t="shared" si="19"/>
        <v>0</v>
      </c>
      <c r="Y22" s="380">
        <f t="shared" si="19"/>
        <v>0</v>
      </c>
      <c r="Z22" s="380">
        <f t="shared" si="19"/>
        <v>0</v>
      </c>
      <c r="AA22" s="380">
        <f t="shared" si="19"/>
        <v>0</v>
      </c>
      <c r="AB22" s="352">
        <f>SUM(P22:AA22)</f>
        <v>0</v>
      </c>
      <c r="AC22" s="379">
        <f t="shared" ref="AC22:AN22" si="20">AC23*AC24</f>
        <v>0</v>
      </c>
      <c r="AD22" s="380">
        <f t="shared" si="20"/>
        <v>0</v>
      </c>
      <c r="AE22" s="380">
        <f t="shared" si="20"/>
        <v>0</v>
      </c>
      <c r="AF22" s="380">
        <f t="shared" si="20"/>
        <v>0</v>
      </c>
      <c r="AG22" s="380">
        <f t="shared" si="20"/>
        <v>0</v>
      </c>
      <c r="AH22" s="380">
        <f t="shared" si="20"/>
        <v>0</v>
      </c>
      <c r="AI22" s="380">
        <f t="shared" si="20"/>
        <v>0</v>
      </c>
      <c r="AJ22" s="380">
        <f t="shared" si="20"/>
        <v>0</v>
      </c>
      <c r="AK22" s="380">
        <f t="shared" si="20"/>
        <v>0</v>
      </c>
      <c r="AL22" s="380">
        <f t="shared" si="20"/>
        <v>0</v>
      </c>
      <c r="AM22" s="380">
        <f t="shared" si="20"/>
        <v>0</v>
      </c>
      <c r="AN22" s="380">
        <f t="shared" si="20"/>
        <v>0</v>
      </c>
      <c r="AO22" s="354">
        <f>SUM(AC22:AN22)</f>
        <v>0</v>
      </c>
    </row>
    <row r="23" spans="1:41" ht="30" outlineLevel="1">
      <c r="A23" s="283" t="s">
        <v>274</v>
      </c>
      <c r="B23" s="363" t="s">
        <v>259</v>
      </c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59"/>
      <c r="P23" s="366"/>
      <c r="Q23" s="364"/>
      <c r="R23" s="364"/>
      <c r="S23" s="364"/>
      <c r="T23" s="364"/>
      <c r="U23" s="364"/>
      <c r="V23" s="364"/>
      <c r="W23" s="364"/>
      <c r="X23" s="364"/>
      <c r="Y23" s="364"/>
      <c r="Z23" s="364"/>
      <c r="AA23" s="364"/>
      <c r="AB23" s="359"/>
      <c r="AC23" s="366"/>
      <c r="AD23" s="364"/>
      <c r="AE23" s="364"/>
      <c r="AF23" s="364"/>
      <c r="AG23" s="364"/>
      <c r="AH23" s="364"/>
      <c r="AI23" s="364"/>
      <c r="AJ23" s="364"/>
      <c r="AK23" s="364"/>
      <c r="AL23" s="364"/>
      <c r="AM23" s="364"/>
      <c r="AN23" s="364"/>
      <c r="AO23" s="362"/>
    </row>
    <row r="24" spans="1:41" outlineLevel="1">
      <c r="A24" s="283" t="s">
        <v>275</v>
      </c>
      <c r="B24" s="367" t="s">
        <v>261</v>
      </c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59"/>
      <c r="P24" s="366"/>
      <c r="Q24" s="364"/>
      <c r="R24" s="364"/>
      <c r="S24" s="364"/>
      <c r="T24" s="364"/>
      <c r="U24" s="364"/>
      <c r="V24" s="364"/>
      <c r="W24" s="364"/>
      <c r="X24" s="364"/>
      <c r="Y24" s="364"/>
      <c r="Z24" s="364"/>
      <c r="AA24" s="364"/>
      <c r="AB24" s="359"/>
      <c r="AC24" s="366"/>
      <c r="AD24" s="364"/>
      <c r="AE24" s="364"/>
      <c r="AF24" s="364"/>
      <c r="AG24" s="364"/>
      <c r="AH24" s="364"/>
      <c r="AI24" s="364"/>
      <c r="AJ24" s="364"/>
      <c r="AK24" s="364"/>
      <c r="AL24" s="364"/>
      <c r="AM24" s="364"/>
      <c r="AN24" s="364"/>
      <c r="AO24" s="362"/>
    </row>
    <row r="25" spans="1:41" outlineLevel="1">
      <c r="A25" s="283" t="s">
        <v>276</v>
      </c>
      <c r="B25" s="363" t="s">
        <v>263</v>
      </c>
      <c r="C25" s="368">
        <f>C22/'Продукция и цена '!$C$4</f>
        <v>0</v>
      </c>
      <c r="D25" s="368">
        <f>D22/'Продукция и цена '!$C$4</f>
        <v>0</v>
      </c>
      <c r="E25" s="368">
        <f>E22/'Продукция и цена '!$C$4</f>
        <v>0</v>
      </c>
      <c r="F25" s="368">
        <f>F22/'Продукция и цена '!$C$4</f>
        <v>0</v>
      </c>
      <c r="G25" s="368">
        <f>G22/'Продукция и цена '!$C$4</f>
        <v>0</v>
      </c>
      <c r="H25" s="368">
        <f>H22/'Продукция и цена '!$C$4</f>
        <v>0</v>
      </c>
      <c r="I25" s="368">
        <f>I22/'Продукция и цена '!$C$4</f>
        <v>0</v>
      </c>
      <c r="J25" s="368">
        <f>J22/'Продукция и цена '!$C$4</f>
        <v>0</v>
      </c>
      <c r="K25" s="368">
        <f>K22/'Продукция и цена '!$C$4</f>
        <v>0</v>
      </c>
      <c r="L25" s="368">
        <f>L22/'Продукция и цена '!$C$4</f>
        <v>0</v>
      </c>
      <c r="M25" s="368">
        <f>M22/'Продукция и цена '!$C$4</f>
        <v>0</v>
      </c>
      <c r="N25" s="368">
        <f>N22/'Продукция и цена '!$C$4</f>
        <v>0</v>
      </c>
      <c r="O25" s="359">
        <f>SUM(C25:N25)/12</f>
        <v>0</v>
      </c>
      <c r="P25" s="370">
        <f>P22/'Продукция и цена '!$D$4</f>
        <v>0</v>
      </c>
      <c r="Q25" s="368">
        <f>Q22/'Продукция и цена '!$D$4</f>
        <v>0</v>
      </c>
      <c r="R25" s="368">
        <f>R22/'Продукция и цена '!$D$4</f>
        <v>0</v>
      </c>
      <c r="S25" s="368">
        <f>S22/'Продукция и цена '!$D$4</f>
        <v>0</v>
      </c>
      <c r="T25" s="368">
        <f>T22/'Продукция и цена '!$D$4</f>
        <v>0</v>
      </c>
      <c r="U25" s="368">
        <f>U22/'Продукция и цена '!$D$4</f>
        <v>0</v>
      </c>
      <c r="V25" s="368">
        <f>V22/'Продукция и цена '!$D$4</f>
        <v>0</v>
      </c>
      <c r="W25" s="368">
        <f>W22/'Продукция и цена '!$D$4</f>
        <v>0</v>
      </c>
      <c r="X25" s="368">
        <f>X22/'Продукция и цена '!$D$4</f>
        <v>0</v>
      </c>
      <c r="Y25" s="368">
        <f>Y22/'Продукция и цена '!$D$4</f>
        <v>0</v>
      </c>
      <c r="Z25" s="368">
        <f>Z22/'Продукция и цена '!$D$4</f>
        <v>0</v>
      </c>
      <c r="AA25" s="368">
        <f>AA22/'Продукция и цена '!$D$4</f>
        <v>0</v>
      </c>
      <c r="AB25" s="359">
        <f>SUM(P25:AA25)/12</f>
        <v>0</v>
      </c>
      <c r="AC25" s="370">
        <f>AC22/'Продукция и цена '!$E$4</f>
        <v>0</v>
      </c>
      <c r="AD25" s="368">
        <f>AD22/'Продукция и цена '!$E$4</f>
        <v>0</v>
      </c>
      <c r="AE25" s="368">
        <f>AE22/'Продукция и цена '!$E$4</f>
        <v>0</v>
      </c>
      <c r="AF25" s="368">
        <f>AF22/'Продукция и цена '!$E$4</f>
        <v>0</v>
      </c>
      <c r="AG25" s="368">
        <f>AG22/'Продукция и цена '!$E$4</f>
        <v>0</v>
      </c>
      <c r="AH25" s="368">
        <f>AH22/'Продукция и цена '!$E$4</f>
        <v>0</v>
      </c>
      <c r="AI25" s="368">
        <f>AI22/'Продукция и цена '!$E$4</f>
        <v>0</v>
      </c>
      <c r="AJ25" s="368">
        <f>AJ22/'Продукция и цена '!$E$4</f>
        <v>0</v>
      </c>
      <c r="AK25" s="368">
        <f>AK22/'Продукция и цена '!$E$4</f>
        <v>0</v>
      </c>
      <c r="AL25" s="368">
        <f>AL22/'Продукция и цена '!$E$4</f>
        <v>0</v>
      </c>
      <c r="AM25" s="368">
        <f>AM22/'Продукция и цена '!$E$4</f>
        <v>0</v>
      </c>
      <c r="AN25" s="368">
        <f>AN22/'Продукция и цена '!$E$4</f>
        <v>0</v>
      </c>
      <c r="AO25" s="362">
        <f>SUM(AC25:AN25)/12</f>
        <v>0</v>
      </c>
    </row>
    <row r="26" spans="1:41" outlineLevel="1">
      <c r="A26" s="371" t="s">
        <v>277</v>
      </c>
      <c r="B26" s="372" t="s">
        <v>265</v>
      </c>
      <c r="C26" s="373">
        <f>'Продукция и цена '!$C$4</f>
        <v>35000</v>
      </c>
      <c r="D26" s="373">
        <f>C26</f>
        <v>35000</v>
      </c>
      <c r="E26" s="373">
        <f t="shared" ref="E26:N26" si="21">D26</f>
        <v>35000</v>
      </c>
      <c r="F26" s="373">
        <f t="shared" si="21"/>
        <v>35000</v>
      </c>
      <c r="G26" s="373">
        <f t="shared" si="21"/>
        <v>35000</v>
      </c>
      <c r="H26" s="373">
        <f t="shared" si="21"/>
        <v>35000</v>
      </c>
      <c r="I26" s="373">
        <f t="shared" si="21"/>
        <v>35000</v>
      </c>
      <c r="J26" s="373">
        <f t="shared" si="21"/>
        <v>35000</v>
      </c>
      <c r="K26" s="373">
        <f t="shared" si="21"/>
        <v>35000</v>
      </c>
      <c r="L26" s="373">
        <f t="shared" si="21"/>
        <v>35000</v>
      </c>
      <c r="M26" s="373">
        <f t="shared" si="21"/>
        <v>35000</v>
      </c>
      <c r="N26" s="373">
        <f t="shared" si="21"/>
        <v>35000</v>
      </c>
      <c r="O26" s="374">
        <f>SUM(C26:N26)/12</f>
        <v>35000</v>
      </c>
      <c r="P26" s="376">
        <f>'Продукция и цена '!$D$4</f>
        <v>40250</v>
      </c>
      <c r="Q26" s="373">
        <f>P26</f>
        <v>40250</v>
      </c>
      <c r="R26" s="373">
        <f t="shared" ref="R26:AA26" si="22">Q26</f>
        <v>40250</v>
      </c>
      <c r="S26" s="373">
        <f t="shared" si="22"/>
        <v>40250</v>
      </c>
      <c r="T26" s="373">
        <f t="shared" si="22"/>
        <v>40250</v>
      </c>
      <c r="U26" s="373">
        <f t="shared" si="22"/>
        <v>40250</v>
      </c>
      <c r="V26" s="373">
        <f t="shared" si="22"/>
        <v>40250</v>
      </c>
      <c r="W26" s="373">
        <f t="shared" si="22"/>
        <v>40250</v>
      </c>
      <c r="X26" s="373">
        <f t="shared" si="22"/>
        <v>40250</v>
      </c>
      <c r="Y26" s="373">
        <f t="shared" si="22"/>
        <v>40250</v>
      </c>
      <c r="Z26" s="373">
        <f t="shared" si="22"/>
        <v>40250</v>
      </c>
      <c r="AA26" s="373">
        <f t="shared" si="22"/>
        <v>40250</v>
      </c>
      <c r="AB26" s="374">
        <f>SUM(P26:AA26)/12</f>
        <v>40250</v>
      </c>
      <c r="AC26" s="376">
        <f>'Продукция и цена '!$E$4</f>
        <v>46287.5</v>
      </c>
      <c r="AD26" s="373">
        <f>AC26</f>
        <v>46287.5</v>
      </c>
      <c r="AE26" s="373">
        <f t="shared" ref="AE26:AN26" si="23">AD26</f>
        <v>46287.5</v>
      </c>
      <c r="AF26" s="373">
        <f t="shared" si="23"/>
        <v>46287.5</v>
      </c>
      <c r="AG26" s="373">
        <f t="shared" si="23"/>
        <v>46287.5</v>
      </c>
      <c r="AH26" s="373">
        <f t="shared" si="23"/>
        <v>46287.5</v>
      </c>
      <c r="AI26" s="373">
        <f t="shared" si="23"/>
        <v>46287.5</v>
      </c>
      <c r="AJ26" s="373">
        <f t="shared" si="23"/>
        <v>46287.5</v>
      </c>
      <c r="AK26" s="373">
        <f t="shared" si="23"/>
        <v>46287.5</v>
      </c>
      <c r="AL26" s="373">
        <f t="shared" si="23"/>
        <v>46287.5</v>
      </c>
      <c r="AM26" s="373">
        <f t="shared" si="23"/>
        <v>46287.5</v>
      </c>
      <c r="AN26" s="373">
        <f t="shared" si="23"/>
        <v>46287.5</v>
      </c>
      <c r="AO26" s="377">
        <f>SUM(AC26:AN26)/12</f>
        <v>46287.5</v>
      </c>
    </row>
    <row r="27" spans="1:41" s="346" customFormat="1" ht="14.25" outlineLevel="1">
      <c r="A27" s="378" t="s">
        <v>150</v>
      </c>
      <c r="B27" s="381" t="s">
        <v>251</v>
      </c>
      <c r="C27" s="380">
        <f t="shared" ref="C27:N27" si="24">C28*C29</f>
        <v>0</v>
      </c>
      <c r="D27" s="380">
        <f t="shared" si="24"/>
        <v>0</v>
      </c>
      <c r="E27" s="380">
        <f t="shared" si="24"/>
        <v>0</v>
      </c>
      <c r="F27" s="380">
        <f t="shared" si="24"/>
        <v>0</v>
      </c>
      <c r="G27" s="380">
        <f t="shared" si="24"/>
        <v>0</v>
      </c>
      <c r="H27" s="380">
        <f t="shared" si="24"/>
        <v>0</v>
      </c>
      <c r="I27" s="380">
        <f t="shared" si="24"/>
        <v>0</v>
      </c>
      <c r="J27" s="380">
        <f t="shared" si="24"/>
        <v>0</v>
      </c>
      <c r="K27" s="380">
        <f t="shared" si="24"/>
        <v>0</v>
      </c>
      <c r="L27" s="380">
        <f t="shared" si="24"/>
        <v>0</v>
      </c>
      <c r="M27" s="380">
        <f t="shared" si="24"/>
        <v>0</v>
      </c>
      <c r="N27" s="380">
        <f t="shared" si="24"/>
        <v>0</v>
      </c>
      <c r="O27" s="352">
        <f>SUM(C27:N27)</f>
        <v>0</v>
      </c>
      <c r="P27" s="379">
        <f t="shared" ref="P27:AA27" si="25">P28*P29</f>
        <v>0</v>
      </c>
      <c r="Q27" s="380">
        <f t="shared" si="25"/>
        <v>0</v>
      </c>
      <c r="R27" s="380">
        <f t="shared" si="25"/>
        <v>0</v>
      </c>
      <c r="S27" s="380">
        <f t="shared" si="25"/>
        <v>0</v>
      </c>
      <c r="T27" s="380">
        <f t="shared" si="25"/>
        <v>0</v>
      </c>
      <c r="U27" s="380">
        <f t="shared" si="25"/>
        <v>0</v>
      </c>
      <c r="V27" s="380">
        <f t="shared" si="25"/>
        <v>0</v>
      </c>
      <c r="W27" s="380">
        <f t="shared" si="25"/>
        <v>0</v>
      </c>
      <c r="X27" s="380">
        <f t="shared" si="25"/>
        <v>0</v>
      </c>
      <c r="Y27" s="380">
        <f t="shared" si="25"/>
        <v>0</v>
      </c>
      <c r="Z27" s="380">
        <f t="shared" si="25"/>
        <v>0</v>
      </c>
      <c r="AA27" s="380">
        <f t="shared" si="25"/>
        <v>0</v>
      </c>
      <c r="AB27" s="352">
        <f>SUM(P27:AA27)</f>
        <v>0</v>
      </c>
      <c r="AC27" s="379">
        <f t="shared" ref="AC27:AN27" si="26">AC28*AC29</f>
        <v>0</v>
      </c>
      <c r="AD27" s="380">
        <f t="shared" si="26"/>
        <v>0</v>
      </c>
      <c r="AE27" s="380">
        <f t="shared" si="26"/>
        <v>0</v>
      </c>
      <c r="AF27" s="380">
        <f t="shared" si="26"/>
        <v>0</v>
      </c>
      <c r="AG27" s="380">
        <f t="shared" si="26"/>
        <v>0</v>
      </c>
      <c r="AH27" s="380">
        <f t="shared" si="26"/>
        <v>0</v>
      </c>
      <c r="AI27" s="380">
        <f t="shared" si="26"/>
        <v>0</v>
      </c>
      <c r="AJ27" s="380">
        <f t="shared" si="26"/>
        <v>0</v>
      </c>
      <c r="AK27" s="380">
        <f t="shared" si="26"/>
        <v>0</v>
      </c>
      <c r="AL27" s="380">
        <f t="shared" si="26"/>
        <v>0</v>
      </c>
      <c r="AM27" s="380">
        <f t="shared" si="26"/>
        <v>0</v>
      </c>
      <c r="AN27" s="380">
        <f t="shared" si="26"/>
        <v>0</v>
      </c>
      <c r="AO27" s="354">
        <f>SUM(AC27:AN27)</f>
        <v>0</v>
      </c>
    </row>
    <row r="28" spans="1:41" ht="30" outlineLevel="1">
      <c r="A28" s="283" t="s">
        <v>278</v>
      </c>
      <c r="B28" s="363" t="s">
        <v>259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59"/>
      <c r="P28" s="366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59"/>
      <c r="AC28" s="366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362"/>
    </row>
    <row r="29" spans="1:41" outlineLevel="1">
      <c r="A29" s="283" t="s">
        <v>279</v>
      </c>
      <c r="B29" s="367" t="s">
        <v>261</v>
      </c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59"/>
      <c r="P29" s="366"/>
      <c r="Q29" s="364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59"/>
      <c r="AC29" s="366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362"/>
    </row>
    <row r="30" spans="1:41" outlineLevel="1">
      <c r="A30" s="283" t="s">
        <v>280</v>
      </c>
      <c r="B30" s="363" t="s">
        <v>263</v>
      </c>
      <c r="C30" s="368">
        <f>C27/'Продукция и цена '!$C$4</f>
        <v>0</v>
      </c>
      <c r="D30" s="368">
        <f>D27/'Продукция и цена '!$C$4</f>
        <v>0</v>
      </c>
      <c r="E30" s="368">
        <f>E27/'Продукция и цена '!$C$4</f>
        <v>0</v>
      </c>
      <c r="F30" s="368">
        <f>F27/'Продукция и цена '!$C$4</f>
        <v>0</v>
      </c>
      <c r="G30" s="368">
        <f>G27/'Продукция и цена '!$C$4</f>
        <v>0</v>
      </c>
      <c r="H30" s="368">
        <f>H27/'Продукция и цена '!$C$4</f>
        <v>0</v>
      </c>
      <c r="I30" s="368">
        <f>I27/'Продукция и цена '!$C$4</f>
        <v>0</v>
      </c>
      <c r="J30" s="368">
        <f>J27/'Продукция и цена '!$C$4</f>
        <v>0</v>
      </c>
      <c r="K30" s="368">
        <f>K27/'Продукция и цена '!$C$4</f>
        <v>0</v>
      </c>
      <c r="L30" s="368">
        <f>L27/'Продукция и цена '!$C$4</f>
        <v>0</v>
      </c>
      <c r="M30" s="368">
        <f>M27/'Продукция и цена '!$C$4</f>
        <v>0</v>
      </c>
      <c r="N30" s="368">
        <f>N27/'Продукция и цена '!$C$4</f>
        <v>0</v>
      </c>
      <c r="O30" s="359">
        <f>SUM(C30:N30)/12</f>
        <v>0</v>
      </c>
      <c r="P30" s="370">
        <f>P27/'Продукция и цена '!$D$4</f>
        <v>0</v>
      </c>
      <c r="Q30" s="368">
        <f>Q27/'Продукция и цена '!$D$4</f>
        <v>0</v>
      </c>
      <c r="R30" s="368">
        <f>R27/'Продукция и цена '!$D$4</f>
        <v>0</v>
      </c>
      <c r="S30" s="368">
        <f>S27/'Продукция и цена '!$D$4</f>
        <v>0</v>
      </c>
      <c r="T30" s="368">
        <f>T27/'Продукция и цена '!$D$4</f>
        <v>0</v>
      </c>
      <c r="U30" s="368">
        <f>U27/'Продукция и цена '!$D$4</f>
        <v>0</v>
      </c>
      <c r="V30" s="368">
        <f>V27/'Продукция и цена '!$D$4</f>
        <v>0</v>
      </c>
      <c r="W30" s="368">
        <f>W27/'Продукция и цена '!$D$4</f>
        <v>0</v>
      </c>
      <c r="X30" s="368">
        <f>X27/'Продукция и цена '!$D$4</f>
        <v>0</v>
      </c>
      <c r="Y30" s="368">
        <f>Y27/'Продукция и цена '!$D$4</f>
        <v>0</v>
      </c>
      <c r="Z30" s="368">
        <f>Z27/'Продукция и цена '!$D$4</f>
        <v>0</v>
      </c>
      <c r="AA30" s="368">
        <f>AA27/'Продукция и цена '!$D$4</f>
        <v>0</v>
      </c>
      <c r="AB30" s="359">
        <f>SUM(P30:AA30)/12</f>
        <v>0</v>
      </c>
      <c r="AC30" s="370">
        <f>AC27/'Продукция и цена '!$E$4</f>
        <v>0</v>
      </c>
      <c r="AD30" s="368">
        <f>AD27/'Продукция и цена '!$E$4</f>
        <v>0</v>
      </c>
      <c r="AE30" s="368">
        <f>AE27/'Продукция и цена '!$E$4</f>
        <v>0</v>
      </c>
      <c r="AF30" s="368">
        <f>AF27/'Продукция и цена '!$E$4</f>
        <v>0</v>
      </c>
      <c r="AG30" s="368">
        <f>AG27/'Продукция и цена '!$E$4</f>
        <v>0</v>
      </c>
      <c r="AH30" s="368">
        <f>AH27/'Продукция и цена '!$E$4</f>
        <v>0</v>
      </c>
      <c r="AI30" s="368">
        <f>AI27/'Продукция и цена '!$E$4</f>
        <v>0</v>
      </c>
      <c r="AJ30" s="368">
        <f>AJ27/'Продукция и цена '!$E$4</f>
        <v>0</v>
      </c>
      <c r="AK30" s="368">
        <f>AK27/'Продукция и цена '!$E$4</f>
        <v>0</v>
      </c>
      <c r="AL30" s="368">
        <f>AL27/'Продукция и цена '!$E$4</f>
        <v>0</v>
      </c>
      <c r="AM30" s="368">
        <f>AM27/'Продукция и цена '!$E$4</f>
        <v>0</v>
      </c>
      <c r="AN30" s="368">
        <f>AN27/'Продукция и цена '!$E$4</f>
        <v>0</v>
      </c>
      <c r="AO30" s="362">
        <f>SUM(AC30:AN30)/12</f>
        <v>0</v>
      </c>
    </row>
    <row r="31" spans="1:41" outlineLevel="1">
      <c r="A31" s="382" t="s">
        <v>281</v>
      </c>
      <c r="B31" s="383" t="s">
        <v>265</v>
      </c>
      <c r="C31" s="384">
        <f>'Продукция и цена '!$C$4</f>
        <v>35000</v>
      </c>
      <c r="D31" s="384">
        <f>C31</f>
        <v>35000</v>
      </c>
      <c r="E31" s="384">
        <f t="shared" ref="E31:N31" si="27">D31</f>
        <v>35000</v>
      </c>
      <c r="F31" s="384">
        <f t="shared" si="27"/>
        <v>35000</v>
      </c>
      <c r="G31" s="384">
        <f t="shared" si="27"/>
        <v>35000</v>
      </c>
      <c r="H31" s="384">
        <f t="shared" si="27"/>
        <v>35000</v>
      </c>
      <c r="I31" s="384">
        <f t="shared" si="27"/>
        <v>35000</v>
      </c>
      <c r="J31" s="384">
        <f t="shared" si="27"/>
        <v>35000</v>
      </c>
      <c r="K31" s="384">
        <f t="shared" si="27"/>
        <v>35000</v>
      </c>
      <c r="L31" s="384">
        <f t="shared" si="27"/>
        <v>35000</v>
      </c>
      <c r="M31" s="384">
        <f t="shared" si="27"/>
        <v>35000</v>
      </c>
      <c r="N31" s="384">
        <f t="shared" si="27"/>
        <v>35000</v>
      </c>
      <c r="O31" s="385">
        <f>SUM(C31:N31)/12</f>
        <v>35000</v>
      </c>
      <c r="P31" s="376">
        <f>'Продукция и цена '!$D$4</f>
        <v>40250</v>
      </c>
      <c r="Q31" s="373">
        <f>P31</f>
        <v>40250</v>
      </c>
      <c r="R31" s="373">
        <f t="shared" ref="R31:AA31" si="28">Q31</f>
        <v>40250</v>
      </c>
      <c r="S31" s="373">
        <f t="shared" si="28"/>
        <v>40250</v>
      </c>
      <c r="T31" s="373">
        <f t="shared" si="28"/>
        <v>40250</v>
      </c>
      <c r="U31" s="373">
        <f t="shared" si="28"/>
        <v>40250</v>
      </c>
      <c r="V31" s="373">
        <f t="shared" si="28"/>
        <v>40250</v>
      </c>
      <c r="W31" s="373">
        <f t="shared" si="28"/>
        <v>40250</v>
      </c>
      <c r="X31" s="373">
        <f t="shared" si="28"/>
        <v>40250</v>
      </c>
      <c r="Y31" s="373">
        <f t="shared" si="28"/>
        <v>40250</v>
      </c>
      <c r="Z31" s="373">
        <f t="shared" si="28"/>
        <v>40250</v>
      </c>
      <c r="AA31" s="373">
        <f t="shared" si="28"/>
        <v>40250</v>
      </c>
      <c r="AB31" s="374">
        <f>SUM(P31:AA31)/12</f>
        <v>40250</v>
      </c>
      <c r="AC31" s="376">
        <f>'Продукция и цена '!$E$4</f>
        <v>46287.5</v>
      </c>
      <c r="AD31" s="373">
        <f>AC31</f>
        <v>46287.5</v>
      </c>
      <c r="AE31" s="373">
        <f t="shared" ref="AE31:AN31" si="29">AD31</f>
        <v>46287.5</v>
      </c>
      <c r="AF31" s="373">
        <f t="shared" si="29"/>
        <v>46287.5</v>
      </c>
      <c r="AG31" s="373">
        <f t="shared" si="29"/>
        <v>46287.5</v>
      </c>
      <c r="AH31" s="373">
        <f t="shared" si="29"/>
        <v>46287.5</v>
      </c>
      <c r="AI31" s="373">
        <f t="shared" si="29"/>
        <v>46287.5</v>
      </c>
      <c r="AJ31" s="373">
        <f t="shared" si="29"/>
        <v>46287.5</v>
      </c>
      <c r="AK31" s="373">
        <f t="shared" si="29"/>
        <v>46287.5</v>
      </c>
      <c r="AL31" s="373">
        <f t="shared" si="29"/>
        <v>46287.5</v>
      </c>
      <c r="AM31" s="373">
        <f t="shared" si="29"/>
        <v>46287.5</v>
      </c>
      <c r="AN31" s="373">
        <f t="shared" si="29"/>
        <v>46287.5</v>
      </c>
      <c r="AO31" s="377">
        <f>SUM(AC31:AN31)/12</f>
        <v>46287.5</v>
      </c>
    </row>
    <row r="32" spans="1:41" s="346" customFormat="1" ht="14.25">
      <c r="A32" s="349">
        <v>2</v>
      </c>
      <c r="B32" s="350" t="str">
        <f>'Продукция и цена '!A5</f>
        <v>Поддержка системы</v>
      </c>
      <c r="C32" s="351">
        <f>(C33+C38+C43+C48+C53)*Продажи!B6</f>
        <v>200</v>
      </c>
      <c r="D32" s="351">
        <f>(D33+D38+D43+D48+D53)*Продажи!C6</f>
        <v>0</v>
      </c>
      <c r="E32" s="351">
        <f>(E33+E38+E43+E48+E53)*Продажи!D6</f>
        <v>200</v>
      </c>
      <c r="F32" s="351">
        <f>(F33+F38+F43+F48+F53)*Продажи!E6</f>
        <v>200</v>
      </c>
      <c r="G32" s="351">
        <f>(G33+G38+G43+G48+G53)*Продажи!F6</f>
        <v>300</v>
      </c>
      <c r="H32" s="351">
        <f>(H33+H38+H43+H48+H53)*Продажи!G6</f>
        <v>400</v>
      </c>
      <c r="I32" s="351">
        <f>(I33+I38+I43+I48+I53)*Продажи!H6</f>
        <v>500</v>
      </c>
      <c r="J32" s="351">
        <f>(J33+J38+J43+J48+J53)*Продажи!I6</f>
        <v>600</v>
      </c>
      <c r="K32" s="351">
        <f>(K33+K38+K43+K48+K53)*Продажи!J6</f>
        <v>800</v>
      </c>
      <c r="L32" s="351">
        <f>(L33+L38+L43+L48+L53)*Продажи!K6</f>
        <v>800</v>
      </c>
      <c r="M32" s="351">
        <f>(M33+M38+M43+M48+M53)*Продажи!L6</f>
        <v>900</v>
      </c>
      <c r="N32" s="351">
        <f>(N33+N38+N43+N48+N53)*Продажи!M6</f>
        <v>1000</v>
      </c>
      <c r="O32" s="352">
        <f>SUM(C32:N32)</f>
        <v>5900</v>
      </c>
      <c r="P32" s="353">
        <f>(P33+P38+P43+P48+P53)*Продажи!O6</f>
        <v>1800</v>
      </c>
      <c r="Q32" s="351">
        <f>(Q33+Q38+Q43+Q48+Q53)*Продажи!P6</f>
        <v>2250</v>
      </c>
      <c r="R32" s="351">
        <f>(R33+R38+R43+R48+R53)*Продажи!Q6</f>
        <v>2550</v>
      </c>
      <c r="S32" s="351">
        <f>(S33+S38+S43+S48+S53)*Продажи!R6</f>
        <v>3150</v>
      </c>
      <c r="T32" s="351">
        <f>(T33+T38+T43+T48+T53)*Продажи!S6</f>
        <v>3450</v>
      </c>
      <c r="U32" s="351">
        <f>(U33+U38+U43+U48+U53)*Продажи!T6</f>
        <v>3900</v>
      </c>
      <c r="V32" s="351">
        <f>(V33+V38+V43+V48+V53)*Продажи!U6</f>
        <v>4200</v>
      </c>
      <c r="W32" s="351">
        <f>(W33+W38+W43+W48+W53)*Продажи!V6</f>
        <v>4800</v>
      </c>
      <c r="X32" s="351">
        <f>(X33+X38+X43+X48+X53)*Продажи!W6</f>
        <v>5100</v>
      </c>
      <c r="Y32" s="351">
        <f>(Y33+Y38+Y43+Y48+Y53)*Продажи!X6</f>
        <v>5550</v>
      </c>
      <c r="Z32" s="351">
        <f>(Z33+Z38+Z43+Z48+Z53)*Продажи!Y6</f>
        <v>5850</v>
      </c>
      <c r="AA32" s="351">
        <f>(AA33+AA38+AA43+AA48+AA53)*Продажи!Z6</f>
        <v>6450</v>
      </c>
      <c r="AB32" s="354">
        <f>SUM(P32:AA32)</f>
        <v>49050</v>
      </c>
      <c r="AC32" s="355">
        <f>(AC33+AC38+AC43+AC48+AC53)*Продажи!AB6</f>
        <v>0</v>
      </c>
      <c r="AD32" s="351">
        <f>(AD33+AD38+AD43+AD48+AD53)*Продажи!AC6</f>
        <v>0</v>
      </c>
      <c r="AE32" s="351">
        <f>(AE33+AE38+AE43+AE48+AE53)*Продажи!AD6</f>
        <v>0</v>
      </c>
      <c r="AF32" s="351">
        <f>(AF33+AF38+AF43+AF48+AF53)*Продажи!AE6</f>
        <v>0</v>
      </c>
      <c r="AG32" s="351">
        <f>(AG33+AG38+AG43+AG48+AG53)*Продажи!AF6</f>
        <v>0</v>
      </c>
      <c r="AH32" s="351">
        <f>(AH33+AH38+AH43+AH48+AH53)*Продажи!AG6</f>
        <v>0</v>
      </c>
      <c r="AI32" s="351">
        <f>(AI33+AI38+AI43+AI48+AI53)*Продажи!AH6</f>
        <v>0</v>
      </c>
      <c r="AJ32" s="351">
        <f>(AJ33+AJ38+AJ43+AJ48+AJ53)*Продажи!AI6</f>
        <v>0</v>
      </c>
      <c r="AK32" s="351">
        <f>(AK33+AK38+AK43+AK48+AK53)*Продажи!AJ6</f>
        <v>0</v>
      </c>
      <c r="AL32" s="351">
        <f>(AL33+AL38+AL43+AL48+AL53)*Продажи!AK6</f>
        <v>0</v>
      </c>
      <c r="AM32" s="351">
        <f>(AM33+AM38+AM43+AM48+AM53)*Продажи!AL6</f>
        <v>0</v>
      </c>
      <c r="AN32" s="351">
        <f>(AN33+AN38+AN43+AN48+AN53)*Продажи!AM6</f>
        <v>0</v>
      </c>
      <c r="AO32" s="354">
        <f>SUM(AC32:AN32)</f>
        <v>0</v>
      </c>
    </row>
    <row r="33" spans="1:41" s="346" customFormat="1" ht="14.25" outlineLevel="1">
      <c r="A33" s="356" t="s">
        <v>23</v>
      </c>
      <c r="B33" s="357" t="str">
        <f>Персонал!A36</f>
        <v>Дизайн (UX/UI)</v>
      </c>
      <c r="C33" s="358">
        <f>C34*C35</f>
        <v>50</v>
      </c>
      <c r="D33" s="358">
        <f t="shared" ref="D33:N33" si="30">D34*D35</f>
        <v>50</v>
      </c>
      <c r="E33" s="358">
        <f t="shared" si="30"/>
        <v>50</v>
      </c>
      <c r="F33" s="358">
        <f t="shared" si="30"/>
        <v>50</v>
      </c>
      <c r="G33" s="358">
        <f t="shared" si="30"/>
        <v>50</v>
      </c>
      <c r="H33" s="358">
        <f t="shared" si="30"/>
        <v>50</v>
      </c>
      <c r="I33" s="358">
        <f t="shared" si="30"/>
        <v>50</v>
      </c>
      <c r="J33" s="358">
        <f t="shared" si="30"/>
        <v>50</v>
      </c>
      <c r="K33" s="358">
        <f t="shared" si="30"/>
        <v>50</v>
      </c>
      <c r="L33" s="358">
        <f t="shared" si="30"/>
        <v>50</v>
      </c>
      <c r="M33" s="358">
        <f t="shared" si="30"/>
        <v>50</v>
      </c>
      <c r="N33" s="358">
        <f t="shared" si="30"/>
        <v>50</v>
      </c>
      <c r="O33" s="359">
        <f>SUM(C33:N33)</f>
        <v>600</v>
      </c>
      <c r="P33" s="360">
        <f>P34*P35</f>
        <v>75</v>
      </c>
      <c r="Q33" s="358">
        <f t="shared" ref="Q33:AA33" si="31">Q34*Q35</f>
        <v>75</v>
      </c>
      <c r="R33" s="358">
        <f t="shared" si="31"/>
        <v>75</v>
      </c>
      <c r="S33" s="358">
        <f t="shared" si="31"/>
        <v>75</v>
      </c>
      <c r="T33" s="358">
        <f t="shared" si="31"/>
        <v>75</v>
      </c>
      <c r="U33" s="358">
        <f t="shared" si="31"/>
        <v>75</v>
      </c>
      <c r="V33" s="358">
        <f t="shared" si="31"/>
        <v>75</v>
      </c>
      <c r="W33" s="358">
        <f t="shared" si="31"/>
        <v>75</v>
      </c>
      <c r="X33" s="358">
        <f t="shared" si="31"/>
        <v>75</v>
      </c>
      <c r="Y33" s="358">
        <f t="shared" si="31"/>
        <v>75</v>
      </c>
      <c r="Z33" s="358">
        <f t="shared" si="31"/>
        <v>75</v>
      </c>
      <c r="AA33" s="358">
        <f t="shared" si="31"/>
        <v>75</v>
      </c>
      <c r="AB33" s="359">
        <f>SUM(P33:AA33)</f>
        <v>900</v>
      </c>
      <c r="AC33" s="361">
        <f>AC34*AC35</f>
        <v>0</v>
      </c>
      <c r="AD33" s="358">
        <f t="shared" ref="AD33:AN33" si="32">AD34*AD35</f>
        <v>0</v>
      </c>
      <c r="AE33" s="358">
        <f t="shared" si="32"/>
        <v>0</v>
      </c>
      <c r="AF33" s="358">
        <f t="shared" si="32"/>
        <v>0</v>
      </c>
      <c r="AG33" s="358">
        <f t="shared" si="32"/>
        <v>0</v>
      </c>
      <c r="AH33" s="358">
        <f t="shared" si="32"/>
        <v>0</v>
      </c>
      <c r="AI33" s="358">
        <f t="shared" si="32"/>
        <v>0</v>
      </c>
      <c r="AJ33" s="358">
        <f t="shared" si="32"/>
        <v>0</v>
      </c>
      <c r="AK33" s="358">
        <f t="shared" si="32"/>
        <v>0</v>
      </c>
      <c r="AL33" s="358">
        <f t="shared" si="32"/>
        <v>0</v>
      </c>
      <c r="AM33" s="358">
        <f t="shared" si="32"/>
        <v>0</v>
      </c>
      <c r="AN33" s="358">
        <f t="shared" si="32"/>
        <v>0</v>
      </c>
      <c r="AO33" s="362">
        <f>SUM(AC33:AN33)</f>
        <v>0</v>
      </c>
    </row>
    <row r="34" spans="1:41" ht="30" outlineLevel="1">
      <c r="A34" s="283" t="s">
        <v>282</v>
      </c>
      <c r="B34" s="363" t="s">
        <v>259</v>
      </c>
      <c r="C34" s="364">
        <v>1</v>
      </c>
      <c r="D34" s="364">
        <v>1</v>
      </c>
      <c r="E34" s="364">
        <v>1</v>
      </c>
      <c r="F34" s="364">
        <v>1</v>
      </c>
      <c r="G34" s="364">
        <v>1</v>
      </c>
      <c r="H34" s="364">
        <v>1</v>
      </c>
      <c r="I34" s="364">
        <v>1</v>
      </c>
      <c r="J34" s="364">
        <v>1</v>
      </c>
      <c r="K34" s="364">
        <v>1</v>
      </c>
      <c r="L34" s="364">
        <v>1</v>
      </c>
      <c r="M34" s="364">
        <v>1</v>
      </c>
      <c r="N34" s="364">
        <v>1</v>
      </c>
      <c r="O34" s="359"/>
      <c r="P34" s="365">
        <v>1</v>
      </c>
      <c r="Q34" s="365">
        <v>1</v>
      </c>
      <c r="R34" s="365">
        <v>1</v>
      </c>
      <c r="S34" s="365">
        <v>1</v>
      </c>
      <c r="T34" s="365">
        <v>1</v>
      </c>
      <c r="U34" s="365">
        <v>1</v>
      </c>
      <c r="V34" s="365">
        <v>1</v>
      </c>
      <c r="W34" s="365">
        <v>1</v>
      </c>
      <c r="X34" s="365">
        <v>1</v>
      </c>
      <c r="Y34" s="365">
        <v>1</v>
      </c>
      <c r="Z34" s="365">
        <v>1</v>
      </c>
      <c r="AA34" s="365">
        <v>1</v>
      </c>
      <c r="AB34" s="359"/>
      <c r="AC34" s="366">
        <v>1</v>
      </c>
      <c r="AD34" s="364">
        <v>1</v>
      </c>
      <c r="AE34" s="364">
        <v>1</v>
      </c>
      <c r="AF34" s="364">
        <v>1</v>
      </c>
      <c r="AG34" s="364">
        <v>1</v>
      </c>
      <c r="AH34" s="364">
        <v>1</v>
      </c>
      <c r="AI34" s="364">
        <v>1</v>
      </c>
      <c r="AJ34" s="364">
        <v>1</v>
      </c>
      <c r="AK34" s="364">
        <v>1</v>
      </c>
      <c r="AL34" s="364">
        <v>1</v>
      </c>
      <c r="AM34" s="364">
        <v>1</v>
      </c>
      <c r="AN34" s="364">
        <v>1</v>
      </c>
      <c r="AO34" s="362"/>
    </row>
    <row r="35" spans="1:41" outlineLevel="1">
      <c r="A35" s="283" t="s">
        <v>283</v>
      </c>
      <c r="B35" s="367" t="s">
        <v>261</v>
      </c>
      <c r="C35" s="364">
        <v>50</v>
      </c>
      <c r="D35" s="364">
        <v>50</v>
      </c>
      <c r="E35" s="364">
        <v>50</v>
      </c>
      <c r="F35" s="364">
        <v>50</v>
      </c>
      <c r="G35" s="364">
        <v>50</v>
      </c>
      <c r="H35" s="364">
        <v>50</v>
      </c>
      <c r="I35" s="364">
        <v>50</v>
      </c>
      <c r="J35" s="364">
        <v>50</v>
      </c>
      <c r="K35" s="364">
        <v>50</v>
      </c>
      <c r="L35" s="364">
        <v>50</v>
      </c>
      <c r="M35" s="364">
        <v>50</v>
      </c>
      <c r="N35" s="364">
        <v>50</v>
      </c>
      <c r="O35" s="359"/>
      <c r="P35" s="365">
        <v>75</v>
      </c>
      <c r="Q35" s="365">
        <v>75</v>
      </c>
      <c r="R35" s="365">
        <v>75</v>
      </c>
      <c r="S35" s="365">
        <v>75</v>
      </c>
      <c r="T35" s="365">
        <v>75</v>
      </c>
      <c r="U35" s="365">
        <v>75</v>
      </c>
      <c r="V35" s="365">
        <v>75</v>
      </c>
      <c r="W35" s="365">
        <v>75</v>
      </c>
      <c r="X35" s="365">
        <v>75</v>
      </c>
      <c r="Y35" s="365">
        <v>75</v>
      </c>
      <c r="Z35" s="365">
        <v>75</v>
      </c>
      <c r="AA35" s="365">
        <v>75</v>
      </c>
      <c r="AB35" s="359"/>
      <c r="AC35" s="366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2"/>
    </row>
    <row r="36" spans="1:41" outlineLevel="1">
      <c r="A36" s="283" t="s">
        <v>284</v>
      </c>
      <c r="B36" s="363" t="s">
        <v>263</v>
      </c>
      <c r="C36" s="368">
        <f>C33/'Продукция и цена '!$C$5</f>
        <v>3.3333333333333335E-3</v>
      </c>
      <c r="D36" s="368">
        <f>D33/'Продукция и цена '!$C$5</f>
        <v>3.3333333333333335E-3</v>
      </c>
      <c r="E36" s="368">
        <f>E33/'Продукция и цена '!$C$5</f>
        <v>3.3333333333333335E-3</v>
      </c>
      <c r="F36" s="368">
        <f>F33/'Продукция и цена '!$C$5</f>
        <v>3.3333333333333335E-3</v>
      </c>
      <c r="G36" s="368">
        <f>G33/'Продукция и цена '!$C$5</f>
        <v>3.3333333333333335E-3</v>
      </c>
      <c r="H36" s="368">
        <f>H33/'Продукция и цена '!$C$5</f>
        <v>3.3333333333333335E-3</v>
      </c>
      <c r="I36" s="368">
        <f>I33/'Продукция и цена '!$C$5</f>
        <v>3.3333333333333335E-3</v>
      </c>
      <c r="J36" s="368">
        <f>J33/'Продукция и цена '!$C$5</f>
        <v>3.3333333333333335E-3</v>
      </c>
      <c r="K36" s="368">
        <f>K33/'Продукция и цена '!$C$5</f>
        <v>3.3333333333333335E-3</v>
      </c>
      <c r="L36" s="368">
        <f>L33/'Продукция и цена '!$C$5</f>
        <v>3.3333333333333335E-3</v>
      </c>
      <c r="M36" s="368">
        <f>M33/'Продукция и цена '!$C$5</f>
        <v>3.3333333333333335E-3</v>
      </c>
      <c r="N36" s="368">
        <f>N33/'Продукция и цена '!$C$5</f>
        <v>3.3333333333333335E-3</v>
      </c>
      <c r="O36" s="359">
        <f>SUM(C36:N36)/12</f>
        <v>3.3333333333333335E-3</v>
      </c>
      <c r="P36" s="369">
        <f>P33/'Продукция и цена '!$D$5</f>
        <v>4.3478260869565218E-3</v>
      </c>
      <c r="Q36" s="368">
        <f>Q33/'Продукция и цена '!$D$5</f>
        <v>4.3478260869565218E-3</v>
      </c>
      <c r="R36" s="368">
        <f>R33/'Продукция и цена '!$D$5</f>
        <v>4.3478260869565218E-3</v>
      </c>
      <c r="S36" s="368">
        <f>S33/'Продукция и цена '!$D$5</f>
        <v>4.3478260869565218E-3</v>
      </c>
      <c r="T36" s="368">
        <f>T33/'Продукция и цена '!$D$5</f>
        <v>4.3478260869565218E-3</v>
      </c>
      <c r="U36" s="368">
        <f>U33/'Продукция и цена '!$D$5</f>
        <v>4.3478260869565218E-3</v>
      </c>
      <c r="V36" s="368">
        <f>V33/'Продукция и цена '!$D$5</f>
        <v>4.3478260869565218E-3</v>
      </c>
      <c r="W36" s="368">
        <f>W33/'Продукция и цена '!$D$5</f>
        <v>4.3478260869565218E-3</v>
      </c>
      <c r="X36" s="368">
        <f>X33/'Продукция и цена '!$D$5</f>
        <v>4.3478260869565218E-3</v>
      </c>
      <c r="Y36" s="368">
        <f>Y33/'Продукция и цена '!$D$5</f>
        <v>4.3478260869565218E-3</v>
      </c>
      <c r="Z36" s="368">
        <f>Z33/'Продукция и цена '!$D$5</f>
        <v>4.3478260869565218E-3</v>
      </c>
      <c r="AA36" s="368">
        <f>AA33/'Продукция и цена '!$D$5</f>
        <v>4.3478260869565218E-3</v>
      </c>
      <c r="AB36" s="359">
        <f>SUM(P36:AA36)/12</f>
        <v>4.3478260869565227E-3</v>
      </c>
      <c r="AC36" s="370">
        <f>AC33/'Продукция и цена '!$E$5</f>
        <v>0</v>
      </c>
      <c r="AD36" s="368">
        <f>AD33/'Продукция и цена '!$E$5</f>
        <v>0</v>
      </c>
      <c r="AE36" s="368">
        <f>AE33/'Продукция и цена '!$E$5</f>
        <v>0</v>
      </c>
      <c r="AF36" s="368">
        <f>AF33/'Продукция и цена '!$E$5</f>
        <v>0</v>
      </c>
      <c r="AG36" s="368">
        <f>AG33/'Продукция и цена '!$E$5</f>
        <v>0</v>
      </c>
      <c r="AH36" s="368">
        <f>AH33/'Продукция и цена '!$E$5</f>
        <v>0</v>
      </c>
      <c r="AI36" s="368">
        <f>AI33/'Продукция и цена '!$E$5</f>
        <v>0</v>
      </c>
      <c r="AJ36" s="368">
        <f>AJ33/'Продукция и цена '!$E$5</f>
        <v>0</v>
      </c>
      <c r="AK36" s="368">
        <f>AK33/'Продукция и цена '!$E$5</f>
        <v>0</v>
      </c>
      <c r="AL36" s="368">
        <f>AL33/'Продукция и цена '!$E$5</f>
        <v>0</v>
      </c>
      <c r="AM36" s="368">
        <f>AM33/'Продукция и цена '!$E$5</f>
        <v>0</v>
      </c>
      <c r="AN36" s="368">
        <f>AN33/'Продукция и цена '!$E$5</f>
        <v>0</v>
      </c>
      <c r="AO36" s="362">
        <f>SUM(AC36:AN36)/12</f>
        <v>0</v>
      </c>
    </row>
    <row r="37" spans="1:41" outlineLevel="1">
      <c r="A37" s="371" t="s">
        <v>285</v>
      </c>
      <c r="B37" s="372" t="s">
        <v>265</v>
      </c>
      <c r="C37" s="373">
        <f>'Продукция и цена '!$C$5</f>
        <v>15000</v>
      </c>
      <c r="D37" s="373">
        <f>C37</f>
        <v>15000</v>
      </c>
      <c r="E37" s="373">
        <f t="shared" ref="E37:N37" si="33">D37</f>
        <v>15000</v>
      </c>
      <c r="F37" s="373">
        <f t="shared" si="33"/>
        <v>15000</v>
      </c>
      <c r="G37" s="373">
        <f t="shared" si="33"/>
        <v>15000</v>
      </c>
      <c r="H37" s="373">
        <f t="shared" si="33"/>
        <v>15000</v>
      </c>
      <c r="I37" s="373">
        <f t="shared" si="33"/>
        <v>15000</v>
      </c>
      <c r="J37" s="373">
        <f t="shared" si="33"/>
        <v>15000</v>
      </c>
      <c r="K37" s="373">
        <f t="shared" si="33"/>
        <v>15000</v>
      </c>
      <c r="L37" s="373">
        <f t="shared" si="33"/>
        <v>15000</v>
      </c>
      <c r="M37" s="373">
        <f t="shared" si="33"/>
        <v>15000</v>
      </c>
      <c r="N37" s="373">
        <f t="shared" si="33"/>
        <v>15000</v>
      </c>
      <c r="O37" s="374">
        <f>SUM(C37:N37)/12</f>
        <v>15000</v>
      </c>
      <c r="P37" s="375">
        <f>'Продукция и цена '!$D$5</f>
        <v>17250</v>
      </c>
      <c r="Q37" s="373">
        <f>P37</f>
        <v>17250</v>
      </c>
      <c r="R37" s="373">
        <f t="shared" ref="R37:AA37" si="34">Q37</f>
        <v>17250</v>
      </c>
      <c r="S37" s="373">
        <f t="shared" si="34"/>
        <v>17250</v>
      </c>
      <c r="T37" s="373">
        <f t="shared" si="34"/>
        <v>17250</v>
      </c>
      <c r="U37" s="373">
        <f t="shared" si="34"/>
        <v>17250</v>
      </c>
      <c r="V37" s="373">
        <f t="shared" si="34"/>
        <v>17250</v>
      </c>
      <c r="W37" s="373">
        <f t="shared" si="34"/>
        <v>17250</v>
      </c>
      <c r="X37" s="373">
        <f t="shared" si="34"/>
        <v>17250</v>
      </c>
      <c r="Y37" s="373">
        <f t="shared" si="34"/>
        <v>17250</v>
      </c>
      <c r="Z37" s="373">
        <f t="shared" si="34"/>
        <v>17250</v>
      </c>
      <c r="AA37" s="373">
        <f t="shared" si="34"/>
        <v>17250</v>
      </c>
      <c r="AB37" s="374">
        <f>SUM(P37:AA37)/12</f>
        <v>17250</v>
      </c>
      <c r="AC37" s="376">
        <f>'Продукция и цена '!$E$5</f>
        <v>19837.5</v>
      </c>
      <c r="AD37" s="373">
        <f>AC37</f>
        <v>19837.5</v>
      </c>
      <c r="AE37" s="373">
        <f t="shared" ref="AE37:AN37" si="35">AD37</f>
        <v>19837.5</v>
      </c>
      <c r="AF37" s="373">
        <f t="shared" si="35"/>
        <v>19837.5</v>
      </c>
      <c r="AG37" s="373">
        <f t="shared" si="35"/>
        <v>19837.5</v>
      </c>
      <c r="AH37" s="373">
        <f t="shared" si="35"/>
        <v>19837.5</v>
      </c>
      <c r="AI37" s="373">
        <f t="shared" si="35"/>
        <v>19837.5</v>
      </c>
      <c r="AJ37" s="373">
        <f t="shared" si="35"/>
        <v>19837.5</v>
      </c>
      <c r="AK37" s="373">
        <f t="shared" si="35"/>
        <v>19837.5</v>
      </c>
      <c r="AL37" s="373">
        <f t="shared" si="35"/>
        <v>19837.5</v>
      </c>
      <c r="AM37" s="373">
        <f t="shared" si="35"/>
        <v>19837.5</v>
      </c>
      <c r="AN37" s="373">
        <f t="shared" si="35"/>
        <v>19837.5</v>
      </c>
      <c r="AO37" s="377">
        <f>SUM(AC37:AN37)/12</f>
        <v>19837.5</v>
      </c>
    </row>
    <row r="38" spans="1:41" s="346" customFormat="1" ht="14.25" outlineLevel="1">
      <c r="A38" s="386" t="s">
        <v>164</v>
      </c>
      <c r="B38" s="387" t="s">
        <v>491</v>
      </c>
      <c r="C38" s="388">
        <f>C39*C40</f>
        <v>50</v>
      </c>
      <c r="D38" s="388">
        <f t="shared" ref="D38:N38" si="36">D39*D40</f>
        <v>50</v>
      </c>
      <c r="E38" s="388">
        <f t="shared" si="36"/>
        <v>50</v>
      </c>
      <c r="F38" s="388">
        <f t="shared" si="36"/>
        <v>50</v>
      </c>
      <c r="G38" s="388">
        <f t="shared" si="36"/>
        <v>50</v>
      </c>
      <c r="H38" s="388">
        <f t="shared" si="36"/>
        <v>50</v>
      </c>
      <c r="I38" s="388">
        <f t="shared" si="36"/>
        <v>50</v>
      </c>
      <c r="J38" s="388">
        <f t="shared" si="36"/>
        <v>50</v>
      </c>
      <c r="K38" s="388">
        <f t="shared" si="36"/>
        <v>50</v>
      </c>
      <c r="L38" s="388">
        <f t="shared" si="36"/>
        <v>50</v>
      </c>
      <c r="M38" s="388">
        <f t="shared" si="36"/>
        <v>50</v>
      </c>
      <c r="N38" s="388">
        <f t="shared" si="36"/>
        <v>50</v>
      </c>
      <c r="O38" s="389">
        <f>SUM(C38:N38)</f>
        <v>600</v>
      </c>
      <c r="P38" s="379">
        <f>P39*P40</f>
        <v>75</v>
      </c>
      <c r="Q38" s="380">
        <f t="shared" ref="Q38:AA38" si="37">Q39*Q40</f>
        <v>75</v>
      </c>
      <c r="R38" s="380">
        <f t="shared" si="37"/>
        <v>75</v>
      </c>
      <c r="S38" s="380">
        <f t="shared" si="37"/>
        <v>75</v>
      </c>
      <c r="T38" s="380">
        <f t="shared" si="37"/>
        <v>75</v>
      </c>
      <c r="U38" s="380">
        <f t="shared" si="37"/>
        <v>75</v>
      </c>
      <c r="V38" s="380">
        <f t="shared" si="37"/>
        <v>75</v>
      </c>
      <c r="W38" s="380">
        <f t="shared" si="37"/>
        <v>75</v>
      </c>
      <c r="X38" s="380">
        <f t="shared" si="37"/>
        <v>75</v>
      </c>
      <c r="Y38" s="380">
        <f t="shared" si="37"/>
        <v>75</v>
      </c>
      <c r="Z38" s="380">
        <f t="shared" si="37"/>
        <v>75</v>
      </c>
      <c r="AA38" s="380">
        <f t="shared" si="37"/>
        <v>75</v>
      </c>
      <c r="AB38" s="352">
        <f>SUM(P38:AA38)</f>
        <v>900</v>
      </c>
      <c r="AC38" s="379">
        <f>AC39*AC40</f>
        <v>0</v>
      </c>
      <c r="AD38" s="380">
        <f t="shared" ref="AD38:AN38" si="38">AD39*AD40</f>
        <v>0</v>
      </c>
      <c r="AE38" s="380">
        <f t="shared" si="38"/>
        <v>0</v>
      </c>
      <c r="AF38" s="380">
        <f t="shared" si="38"/>
        <v>0</v>
      </c>
      <c r="AG38" s="380">
        <f t="shared" si="38"/>
        <v>0</v>
      </c>
      <c r="AH38" s="380">
        <f t="shared" si="38"/>
        <v>0</v>
      </c>
      <c r="AI38" s="380">
        <f t="shared" si="38"/>
        <v>0</v>
      </c>
      <c r="AJ38" s="380">
        <f t="shared" si="38"/>
        <v>0</v>
      </c>
      <c r="AK38" s="380">
        <f t="shared" si="38"/>
        <v>0</v>
      </c>
      <c r="AL38" s="380">
        <f t="shared" si="38"/>
        <v>0</v>
      </c>
      <c r="AM38" s="380">
        <f t="shared" si="38"/>
        <v>0</v>
      </c>
      <c r="AN38" s="380">
        <f t="shared" si="38"/>
        <v>0</v>
      </c>
      <c r="AO38" s="354">
        <f>SUM(AC38:AN38)</f>
        <v>0</v>
      </c>
    </row>
    <row r="39" spans="1:41" ht="30" outlineLevel="1">
      <c r="A39" s="283" t="s">
        <v>286</v>
      </c>
      <c r="B39" s="363" t="s">
        <v>259</v>
      </c>
      <c r="C39" s="364">
        <v>1</v>
      </c>
      <c r="D39" s="364">
        <v>1</v>
      </c>
      <c r="E39" s="364">
        <v>1</v>
      </c>
      <c r="F39" s="364">
        <v>1</v>
      </c>
      <c r="G39" s="364">
        <v>1</v>
      </c>
      <c r="H39" s="364">
        <v>1</v>
      </c>
      <c r="I39" s="364">
        <v>1</v>
      </c>
      <c r="J39" s="364">
        <v>1</v>
      </c>
      <c r="K39" s="364">
        <v>1</v>
      </c>
      <c r="L39" s="364">
        <v>1</v>
      </c>
      <c r="M39" s="364">
        <v>1</v>
      </c>
      <c r="N39" s="364">
        <v>1</v>
      </c>
      <c r="O39" s="359"/>
      <c r="P39" s="366">
        <v>1</v>
      </c>
      <c r="Q39" s="366">
        <v>1</v>
      </c>
      <c r="R39" s="366">
        <v>1</v>
      </c>
      <c r="S39" s="366">
        <v>1</v>
      </c>
      <c r="T39" s="366">
        <v>1</v>
      </c>
      <c r="U39" s="366">
        <v>1</v>
      </c>
      <c r="V39" s="366">
        <v>1</v>
      </c>
      <c r="W39" s="366">
        <v>1</v>
      </c>
      <c r="X39" s="366">
        <v>1</v>
      </c>
      <c r="Y39" s="366">
        <v>1</v>
      </c>
      <c r="Z39" s="366">
        <v>1</v>
      </c>
      <c r="AA39" s="366">
        <v>1</v>
      </c>
      <c r="AB39" s="359"/>
      <c r="AC39" s="366"/>
      <c r="AD39" s="364"/>
      <c r="AE39" s="364"/>
      <c r="AF39" s="364"/>
      <c r="AG39" s="364"/>
      <c r="AH39" s="364"/>
      <c r="AI39" s="364"/>
      <c r="AJ39" s="364"/>
      <c r="AK39" s="364"/>
      <c r="AL39" s="364"/>
      <c r="AM39" s="364"/>
      <c r="AN39" s="364"/>
      <c r="AO39" s="362"/>
    </row>
    <row r="40" spans="1:41" outlineLevel="1">
      <c r="A40" s="283" t="s">
        <v>287</v>
      </c>
      <c r="B40" s="367" t="s">
        <v>261</v>
      </c>
      <c r="C40" s="364">
        <v>50</v>
      </c>
      <c r="D40" s="364">
        <v>50</v>
      </c>
      <c r="E40" s="364">
        <v>50</v>
      </c>
      <c r="F40" s="364">
        <v>50</v>
      </c>
      <c r="G40" s="364">
        <v>50</v>
      </c>
      <c r="H40" s="364">
        <v>50</v>
      </c>
      <c r="I40" s="364">
        <v>50</v>
      </c>
      <c r="J40" s="364">
        <v>50</v>
      </c>
      <c r="K40" s="364">
        <v>50</v>
      </c>
      <c r="L40" s="364">
        <v>50</v>
      </c>
      <c r="M40" s="364">
        <v>50</v>
      </c>
      <c r="N40" s="364">
        <v>50</v>
      </c>
      <c r="O40" s="359"/>
      <c r="P40" s="366">
        <v>75</v>
      </c>
      <c r="Q40" s="366">
        <v>75</v>
      </c>
      <c r="R40" s="366">
        <v>75</v>
      </c>
      <c r="S40" s="366">
        <v>75</v>
      </c>
      <c r="T40" s="366">
        <v>75</v>
      </c>
      <c r="U40" s="366">
        <v>75</v>
      </c>
      <c r="V40" s="366">
        <v>75</v>
      </c>
      <c r="W40" s="366">
        <v>75</v>
      </c>
      <c r="X40" s="366">
        <v>75</v>
      </c>
      <c r="Y40" s="366">
        <v>75</v>
      </c>
      <c r="Z40" s="366">
        <v>75</v>
      </c>
      <c r="AA40" s="366">
        <v>75</v>
      </c>
      <c r="AB40" s="359"/>
      <c r="AC40" s="366"/>
      <c r="AD40" s="364"/>
      <c r="AE40" s="364"/>
      <c r="AF40" s="364"/>
      <c r="AG40" s="364"/>
      <c r="AH40" s="364"/>
      <c r="AI40" s="364"/>
      <c r="AJ40" s="364"/>
      <c r="AK40" s="364"/>
      <c r="AL40" s="364"/>
      <c r="AM40" s="364"/>
      <c r="AN40" s="364"/>
      <c r="AO40" s="362"/>
    </row>
    <row r="41" spans="1:41" outlineLevel="1">
      <c r="A41" s="283" t="s">
        <v>288</v>
      </c>
      <c r="B41" s="363" t="s">
        <v>263</v>
      </c>
      <c r="C41" s="368">
        <f>C38/'Продукция и цена '!$C$5</f>
        <v>3.3333333333333335E-3</v>
      </c>
      <c r="D41" s="368">
        <f>D38/'Продукция и цена '!$C$5</f>
        <v>3.3333333333333335E-3</v>
      </c>
      <c r="E41" s="368">
        <f>E38/'Продукция и цена '!$C$5</f>
        <v>3.3333333333333335E-3</v>
      </c>
      <c r="F41" s="368">
        <f>F38/'Продукция и цена '!$C$5</f>
        <v>3.3333333333333335E-3</v>
      </c>
      <c r="G41" s="368">
        <f>G38/'Продукция и цена '!$C$5</f>
        <v>3.3333333333333335E-3</v>
      </c>
      <c r="H41" s="368">
        <f>H38/'Продукция и цена '!$C$5</f>
        <v>3.3333333333333335E-3</v>
      </c>
      <c r="I41" s="368">
        <f>I38/'Продукция и цена '!$C$5</f>
        <v>3.3333333333333335E-3</v>
      </c>
      <c r="J41" s="368">
        <f>J38/'Продукция и цена '!$C$5</f>
        <v>3.3333333333333335E-3</v>
      </c>
      <c r="K41" s="368">
        <f>K38/'Продукция и цена '!$C$5</f>
        <v>3.3333333333333335E-3</v>
      </c>
      <c r="L41" s="368">
        <f>L38/'Продукция и цена '!$C$5</f>
        <v>3.3333333333333335E-3</v>
      </c>
      <c r="M41" s="368">
        <f>M38/'Продукция и цена '!$C$5</f>
        <v>3.3333333333333335E-3</v>
      </c>
      <c r="N41" s="368">
        <f>N38/'Продукция и цена '!$C$5</f>
        <v>3.3333333333333335E-3</v>
      </c>
      <c r="O41" s="359">
        <f>SUM(C41:N41)/12</f>
        <v>3.3333333333333335E-3</v>
      </c>
      <c r="P41" s="370">
        <f>P38/'Продукция и цена '!$D$5</f>
        <v>4.3478260869565218E-3</v>
      </c>
      <c r="Q41" s="368">
        <f>Q38/'Продукция и цена '!$D$5</f>
        <v>4.3478260869565218E-3</v>
      </c>
      <c r="R41" s="368">
        <f>R38/'Продукция и цена '!$D$5</f>
        <v>4.3478260869565218E-3</v>
      </c>
      <c r="S41" s="368">
        <f>S38/'Продукция и цена '!$D$5</f>
        <v>4.3478260869565218E-3</v>
      </c>
      <c r="T41" s="368">
        <f>T38/'Продукция и цена '!$D$5</f>
        <v>4.3478260869565218E-3</v>
      </c>
      <c r="U41" s="368">
        <f>U38/'Продукция и цена '!$D$5</f>
        <v>4.3478260869565218E-3</v>
      </c>
      <c r="V41" s="368">
        <f>V38/'Продукция и цена '!$D$5</f>
        <v>4.3478260869565218E-3</v>
      </c>
      <c r="W41" s="368">
        <f>W38/'Продукция и цена '!$D$5</f>
        <v>4.3478260869565218E-3</v>
      </c>
      <c r="X41" s="368">
        <f>X38/'Продукция и цена '!$D$5</f>
        <v>4.3478260869565218E-3</v>
      </c>
      <c r="Y41" s="368">
        <f>Y38/'Продукция и цена '!$D$5</f>
        <v>4.3478260869565218E-3</v>
      </c>
      <c r="Z41" s="368">
        <f>Z38/'Продукция и цена '!$D$5</f>
        <v>4.3478260869565218E-3</v>
      </c>
      <c r="AA41" s="368">
        <f>AA38/'Продукция и цена '!$D$5</f>
        <v>4.3478260869565218E-3</v>
      </c>
      <c r="AB41" s="359">
        <f>SUM(P41:AA41)/12</f>
        <v>4.3478260869565227E-3</v>
      </c>
      <c r="AC41" s="370">
        <f>AC38/'Продукция и цена '!$E$5</f>
        <v>0</v>
      </c>
      <c r="AD41" s="368">
        <f>AD38/'Продукция и цена '!$E$5</f>
        <v>0</v>
      </c>
      <c r="AE41" s="368">
        <f>AE38/'Продукция и цена '!$E$5</f>
        <v>0</v>
      </c>
      <c r="AF41" s="368">
        <f>AF38/'Продукция и цена '!$E$5</f>
        <v>0</v>
      </c>
      <c r="AG41" s="368">
        <f>AG38/'Продукция и цена '!$E$5</f>
        <v>0</v>
      </c>
      <c r="AH41" s="368">
        <f>AH38/'Продукция и цена '!$E$5</f>
        <v>0</v>
      </c>
      <c r="AI41" s="368">
        <f>AI38/'Продукция и цена '!$E$5</f>
        <v>0</v>
      </c>
      <c r="AJ41" s="368">
        <f>AJ38/'Продукция и цена '!$E$5</f>
        <v>0</v>
      </c>
      <c r="AK41" s="368">
        <f>AK38/'Продукция и цена '!$E$5</f>
        <v>0</v>
      </c>
      <c r="AL41" s="368">
        <f>AL38/'Продукция и цена '!$E$5</f>
        <v>0</v>
      </c>
      <c r="AM41" s="368">
        <f>AM38/'Продукция и цена '!$E$5</f>
        <v>0</v>
      </c>
      <c r="AN41" s="368">
        <f>AN38/'Продукция и цена '!$E$5</f>
        <v>0</v>
      </c>
      <c r="AO41" s="362">
        <f>SUM(AC41:AN41)/12</f>
        <v>0</v>
      </c>
    </row>
    <row r="42" spans="1:41" outlineLevel="1">
      <c r="A42" s="371" t="s">
        <v>289</v>
      </c>
      <c r="B42" s="372" t="s">
        <v>265</v>
      </c>
      <c r="C42" s="373">
        <f>'Продукция и цена '!$C$5</f>
        <v>15000</v>
      </c>
      <c r="D42" s="373">
        <f>C42</f>
        <v>15000</v>
      </c>
      <c r="E42" s="373">
        <f t="shared" ref="E42:N42" si="39">D42</f>
        <v>15000</v>
      </c>
      <c r="F42" s="373">
        <f t="shared" si="39"/>
        <v>15000</v>
      </c>
      <c r="G42" s="373">
        <f t="shared" si="39"/>
        <v>15000</v>
      </c>
      <c r="H42" s="373">
        <f t="shared" si="39"/>
        <v>15000</v>
      </c>
      <c r="I42" s="373">
        <f t="shared" si="39"/>
        <v>15000</v>
      </c>
      <c r="J42" s="373">
        <f t="shared" si="39"/>
        <v>15000</v>
      </c>
      <c r="K42" s="373">
        <f t="shared" si="39"/>
        <v>15000</v>
      </c>
      <c r="L42" s="373">
        <f t="shared" si="39"/>
        <v>15000</v>
      </c>
      <c r="M42" s="373">
        <f t="shared" si="39"/>
        <v>15000</v>
      </c>
      <c r="N42" s="373">
        <f t="shared" si="39"/>
        <v>15000</v>
      </c>
      <c r="O42" s="374">
        <f>SUM(C42:N42)/12</f>
        <v>15000</v>
      </c>
      <c r="P42" s="376">
        <f>'Продукция и цена '!$D$5</f>
        <v>17250</v>
      </c>
      <c r="Q42" s="373">
        <f>P42</f>
        <v>17250</v>
      </c>
      <c r="R42" s="373">
        <f t="shared" ref="R42:AA42" si="40">Q42</f>
        <v>17250</v>
      </c>
      <c r="S42" s="373">
        <f t="shared" si="40"/>
        <v>17250</v>
      </c>
      <c r="T42" s="373">
        <f t="shared" si="40"/>
        <v>17250</v>
      </c>
      <c r="U42" s="373">
        <f t="shared" si="40"/>
        <v>17250</v>
      </c>
      <c r="V42" s="373">
        <f t="shared" si="40"/>
        <v>17250</v>
      </c>
      <c r="W42" s="373">
        <f t="shared" si="40"/>
        <v>17250</v>
      </c>
      <c r="X42" s="373">
        <f t="shared" si="40"/>
        <v>17250</v>
      </c>
      <c r="Y42" s="373">
        <f t="shared" si="40"/>
        <v>17250</v>
      </c>
      <c r="Z42" s="373">
        <f t="shared" si="40"/>
        <v>17250</v>
      </c>
      <c r="AA42" s="373">
        <f t="shared" si="40"/>
        <v>17250</v>
      </c>
      <c r="AB42" s="374">
        <f>SUM(P42:AA42)/12</f>
        <v>17250</v>
      </c>
      <c r="AC42" s="376">
        <f>'Продукция и цена '!$E$5</f>
        <v>19837.5</v>
      </c>
      <c r="AD42" s="373">
        <f>AC42</f>
        <v>19837.5</v>
      </c>
      <c r="AE42" s="373">
        <f t="shared" ref="AE42:AN42" si="41">AD42</f>
        <v>19837.5</v>
      </c>
      <c r="AF42" s="373">
        <f t="shared" si="41"/>
        <v>19837.5</v>
      </c>
      <c r="AG42" s="373">
        <f t="shared" si="41"/>
        <v>19837.5</v>
      </c>
      <c r="AH42" s="373">
        <f t="shared" si="41"/>
        <v>19837.5</v>
      </c>
      <c r="AI42" s="373">
        <f t="shared" si="41"/>
        <v>19837.5</v>
      </c>
      <c r="AJ42" s="373">
        <f t="shared" si="41"/>
        <v>19837.5</v>
      </c>
      <c r="AK42" s="373">
        <f t="shared" si="41"/>
        <v>19837.5</v>
      </c>
      <c r="AL42" s="373">
        <f t="shared" si="41"/>
        <v>19837.5</v>
      </c>
      <c r="AM42" s="373">
        <f t="shared" si="41"/>
        <v>19837.5</v>
      </c>
      <c r="AN42" s="373">
        <f t="shared" si="41"/>
        <v>19837.5</v>
      </c>
      <c r="AO42" s="377">
        <f>SUM(AC42:AN42)/12</f>
        <v>19837.5</v>
      </c>
    </row>
    <row r="43" spans="1:41" s="346" customFormat="1" ht="14.25" outlineLevel="1">
      <c r="A43" s="378" t="s">
        <v>165</v>
      </c>
      <c r="B43" s="381" t="s">
        <v>249</v>
      </c>
      <c r="C43" s="380">
        <f>C44*C45</f>
        <v>0</v>
      </c>
      <c r="D43" s="380">
        <f t="shared" ref="D43:N43" si="42">D44*D45</f>
        <v>0</v>
      </c>
      <c r="E43" s="380">
        <f t="shared" si="42"/>
        <v>0</v>
      </c>
      <c r="F43" s="380">
        <f t="shared" si="42"/>
        <v>0</v>
      </c>
      <c r="G43" s="380">
        <f t="shared" si="42"/>
        <v>0</v>
      </c>
      <c r="H43" s="380">
        <f t="shared" si="42"/>
        <v>0</v>
      </c>
      <c r="I43" s="380">
        <f t="shared" si="42"/>
        <v>0</v>
      </c>
      <c r="J43" s="380">
        <f t="shared" si="42"/>
        <v>0</v>
      </c>
      <c r="K43" s="380">
        <f t="shared" si="42"/>
        <v>0</v>
      </c>
      <c r="L43" s="380">
        <f t="shared" si="42"/>
        <v>0</v>
      </c>
      <c r="M43" s="380">
        <f t="shared" si="42"/>
        <v>0</v>
      </c>
      <c r="N43" s="380">
        <f t="shared" si="42"/>
        <v>0</v>
      </c>
      <c r="O43" s="352">
        <f>SUM(C43:N43)</f>
        <v>0</v>
      </c>
      <c r="P43" s="379">
        <f>P44*P45</f>
        <v>0</v>
      </c>
      <c r="Q43" s="380">
        <f t="shared" ref="Q43:AA43" si="43">Q44*Q45</f>
        <v>0</v>
      </c>
      <c r="R43" s="380">
        <f t="shared" si="43"/>
        <v>0</v>
      </c>
      <c r="S43" s="380">
        <f t="shared" si="43"/>
        <v>0</v>
      </c>
      <c r="T43" s="380">
        <f t="shared" si="43"/>
        <v>0</v>
      </c>
      <c r="U43" s="380">
        <f t="shared" si="43"/>
        <v>0</v>
      </c>
      <c r="V43" s="380">
        <f t="shared" si="43"/>
        <v>0</v>
      </c>
      <c r="W43" s="380">
        <f t="shared" si="43"/>
        <v>0</v>
      </c>
      <c r="X43" s="380">
        <f t="shared" si="43"/>
        <v>0</v>
      </c>
      <c r="Y43" s="380">
        <f t="shared" si="43"/>
        <v>0</v>
      </c>
      <c r="Z43" s="380">
        <f t="shared" si="43"/>
        <v>0</v>
      </c>
      <c r="AA43" s="380">
        <f t="shared" si="43"/>
        <v>0</v>
      </c>
      <c r="AB43" s="352">
        <f>SUM(P43:AA43)</f>
        <v>0</v>
      </c>
      <c r="AC43" s="379">
        <f>AC44*AC45</f>
        <v>0</v>
      </c>
      <c r="AD43" s="380">
        <f t="shared" ref="AD43:AN43" si="44">AD44*AD45</f>
        <v>0</v>
      </c>
      <c r="AE43" s="380">
        <f t="shared" si="44"/>
        <v>0</v>
      </c>
      <c r="AF43" s="380">
        <f t="shared" si="44"/>
        <v>0</v>
      </c>
      <c r="AG43" s="380">
        <f t="shared" si="44"/>
        <v>0</v>
      </c>
      <c r="AH43" s="380">
        <f t="shared" si="44"/>
        <v>0</v>
      </c>
      <c r="AI43" s="380">
        <f t="shared" si="44"/>
        <v>0</v>
      </c>
      <c r="AJ43" s="380">
        <f t="shared" si="44"/>
        <v>0</v>
      </c>
      <c r="AK43" s="380">
        <f t="shared" si="44"/>
        <v>0</v>
      </c>
      <c r="AL43" s="380">
        <f t="shared" si="44"/>
        <v>0</v>
      </c>
      <c r="AM43" s="380">
        <f t="shared" si="44"/>
        <v>0</v>
      </c>
      <c r="AN43" s="380">
        <f t="shared" si="44"/>
        <v>0</v>
      </c>
      <c r="AO43" s="354">
        <f>SUM(AC43:AN43)</f>
        <v>0</v>
      </c>
    </row>
    <row r="44" spans="1:41" ht="30" outlineLevel="1">
      <c r="A44" s="283" t="s">
        <v>290</v>
      </c>
      <c r="B44" s="363" t="s">
        <v>259</v>
      </c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59"/>
      <c r="P44" s="366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64"/>
      <c r="AB44" s="359"/>
      <c r="AC44" s="366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2"/>
    </row>
    <row r="45" spans="1:41" outlineLevel="1">
      <c r="A45" s="283" t="s">
        <v>291</v>
      </c>
      <c r="B45" s="367" t="s">
        <v>261</v>
      </c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59"/>
      <c r="P45" s="366"/>
      <c r="Q45" s="364"/>
      <c r="R45" s="364"/>
      <c r="S45" s="364"/>
      <c r="T45" s="364"/>
      <c r="U45" s="364"/>
      <c r="V45" s="364"/>
      <c r="W45" s="364"/>
      <c r="X45" s="364"/>
      <c r="Y45" s="364"/>
      <c r="Z45" s="364"/>
      <c r="AA45" s="364"/>
      <c r="AB45" s="359"/>
      <c r="AC45" s="366"/>
      <c r="AD45" s="364"/>
      <c r="AE45" s="364"/>
      <c r="AF45" s="364"/>
      <c r="AG45" s="364"/>
      <c r="AH45" s="364"/>
      <c r="AI45" s="364"/>
      <c r="AJ45" s="364"/>
      <c r="AK45" s="364"/>
      <c r="AL45" s="364"/>
      <c r="AM45" s="364"/>
      <c r="AN45" s="364"/>
      <c r="AO45" s="362"/>
    </row>
    <row r="46" spans="1:41" outlineLevel="1">
      <c r="A46" s="283" t="s">
        <v>292</v>
      </c>
      <c r="B46" s="363" t="s">
        <v>263</v>
      </c>
      <c r="C46" s="368">
        <f>C43/'Продукция и цена '!$C$5</f>
        <v>0</v>
      </c>
      <c r="D46" s="368">
        <f>D43/'Продукция и цена '!$C$5</f>
        <v>0</v>
      </c>
      <c r="E46" s="368">
        <f>E43/'Продукция и цена '!$C$5</f>
        <v>0</v>
      </c>
      <c r="F46" s="368">
        <f>F43/'Продукция и цена '!$C$5</f>
        <v>0</v>
      </c>
      <c r="G46" s="368">
        <f>G43/'Продукция и цена '!$C$5</f>
        <v>0</v>
      </c>
      <c r="H46" s="368">
        <f>H43/'Продукция и цена '!$C$5</f>
        <v>0</v>
      </c>
      <c r="I46" s="368">
        <f>I43/'Продукция и цена '!$C$5</f>
        <v>0</v>
      </c>
      <c r="J46" s="368">
        <f>J43/'Продукция и цена '!$C$5</f>
        <v>0</v>
      </c>
      <c r="K46" s="368">
        <f>K43/'Продукция и цена '!$C$5</f>
        <v>0</v>
      </c>
      <c r="L46" s="368">
        <f>L43/'Продукция и цена '!$C$5</f>
        <v>0</v>
      </c>
      <c r="M46" s="368">
        <f>M43/'Продукция и цена '!$C$5</f>
        <v>0</v>
      </c>
      <c r="N46" s="368">
        <f>N43/'Продукция и цена '!$C$5</f>
        <v>0</v>
      </c>
      <c r="O46" s="359">
        <f>SUM(C46:N46)/12</f>
        <v>0</v>
      </c>
      <c r="P46" s="370">
        <f>P43/'Продукция и цена '!$D$5</f>
        <v>0</v>
      </c>
      <c r="Q46" s="368">
        <f>Q43/'Продукция и цена '!$D$5</f>
        <v>0</v>
      </c>
      <c r="R46" s="368">
        <f>R43/'Продукция и цена '!$D$5</f>
        <v>0</v>
      </c>
      <c r="S46" s="368">
        <f>S43/'Продукция и цена '!$D$5</f>
        <v>0</v>
      </c>
      <c r="T46" s="368">
        <f>T43/'Продукция и цена '!$D$5</f>
        <v>0</v>
      </c>
      <c r="U46" s="368">
        <f>U43/'Продукция и цена '!$D$5</f>
        <v>0</v>
      </c>
      <c r="V46" s="368">
        <f>V43/'Продукция и цена '!$D$5</f>
        <v>0</v>
      </c>
      <c r="W46" s="368">
        <f>W43/'Продукция и цена '!$D$5</f>
        <v>0</v>
      </c>
      <c r="X46" s="368">
        <f>X43/'Продукция и цена '!$D$5</f>
        <v>0</v>
      </c>
      <c r="Y46" s="368">
        <f>Y43/'Продукция и цена '!$D$5</f>
        <v>0</v>
      </c>
      <c r="Z46" s="368">
        <f>Z43/'Продукция и цена '!$D$5</f>
        <v>0</v>
      </c>
      <c r="AA46" s="368">
        <f>AA43/'Продукция и цена '!$D$5</f>
        <v>0</v>
      </c>
      <c r="AB46" s="359">
        <f>SUM(P46:AA46)/12</f>
        <v>0</v>
      </c>
      <c r="AC46" s="370">
        <f>AC43/'Продукция и цена '!$E$5</f>
        <v>0</v>
      </c>
      <c r="AD46" s="368">
        <f>AD43/'Продукция и цена '!$E$5</f>
        <v>0</v>
      </c>
      <c r="AE46" s="368">
        <f>AE43/'Продукция и цена '!$E$5</f>
        <v>0</v>
      </c>
      <c r="AF46" s="368">
        <f>AF43/'Продукция и цена '!$E$5</f>
        <v>0</v>
      </c>
      <c r="AG46" s="368">
        <f>AG43/'Продукция и цена '!$E$5</f>
        <v>0</v>
      </c>
      <c r="AH46" s="368">
        <f>AH43/'Продукция и цена '!$E$5</f>
        <v>0</v>
      </c>
      <c r="AI46" s="368">
        <f>AI43/'Продукция и цена '!$E$5</f>
        <v>0</v>
      </c>
      <c r="AJ46" s="368">
        <f>AJ43/'Продукция и цена '!$E$5</f>
        <v>0</v>
      </c>
      <c r="AK46" s="368">
        <f>AK43/'Продукция и цена '!$E$5</f>
        <v>0</v>
      </c>
      <c r="AL46" s="368">
        <f>AL43/'Продукция и цена '!$E$5</f>
        <v>0</v>
      </c>
      <c r="AM46" s="368">
        <f>AM43/'Продукция и цена '!$E$5</f>
        <v>0</v>
      </c>
      <c r="AN46" s="368">
        <f>AN43/'Продукция и цена '!$E$5</f>
        <v>0</v>
      </c>
      <c r="AO46" s="362">
        <f>SUM(AC46:AN46)/12</f>
        <v>0</v>
      </c>
    </row>
    <row r="47" spans="1:41" outlineLevel="1">
      <c r="A47" s="371" t="s">
        <v>293</v>
      </c>
      <c r="B47" s="372" t="s">
        <v>265</v>
      </c>
      <c r="C47" s="373">
        <f>'Продукция и цена '!$C$5</f>
        <v>15000</v>
      </c>
      <c r="D47" s="373">
        <f>C47</f>
        <v>15000</v>
      </c>
      <c r="E47" s="373">
        <f t="shared" ref="E47:N47" si="45">D47</f>
        <v>15000</v>
      </c>
      <c r="F47" s="373">
        <f t="shared" si="45"/>
        <v>15000</v>
      </c>
      <c r="G47" s="373">
        <f t="shared" si="45"/>
        <v>15000</v>
      </c>
      <c r="H47" s="373">
        <f t="shared" si="45"/>
        <v>15000</v>
      </c>
      <c r="I47" s="373">
        <f t="shared" si="45"/>
        <v>15000</v>
      </c>
      <c r="J47" s="373">
        <f t="shared" si="45"/>
        <v>15000</v>
      </c>
      <c r="K47" s="373">
        <f t="shared" si="45"/>
        <v>15000</v>
      </c>
      <c r="L47" s="373">
        <f t="shared" si="45"/>
        <v>15000</v>
      </c>
      <c r="M47" s="373">
        <f t="shared" si="45"/>
        <v>15000</v>
      </c>
      <c r="N47" s="373">
        <f t="shared" si="45"/>
        <v>15000</v>
      </c>
      <c r="O47" s="374">
        <f>SUM(C47:N47)/12</f>
        <v>15000</v>
      </c>
      <c r="P47" s="376">
        <f>'Продукция и цена '!$D$5</f>
        <v>17250</v>
      </c>
      <c r="Q47" s="373">
        <f>P47</f>
        <v>17250</v>
      </c>
      <c r="R47" s="373">
        <f t="shared" ref="R47:AA47" si="46">Q47</f>
        <v>17250</v>
      </c>
      <c r="S47" s="373">
        <f t="shared" si="46"/>
        <v>17250</v>
      </c>
      <c r="T47" s="373">
        <f t="shared" si="46"/>
        <v>17250</v>
      </c>
      <c r="U47" s="373">
        <f t="shared" si="46"/>
        <v>17250</v>
      </c>
      <c r="V47" s="373">
        <f t="shared" si="46"/>
        <v>17250</v>
      </c>
      <c r="W47" s="373">
        <f t="shared" si="46"/>
        <v>17250</v>
      </c>
      <c r="X47" s="373">
        <f t="shared" si="46"/>
        <v>17250</v>
      </c>
      <c r="Y47" s="373">
        <f t="shared" si="46"/>
        <v>17250</v>
      </c>
      <c r="Z47" s="373">
        <f t="shared" si="46"/>
        <v>17250</v>
      </c>
      <c r="AA47" s="373">
        <f t="shared" si="46"/>
        <v>17250</v>
      </c>
      <c r="AB47" s="374">
        <f>SUM(P47:AA47)/12</f>
        <v>17250</v>
      </c>
      <c r="AC47" s="376">
        <f>'Продукция и цена '!$E$5</f>
        <v>19837.5</v>
      </c>
      <c r="AD47" s="373">
        <f>AC47</f>
        <v>19837.5</v>
      </c>
      <c r="AE47" s="373">
        <f t="shared" ref="AE47:AN47" si="47">AD47</f>
        <v>19837.5</v>
      </c>
      <c r="AF47" s="373">
        <f t="shared" si="47"/>
        <v>19837.5</v>
      </c>
      <c r="AG47" s="373">
        <f t="shared" si="47"/>
        <v>19837.5</v>
      </c>
      <c r="AH47" s="373">
        <f t="shared" si="47"/>
        <v>19837.5</v>
      </c>
      <c r="AI47" s="373">
        <f t="shared" si="47"/>
        <v>19837.5</v>
      </c>
      <c r="AJ47" s="373">
        <f t="shared" si="47"/>
        <v>19837.5</v>
      </c>
      <c r="AK47" s="373">
        <f t="shared" si="47"/>
        <v>19837.5</v>
      </c>
      <c r="AL47" s="373">
        <f t="shared" si="47"/>
        <v>19837.5</v>
      </c>
      <c r="AM47" s="373">
        <f t="shared" si="47"/>
        <v>19837.5</v>
      </c>
      <c r="AN47" s="373">
        <f t="shared" si="47"/>
        <v>19837.5</v>
      </c>
      <c r="AO47" s="377">
        <f>SUM(AC47:AN47)/12</f>
        <v>19837.5</v>
      </c>
    </row>
    <row r="48" spans="1:41" s="346" customFormat="1" ht="14.25" outlineLevel="1">
      <c r="A48" s="378" t="s">
        <v>166</v>
      </c>
      <c r="B48" s="381" t="s">
        <v>250</v>
      </c>
      <c r="C48" s="380">
        <f>C49*C50</f>
        <v>0</v>
      </c>
      <c r="D48" s="380">
        <f t="shared" ref="D48:N48" si="48">D49*D50</f>
        <v>0</v>
      </c>
      <c r="E48" s="380">
        <f t="shared" si="48"/>
        <v>0</v>
      </c>
      <c r="F48" s="380">
        <f t="shared" si="48"/>
        <v>0</v>
      </c>
      <c r="G48" s="380">
        <f t="shared" si="48"/>
        <v>0</v>
      </c>
      <c r="H48" s="380">
        <f t="shared" si="48"/>
        <v>0</v>
      </c>
      <c r="I48" s="380">
        <f t="shared" si="48"/>
        <v>0</v>
      </c>
      <c r="J48" s="380">
        <f t="shared" si="48"/>
        <v>0</v>
      </c>
      <c r="K48" s="380">
        <f t="shared" si="48"/>
        <v>0</v>
      </c>
      <c r="L48" s="380">
        <f t="shared" si="48"/>
        <v>0</v>
      </c>
      <c r="M48" s="380">
        <f t="shared" si="48"/>
        <v>0</v>
      </c>
      <c r="N48" s="380">
        <f t="shared" si="48"/>
        <v>0</v>
      </c>
      <c r="O48" s="352">
        <f>SUM(C48:N48)</f>
        <v>0</v>
      </c>
      <c r="P48" s="379">
        <f>P49*P50</f>
        <v>0</v>
      </c>
      <c r="Q48" s="380">
        <f t="shared" ref="Q48:AA48" si="49">Q49*Q50</f>
        <v>0</v>
      </c>
      <c r="R48" s="380">
        <f t="shared" si="49"/>
        <v>0</v>
      </c>
      <c r="S48" s="380">
        <f t="shared" si="49"/>
        <v>0</v>
      </c>
      <c r="T48" s="380">
        <f t="shared" si="49"/>
        <v>0</v>
      </c>
      <c r="U48" s="380">
        <f t="shared" si="49"/>
        <v>0</v>
      </c>
      <c r="V48" s="380">
        <f t="shared" si="49"/>
        <v>0</v>
      </c>
      <c r="W48" s="380">
        <f t="shared" si="49"/>
        <v>0</v>
      </c>
      <c r="X48" s="380">
        <f t="shared" si="49"/>
        <v>0</v>
      </c>
      <c r="Y48" s="380">
        <f t="shared" si="49"/>
        <v>0</v>
      </c>
      <c r="Z48" s="380">
        <f t="shared" si="49"/>
        <v>0</v>
      </c>
      <c r="AA48" s="380">
        <f t="shared" si="49"/>
        <v>0</v>
      </c>
      <c r="AB48" s="352">
        <f>SUM(P48:AA48)</f>
        <v>0</v>
      </c>
      <c r="AC48" s="379">
        <f>AC49*AC50</f>
        <v>0</v>
      </c>
      <c r="AD48" s="380">
        <f t="shared" ref="AD48:AN48" si="50">AD49*AD50</f>
        <v>0</v>
      </c>
      <c r="AE48" s="380">
        <f t="shared" si="50"/>
        <v>0</v>
      </c>
      <c r="AF48" s="380">
        <f t="shared" si="50"/>
        <v>0</v>
      </c>
      <c r="AG48" s="380">
        <f t="shared" si="50"/>
        <v>0</v>
      </c>
      <c r="AH48" s="380">
        <f t="shared" si="50"/>
        <v>0</v>
      </c>
      <c r="AI48" s="380">
        <f t="shared" si="50"/>
        <v>0</v>
      </c>
      <c r="AJ48" s="380">
        <f t="shared" si="50"/>
        <v>0</v>
      </c>
      <c r="AK48" s="380">
        <f t="shared" si="50"/>
        <v>0</v>
      </c>
      <c r="AL48" s="380">
        <f t="shared" si="50"/>
        <v>0</v>
      </c>
      <c r="AM48" s="380">
        <f t="shared" si="50"/>
        <v>0</v>
      </c>
      <c r="AN48" s="380">
        <f t="shared" si="50"/>
        <v>0</v>
      </c>
      <c r="AO48" s="354">
        <f>SUM(AC48:AN48)</f>
        <v>0</v>
      </c>
    </row>
    <row r="49" spans="1:41" ht="30" outlineLevel="1">
      <c r="A49" s="283" t="s">
        <v>294</v>
      </c>
      <c r="B49" s="363" t="s">
        <v>259</v>
      </c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59"/>
      <c r="P49" s="366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59"/>
      <c r="AC49" s="366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2"/>
    </row>
    <row r="50" spans="1:41" outlineLevel="1">
      <c r="A50" s="283" t="s">
        <v>295</v>
      </c>
      <c r="B50" s="367" t="s">
        <v>261</v>
      </c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59"/>
      <c r="P50" s="366"/>
      <c r="Q50" s="364"/>
      <c r="R50" s="364"/>
      <c r="S50" s="364"/>
      <c r="T50" s="364"/>
      <c r="U50" s="364"/>
      <c r="V50" s="364"/>
      <c r="W50" s="364"/>
      <c r="X50" s="364"/>
      <c r="Y50" s="364"/>
      <c r="Z50" s="364"/>
      <c r="AA50" s="364"/>
      <c r="AB50" s="359"/>
      <c r="AC50" s="366"/>
      <c r="AD50" s="364"/>
      <c r="AE50" s="364"/>
      <c r="AF50" s="364"/>
      <c r="AG50" s="364"/>
      <c r="AH50" s="364"/>
      <c r="AI50" s="364"/>
      <c r="AJ50" s="364"/>
      <c r="AK50" s="364"/>
      <c r="AL50" s="364"/>
      <c r="AM50" s="364"/>
      <c r="AN50" s="364"/>
      <c r="AO50" s="362"/>
    </row>
    <row r="51" spans="1:41" outlineLevel="1">
      <c r="A51" s="283" t="s">
        <v>296</v>
      </c>
      <c r="B51" s="363" t="s">
        <v>263</v>
      </c>
      <c r="C51" s="368">
        <f>C48/'Продукция и цена '!$C$5</f>
        <v>0</v>
      </c>
      <c r="D51" s="368">
        <f>D48/'Продукция и цена '!$C$5</f>
        <v>0</v>
      </c>
      <c r="E51" s="368">
        <f>E48/'Продукция и цена '!$C$5</f>
        <v>0</v>
      </c>
      <c r="F51" s="368">
        <f>F48/'Продукция и цена '!$C$5</f>
        <v>0</v>
      </c>
      <c r="G51" s="368">
        <f>G48/'Продукция и цена '!$C$5</f>
        <v>0</v>
      </c>
      <c r="H51" s="368">
        <f>H48/'Продукция и цена '!$C$5</f>
        <v>0</v>
      </c>
      <c r="I51" s="368">
        <f>I48/'Продукция и цена '!$C$5</f>
        <v>0</v>
      </c>
      <c r="J51" s="368">
        <f>J48/'Продукция и цена '!$C$5</f>
        <v>0</v>
      </c>
      <c r="K51" s="368">
        <f>K48/'Продукция и цена '!$C$5</f>
        <v>0</v>
      </c>
      <c r="L51" s="368">
        <f>L48/'Продукция и цена '!$C$5</f>
        <v>0</v>
      </c>
      <c r="M51" s="368">
        <f>M48/'Продукция и цена '!$C$5</f>
        <v>0</v>
      </c>
      <c r="N51" s="368">
        <f>N48/'Продукция и цена '!$C$5</f>
        <v>0</v>
      </c>
      <c r="O51" s="359">
        <f>SUM(C51:N51)/12</f>
        <v>0</v>
      </c>
      <c r="P51" s="370">
        <f>P48/'Продукция и цена '!$D$5</f>
        <v>0</v>
      </c>
      <c r="Q51" s="368">
        <f>Q48/'Продукция и цена '!$D$5</f>
        <v>0</v>
      </c>
      <c r="R51" s="368">
        <f>R48/'Продукция и цена '!$D$5</f>
        <v>0</v>
      </c>
      <c r="S51" s="368">
        <f>S48/'Продукция и цена '!$D$5</f>
        <v>0</v>
      </c>
      <c r="T51" s="368">
        <f>T48/'Продукция и цена '!$D$5</f>
        <v>0</v>
      </c>
      <c r="U51" s="368">
        <f>U48/'Продукция и цена '!$D$5</f>
        <v>0</v>
      </c>
      <c r="V51" s="368">
        <f>V48/'Продукция и цена '!$D$5</f>
        <v>0</v>
      </c>
      <c r="W51" s="368">
        <f>W48/'Продукция и цена '!$D$5</f>
        <v>0</v>
      </c>
      <c r="X51" s="368">
        <f>X48/'Продукция и цена '!$D$5</f>
        <v>0</v>
      </c>
      <c r="Y51" s="368">
        <f>Y48/'Продукция и цена '!$D$5</f>
        <v>0</v>
      </c>
      <c r="Z51" s="368">
        <f>Z48/'Продукция и цена '!$D$5</f>
        <v>0</v>
      </c>
      <c r="AA51" s="368">
        <f>AA48/'Продукция и цена '!$D$5</f>
        <v>0</v>
      </c>
      <c r="AB51" s="359">
        <f>SUM(P51:AA51)/12</f>
        <v>0</v>
      </c>
      <c r="AC51" s="370">
        <f>AC48/'Продукция и цена '!$E$5</f>
        <v>0</v>
      </c>
      <c r="AD51" s="368">
        <f>AD48/'Продукция и цена '!$E$5</f>
        <v>0</v>
      </c>
      <c r="AE51" s="368">
        <f>AE48/'Продукция и цена '!$E$5</f>
        <v>0</v>
      </c>
      <c r="AF51" s="368">
        <f>AF48/'Продукция и цена '!$E$5</f>
        <v>0</v>
      </c>
      <c r="AG51" s="368">
        <f>AG48/'Продукция и цена '!$E$5</f>
        <v>0</v>
      </c>
      <c r="AH51" s="368">
        <f>AH48/'Продукция и цена '!$E$5</f>
        <v>0</v>
      </c>
      <c r="AI51" s="368">
        <f>AI48/'Продукция и цена '!$E$5</f>
        <v>0</v>
      </c>
      <c r="AJ51" s="368">
        <f>AJ48/'Продукция и цена '!$E$5</f>
        <v>0</v>
      </c>
      <c r="AK51" s="368">
        <f>AK48/'Продукция и цена '!$E$5</f>
        <v>0</v>
      </c>
      <c r="AL51" s="368">
        <f>AL48/'Продукция и цена '!$E$5</f>
        <v>0</v>
      </c>
      <c r="AM51" s="368">
        <f>AM48/'Продукция и цена '!$E$5</f>
        <v>0</v>
      </c>
      <c r="AN51" s="368">
        <f>AN48/'Продукция и цена '!$E$5</f>
        <v>0</v>
      </c>
      <c r="AO51" s="362">
        <f>SUM(AC51:AN51)/12</f>
        <v>0</v>
      </c>
    </row>
    <row r="52" spans="1:41" outlineLevel="1">
      <c r="A52" s="371" t="s">
        <v>297</v>
      </c>
      <c r="B52" s="372" t="s">
        <v>265</v>
      </c>
      <c r="C52" s="373">
        <f>'Продукция и цена '!$C$5</f>
        <v>15000</v>
      </c>
      <c r="D52" s="373">
        <f>C52</f>
        <v>15000</v>
      </c>
      <c r="E52" s="373">
        <f t="shared" ref="E52:N52" si="51">D52</f>
        <v>15000</v>
      </c>
      <c r="F52" s="373">
        <f t="shared" si="51"/>
        <v>15000</v>
      </c>
      <c r="G52" s="373">
        <f t="shared" si="51"/>
        <v>15000</v>
      </c>
      <c r="H52" s="373">
        <f t="shared" si="51"/>
        <v>15000</v>
      </c>
      <c r="I52" s="373">
        <f t="shared" si="51"/>
        <v>15000</v>
      </c>
      <c r="J52" s="373">
        <f t="shared" si="51"/>
        <v>15000</v>
      </c>
      <c r="K52" s="373">
        <f t="shared" si="51"/>
        <v>15000</v>
      </c>
      <c r="L52" s="373">
        <f t="shared" si="51"/>
        <v>15000</v>
      </c>
      <c r="M52" s="373">
        <f t="shared" si="51"/>
        <v>15000</v>
      </c>
      <c r="N52" s="373">
        <f t="shared" si="51"/>
        <v>15000</v>
      </c>
      <c r="O52" s="374">
        <f>SUM(C52:N52)/12</f>
        <v>15000</v>
      </c>
      <c r="P52" s="376">
        <f>'Продукция и цена '!$D$5</f>
        <v>17250</v>
      </c>
      <c r="Q52" s="373">
        <f>P52</f>
        <v>17250</v>
      </c>
      <c r="R52" s="373">
        <f t="shared" ref="R52:AA52" si="52">Q52</f>
        <v>17250</v>
      </c>
      <c r="S52" s="373">
        <f t="shared" si="52"/>
        <v>17250</v>
      </c>
      <c r="T52" s="373">
        <f t="shared" si="52"/>
        <v>17250</v>
      </c>
      <c r="U52" s="373">
        <f t="shared" si="52"/>
        <v>17250</v>
      </c>
      <c r="V52" s="373">
        <f t="shared" si="52"/>
        <v>17250</v>
      </c>
      <c r="W52" s="373">
        <f t="shared" si="52"/>
        <v>17250</v>
      </c>
      <c r="X52" s="373">
        <f t="shared" si="52"/>
        <v>17250</v>
      </c>
      <c r="Y52" s="373">
        <f t="shared" si="52"/>
        <v>17250</v>
      </c>
      <c r="Z52" s="373">
        <f t="shared" si="52"/>
        <v>17250</v>
      </c>
      <c r="AA52" s="373">
        <f t="shared" si="52"/>
        <v>17250</v>
      </c>
      <c r="AB52" s="374">
        <f>SUM(P52:AA52)/12</f>
        <v>17250</v>
      </c>
      <c r="AC52" s="376">
        <f>'Продукция и цена '!$E$5</f>
        <v>19837.5</v>
      </c>
      <c r="AD52" s="373">
        <f>AC52</f>
        <v>19837.5</v>
      </c>
      <c r="AE52" s="373">
        <f t="shared" ref="AE52:AN52" si="53">AD52</f>
        <v>19837.5</v>
      </c>
      <c r="AF52" s="373">
        <f t="shared" si="53"/>
        <v>19837.5</v>
      </c>
      <c r="AG52" s="373">
        <f t="shared" si="53"/>
        <v>19837.5</v>
      </c>
      <c r="AH52" s="373">
        <f t="shared" si="53"/>
        <v>19837.5</v>
      </c>
      <c r="AI52" s="373">
        <f t="shared" si="53"/>
        <v>19837.5</v>
      </c>
      <c r="AJ52" s="373">
        <f t="shared" si="53"/>
        <v>19837.5</v>
      </c>
      <c r="AK52" s="373">
        <f t="shared" si="53"/>
        <v>19837.5</v>
      </c>
      <c r="AL52" s="373">
        <f t="shared" si="53"/>
        <v>19837.5</v>
      </c>
      <c r="AM52" s="373">
        <f t="shared" si="53"/>
        <v>19837.5</v>
      </c>
      <c r="AN52" s="373">
        <f t="shared" si="53"/>
        <v>19837.5</v>
      </c>
      <c r="AO52" s="377">
        <f>SUM(AC52:AN52)/12</f>
        <v>19837.5</v>
      </c>
    </row>
    <row r="53" spans="1:41" s="346" customFormat="1" ht="14.25" outlineLevel="1">
      <c r="A53" s="378" t="s">
        <v>167</v>
      </c>
      <c r="B53" s="381" t="s">
        <v>251</v>
      </c>
      <c r="C53" s="380">
        <f>C54*C55</f>
        <v>0</v>
      </c>
      <c r="D53" s="380">
        <f t="shared" ref="D53:N53" si="54">D54*D55</f>
        <v>0</v>
      </c>
      <c r="E53" s="380">
        <f t="shared" si="54"/>
        <v>0</v>
      </c>
      <c r="F53" s="380">
        <f t="shared" si="54"/>
        <v>0</v>
      </c>
      <c r="G53" s="380">
        <f t="shared" si="54"/>
        <v>0</v>
      </c>
      <c r="H53" s="380">
        <f t="shared" si="54"/>
        <v>0</v>
      </c>
      <c r="I53" s="380">
        <f t="shared" si="54"/>
        <v>0</v>
      </c>
      <c r="J53" s="380">
        <f t="shared" si="54"/>
        <v>0</v>
      </c>
      <c r="K53" s="380">
        <f t="shared" si="54"/>
        <v>0</v>
      </c>
      <c r="L53" s="380">
        <f t="shared" si="54"/>
        <v>0</v>
      </c>
      <c r="M53" s="380">
        <f t="shared" si="54"/>
        <v>0</v>
      </c>
      <c r="N53" s="380">
        <f t="shared" si="54"/>
        <v>0</v>
      </c>
      <c r="O53" s="352">
        <f>SUM(C53:N53)</f>
        <v>0</v>
      </c>
      <c r="P53" s="379">
        <f>P54*P55</f>
        <v>0</v>
      </c>
      <c r="Q53" s="380">
        <f t="shared" ref="Q53:AA53" si="55">Q54*Q55</f>
        <v>0</v>
      </c>
      <c r="R53" s="380">
        <f t="shared" si="55"/>
        <v>0</v>
      </c>
      <c r="S53" s="380">
        <f t="shared" si="55"/>
        <v>0</v>
      </c>
      <c r="T53" s="380">
        <f t="shared" si="55"/>
        <v>0</v>
      </c>
      <c r="U53" s="380">
        <f t="shared" si="55"/>
        <v>0</v>
      </c>
      <c r="V53" s="380">
        <f t="shared" si="55"/>
        <v>0</v>
      </c>
      <c r="W53" s="380">
        <f t="shared" si="55"/>
        <v>0</v>
      </c>
      <c r="X53" s="380">
        <f t="shared" si="55"/>
        <v>0</v>
      </c>
      <c r="Y53" s="380">
        <f t="shared" si="55"/>
        <v>0</v>
      </c>
      <c r="Z53" s="380">
        <f t="shared" si="55"/>
        <v>0</v>
      </c>
      <c r="AA53" s="380">
        <f t="shared" si="55"/>
        <v>0</v>
      </c>
      <c r="AB53" s="352">
        <f>SUM(P53:AA53)</f>
        <v>0</v>
      </c>
      <c r="AC53" s="379">
        <f>AC54*AC55</f>
        <v>0</v>
      </c>
      <c r="AD53" s="380">
        <f t="shared" ref="AD53:AN53" si="56">AD54*AD55</f>
        <v>0</v>
      </c>
      <c r="AE53" s="380">
        <f t="shared" si="56"/>
        <v>0</v>
      </c>
      <c r="AF53" s="380">
        <f t="shared" si="56"/>
        <v>0</v>
      </c>
      <c r="AG53" s="380">
        <f t="shared" si="56"/>
        <v>0</v>
      </c>
      <c r="AH53" s="380">
        <f t="shared" si="56"/>
        <v>0</v>
      </c>
      <c r="AI53" s="380">
        <f t="shared" si="56"/>
        <v>0</v>
      </c>
      <c r="AJ53" s="380">
        <f t="shared" si="56"/>
        <v>0</v>
      </c>
      <c r="AK53" s="380">
        <f t="shared" si="56"/>
        <v>0</v>
      </c>
      <c r="AL53" s="380">
        <f t="shared" si="56"/>
        <v>0</v>
      </c>
      <c r="AM53" s="380">
        <f t="shared" si="56"/>
        <v>0</v>
      </c>
      <c r="AN53" s="380">
        <f t="shared" si="56"/>
        <v>0</v>
      </c>
      <c r="AO53" s="354">
        <f>SUM(AC53:AN53)</f>
        <v>0</v>
      </c>
    </row>
    <row r="54" spans="1:41" ht="30" outlineLevel="1">
      <c r="A54" s="283" t="s">
        <v>298</v>
      </c>
      <c r="B54" s="363" t="s">
        <v>259</v>
      </c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59"/>
      <c r="P54" s="366"/>
      <c r="Q54" s="364"/>
      <c r="R54" s="364"/>
      <c r="S54" s="364"/>
      <c r="T54" s="364"/>
      <c r="U54" s="364"/>
      <c r="V54" s="364"/>
      <c r="W54" s="364"/>
      <c r="X54" s="364"/>
      <c r="Y54" s="364"/>
      <c r="Z54" s="364"/>
      <c r="AA54" s="364"/>
      <c r="AB54" s="359"/>
      <c r="AC54" s="366"/>
      <c r="AD54" s="364"/>
      <c r="AE54" s="364"/>
      <c r="AF54" s="364"/>
      <c r="AG54" s="364"/>
      <c r="AH54" s="364"/>
      <c r="AI54" s="364"/>
      <c r="AJ54" s="364"/>
      <c r="AK54" s="364"/>
      <c r="AL54" s="364"/>
      <c r="AM54" s="364"/>
      <c r="AN54" s="364"/>
      <c r="AO54" s="362"/>
    </row>
    <row r="55" spans="1:41" outlineLevel="1">
      <c r="A55" s="283" t="s">
        <v>299</v>
      </c>
      <c r="B55" s="367" t="s">
        <v>261</v>
      </c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59"/>
      <c r="P55" s="366"/>
      <c r="Q55" s="364"/>
      <c r="R55" s="364"/>
      <c r="S55" s="364"/>
      <c r="T55" s="364"/>
      <c r="U55" s="364"/>
      <c r="V55" s="364"/>
      <c r="W55" s="364"/>
      <c r="X55" s="364"/>
      <c r="Y55" s="364"/>
      <c r="Z55" s="364"/>
      <c r="AA55" s="364"/>
      <c r="AB55" s="359"/>
      <c r="AC55" s="366"/>
      <c r="AD55" s="364"/>
      <c r="AE55" s="364"/>
      <c r="AF55" s="364"/>
      <c r="AG55" s="364"/>
      <c r="AH55" s="364"/>
      <c r="AI55" s="364"/>
      <c r="AJ55" s="364"/>
      <c r="AK55" s="364"/>
      <c r="AL55" s="364"/>
      <c r="AM55" s="364"/>
      <c r="AN55" s="364"/>
      <c r="AO55" s="362"/>
    </row>
    <row r="56" spans="1:41" outlineLevel="1">
      <c r="A56" s="283" t="s">
        <v>300</v>
      </c>
      <c r="B56" s="363" t="s">
        <v>263</v>
      </c>
      <c r="C56" s="368">
        <f>C53/'Продукция и цена '!$C$5</f>
        <v>0</v>
      </c>
      <c r="D56" s="368">
        <f>D53/'Продукция и цена '!$C$5</f>
        <v>0</v>
      </c>
      <c r="E56" s="368">
        <f>E53/'Продукция и цена '!$C$5</f>
        <v>0</v>
      </c>
      <c r="F56" s="368">
        <f>F53/'Продукция и цена '!$C$5</f>
        <v>0</v>
      </c>
      <c r="G56" s="368">
        <f>G53/'Продукция и цена '!$C$5</f>
        <v>0</v>
      </c>
      <c r="H56" s="368">
        <f>H53/'Продукция и цена '!$C$5</f>
        <v>0</v>
      </c>
      <c r="I56" s="368">
        <f>I53/'Продукция и цена '!$C$5</f>
        <v>0</v>
      </c>
      <c r="J56" s="368">
        <f>J53/'Продукция и цена '!$C$5</f>
        <v>0</v>
      </c>
      <c r="K56" s="368">
        <f>K53/'Продукция и цена '!$C$5</f>
        <v>0</v>
      </c>
      <c r="L56" s="368">
        <f>L53/'Продукция и цена '!$C$5</f>
        <v>0</v>
      </c>
      <c r="M56" s="368">
        <f>M53/'Продукция и цена '!$C$5</f>
        <v>0</v>
      </c>
      <c r="N56" s="368">
        <f>N53/'Продукция и цена '!$C$5</f>
        <v>0</v>
      </c>
      <c r="O56" s="359">
        <f>SUM(C56:N56)/12</f>
        <v>0</v>
      </c>
      <c r="P56" s="370">
        <f>P53/'Продукция и цена '!$D$5</f>
        <v>0</v>
      </c>
      <c r="Q56" s="368">
        <f>Q53/'Продукция и цена '!$D$5</f>
        <v>0</v>
      </c>
      <c r="R56" s="368">
        <f>R53/'Продукция и цена '!$D$5</f>
        <v>0</v>
      </c>
      <c r="S56" s="368">
        <f>S53/'Продукция и цена '!$D$5</f>
        <v>0</v>
      </c>
      <c r="T56" s="368">
        <f>T53/'Продукция и цена '!$D$5</f>
        <v>0</v>
      </c>
      <c r="U56" s="368">
        <f>U53/'Продукция и цена '!$D$5</f>
        <v>0</v>
      </c>
      <c r="V56" s="368">
        <f>V53/'Продукция и цена '!$D$5</f>
        <v>0</v>
      </c>
      <c r="W56" s="368">
        <f>W53/'Продукция и цена '!$D$5</f>
        <v>0</v>
      </c>
      <c r="X56" s="368">
        <f>X53/'Продукция и цена '!$D$5</f>
        <v>0</v>
      </c>
      <c r="Y56" s="368">
        <f>Y53/'Продукция и цена '!$D$5</f>
        <v>0</v>
      </c>
      <c r="Z56" s="368">
        <f>Z53/'Продукция и цена '!$D$5</f>
        <v>0</v>
      </c>
      <c r="AA56" s="368">
        <f>AA53/'Продукция и цена '!$D$5</f>
        <v>0</v>
      </c>
      <c r="AB56" s="359">
        <f>SUM(P56:AA56)/12</f>
        <v>0</v>
      </c>
      <c r="AC56" s="370">
        <f>AC53/'Продукция и цена '!$E$5</f>
        <v>0</v>
      </c>
      <c r="AD56" s="368">
        <f>AD53/'Продукция и цена '!$E$5</f>
        <v>0</v>
      </c>
      <c r="AE56" s="368">
        <f>AE53/'Продукция и цена '!$E$5</f>
        <v>0</v>
      </c>
      <c r="AF56" s="368">
        <f>AF53/'Продукция и цена '!$E$5</f>
        <v>0</v>
      </c>
      <c r="AG56" s="368">
        <f>AG53/'Продукция и цена '!$E$5</f>
        <v>0</v>
      </c>
      <c r="AH56" s="368">
        <f>AH53/'Продукция и цена '!$E$5</f>
        <v>0</v>
      </c>
      <c r="AI56" s="368">
        <f>AI53/'Продукция и цена '!$E$5</f>
        <v>0</v>
      </c>
      <c r="AJ56" s="368">
        <f>AJ53/'Продукция и цена '!$E$5</f>
        <v>0</v>
      </c>
      <c r="AK56" s="368">
        <f>AK53/'Продукция и цена '!$E$5</f>
        <v>0</v>
      </c>
      <c r="AL56" s="368">
        <f>AL53/'Продукция и цена '!$E$5</f>
        <v>0</v>
      </c>
      <c r="AM56" s="368">
        <f>AM53/'Продукция и цена '!$E$5</f>
        <v>0</v>
      </c>
      <c r="AN56" s="368">
        <f>AN53/'Продукция и цена '!$E$5</f>
        <v>0</v>
      </c>
      <c r="AO56" s="362">
        <f>SUM(AC56:AN56)/12</f>
        <v>0</v>
      </c>
    </row>
    <row r="57" spans="1:41" outlineLevel="1">
      <c r="A57" s="371" t="s">
        <v>301</v>
      </c>
      <c r="B57" s="372" t="s">
        <v>265</v>
      </c>
      <c r="C57" s="373">
        <f>'Продукция и цена '!$C$5</f>
        <v>15000</v>
      </c>
      <c r="D57" s="373">
        <f>C57</f>
        <v>15000</v>
      </c>
      <c r="E57" s="373">
        <f t="shared" ref="E57:N57" si="57">D57</f>
        <v>15000</v>
      </c>
      <c r="F57" s="373">
        <f t="shared" si="57"/>
        <v>15000</v>
      </c>
      <c r="G57" s="373">
        <f t="shared" si="57"/>
        <v>15000</v>
      </c>
      <c r="H57" s="373">
        <f t="shared" si="57"/>
        <v>15000</v>
      </c>
      <c r="I57" s="373">
        <f t="shared" si="57"/>
        <v>15000</v>
      </c>
      <c r="J57" s="373">
        <f t="shared" si="57"/>
        <v>15000</v>
      </c>
      <c r="K57" s="373">
        <f t="shared" si="57"/>
        <v>15000</v>
      </c>
      <c r="L57" s="373">
        <f t="shared" si="57"/>
        <v>15000</v>
      </c>
      <c r="M57" s="373">
        <f t="shared" si="57"/>
        <v>15000</v>
      </c>
      <c r="N57" s="373">
        <f t="shared" si="57"/>
        <v>15000</v>
      </c>
      <c r="O57" s="374">
        <f>SUM(C57:N57)/12</f>
        <v>15000</v>
      </c>
      <c r="P57" s="376">
        <f>'Продукция и цена '!$D$5</f>
        <v>17250</v>
      </c>
      <c r="Q57" s="373">
        <f>P57</f>
        <v>17250</v>
      </c>
      <c r="R57" s="373">
        <f t="shared" ref="R57:AA57" si="58">Q57</f>
        <v>17250</v>
      </c>
      <c r="S57" s="373">
        <f t="shared" si="58"/>
        <v>17250</v>
      </c>
      <c r="T57" s="373">
        <f t="shared" si="58"/>
        <v>17250</v>
      </c>
      <c r="U57" s="373">
        <f t="shared" si="58"/>
        <v>17250</v>
      </c>
      <c r="V57" s="373">
        <f t="shared" si="58"/>
        <v>17250</v>
      </c>
      <c r="W57" s="373">
        <f t="shared" si="58"/>
        <v>17250</v>
      </c>
      <c r="X57" s="373">
        <f t="shared" si="58"/>
        <v>17250</v>
      </c>
      <c r="Y57" s="373">
        <f t="shared" si="58"/>
        <v>17250</v>
      </c>
      <c r="Z57" s="373">
        <f t="shared" si="58"/>
        <v>17250</v>
      </c>
      <c r="AA57" s="373">
        <f t="shared" si="58"/>
        <v>17250</v>
      </c>
      <c r="AB57" s="374">
        <f>SUM(P57:AA57)/12</f>
        <v>17250</v>
      </c>
      <c r="AC57" s="376">
        <f>'Продукция и цена '!$E$5</f>
        <v>19837.5</v>
      </c>
      <c r="AD57" s="373">
        <f>AC57</f>
        <v>19837.5</v>
      </c>
      <c r="AE57" s="373">
        <f t="shared" ref="AE57:AN57" si="59">AD57</f>
        <v>19837.5</v>
      </c>
      <c r="AF57" s="373">
        <f t="shared" si="59"/>
        <v>19837.5</v>
      </c>
      <c r="AG57" s="373">
        <f t="shared" si="59"/>
        <v>19837.5</v>
      </c>
      <c r="AH57" s="373">
        <f t="shared" si="59"/>
        <v>19837.5</v>
      </c>
      <c r="AI57" s="373">
        <f t="shared" si="59"/>
        <v>19837.5</v>
      </c>
      <c r="AJ57" s="373">
        <f t="shared" si="59"/>
        <v>19837.5</v>
      </c>
      <c r="AK57" s="373">
        <f t="shared" si="59"/>
        <v>19837.5</v>
      </c>
      <c r="AL57" s="373">
        <f t="shared" si="59"/>
        <v>19837.5</v>
      </c>
      <c r="AM57" s="373">
        <f t="shared" si="59"/>
        <v>19837.5</v>
      </c>
      <c r="AN57" s="373">
        <f t="shared" si="59"/>
        <v>19837.5</v>
      </c>
      <c r="AO57" s="377">
        <f>SUM(AC57:AN57)/12</f>
        <v>19837.5</v>
      </c>
    </row>
    <row r="58" spans="1:41" s="346" customFormat="1" ht="14.25">
      <c r="A58" s="349">
        <v>3</v>
      </c>
      <c r="B58" s="350" t="str">
        <f>'Продукция и цена '!A6</f>
        <v>Встроенная коммерция (доп. услуги)</v>
      </c>
      <c r="C58" s="351">
        <f>(C59+C64+C69+C74+C79)*Продажи!B7</f>
        <v>0</v>
      </c>
      <c r="D58" s="351">
        <f>(D59+D64+D69+D74+D79)*Продажи!C7</f>
        <v>0</v>
      </c>
      <c r="E58" s="351">
        <f>(E59+E64+E69+E74+E79)*Продажи!D7</f>
        <v>0</v>
      </c>
      <c r="F58" s="351">
        <f>(F59+F64+F69+F74+F79)*Продажи!E7</f>
        <v>0</v>
      </c>
      <c r="G58" s="351">
        <f>(G59+G64+G69+G74+G79)*Продажи!F7</f>
        <v>0</v>
      </c>
      <c r="H58" s="351">
        <f>(H59+H64+H69+H74+H79)*Продажи!G7</f>
        <v>0</v>
      </c>
      <c r="I58" s="351">
        <f>(I59+I64+I69+I74+I79)*Продажи!H7</f>
        <v>0</v>
      </c>
      <c r="J58" s="351">
        <f>(J59+J64+J69+J74+J79)*Продажи!I7</f>
        <v>0</v>
      </c>
      <c r="K58" s="351">
        <f>(K59+K64+K69+K74+K79)*Продажи!J7</f>
        <v>0</v>
      </c>
      <c r="L58" s="351">
        <f>(L59+L64+L69+L74+L79)*Продажи!K7</f>
        <v>0</v>
      </c>
      <c r="M58" s="351">
        <f>(M59+M64+M69+M74+M79)*Продажи!L7</f>
        <v>0</v>
      </c>
      <c r="N58" s="351">
        <f>(N59+N64+N69+N74+N79)*Продажи!M7</f>
        <v>0</v>
      </c>
      <c r="O58" s="352">
        <f>SUM(C58:N58)</f>
        <v>0</v>
      </c>
      <c r="P58" s="353">
        <f>(P59+P64+P69+P74+P79)*Продажи!O7</f>
        <v>0</v>
      </c>
      <c r="Q58" s="351">
        <f>(Q59+Q64+Q69+Q74+Q79)*Продажи!P7</f>
        <v>0</v>
      </c>
      <c r="R58" s="351">
        <f>(R59+R64+R69+R74+R79)*Продажи!Q7</f>
        <v>0</v>
      </c>
      <c r="S58" s="351">
        <f>(S59+S64+S69+S74+S79)*Продажи!R7</f>
        <v>0</v>
      </c>
      <c r="T58" s="351">
        <f>(T59+T64+T69+T74+T79)*Продажи!S7</f>
        <v>0</v>
      </c>
      <c r="U58" s="351">
        <f>(U59+U64+U69+U74+U79)*Продажи!T7</f>
        <v>0</v>
      </c>
      <c r="V58" s="351">
        <f>(V59+V64+V69+V74+V79)*Продажи!U7</f>
        <v>0</v>
      </c>
      <c r="W58" s="351">
        <f>(W59+W64+W69+W74+W79)*Продажи!V7</f>
        <v>0</v>
      </c>
      <c r="X58" s="351">
        <f>(X59+X64+X69+X74+X79)*Продажи!W7</f>
        <v>0</v>
      </c>
      <c r="Y58" s="351">
        <f>(Y59+Y64+Y69+Y74+Y79)*Продажи!X7</f>
        <v>0</v>
      </c>
      <c r="Z58" s="351">
        <f>(Z59+Z64+Z69+Z74+Z79)*Продажи!Y7</f>
        <v>0</v>
      </c>
      <c r="AA58" s="351">
        <f>(AA59+AA64+AA69+AA74+AA79)*Продажи!Z7</f>
        <v>0</v>
      </c>
      <c r="AB58" s="354">
        <f>SUM(P58:AA58)</f>
        <v>0</v>
      </c>
      <c r="AC58" s="355">
        <f>(AC59+AC64+AC69+AC74+AC79)*Продажи!AB7</f>
        <v>0</v>
      </c>
      <c r="AD58" s="351">
        <f>(AD59+AD64+AD69+AD74+AD79)*Продажи!AC7</f>
        <v>0</v>
      </c>
      <c r="AE58" s="351">
        <f>(AE59+AE64+AE69+AE74+AE79)*Продажи!AD7</f>
        <v>0</v>
      </c>
      <c r="AF58" s="351">
        <f>(AF59+AF64+AF69+AF74+AF79)*Продажи!AE7</f>
        <v>0</v>
      </c>
      <c r="AG58" s="351">
        <f>(AG59+AG64+AG69+AG74+AG79)*Продажи!AF7</f>
        <v>0</v>
      </c>
      <c r="AH58" s="351">
        <f>(AH59+AH64+AH69+AH74+AH79)*Продажи!AG7</f>
        <v>0</v>
      </c>
      <c r="AI58" s="351">
        <f>(AI59+AI64+AI69+AI74+AI79)*Продажи!AH7</f>
        <v>0</v>
      </c>
      <c r="AJ58" s="351">
        <f>(AJ59+AJ64+AJ69+AJ74+AJ79)*Продажи!AI7</f>
        <v>0</v>
      </c>
      <c r="AK58" s="351">
        <f>(AK59+AK64+AK69+AK74+AK79)*Продажи!AJ7</f>
        <v>0</v>
      </c>
      <c r="AL58" s="351">
        <f>(AL59+AL64+AL69+AL74+AL79)*Продажи!AK7</f>
        <v>0</v>
      </c>
      <c r="AM58" s="351">
        <f>(AM59+AM64+AM69+AM74+AM79)*Продажи!AL7</f>
        <v>0</v>
      </c>
      <c r="AN58" s="351">
        <f>(AN59+AN64+AN69+AN74+AN79)*Продажи!AM7</f>
        <v>0</v>
      </c>
      <c r="AO58" s="354">
        <f>SUM(AC58:AN58)</f>
        <v>0</v>
      </c>
    </row>
    <row r="59" spans="1:41" s="346" customFormat="1" ht="14.25" outlineLevel="1">
      <c r="A59" s="356" t="s">
        <v>26</v>
      </c>
      <c r="B59" s="357" t="str">
        <f>Персонал!A36</f>
        <v>Дизайн (UX/UI)</v>
      </c>
      <c r="C59" s="358">
        <f>C60*C61</f>
        <v>0</v>
      </c>
      <c r="D59" s="358">
        <f t="shared" ref="D59:N59" si="60">D60*D61</f>
        <v>0</v>
      </c>
      <c r="E59" s="358">
        <f t="shared" si="60"/>
        <v>0</v>
      </c>
      <c r="F59" s="358">
        <f t="shared" si="60"/>
        <v>0</v>
      </c>
      <c r="G59" s="358">
        <f t="shared" si="60"/>
        <v>0</v>
      </c>
      <c r="H59" s="358">
        <f t="shared" si="60"/>
        <v>0</v>
      </c>
      <c r="I59" s="358">
        <f t="shared" si="60"/>
        <v>0</v>
      </c>
      <c r="J59" s="358">
        <f t="shared" si="60"/>
        <v>0</v>
      </c>
      <c r="K59" s="358">
        <f t="shared" si="60"/>
        <v>0</v>
      </c>
      <c r="L59" s="358">
        <f t="shared" si="60"/>
        <v>0</v>
      </c>
      <c r="M59" s="358">
        <f t="shared" si="60"/>
        <v>0</v>
      </c>
      <c r="N59" s="358">
        <f t="shared" si="60"/>
        <v>0</v>
      </c>
      <c r="O59" s="359">
        <f>SUM(C59:N59)</f>
        <v>0</v>
      </c>
      <c r="P59" s="360">
        <f>P60*P61</f>
        <v>0</v>
      </c>
      <c r="Q59" s="358">
        <f t="shared" ref="Q59:AA59" si="61">Q60*Q61</f>
        <v>0</v>
      </c>
      <c r="R59" s="358">
        <f t="shared" si="61"/>
        <v>0</v>
      </c>
      <c r="S59" s="358">
        <f t="shared" si="61"/>
        <v>0</v>
      </c>
      <c r="T59" s="358">
        <f t="shared" si="61"/>
        <v>0</v>
      </c>
      <c r="U59" s="358">
        <f t="shared" si="61"/>
        <v>0</v>
      </c>
      <c r="V59" s="358">
        <f t="shared" si="61"/>
        <v>0</v>
      </c>
      <c r="W59" s="358">
        <f t="shared" si="61"/>
        <v>0</v>
      </c>
      <c r="X59" s="358">
        <f t="shared" si="61"/>
        <v>0</v>
      </c>
      <c r="Y59" s="358">
        <f t="shared" si="61"/>
        <v>0</v>
      </c>
      <c r="Z59" s="358">
        <f t="shared" si="61"/>
        <v>0</v>
      </c>
      <c r="AA59" s="358">
        <f t="shared" si="61"/>
        <v>0</v>
      </c>
      <c r="AB59" s="359">
        <f>SUM(P59:AA59)</f>
        <v>0</v>
      </c>
      <c r="AC59" s="361">
        <f>AC60*AC61</f>
        <v>0</v>
      </c>
      <c r="AD59" s="358">
        <f t="shared" ref="AD59:AN59" si="62">AD60*AD61</f>
        <v>0</v>
      </c>
      <c r="AE59" s="358">
        <f t="shared" si="62"/>
        <v>0</v>
      </c>
      <c r="AF59" s="358">
        <f t="shared" si="62"/>
        <v>0</v>
      </c>
      <c r="AG59" s="358">
        <f t="shared" si="62"/>
        <v>0</v>
      </c>
      <c r="AH59" s="358">
        <f t="shared" si="62"/>
        <v>0</v>
      </c>
      <c r="AI59" s="358">
        <f t="shared" si="62"/>
        <v>0</v>
      </c>
      <c r="AJ59" s="358">
        <f t="shared" si="62"/>
        <v>0</v>
      </c>
      <c r="AK59" s="358">
        <f t="shared" si="62"/>
        <v>0</v>
      </c>
      <c r="AL59" s="358">
        <f t="shared" si="62"/>
        <v>0</v>
      </c>
      <c r="AM59" s="358">
        <f t="shared" si="62"/>
        <v>0</v>
      </c>
      <c r="AN59" s="358">
        <f t="shared" si="62"/>
        <v>0</v>
      </c>
      <c r="AO59" s="362">
        <f>SUM(AC59:AN59)</f>
        <v>0</v>
      </c>
    </row>
    <row r="60" spans="1:41" ht="30" outlineLevel="1">
      <c r="A60" s="283" t="s">
        <v>302</v>
      </c>
      <c r="B60" s="363" t="s">
        <v>259</v>
      </c>
      <c r="C60" s="364">
        <v>1</v>
      </c>
      <c r="D60" s="364">
        <v>1</v>
      </c>
      <c r="E60" s="364">
        <v>1</v>
      </c>
      <c r="F60" s="364">
        <v>1</v>
      </c>
      <c r="G60" s="364">
        <v>1</v>
      </c>
      <c r="H60" s="364">
        <v>1</v>
      </c>
      <c r="I60" s="364">
        <v>1</v>
      </c>
      <c r="J60" s="364">
        <v>1</v>
      </c>
      <c r="K60" s="364">
        <v>1</v>
      </c>
      <c r="L60" s="364">
        <v>1</v>
      </c>
      <c r="M60" s="364">
        <v>1</v>
      </c>
      <c r="N60" s="364">
        <v>1</v>
      </c>
      <c r="O60" s="359"/>
      <c r="P60" s="365">
        <v>1</v>
      </c>
      <c r="Q60" s="365">
        <v>1</v>
      </c>
      <c r="R60" s="365">
        <v>1</v>
      </c>
      <c r="S60" s="365">
        <v>1</v>
      </c>
      <c r="T60" s="365">
        <v>1</v>
      </c>
      <c r="U60" s="365">
        <v>1</v>
      </c>
      <c r="V60" s="365">
        <v>1</v>
      </c>
      <c r="W60" s="365">
        <v>1</v>
      </c>
      <c r="X60" s="365">
        <v>1</v>
      </c>
      <c r="Y60" s="365">
        <v>1</v>
      </c>
      <c r="Z60" s="365">
        <v>1</v>
      </c>
      <c r="AA60" s="365">
        <v>1</v>
      </c>
      <c r="AB60" s="359"/>
      <c r="AC60" s="366">
        <v>1</v>
      </c>
      <c r="AD60" s="364">
        <v>1</v>
      </c>
      <c r="AE60" s="364">
        <v>1</v>
      </c>
      <c r="AF60" s="364">
        <v>1</v>
      </c>
      <c r="AG60" s="364">
        <v>1</v>
      </c>
      <c r="AH60" s="364">
        <v>1</v>
      </c>
      <c r="AI60" s="364">
        <v>1</v>
      </c>
      <c r="AJ60" s="364">
        <v>1</v>
      </c>
      <c r="AK60" s="364">
        <v>1</v>
      </c>
      <c r="AL60" s="364">
        <v>1</v>
      </c>
      <c r="AM60" s="364">
        <v>1</v>
      </c>
      <c r="AN60" s="364">
        <v>1</v>
      </c>
      <c r="AO60" s="362"/>
    </row>
    <row r="61" spans="1:41" outlineLevel="1">
      <c r="A61" s="283" t="s">
        <v>303</v>
      </c>
      <c r="B61" s="367" t="s">
        <v>261</v>
      </c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59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59"/>
      <c r="AC61" s="366"/>
      <c r="AD61" s="364"/>
      <c r="AE61" s="364"/>
      <c r="AF61" s="364"/>
      <c r="AG61" s="364"/>
      <c r="AH61" s="364"/>
      <c r="AI61" s="364"/>
      <c r="AJ61" s="364"/>
      <c r="AK61" s="364"/>
      <c r="AL61" s="364"/>
      <c r="AM61" s="364"/>
      <c r="AN61" s="364"/>
      <c r="AO61" s="362"/>
    </row>
    <row r="62" spans="1:41" outlineLevel="1">
      <c r="A62" s="283" t="s">
        <v>304</v>
      </c>
      <c r="B62" s="363" t="s">
        <v>263</v>
      </c>
      <c r="C62" s="368">
        <f>C59/'Продукция и цена '!$C$6</f>
        <v>0</v>
      </c>
      <c r="D62" s="368">
        <f>D59/'Продукция и цена '!$C$6</f>
        <v>0</v>
      </c>
      <c r="E62" s="368">
        <f>E59/'Продукция и цена '!$C$6</f>
        <v>0</v>
      </c>
      <c r="F62" s="368">
        <f>F59/'Продукция и цена '!$C$6</f>
        <v>0</v>
      </c>
      <c r="G62" s="368">
        <f>G59/'Продукция и цена '!$C$6</f>
        <v>0</v>
      </c>
      <c r="H62" s="368">
        <f>H59/'Продукция и цена '!$C$6</f>
        <v>0</v>
      </c>
      <c r="I62" s="368">
        <f>I59/'Продукция и цена '!$C$6</f>
        <v>0</v>
      </c>
      <c r="J62" s="368">
        <f>J59/'Продукция и цена '!$C$6</f>
        <v>0</v>
      </c>
      <c r="K62" s="368">
        <f>K59/'Продукция и цена '!$C$6</f>
        <v>0</v>
      </c>
      <c r="L62" s="368">
        <f>L59/'Продукция и цена '!$C$6</f>
        <v>0</v>
      </c>
      <c r="M62" s="368">
        <f>M59/'Продукция и цена '!$C$6</f>
        <v>0</v>
      </c>
      <c r="N62" s="368">
        <f>N59/'Продукция и цена '!$C$6</f>
        <v>0</v>
      </c>
      <c r="O62" s="359">
        <f>SUM(C62:N62)/12</f>
        <v>0</v>
      </c>
      <c r="P62" s="369">
        <f>P59/'Продукция и цена '!$D$6</f>
        <v>0</v>
      </c>
      <c r="Q62" s="368">
        <f>Q59/'Продукция и цена '!$D$6</f>
        <v>0</v>
      </c>
      <c r="R62" s="368">
        <f>R59/'Продукция и цена '!$D$6</f>
        <v>0</v>
      </c>
      <c r="S62" s="368">
        <f>S59/'Продукция и цена '!$D$6</f>
        <v>0</v>
      </c>
      <c r="T62" s="368">
        <f>T59/'Продукция и цена '!$D$6</f>
        <v>0</v>
      </c>
      <c r="U62" s="368">
        <f>U59/'Продукция и цена '!$D$6</f>
        <v>0</v>
      </c>
      <c r="V62" s="368">
        <f>V59/'Продукция и цена '!$D$6</f>
        <v>0</v>
      </c>
      <c r="W62" s="368">
        <f>W59/'Продукция и цена '!$D$6</f>
        <v>0</v>
      </c>
      <c r="X62" s="368">
        <f>X59/'Продукция и цена '!$D$6</f>
        <v>0</v>
      </c>
      <c r="Y62" s="368">
        <f>Y59/'Продукция и цена '!$D$6</f>
        <v>0</v>
      </c>
      <c r="Z62" s="368">
        <f>Z59/'Продукция и цена '!$D$6</f>
        <v>0</v>
      </c>
      <c r="AA62" s="368">
        <f>AA59/'Продукция и цена '!$D$6</f>
        <v>0</v>
      </c>
      <c r="AB62" s="359">
        <f>SUM(P62:AA62)/12</f>
        <v>0</v>
      </c>
      <c r="AC62" s="370">
        <f>AC59/'Продукция и цена '!$E$6</f>
        <v>0</v>
      </c>
      <c r="AD62" s="368">
        <f>AD59/'Продукция и цена '!$E$6</f>
        <v>0</v>
      </c>
      <c r="AE62" s="368">
        <f>AE59/'Продукция и цена '!$E$6</f>
        <v>0</v>
      </c>
      <c r="AF62" s="368">
        <f>AF59/'Продукция и цена '!$E$6</f>
        <v>0</v>
      </c>
      <c r="AG62" s="368">
        <f>AG59/'Продукция и цена '!$E$6</f>
        <v>0</v>
      </c>
      <c r="AH62" s="368">
        <f>AH59/'Продукция и цена '!$E$6</f>
        <v>0</v>
      </c>
      <c r="AI62" s="368">
        <f>AI59/'Продукция и цена '!$E$6</f>
        <v>0</v>
      </c>
      <c r="AJ62" s="368">
        <f>AJ59/'Продукция и цена '!$E$6</f>
        <v>0</v>
      </c>
      <c r="AK62" s="368">
        <f>AK59/'Продукция и цена '!$E$6</f>
        <v>0</v>
      </c>
      <c r="AL62" s="368">
        <f>AL59/'Продукция и цена '!$E$6</f>
        <v>0</v>
      </c>
      <c r="AM62" s="368">
        <f>AM59/'Продукция и цена '!$E$6</f>
        <v>0</v>
      </c>
      <c r="AN62" s="368">
        <f>AN59/'Продукция и цена '!$E$6</f>
        <v>0</v>
      </c>
      <c r="AO62" s="362">
        <f>SUM(AC62:AN62)/12</f>
        <v>0</v>
      </c>
    </row>
    <row r="63" spans="1:41" outlineLevel="1">
      <c r="A63" s="371" t="s">
        <v>305</v>
      </c>
      <c r="B63" s="372" t="s">
        <v>265</v>
      </c>
      <c r="C63" s="373">
        <f>'Продукция и цена '!$C$6</f>
        <v>9000</v>
      </c>
      <c r="D63" s="373">
        <f>C63</f>
        <v>9000</v>
      </c>
      <c r="E63" s="373">
        <f t="shared" ref="E63:N63" si="63">D63</f>
        <v>9000</v>
      </c>
      <c r="F63" s="373">
        <f t="shared" si="63"/>
        <v>9000</v>
      </c>
      <c r="G63" s="373">
        <f t="shared" si="63"/>
        <v>9000</v>
      </c>
      <c r="H63" s="373">
        <f t="shared" si="63"/>
        <v>9000</v>
      </c>
      <c r="I63" s="373">
        <f t="shared" si="63"/>
        <v>9000</v>
      </c>
      <c r="J63" s="373">
        <f t="shared" si="63"/>
        <v>9000</v>
      </c>
      <c r="K63" s="373">
        <f t="shared" si="63"/>
        <v>9000</v>
      </c>
      <c r="L63" s="373">
        <f t="shared" si="63"/>
        <v>9000</v>
      </c>
      <c r="M63" s="373">
        <f t="shared" si="63"/>
        <v>9000</v>
      </c>
      <c r="N63" s="373">
        <f t="shared" si="63"/>
        <v>9000</v>
      </c>
      <c r="O63" s="374">
        <f>SUM(C63:N63)/12</f>
        <v>9000</v>
      </c>
      <c r="P63" s="375">
        <f>'Продукция и цена '!$D$6</f>
        <v>10350</v>
      </c>
      <c r="Q63" s="373">
        <f>P63</f>
        <v>10350</v>
      </c>
      <c r="R63" s="373">
        <f t="shared" ref="R63:AA63" si="64">Q63</f>
        <v>10350</v>
      </c>
      <c r="S63" s="373">
        <f t="shared" si="64"/>
        <v>10350</v>
      </c>
      <c r="T63" s="373">
        <f t="shared" si="64"/>
        <v>10350</v>
      </c>
      <c r="U63" s="373">
        <f t="shared" si="64"/>
        <v>10350</v>
      </c>
      <c r="V63" s="373">
        <f t="shared" si="64"/>
        <v>10350</v>
      </c>
      <c r="W63" s="373">
        <f t="shared" si="64"/>
        <v>10350</v>
      </c>
      <c r="X63" s="373">
        <f t="shared" si="64"/>
        <v>10350</v>
      </c>
      <c r="Y63" s="373">
        <f t="shared" si="64"/>
        <v>10350</v>
      </c>
      <c r="Z63" s="373">
        <f t="shared" si="64"/>
        <v>10350</v>
      </c>
      <c r="AA63" s="373">
        <f t="shared" si="64"/>
        <v>10350</v>
      </c>
      <c r="AB63" s="374">
        <f>SUM(P63:AA63)/12</f>
        <v>10350</v>
      </c>
      <c r="AC63" s="376">
        <f>'Продукция и цена '!$E$6</f>
        <v>11902.5</v>
      </c>
      <c r="AD63" s="373">
        <f>AC63</f>
        <v>11902.5</v>
      </c>
      <c r="AE63" s="373">
        <f t="shared" ref="AE63:AN63" si="65">AD63</f>
        <v>11902.5</v>
      </c>
      <c r="AF63" s="373">
        <f t="shared" si="65"/>
        <v>11902.5</v>
      </c>
      <c r="AG63" s="373">
        <f t="shared" si="65"/>
        <v>11902.5</v>
      </c>
      <c r="AH63" s="373">
        <f t="shared" si="65"/>
        <v>11902.5</v>
      </c>
      <c r="AI63" s="373">
        <f t="shared" si="65"/>
        <v>11902.5</v>
      </c>
      <c r="AJ63" s="373">
        <f t="shared" si="65"/>
        <v>11902.5</v>
      </c>
      <c r="AK63" s="373">
        <f t="shared" si="65"/>
        <v>11902.5</v>
      </c>
      <c r="AL63" s="373">
        <f t="shared" si="65"/>
        <v>11902.5</v>
      </c>
      <c r="AM63" s="373">
        <f t="shared" si="65"/>
        <v>11902.5</v>
      </c>
      <c r="AN63" s="373">
        <f t="shared" si="65"/>
        <v>11902.5</v>
      </c>
      <c r="AO63" s="377">
        <f>SUM(AC63:AN63)/12</f>
        <v>11902.5</v>
      </c>
    </row>
    <row r="64" spans="1:41" s="346" customFormat="1" ht="14.25" outlineLevel="1">
      <c r="A64" s="378" t="s">
        <v>28</v>
      </c>
      <c r="B64" s="357" t="s">
        <v>248</v>
      </c>
      <c r="C64" s="358">
        <f>C65*C66</f>
        <v>0</v>
      </c>
      <c r="D64" s="358">
        <f t="shared" ref="D64:N64" si="66">D65*D66</f>
        <v>0</v>
      </c>
      <c r="E64" s="358">
        <f t="shared" si="66"/>
        <v>0</v>
      </c>
      <c r="F64" s="358">
        <f t="shared" si="66"/>
        <v>0</v>
      </c>
      <c r="G64" s="358">
        <f t="shared" si="66"/>
        <v>0</v>
      </c>
      <c r="H64" s="358">
        <f t="shared" si="66"/>
        <v>0</v>
      </c>
      <c r="I64" s="358">
        <f t="shared" si="66"/>
        <v>0</v>
      </c>
      <c r="J64" s="358">
        <f t="shared" si="66"/>
        <v>0</v>
      </c>
      <c r="K64" s="358">
        <f t="shared" si="66"/>
        <v>0</v>
      </c>
      <c r="L64" s="358">
        <f t="shared" si="66"/>
        <v>0</v>
      </c>
      <c r="M64" s="358">
        <f t="shared" si="66"/>
        <v>0</v>
      </c>
      <c r="N64" s="358">
        <f t="shared" si="66"/>
        <v>0</v>
      </c>
      <c r="O64" s="352">
        <f>SUM(C64:N64)</f>
        <v>0</v>
      </c>
      <c r="P64" s="379">
        <f>P65*P66</f>
        <v>0</v>
      </c>
      <c r="Q64" s="380">
        <f t="shared" ref="Q64:AA64" si="67">Q65*Q66</f>
        <v>0</v>
      </c>
      <c r="R64" s="380">
        <f t="shared" si="67"/>
        <v>0</v>
      </c>
      <c r="S64" s="380">
        <f t="shared" si="67"/>
        <v>0</v>
      </c>
      <c r="T64" s="380">
        <f t="shared" si="67"/>
        <v>0</v>
      </c>
      <c r="U64" s="380">
        <f t="shared" si="67"/>
        <v>0</v>
      </c>
      <c r="V64" s="380">
        <f t="shared" si="67"/>
        <v>0</v>
      </c>
      <c r="W64" s="380">
        <f t="shared" si="67"/>
        <v>0</v>
      </c>
      <c r="X64" s="380">
        <f t="shared" si="67"/>
        <v>0</v>
      </c>
      <c r="Y64" s="380">
        <f t="shared" si="67"/>
        <v>0</v>
      </c>
      <c r="Z64" s="380">
        <f t="shared" si="67"/>
        <v>0</v>
      </c>
      <c r="AA64" s="380">
        <f t="shared" si="67"/>
        <v>0</v>
      </c>
      <c r="AB64" s="352">
        <f>SUM(P64:AA64)</f>
        <v>0</v>
      </c>
      <c r="AC64" s="379">
        <f>AC65*AC66</f>
        <v>0</v>
      </c>
      <c r="AD64" s="380">
        <f t="shared" ref="AD64:AN64" si="68">AD65*AD66</f>
        <v>0</v>
      </c>
      <c r="AE64" s="380">
        <f t="shared" si="68"/>
        <v>0</v>
      </c>
      <c r="AF64" s="380">
        <f t="shared" si="68"/>
        <v>0</v>
      </c>
      <c r="AG64" s="380">
        <f t="shared" si="68"/>
        <v>0</v>
      </c>
      <c r="AH64" s="380">
        <f t="shared" si="68"/>
        <v>0</v>
      </c>
      <c r="AI64" s="380">
        <f t="shared" si="68"/>
        <v>0</v>
      </c>
      <c r="AJ64" s="380">
        <f t="shared" si="68"/>
        <v>0</v>
      </c>
      <c r="AK64" s="380">
        <f t="shared" si="68"/>
        <v>0</v>
      </c>
      <c r="AL64" s="380">
        <f t="shared" si="68"/>
        <v>0</v>
      </c>
      <c r="AM64" s="380">
        <f t="shared" si="68"/>
        <v>0</v>
      </c>
      <c r="AN64" s="380">
        <f t="shared" si="68"/>
        <v>0</v>
      </c>
      <c r="AO64" s="354">
        <f>SUM(AC64:AN64)</f>
        <v>0</v>
      </c>
    </row>
    <row r="65" spans="1:41" ht="30" outlineLevel="1">
      <c r="A65" s="283" t="s">
        <v>306</v>
      </c>
      <c r="B65" s="363" t="s">
        <v>259</v>
      </c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59"/>
      <c r="P65" s="366"/>
      <c r="Q65" s="364"/>
      <c r="R65" s="364"/>
      <c r="S65" s="364"/>
      <c r="T65" s="364"/>
      <c r="U65" s="364"/>
      <c r="V65" s="364"/>
      <c r="W65" s="364"/>
      <c r="X65" s="364"/>
      <c r="Y65" s="364"/>
      <c r="Z65" s="364"/>
      <c r="AA65" s="364"/>
      <c r="AB65" s="359"/>
      <c r="AC65" s="366"/>
      <c r="AD65" s="364"/>
      <c r="AE65" s="364"/>
      <c r="AF65" s="364"/>
      <c r="AG65" s="364"/>
      <c r="AH65" s="364"/>
      <c r="AI65" s="364"/>
      <c r="AJ65" s="364"/>
      <c r="AK65" s="364"/>
      <c r="AL65" s="364"/>
      <c r="AM65" s="364"/>
      <c r="AN65" s="364"/>
      <c r="AO65" s="362"/>
    </row>
    <row r="66" spans="1:41" outlineLevel="1">
      <c r="A66" s="283" t="s">
        <v>307</v>
      </c>
      <c r="B66" s="367" t="s">
        <v>261</v>
      </c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59"/>
      <c r="P66" s="366"/>
      <c r="Q66" s="364"/>
      <c r="R66" s="364"/>
      <c r="S66" s="364"/>
      <c r="T66" s="364"/>
      <c r="U66" s="364"/>
      <c r="V66" s="364"/>
      <c r="W66" s="364"/>
      <c r="X66" s="364"/>
      <c r="Y66" s="364"/>
      <c r="Z66" s="364"/>
      <c r="AA66" s="364"/>
      <c r="AB66" s="359"/>
      <c r="AC66" s="366"/>
      <c r="AD66" s="364"/>
      <c r="AE66" s="364"/>
      <c r="AF66" s="364"/>
      <c r="AG66" s="364"/>
      <c r="AH66" s="364"/>
      <c r="AI66" s="364"/>
      <c r="AJ66" s="364"/>
      <c r="AK66" s="364"/>
      <c r="AL66" s="364"/>
      <c r="AM66" s="364"/>
      <c r="AN66" s="364"/>
      <c r="AO66" s="362"/>
    </row>
    <row r="67" spans="1:41" outlineLevel="1">
      <c r="A67" s="283" t="s">
        <v>308</v>
      </c>
      <c r="B67" s="363" t="s">
        <v>263</v>
      </c>
      <c r="C67" s="368">
        <f>C64/'Продукция и цена '!$C$6</f>
        <v>0</v>
      </c>
      <c r="D67" s="368">
        <f>D64/'Продукция и цена '!$C$6</f>
        <v>0</v>
      </c>
      <c r="E67" s="368">
        <f>E64/'Продукция и цена '!$C$6</f>
        <v>0</v>
      </c>
      <c r="F67" s="368">
        <f>F64/'Продукция и цена '!$C$6</f>
        <v>0</v>
      </c>
      <c r="G67" s="368">
        <f>G64/'Продукция и цена '!$C$6</f>
        <v>0</v>
      </c>
      <c r="H67" s="368">
        <f>H64/'Продукция и цена '!$C$6</f>
        <v>0</v>
      </c>
      <c r="I67" s="368">
        <f>I64/'Продукция и цена '!$C$6</f>
        <v>0</v>
      </c>
      <c r="J67" s="368">
        <f>J64/'Продукция и цена '!$C$6</f>
        <v>0</v>
      </c>
      <c r="K67" s="368">
        <f>K64/'Продукция и цена '!$C$6</f>
        <v>0</v>
      </c>
      <c r="L67" s="368">
        <f>L64/'Продукция и цена '!$C$6</f>
        <v>0</v>
      </c>
      <c r="M67" s="368">
        <f>M64/'Продукция и цена '!$C$6</f>
        <v>0</v>
      </c>
      <c r="N67" s="368">
        <f>N64/'Продукция и цена '!$C$6</f>
        <v>0</v>
      </c>
      <c r="O67" s="359">
        <f>SUM(C67:N67)/12</f>
        <v>0</v>
      </c>
      <c r="P67" s="370">
        <f>P64/'Продукция и цена '!$D$6</f>
        <v>0</v>
      </c>
      <c r="Q67" s="368">
        <f>Q64/'Продукция и цена '!$D$6</f>
        <v>0</v>
      </c>
      <c r="R67" s="368">
        <f>R64/'Продукция и цена '!$D$6</f>
        <v>0</v>
      </c>
      <c r="S67" s="368">
        <f>S64/'Продукция и цена '!$D$6</f>
        <v>0</v>
      </c>
      <c r="T67" s="368">
        <f>T64/'Продукция и цена '!$D$6</f>
        <v>0</v>
      </c>
      <c r="U67" s="368">
        <f>U64/'Продукция и цена '!$D$6</f>
        <v>0</v>
      </c>
      <c r="V67" s="368">
        <f>V64/'Продукция и цена '!$D$6</f>
        <v>0</v>
      </c>
      <c r="W67" s="368">
        <f>W64/'Продукция и цена '!$D$6</f>
        <v>0</v>
      </c>
      <c r="X67" s="368">
        <f>X64/'Продукция и цена '!$D$6</f>
        <v>0</v>
      </c>
      <c r="Y67" s="368">
        <f>Y64/'Продукция и цена '!$D$6</f>
        <v>0</v>
      </c>
      <c r="Z67" s="368">
        <f>Z64/'Продукция и цена '!$D$6</f>
        <v>0</v>
      </c>
      <c r="AA67" s="368">
        <f>AA64/'Продукция и цена '!$D$6</f>
        <v>0</v>
      </c>
      <c r="AB67" s="359">
        <f>SUM(P67:AA67)/12</f>
        <v>0</v>
      </c>
      <c r="AC67" s="370">
        <f>AC64/'Продукция и цена '!$E$6</f>
        <v>0</v>
      </c>
      <c r="AD67" s="368">
        <f>AD64/'Продукция и цена '!$E$6</f>
        <v>0</v>
      </c>
      <c r="AE67" s="368">
        <f>AE64/'Продукция и цена '!$E$6</f>
        <v>0</v>
      </c>
      <c r="AF67" s="368">
        <f>AF64/'Продукция и цена '!$E$6</f>
        <v>0</v>
      </c>
      <c r="AG67" s="368">
        <f>AG64/'Продукция и цена '!$E$6</f>
        <v>0</v>
      </c>
      <c r="AH67" s="368">
        <f>AH64/'Продукция и цена '!$E$6</f>
        <v>0</v>
      </c>
      <c r="AI67" s="368">
        <f>AI64/'Продукция и цена '!$E$6</f>
        <v>0</v>
      </c>
      <c r="AJ67" s="368">
        <f>AJ64/'Продукция и цена '!$E$6</f>
        <v>0</v>
      </c>
      <c r="AK67" s="368">
        <f>AK64/'Продукция и цена '!$E$6</f>
        <v>0</v>
      </c>
      <c r="AL67" s="368">
        <f>AL64/'Продукция и цена '!$E$6</f>
        <v>0</v>
      </c>
      <c r="AM67" s="368">
        <f>AM64/'Продукция и цена '!$E$6</f>
        <v>0</v>
      </c>
      <c r="AN67" s="368">
        <f>AN64/'Продукция и цена '!$E$6</f>
        <v>0</v>
      </c>
      <c r="AO67" s="362">
        <f>SUM(AC67:AN67)/12</f>
        <v>0</v>
      </c>
    </row>
    <row r="68" spans="1:41" outlineLevel="1">
      <c r="A68" s="371" t="s">
        <v>309</v>
      </c>
      <c r="B68" s="372" t="s">
        <v>265</v>
      </c>
      <c r="C68" s="373">
        <f>'Продукция и цена '!$C$6</f>
        <v>9000</v>
      </c>
      <c r="D68" s="373">
        <f>C68</f>
        <v>9000</v>
      </c>
      <c r="E68" s="373">
        <f t="shared" ref="E68:N68" si="69">D68</f>
        <v>9000</v>
      </c>
      <c r="F68" s="373">
        <f t="shared" si="69"/>
        <v>9000</v>
      </c>
      <c r="G68" s="373">
        <f t="shared" si="69"/>
        <v>9000</v>
      </c>
      <c r="H68" s="373">
        <f t="shared" si="69"/>
        <v>9000</v>
      </c>
      <c r="I68" s="373">
        <f t="shared" si="69"/>
        <v>9000</v>
      </c>
      <c r="J68" s="373">
        <f t="shared" si="69"/>
        <v>9000</v>
      </c>
      <c r="K68" s="373">
        <f t="shared" si="69"/>
        <v>9000</v>
      </c>
      <c r="L68" s="373">
        <f t="shared" si="69"/>
        <v>9000</v>
      </c>
      <c r="M68" s="373">
        <f t="shared" si="69"/>
        <v>9000</v>
      </c>
      <c r="N68" s="373">
        <f t="shared" si="69"/>
        <v>9000</v>
      </c>
      <c r="O68" s="374">
        <f>SUM(C68:N68)/12</f>
        <v>9000</v>
      </c>
      <c r="P68" s="376">
        <f>'Продукция и цена '!$D$6</f>
        <v>10350</v>
      </c>
      <c r="Q68" s="373">
        <f>P68</f>
        <v>10350</v>
      </c>
      <c r="R68" s="373">
        <f t="shared" ref="R68:AA68" si="70">Q68</f>
        <v>10350</v>
      </c>
      <c r="S68" s="373">
        <f t="shared" si="70"/>
        <v>10350</v>
      </c>
      <c r="T68" s="373">
        <f t="shared" si="70"/>
        <v>10350</v>
      </c>
      <c r="U68" s="373">
        <f t="shared" si="70"/>
        <v>10350</v>
      </c>
      <c r="V68" s="373">
        <f t="shared" si="70"/>
        <v>10350</v>
      </c>
      <c r="W68" s="373">
        <f t="shared" si="70"/>
        <v>10350</v>
      </c>
      <c r="X68" s="373">
        <f t="shared" si="70"/>
        <v>10350</v>
      </c>
      <c r="Y68" s="373">
        <f t="shared" si="70"/>
        <v>10350</v>
      </c>
      <c r="Z68" s="373">
        <f t="shared" si="70"/>
        <v>10350</v>
      </c>
      <c r="AA68" s="373">
        <f t="shared" si="70"/>
        <v>10350</v>
      </c>
      <c r="AB68" s="374">
        <f>SUM(P68:AA68)/12</f>
        <v>10350</v>
      </c>
      <c r="AC68" s="376">
        <f>'Продукция и цена '!$E$6</f>
        <v>11902.5</v>
      </c>
      <c r="AD68" s="373">
        <f>AC68</f>
        <v>11902.5</v>
      </c>
      <c r="AE68" s="373">
        <f t="shared" ref="AE68:AN68" si="71">AD68</f>
        <v>11902.5</v>
      </c>
      <c r="AF68" s="373">
        <f t="shared" si="71"/>
        <v>11902.5</v>
      </c>
      <c r="AG68" s="373">
        <f t="shared" si="71"/>
        <v>11902.5</v>
      </c>
      <c r="AH68" s="373">
        <f t="shared" si="71"/>
        <v>11902.5</v>
      </c>
      <c r="AI68" s="373">
        <f t="shared" si="71"/>
        <v>11902.5</v>
      </c>
      <c r="AJ68" s="373">
        <f t="shared" si="71"/>
        <v>11902.5</v>
      </c>
      <c r="AK68" s="373">
        <f t="shared" si="71"/>
        <v>11902.5</v>
      </c>
      <c r="AL68" s="373">
        <f t="shared" si="71"/>
        <v>11902.5</v>
      </c>
      <c r="AM68" s="373">
        <f t="shared" si="71"/>
        <v>11902.5</v>
      </c>
      <c r="AN68" s="373">
        <f t="shared" si="71"/>
        <v>11902.5</v>
      </c>
      <c r="AO68" s="377">
        <f>SUM(AC68:AN68)/12</f>
        <v>11902.5</v>
      </c>
    </row>
    <row r="69" spans="1:41" s="346" customFormat="1" ht="14.25" outlineLevel="1">
      <c r="A69" s="378" t="s">
        <v>30</v>
      </c>
      <c r="B69" s="381" t="s">
        <v>249</v>
      </c>
      <c r="C69" s="380">
        <f>C70*C71</f>
        <v>0</v>
      </c>
      <c r="D69" s="380">
        <f t="shared" ref="D69:N69" si="72">D70*D71</f>
        <v>0</v>
      </c>
      <c r="E69" s="380">
        <f t="shared" si="72"/>
        <v>0</v>
      </c>
      <c r="F69" s="380">
        <f t="shared" si="72"/>
        <v>0</v>
      </c>
      <c r="G69" s="380">
        <f t="shared" si="72"/>
        <v>0</v>
      </c>
      <c r="H69" s="380">
        <f t="shared" si="72"/>
        <v>0</v>
      </c>
      <c r="I69" s="380">
        <f t="shared" si="72"/>
        <v>0</v>
      </c>
      <c r="J69" s="380">
        <f t="shared" si="72"/>
        <v>0</v>
      </c>
      <c r="K69" s="380">
        <f t="shared" si="72"/>
        <v>0</v>
      </c>
      <c r="L69" s="380">
        <f t="shared" si="72"/>
        <v>0</v>
      </c>
      <c r="M69" s="380">
        <f t="shared" si="72"/>
        <v>0</v>
      </c>
      <c r="N69" s="380">
        <f t="shared" si="72"/>
        <v>0</v>
      </c>
      <c r="O69" s="352">
        <f>SUM(C69:N69)</f>
        <v>0</v>
      </c>
      <c r="P69" s="379">
        <f>P70*P71</f>
        <v>0</v>
      </c>
      <c r="Q69" s="380">
        <f t="shared" ref="Q69:AA69" si="73">Q70*Q71</f>
        <v>0</v>
      </c>
      <c r="R69" s="380">
        <f t="shared" si="73"/>
        <v>0</v>
      </c>
      <c r="S69" s="380">
        <f t="shared" si="73"/>
        <v>0</v>
      </c>
      <c r="T69" s="380">
        <f t="shared" si="73"/>
        <v>0</v>
      </c>
      <c r="U69" s="380">
        <f t="shared" si="73"/>
        <v>0</v>
      </c>
      <c r="V69" s="380">
        <f t="shared" si="73"/>
        <v>0</v>
      </c>
      <c r="W69" s="380">
        <f t="shared" si="73"/>
        <v>0</v>
      </c>
      <c r="X69" s="380">
        <f t="shared" si="73"/>
        <v>0</v>
      </c>
      <c r="Y69" s="380">
        <f t="shared" si="73"/>
        <v>0</v>
      </c>
      <c r="Z69" s="380">
        <f t="shared" si="73"/>
        <v>0</v>
      </c>
      <c r="AA69" s="380">
        <f t="shared" si="73"/>
        <v>0</v>
      </c>
      <c r="AB69" s="352">
        <f>SUM(P69:AA69)</f>
        <v>0</v>
      </c>
      <c r="AC69" s="379">
        <f>AC70*AC71</f>
        <v>0</v>
      </c>
      <c r="AD69" s="380">
        <f t="shared" ref="AD69:AN69" si="74">AD70*AD71</f>
        <v>0</v>
      </c>
      <c r="AE69" s="380">
        <f t="shared" si="74"/>
        <v>0</v>
      </c>
      <c r="AF69" s="380">
        <f t="shared" si="74"/>
        <v>0</v>
      </c>
      <c r="AG69" s="380">
        <f t="shared" si="74"/>
        <v>0</v>
      </c>
      <c r="AH69" s="380">
        <f t="shared" si="74"/>
        <v>0</v>
      </c>
      <c r="AI69" s="380">
        <f t="shared" si="74"/>
        <v>0</v>
      </c>
      <c r="AJ69" s="380">
        <f t="shared" si="74"/>
        <v>0</v>
      </c>
      <c r="AK69" s="380">
        <f t="shared" si="74"/>
        <v>0</v>
      </c>
      <c r="AL69" s="380">
        <f t="shared" si="74"/>
        <v>0</v>
      </c>
      <c r="AM69" s="380">
        <f t="shared" si="74"/>
        <v>0</v>
      </c>
      <c r="AN69" s="380">
        <f t="shared" si="74"/>
        <v>0</v>
      </c>
      <c r="AO69" s="354">
        <f>SUM(AC69:AN69)</f>
        <v>0</v>
      </c>
    </row>
    <row r="70" spans="1:41" ht="30" outlineLevel="1">
      <c r="A70" s="283" t="s">
        <v>310</v>
      </c>
      <c r="B70" s="363" t="s">
        <v>259</v>
      </c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59"/>
      <c r="P70" s="366"/>
      <c r="Q70" s="364"/>
      <c r="R70" s="364"/>
      <c r="S70" s="364"/>
      <c r="T70" s="364"/>
      <c r="U70" s="364"/>
      <c r="V70" s="364"/>
      <c r="W70" s="364"/>
      <c r="X70" s="364"/>
      <c r="Y70" s="364"/>
      <c r="Z70" s="364"/>
      <c r="AA70" s="364"/>
      <c r="AB70" s="359"/>
      <c r="AC70" s="366"/>
      <c r="AD70" s="364"/>
      <c r="AE70" s="364"/>
      <c r="AF70" s="364"/>
      <c r="AG70" s="364"/>
      <c r="AH70" s="364"/>
      <c r="AI70" s="364"/>
      <c r="AJ70" s="364"/>
      <c r="AK70" s="364"/>
      <c r="AL70" s="364"/>
      <c r="AM70" s="364"/>
      <c r="AN70" s="364"/>
      <c r="AO70" s="362"/>
    </row>
    <row r="71" spans="1:41" outlineLevel="1">
      <c r="A71" s="283" t="s">
        <v>311</v>
      </c>
      <c r="B71" s="367" t="s">
        <v>261</v>
      </c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59"/>
      <c r="P71" s="366"/>
      <c r="Q71" s="364"/>
      <c r="R71" s="364"/>
      <c r="S71" s="364"/>
      <c r="T71" s="364"/>
      <c r="U71" s="364"/>
      <c r="V71" s="364"/>
      <c r="W71" s="364"/>
      <c r="X71" s="364"/>
      <c r="Y71" s="364"/>
      <c r="Z71" s="364"/>
      <c r="AA71" s="364"/>
      <c r="AB71" s="359"/>
      <c r="AC71" s="366"/>
      <c r="AD71" s="364"/>
      <c r="AE71" s="364"/>
      <c r="AF71" s="364"/>
      <c r="AG71" s="364"/>
      <c r="AH71" s="364"/>
      <c r="AI71" s="364"/>
      <c r="AJ71" s="364"/>
      <c r="AK71" s="364"/>
      <c r="AL71" s="364"/>
      <c r="AM71" s="364"/>
      <c r="AN71" s="364"/>
      <c r="AO71" s="362"/>
    </row>
    <row r="72" spans="1:41" outlineLevel="1">
      <c r="A72" s="283" t="s">
        <v>312</v>
      </c>
      <c r="B72" s="363" t="s">
        <v>263</v>
      </c>
      <c r="C72" s="368">
        <f>C69/'Продукция и цена '!$C$6</f>
        <v>0</v>
      </c>
      <c r="D72" s="368">
        <f>D69/'Продукция и цена '!$C$6</f>
        <v>0</v>
      </c>
      <c r="E72" s="368">
        <f>E69/'Продукция и цена '!$C$6</f>
        <v>0</v>
      </c>
      <c r="F72" s="368">
        <f>F69/'Продукция и цена '!$C$6</f>
        <v>0</v>
      </c>
      <c r="G72" s="368">
        <f>G69/'Продукция и цена '!$C$6</f>
        <v>0</v>
      </c>
      <c r="H72" s="368">
        <f>H69/'Продукция и цена '!$C$6</f>
        <v>0</v>
      </c>
      <c r="I72" s="368">
        <f>I69/'Продукция и цена '!$C$6</f>
        <v>0</v>
      </c>
      <c r="J72" s="368">
        <f>J69/'Продукция и цена '!$C$6</f>
        <v>0</v>
      </c>
      <c r="K72" s="368">
        <f>K69/'Продукция и цена '!$C$6</f>
        <v>0</v>
      </c>
      <c r="L72" s="368">
        <f>L69/'Продукция и цена '!$C$6</f>
        <v>0</v>
      </c>
      <c r="M72" s="368">
        <f>M69/'Продукция и цена '!$C$6</f>
        <v>0</v>
      </c>
      <c r="N72" s="368">
        <f>N69/'Продукция и цена '!$C$6</f>
        <v>0</v>
      </c>
      <c r="O72" s="359">
        <f>SUM(C72:N72)/12</f>
        <v>0</v>
      </c>
      <c r="P72" s="370">
        <f>P69/'Продукция и цена '!$D$6</f>
        <v>0</v>
      </c>
      <c r="Q72" s="368">
        <f>Q69/'Продукция и цена '!$D$6</f>
        <v>0</v>
      </c>
      <c r="R72" s="368">
        <f>R69/'Продукция и цена '!$D$6</f>
        <v>0</v>
      </c>
      <c r="S72" s="368">
        <f>S69/'Продукция и цена '!$D$6</f>
        <v>0</v>
      </c>
      <c r="T72" s="368">
        <f>T69/'Продукция и цена '!$D$6</f>
        <v>0</v>
      </c>
      <c r="U72" s="368">
        <f>U69/'Продукция и цена '!$D$6</f>
        <v>0</v>
      </c>
      <c r="V72" s="368">
        <f>V69/'Продукция и цена '!$D$6</f>
        <v>0</v>
      </c>
      <c r="W72" s="368">
        <f>W69/'Продукция и цена '!$D$6</f>
        <v>0</v>
      </c>
      <c r="X72" s="368">
        <f>X69/'Продукция и цена '!$D$6</f>
        <v>0</v>
      </c>
      <c r="Y72" s="368">
        <f>Y69/'Продукция и цена '!$D$6</f>
        <v>0</v>
      </c>
      <c r="Z72" s="368">
        <f>Z69/'Продукция и цена '!$D$6</f>
        <v>0</v>
      </c>
      <c r="AA72" s="368">
        <f>AA69/'Продукция и цена '!$D$6</f>
        <v>0</v>
      </c>
      <c r="AB72" s="359">
        <f>SUM(P72:AA72)/12</f>
        <v>0</v>
      </c>
      <c r="AC72" s="370">
        <f>AC69/'Продукция и цена '!$E$6</f>
        <v>0</v>
      </c>
      <c r="AD72" s="368">
        <f>AD69/'Продукция и цена '!$E$6</f>
        <v>0</v>
      </c>
      <c r="AE72" s="368">
        <f>AE69/'Продукция и цена '!$E$6</f>
        <v>0</v>
      </c>
      <c r="AF72" s="368">
        <f>AF69/'Продукция и цена '!$E$6</f>
        <v>0</v>
      </c>
      <c r="AG72" s="368">
        <f>AG69/'Продукция и цена '!$E$6</f>
        <v>0</v>
      </c>
      <c r="AH72" s="368">
        <f>AH69/'Продукция и цена '!$E$6</f>
        <v>0</v>
      </c>
      <c r="AI72" s="368">
        <f>AI69/'Продукция и цена '!$E$6</f>
        <v>0</v>
      </c>
      <c r="AJ72" s="368">
        <f>AJ69/'Продукция и цена '!$E$6</f>
        <v>0</v>
      </c>
      <c r="AK72" s="368">
        <f>AK69/'Продукция и цена '!$E$6</f>
        <v>0</v>
      </c>
      <c r="AL72" s="368">
        <f>AL69/'Продукция и цена '!$E$6</f>
        <v>0</v>
      </c>
      <c r="AM72" s="368">
        <f>AM69/'Продукция и цена '!$E$6</f>
        <v>0</v>
      </c>
      <c r="AN72" s="368">
        <f>AN69/'Продукция и цена '!$E$6</f>
        <v>0</v>
      </c>
      <c r="AO72" s="362">
        <f>SUM(AC72:AN72)/12</f>
        <v>0</v>
      </c>
    </row>
    <row r="73" spans="1:41" outlineLevel="1">
      <c r="A73" s="371" t="s">
        <v>313</v>
      </c>
      <c r="B73" s="372" t="s">
        <v>265</v>
      </c>
      <c r="C73" s="373">
        <f>'Продукция и цена '!$C$6</f>
        <v>9000</v>
      </c>
      <c r="D73" s="373">
        <f>C73</f>
        <v>9000</v>
      </c>
      <c r="E73" s="373">
        <f t="shared" ref="E73:N73" si="75">D73</f>
        <v>9000</v>
      </c>
      <c r="F73" s="373">
        <f t="shared" si="75"/>
        <v>9000</v>
      </c>
      <c r="G73" s="373">
        <f t="shared" si="75"/>
        <v>9000</v>
      </c>
      <c r="H73" s="373">
        <f t="shared" si="75"/>
        <v>9000</v>
      </c>
      <c r="I73" s="373">
        <f t="shared" si="75"/>
        <v>9000</v>
      </c>
      <c r="J73" s="373">
        <f t="shared" si="75"/>
        <v>9000</v>
      </c>
      <c r="K73" s="373">
        <f t="shared" si="75"/>
        <v>9000</v>
      </c>
      <c r="L73" s="373">
        <f t="shared" si="75"/>
        <v>9000</v>
      </c>
      <c r="M73" s="373">
        <f t="shared" si="75"/>
        <v>9000</v>
      </c>
      <c r="N73" s="373">
        <f t="shared" si="75"/>
        <v>9000</v>
      </c>
      <c r="O73" s="374">
        <f>SUM(C73:N73)/12</f>
        <v>9000</v>
      </c>
      <c r="P73" s="376">
        <f>'Продукция и цена '!$D$6</f>
        <v>10350</v>
      </c>
      <c r="Q73" s="373">
        <f>P73</f>
        <v>10350</v>
      </c>
      <c r="R73" s="373">
        <f t="shared" ref="R73:AA73" si="76">Q73</f>
        <v>10350</v>
      </c>
      <c r="S73" s="373">
        <f t="shared" si="76"/>
        <v>10350</v>
      </c>
      <c r="T73" s="373">
        <f t="shared" si="76"/>
        <v>10350</v>
      </c>
      <c r="U73" s="373">
        <f t="shared" si="76"/>
        <v>10350</v>
      </c>
      <c r="V73" s="373">
        <f t="shared" si="76"/>
        <v>10350</v>
      </c>
      <c r="W73" s="373">
        <f t="shared" si="76"/>
        <v>10350</v>
      </c>
      <c r="X73" s="373">
        <f t="shared" si="76"/>
        <v>10350</v>
      </c>
      <c r="Y73" s="373">
        <f t="shared" si="76"/>
        <v>10350</v>
      </c>
      <c r="Z73" s="373">
        <f t="shared" si="76"/>
        <v>10350</v>
      </c>
      <c r="AA73" s="373">
        <f t="shared" si="76"/>
        <v>10350</v>
      </c>
      <c r="AB73" s="374">
        <f>SUM(P73:AA73)/12</f>
        <v>10350</v>
      </c>
      <c r="AC73" s="376">
        <f>'Продукция и цена '!$E$6</f>
        <v>11902.5</v>
      </c>
      <c r="AD73" s="373">
        <f>AC73</f>
        <v>11902.5</v>
      </c>
      <c r="AE73" s="373">
        <f t="shared" ref="AE73:AN73" si="77">AD73</f>
        <v>11902.5</v>
      </c>
      <c r="AF73" s="373">
        <f t="shared" si="77"/>
        <v>11902.5</v>
      </c>
      <c r="AG73" s="373">
        <f t="shared" si="77"/>
        <v>11902.5</v>
      </c>
      <c r="AH73" s="373">
        <f t="shared" si="77"/>
        <v>11902.5</v>
      </c>
      <c r="AI73" s="373">
        <f t="shared" si="77"/>
        <v>11902.5</v>
      </c>
      <c r="AJ73" s="373">
        <f t="shared" si="77"/>
        <v>11902.5</v>
      </c>
      <c r="AK73" s="373">
        <f t="shared" si="77"/>
        <v>11902.5</v>
      </c>
      <c r="AL73" s="373">
        <f t="shared" si="77"/>
        <v>11902.5</v>
      </c>
      <c r="AM73" s="373">
        <f t="shared" si="77"/>
        <v>11902.5</v>
      </c>
      <c r="AN73" s="373">
        <f t="shared" si="77"/>
        <v>11902.5</v>
      </c>
      <c r="AO73" s="377">
        <f>SUM(AC73:AN73)/12</f>
        <v>11902.5</v>
      </c>
    </row>
    <row r="74" spans="1:41" s="346" customFormat="1" ht="14.25" outlineLevel="1">
      <c r="A74" s="378" t="s">
        <v>174</v>
      </c>
      <c r="B74" s="381" t="s">
        <v>250</v>
      </c>
      <c r="C74" s="380">
        <f>C75*C76</f>
        <v>0</v>
      </c>
      <c r="D74" s="380">
        <f t="shared" ref="D74:N74" si="78">D75*D76</f>
        <v>0</v>
      </c>
      <c r="E74" s="380">
        <f t="shared" si="78"/>
        <v>0</v>
      </c>
      <c r="F74" s="380">
        <f t="shared" si="78"/>
        <v>0</v>
      </c>
      <c r="G74" s="380">
        <f t="shared" si="78"/>
        <v>0</v>
      </c>
      <c r="H74" s="380">
        <f t="shared" si="78"/>
        <v>0</v>
      </c>
      <c r="I74" s="380">
        <f t="shared" si="78"/>
        <v>0</v>
      </c>
      <c r="J74" s="380">
        <f t="shared" si="78"/>
        <v>0</v>
      </c>
      <c r="K74" s="380">
        <f t="shared" si="78"/>
        <v>0</v>
      </c>
      <c r="L74" s="380">
        <f t="shared" si="78"/>
        <v>0</v>
      </c>
      <c r="M74" s="380">
        <f t="shared" si="78"/>
        <v>0</v>
      </c>
      <c r="N74" s="380">
        <f t="shared" si="78"/>
        <v>0</v>
      </c>
      <c r="O74" s="352">
        <f>SUM(C74:N74)</f>
        <v>0</v>
      </c>
      <c r="P74" s="379">
        <f>P75*P76</f>
        <v>0</v>
      </c>
      <c r="Q74" s="380">
        <f t="shared" ref="Q74:AA74" si="79">Q75*Q76</f>
        <v>0</v>
      </c>
      <c r="R74" s="380">
        <f t="shared" si="79"/>
        <v>0</v>
      </c>
      <c r="S74" s="380">
        <f t="shared" si="79"/>
        <v>0</v>
      </c>
      <c r="T74" s="380">
        <f t="shared" si="79"/>
        <v>0</v>
      </c>
      <c r="U74" s="380">
        <f t="shared" si="79"/>
        <v>0</v>
      </c>
      <c r="V74" s="380">
        <f t="shared" si="79"/>
        <v>0</v>
      </c>
      <c r="W74" s="380">
        <f t="shared" si="79"/>
        <v>0</v>
      </c>
      <c r="X74" s="380">
        <f t="shared" si="79"/>
        <v>0</v>
      </c>
      <c r="Y74" s="380">
        <f t="shared" si="79"/>
        <v>0</v>
      </c>
      <c r="Z74" s="380">
        <f t="shared" si="79"/>
        <v>0</v>
      </c>
      <c r="AA74" s="380">
        <f t="shared" si="79"/>
        <v>0</v>
      </c>
      <c r="AB74" s="352">
        <f>SUM(P74:AA74)</f>
        <v>0</v>
      </c>
      <c r="AC74" s="379">
        <f>AC75*AC76</f>
        <v>0</v>
      </c>
      <c r="AD74" s="380">
        <f t="shared" ref="AD74:AN74" si="80">AD75*AD76</f>
        <v>0</v>
      </c>
      <c r="AE74" s="380">
        <f t="shared" si="80"/>
        <v>0</v>
      </c>
      <c r="AF74" s="380">
        <f t="shared" si="80"/>
        <v>0</v>
      </c>
      <c r="AG74" s="380">
        <f t="shared" si="80"/>
        <v>0</v>
      </c>
      <c r="AH74" s="380">
        <f t="shared" si="80"/>
        <v>0</v>
      </c>
      <c r="AI74" s="380">
        <f t="shared" si="80"/>
        <v>0</v>
      </c>
      <c r="AJ74" s="380">
        <f t="shared" si="80"/>
        <v>0</v>
      </c>
      <c r="AK74" s="380">
        <f t="shared" si="80"/>
        <v>0</v>
      </c>
      <c r="AL74" s="380">
        <f t="shared" si="80"/>
        <v>0</v>
      </c>
      <c r="AM74" s="380">
        <f t="shared" si="80"/>
        <v>0</v>
      </c>
      <c r="AN74" s="380">
        <f t="shared" si="80"/>
        <v>0</v>
      </c>
      <c r="AO74" s="354">
        <f>SUM(AC74:AN74)</f>
        <v>0</v>
      </c>
    </row>
    <row r="75" spans="1:41" ht="30" outlineLevel="1">
      <c r="A75" s="283" t="s">
        <v>314</v>
      </c>
      <c r="B75" s="363" t="s">
        <v>259</v>
      </c>
      <c r="C75" s="364"/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59"/>
      <c r="P75" s="366"/>
      <c r="Q75" s="364"/>
      <c r="R75" s="364"/>
      <c r="S75" s="364"/>
      <c r="T75" s="364"/>
      <c r="U75" s="364"/>
      <c r="V75" s="364"/>
      <c r="W75" s="364"/>
      <c r="X75" s="364"/>
      <c r="Y75" s="364"/>
      <c r="Z75" s="364"/>
      <c r="AA75" s="364"/>
      <c r="AB75" s="359"/>
      <c r="AC75" s="366"/>
      <c r="AD75" s="364"/>
      <c r="AE75" s="364"/>
      <c r="AF75" s="364"/>
      <c r="AG75" s="364"/>
      <c r="AH75" s="364"/>
      <c r="AI75" s="364"/>
      <c r="AJ75" s="364"/>
      <c r="AK75" s="364"/>
      <c r="AL75" s="364"/>
      <c r="AM75" s="364"/>
      <c r="AN75" s="364"/>
      <c r="AO75" s="362"/>
    </row>
    <row r="76" spans="1:41" outlineLevel="1">
      <c r="A76" s="283" t="s">
        <v>315</v>
      </c>
      <c r="B76" s="367" t="s">
        <v>261</v>
      </c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59"/>
      <c r="P76" s="366"/>
      <c r="Q76" s="364"/>
      <c r="R76" s="364"/>
      <c r="S76" s="364"/>
      <c r="T76" s="364"/>
      <c r="U76" s="364"/>
      <c r="V76" s="364"/>
      <c r="W76" s="364"/>
      <c r="X76" s="364"/>
      <c r="Y76" s="364"/>
      <c r="Z76" s="364"/>
      <c r="AA76" s="364"/>
      <c r="AB76" s="359"/>
      <c r="AC76" s="366"/>
      <c r="AD76" s="364"/>
      <c r="AE76" s="364"/>
      <c r="AF76" s="364"/>
      <c r="AG76" s="364"/>
      <c r="AH76" s="364"/>
      <c r="AI76" s="364"/>
      <c r="AJ76" s="364"/>
      <c r="AK76" s="364"/>
      <c r="AL76" s="364"/>
      <c r="AM76" s="364"/>
      <c r="AN76" s="364"/>
      <c r="AO76" s="362"/>
    </row>
    <row r="77" spans="1:41" outlineLevel="1">
      <c r="A77" s="283" t="s">
        <v>316</v>
      </c>
      <c r="B77" s="363" t="s">
        <v>263</v>
      </c>
      <c r="C77" s="368">
        <f>C74/'Продукция и цена '!$C$6</f>
        <v>0</v>
      </c>
      <c r="D77" s="368">
        <f>D74/'Продукция и цена '!$C$6</f>
        <v>0</v>
      </c>
      <c r="E77" s="368">
        <f>E74/'Продукция и цена '!$C$6</f>
        <v>0</v>
      </c>
      <c r="F77" s="368">
        <f>F74/'Продукция и цена '!$C$6</f>
        <v>0</v>
      </c>
      <c r="G77" s="368">
        <f>G74/'Продукция и цена '!$C$6</f>
        <v>0</v>
      </c>
      <c r="H77" s="368">
        <f>H74/'Продукция и цена '!$C$6</f>
        <v>0</v>
      </c>
      <c r="I77" s="368">
        <f>I74/'Продукция и цена '!$C$6</f>
        <v>0</v>
      </c>
      <c r="J77" s="368">
        <f>J74/'Продукция и цена '!$C$6</f>
        <v>0</v>
      </c>
      <c r="K77" s="368">
        <f>K74/'Продукция и цена '!$C$6</f>
        <v>0</v>
      </c>
      <c r="L77" s="368">
        <f>L74/'Продукция и цена '!$C$6</f>
        <v>0</v>
      </c>
      <c r="M77" s="368">
        <f>M74/'Продукция и цена '!$C$6</f>
        <v>0</v>
      </c>
      <c r="N77" s="368">
        <f>N74/'Продукция и цена '!$C$6</f>
        <v>0</v>
      </c>
      <c r="O77" s="359">
        <f>SUM(C77:N77)/12</f>
        <v>0</v>
      </c>
      <c r="P77" s="370">
        <f>P74/'Продукция и цена '!$D$6</f>
        <v>0</v>
      </c>
      <c r="Q77" s="368">
        <f>Q74/'Продукция и цена '!$D$6</f>
        <v>0</v>
      </c>
      <c r="R77" s="368">
        <f>R74/'Продукция и цена '!$D$6</f>
        <v>0</v>
      </c>
      <c r="S77" s="368">
        <f>S74/'Продукция и цена '!$D$6</f>
        <v>0</v>
      </c>
      <c r="T77" s="368">
        <f>T74/'Продукция и цена '!$D$6</f>
        <v>0</v>
      </c>
      <c r="U77" s="368">
        <f>U74/'Продукция и цена '!$D$6</f>
        <v>0</v>
      </c>
      <c r="V77" s="368">
        <f>V74/'Продукция и цена '!$D$6</f>
        <v>0</v>
      </c>
      <c r="W77" s="368">
        <f>W74/'Продукция и цена '!$D$6</f>
        <v>0</v>
      </c>
      <c r="X77" s="368">
        <f>X74/'Продукция и цена '!$D$6</f>
        <v>0</v>
      </c>
      <c r="Y77" s="368">
        <f>Y74/'Продукция и цена '!$D$6</f>
        <v>0</v>
      </c>
      <c r="Z77" s="368">
        <f>Z74/'Продукция и цена '!$D$6</f>
        <v>0</v>
      </c>
      <c r="AA77" s="368">
        <f>AA74/'Продукция и цена '!$D$6</f>
        <v>0</v>
      </c>
      <c r="AB77" s="359">
        <f>SUM(P77:AA77)/12</f>
        <v>0</v>
      </c>
      <c r="AC77" s="370">
        <f>AC74/'Продукция и цена '!$E$6</f>
        <v>0</v>
      </c>
      <c r="AD77" s="368">
        <f>AD74/'Продукция и цена '!$E$6</f>
        <v>0</v>
      </c>
      <c r="AE77" s="368">
        <f>AE74/'Продукция и цена '!$E$6</f>
        <v>0</v>
      </c>
      <c r="AF77" s="368">
        <f>AF74/'Продукция и цена '!$E$6</f>
        <v>0</v>
      </c>
      <c r="AG77" s="368">
        <f>AG74/'Продукция и цена '!$E$6</f>
        <v>0</v>
      </c>
      <c r="AH77" s="368">
        <f>AH74/'Продукция и цена '!$E$6</f>
        <v>0</v>
      </c>
      <c r="AI77" s="368">
        <f>AI74/'Продукция и цена '!$E$6</f>
        <v>0</v>
      </c>
      <c r="AJ77" s="368">
        <f>AJ74/'Продукция и цена '!$E$6</f>
        <v>0</v>
      </c>
      <c r="AK77" s="368">
        <f>AK74/'Продукция и цена '!$E$6</f>
        <v>0</v>
      </c>
      <c r="AL77" s="368">
        <f>AL74/'Продукция и цена '!$E$6</f>
        <v>0</v>
      </c>
      <c r="AM77" s="368">
        <f>AM74/'Продукция и цена '!$E$6</f>
        <v>0</v>
      </c>
      <c r="AN77" s="368">
        <f>AN74/'Продукция и цена '!$E$6</f>
        <v>0</v>
      </c>
      <c r="AO77" s="362">
        <f>SUM(AC77:AN77)/12</f>
        <v>0</v>
      </c>
    </row>
    <row r="78" spans="1:41" outlineLevel="1">
      <c r="A78" s="371" t="s">
        <v>317</v>
      </c>
      <c r="B78" s="372" t="s">
        <v>265</v>
      </c>
      <c r="C78" s="373">
        <f>'Продукция и цена '!$C$6</f>
        <v>9000</v>
      </c>
      <c r="D78" s="373">
        <f>C78</f>
        <v>9000</v>
      </c>
      <c r="E78" s="373">
        <f t="shared" ref="E78:N78" si="81">D78</f>
        <v>9000</v>
      </c>
      <c r="F78" s="373">
        <f t="shared" si="81"/>
        <v>9000</v>
      </c>
      <c r="G78" s="373">
        <f t="shared" si="81"/>
        <v>9000</v>
      </c>
      <c r="H78" s="373">
        <f t="shared" si="81"/>
        <v>9000</v>
      </c>
      <c r="I78" s="373">
        <f t="shared" si="81"/>
        <v>9000</v>
      </c>
      <c r="J78" s="373">
        <f t="shared" si="81"/>
        <v>9000</v>
      </c>
      <c r="K78" s="373">
        <f t="shared" si="81"/>
        <v>9000</v>
      </c>
      <c r="L78" s="373">
        <f t="shared" si="81"/>
        <v>9000</v>
      </c>
      <c r="M78" s="373">
        <f t="shared" si="81"/>
        <v>9000</v>
      </c>
      <c r="N78" s="373">
        <f t="shared" si="81"/>
        <v>9000</v>
      </c>
      <c r="O78" s="374">
        <f>SUM(C78:N78)/12</f>
        <v>9000</v>
      </c>
      <c r="P78" s="376">
        <f>'Продукция и цена '!$D$6</f>
        <v>10350</v>
      </c>
      <c r="Q78" s="373">
        <f>P78</f>
        <v>10350</v>
      </c>
      <c r="R78" s="373">
        <f t="shared" ref="R78:AA78" si="82">Q78</f>
        <v>10350</v>
      </c>
      <c r="S78" s="373">
        <f t="shared" si="82"/>
        <v>10350</v>
      </c>
      <c r="T78" s="373">
        <f t="shared" si="82"/>
        <v>10350</v>
      </c>
      <c r="U78" s="373">
        <f t="shared" si="82"/>
        <v>10350</v>
      </c>
      <c r="V78" s="373">
        <f t="shared" si="82"/>
        <v>10350</v>
      </c>
      <c r="W78" s="373">
        <f t="shared" si="82"/>
        <v>10350</v>
      </c>
      <c r="X78" s="373">
        <f t="shared" si="82"/>
        <v>10350</v>
      </c>
      <c r="Y78" s="373">
        <f t="shared" si="82"/>
        <v>10350</v>
      </c>
      <c r="Z78" s="373">
        <f t="shared" si="82"/>
        <v>10350</v>
      </c>
      <c r="AA78" s="373">
        <f t="shared" si="82"/>
        <v>10350</v>
      </c>
      <c r="AB78" s="374">
        <f>SUM(P78:AA78)/12</f>
        <v>10350</v>
      </c>
      <c r="AC78" s="376">
        <f>'Продукция и цена '!$E$6</f>
        <v>11902.5</v>
      </c>
      <c r="AD78" s="373">
        <f>AC78</f>
        <v>11902.5</v>
      </c>
      <c r="AE78" s="373">
        <f t="shared" ref="AE78:AN78" si="83">AD78</f>
        <v>11902.5</v>
      </c>
      <c r="AF78" s="373">
        <f t="shared" si="83"/>
        <v>11902.5</v>
      </c>
      <c r="AG78" s="373">
        <f t="shared" si="83"/>
        <v>11902.5</v>
      </c>
      <c r="AH78" s="373">
        <f t="shared" si="83"/>
        <v>11902.5</v>
      </c>
      <c r="AI78" s="373">
        <f t="shared" si="83"/>
        <v>11902.5</v>
      </c>
      <c r="AJ78" s="373">
        <f t="shared" si="83"/>
        <v>11902.5</v>
      </c>
      <c r="AK78" s="373">
        <f t="shared" si="83"/>
        <v>11902.5</v>
      </c>
      <c r="AL78" s="373">
        <f t="shared" si="83"/>
        <v>11902.5</v>
      </c>
      <c r="AM78" s="373">
        <f t="shared" si="83"/>
        <v>11902.5</v>
      </c>
      <c r="AN78" s="373">
        <f t="shared" si="83"/>
        <v>11902.5</v>
      </c>
      <c r="AO78" s="377">
        <f>SUM(AC78:AN78)/12</f>
        <v>11902.5</v>
      </c>
    </row>
    <row r="79" spans="1:41" s="346" customFormat="1" ht="14.25" outlineLevel="1">
      <c r="A79" s="378" t="s">
        <v>175</v>
      </c>
      <c r="B79" s="381" t="s">
        <v>251</v>
      </c>
      <c r="C79" s="380">
        <f>C80*C81</f>
        <v>0</v>
      </c>
      <c r="D79" s="380">
        <f t="shared" ref="D79:N79" si="84">D80*D81</f>
        <v>0</v>
      </c>
      <c r="E79" s="380">
        <f t="shared" si="84"/>
        <v>0</v>
      </c>
      <c r="F79" s="380">
        <f t="shared" si="84"/>
        <v>0</v>
      </c>
      <c r="G79" s="380">
        <f t="shared" si="84"/>
        <v>0</v>
      </c>
      <c r="H79" s="380">
        <f t="shared" si="84"/>
        <v>0</v>
      </c>
      <c r="I79" s="380">
        <f t="shared" si="84"/>
        <v>0</v>
      </c>
      <c r="J79" s="380">
        <f t="shared" si="84"/>
        <v>0</v>
      </c>
      <c r="K79" s="380">
        <f t="shared" si="84"/>
        <v>0</v>
      </c>
      <c r="L79" s="380">
        <f t="shared" si="84"/>
        <v>0</v>
      </c>
      <c r="M79" s="380">
        <f t="shared" si="84"/>
        <v>0</v>
      </c>
      <c r="N79" s="380">
        <f t="shared" si="84"/>
        <v>0</v>
      </c>
      <c r="O79" s="352">
        <f>SUM(C79:N79)</f>
        <v>0</v>
      </c>
      <c r="P79" s="379">
        <f>P80*P81</f>
        <v>0</v>
      </c>
      <c r="Q79" s="380">
        <f t="shared" ref="Q79:AA79" si="85">Q80*Q81</f>
        <v>0</v>
      </c>
      <c r="R79" s="380">
        <f t="shared" si="85"/>
        <v>0</v>
      </c>
      <c r="S79" s="380">
        <f t="shared" si="85"/>
        <v>0</v>
      </c>
      <c r="T79" s="380">
        <f t="shared" si="85"/>
        <v>0</v>
      </c>
      <c r="U79" s="380">
        <f t="shared" si="85"/>
        <v>0</v>
      </c>
      <c r="V79" s="380">
        <f t="shared" si="85"/>
        <v>0</v>
      </c>
      <c r="W79" s="380">
        <f t="shared" si="85"/>
        <v>0</v>
      </c>
      <c r="X79" s="380">
        <f t="shared" si="85"/>
        <v>0</v>
      </c>
      <c r="Y79" s="380">
        <f t="shared" si="85"/>
        <v>0</v>
      </c>
      <c r="Z79" s="380">
        <f t="shared" si="85"/>
        <v>0</v>
      </c>
      <c r="AA79" s="380">
        <f t="shared" si="85"/>
        <v>0</v>
      </c>
      <c r="AB79" s="352">
        <f>SUM(P79:AA79)</f>
        <v>0</v>
      </c>
      <c r="AC79" s="379">
        <f>AC80*AC81</f>
        <v>0</v>
      </c>
      <c r="AD79" s="380">
        <f t="shared" ref="AD79:AN79" si="86">AD80*AD81</f>
        <v>0</v>
      </c>
      <c r="AE79" s="380">
        <f t="shared" si="86"/>
        <v>0</v>
      </c>
      <c r="AF79" s="380">
        <f t="shared" si="86"/>
        <v>0</v>
      </c>
      <c r="AG79" s="380">
        <f t="shared" si="86"/>
        <v>0</v>
      </c>
      <c r="AH79" s="380">
        <f t="shared" si="86"/>
        <v>0</v>
      </c>
      <c r="AI79" s="380">
        <f t="shared" si="86"/>
        <v>0</v>
      </c>
      <c r="AJ79" s="380">
        <f t="shared" si="86"/>
        <v>0</v>
      </c>
      <c r="AK79" s="380">
        <f t="shared" si="86"/>
        <v>0</v>
      </c>
      <c r="AL79" s="380">
        <f t="shared" si="86"/>
        <v>0</v>
      </c>
      <c r="AM79" s="380">
        <f t="shared" si="86"/>
        <v>0</v>
      </c>
      <c r="AN79" s="380">
        <f t="shared" si="86"/>
        <v>0</v>
      </c>
      <c r="AO79" s="354">
        <f>SUM(AC79:AN79)</f>
        <v>0</v>
      </c>
    </row>
    <row r="80" spans="1:41" ht="30" outlineLevel="1">
      <c r="A80" s="283" t="s">
        <v>318</v>
      </c>
      <c r="B80" s="363" t="s">
        <v>259</v>
      </c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59"/>
      <c r="P80" s="366"/>
      <c r="Q80" s="364"/>
      <c r="R80" s="364"/>
      <c r="S80" s="364"/>
      <c r="T80" s="364"/>
      <c r="U80" s="364"/>
      <c r="V80" s="364"/>
      <c r="W80" s="364"/>
      <c r="X80" s="364"/>
      <c r="Y80" s="364"/>
      <c r="Z80" s="364"/>
      <c r="AA80" s="364"/>
      <c r="AB80" s="359"/>
      <c r="AC80" s="366"/>
      <c r="AD80" s="364"/>
      <c r="AE80" s="364"/>
      <c r="AF80" s="364"/>
      <c r="AG80" s="364"/>
      <c r="AH80" s="364"/>
      <c r="AI80" s="364"/>
      <c r="AJ80" s="364"/>
      <c r="AK80" s="364"/>
      <c r="AL80" s="364"/>
      <c r="AM80" s="364"/>
      <c r="AN80" s="364"/>
      <c r="AO80" s="362"/>
    </row>
    <row r="81" spans="1:41" outlineLevel="1">
      <c r="A81" s="283" t="s">
        <v>319</v>
      </c>
      <c r="B81" s="367" t="s">
        <v>261</v>
      </c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59"/>
      <c r="P81" s="366"/>
      <c r="Q81" s="364"/>
      <c r="R81" s="364"/>
      <c r="S81" s="364"/>
      <c r="T81" s="364"/>
      <c r="U81" s="364"/>
      <c r="V81" s="364"/>
      <c r="W81" s="364"/>
      <c r="X81" s="364"/>
      <c r="Y81" s="364"/>
      <c r="Z81" s="364"/>
      <c r="AA81" s="364"/>
      <c r="AB81" s="359"/>
      <c r="AC81" s="366"/>
      <c r="AD81" s="364"/>
      <c r="AE81" s="364"/>
      <c r="AF81" s="364"/>
      <c r="AG81" s="364"/>
      <c r="AH81" s="364"/>
      <c r="AI81" s="364"/>
      <c r="AJ81" s="364"/>
      <c r="AK81" s="364"/>
      <c r="AL81" s="364"/>
      <c r="AM81" s="364"/>
      <c r="AN81" s="364"/>
      <c r="AO81" s="362"/>
    </row>
    <row r="82" spans="1:41" outlineLevel="1">
      <c r="A82" s="283" t="s">
        <v>320</v>
      </c>
      <c r="B82" s="363" t="s">
        <v>263</v>
      </c>
      <c r="C82" s="368">
        <f>C79/'Продукция и цена '!$C$6</f>
        <v>0</v>
      </c>
      <c r="D82" s="368">
        <f>D79/'Продукция и цена '!$C$6</f>
        <v>0</v>
      </c>
      <c r="E82" s="368">
        <f>E79/'Продукция и цена '!$C$6</f>
        <v>0</v>
      </c>
      <c r="F82" s="368">
        <f>F79/'Продукция и цена '!$C$6</f>
        <v>0</v>
      </c>
      <c r="G82" s="368">
        <f>G79/'Продукция и цена '!$C$6</f>
        <v>0</v>
      </c>
      <c r="H82" s="368">
        <f>H79/'Продукция и цена '!$C$6</f>
        <v>0</v>
      </c>
      <c r="I82" s="368">
        <f>I79/'Продукция и цена '!$C$6</f>
        <v>0</v>
      </c>
      <c r="J82" s="368">
        <f>J79/'Продукция и цена '!$C$6</f>
        <v>0</v>
      </c>
      <c r="K82" s="368">
        <f>K79/'Продукция и цена '!$C$6</f>
        <v>0</v>
      </c>
      <c r="L82" s="368">
        <f>L79/'Продукция и цена '!$C$6</f>
        <v>0</v>
      </c>
      <c r="M82" s="368">
        <f>M79/'Продукция и цена '!$C$6</f>
        <v>0</v>
      </c>
      <c r="N82" s="368">
        <f>N79/'Продукция и цена '!$C$6</f>
        <v>0</v>
      </c>
      <c r="O82" s="359">
        <f>SUM(C82:N82)/12</f>
        <v>0</v>
      </c>
      <c r="P82" s="370">
        <f>P79/'Продукция и цена '!$D$6</f>
        <v>0</v>
      </c>
      <c r="Q82" s="368">
        <f>Q79/'Продукция и цена '!$D$6</f>
        <v>0</v>
      </c>
      <c r="R82" s="368">
        <f>R79/'Продукция и цена '!$D$6</f>
        <v>0</v>
      </c>
      <c r="S82" s="368">
        <f>S79/'Продукция и цена '!$D$6</f>
        <v>0</v>
      </c>
      <c r="T82" s="368">
        <f>T79/'Продукция и цена '!$D$6</f>
        <v>0</v>
      </c>
      <c r="U82" s="368">
        <f>U79/'Продукция и цена '!$D$6</f>
        <v>0</v>
      </c>
      <c r="V82" s="368">
        <f>V79/'Продукция и цена '!$D$6</f>
        <v>0</v>
      </c>
      <c r="W82" s="368">
        <f>W79/'Продукция и цена '!$D$6</f>
        <v>0</v>
      </c>
      <c r="X82" s="368">
        <f>X79/'Продукция и цена '!$D$6</f>
        <v>0</v>
      </c>
      <c r="Y82" s="368">
        <f>Y79/'Продукция и цена '!$D$6</f>
        <v>0</v>
      </c>
      <c r="Z82" s="368">
        <f>Z79/'Продукция и цена '!$D$6</f>
        <v>0</v>
      </c>
      <c r="AA82" s="368">
        <f>AA79/'Продукция и цена '!$D$6</f>
        <v>0</v>
      </c>
      <c r="AB82" s="359">
        <f>SUM(P82:AA82)/12</f>
        <v>0</v>
      </c>
      <c r="AC82" s="370">
        <f>AC79/'Продукция и цена '!$E$6</f>
        <v>0</v>
      </c>
      <c r="AD82" s="368">
        <f>AD79/'Продукция и цена '!$E$6</f>
        <v>0</v>
      </c>
      <c r="AE82" s="368">
        <f>AE79/'Продукция и цена '!$E$6</f>
        <v>0</v>
      </c>
      <c r="AF82" s="368">
        <f>AF79/'Продукция и цена '!$E$6</f>
        <v>0</v>
      </c>
      <c r="AG82" s="368">
        <f>AG79/'Продукция и цена '!$E$6</f>
        <v>0</v>
      </c>
      <c r="AH82" s="368">
        <f>AH79/'Продукция и цена '!$E$6</f>
        <v>0</v>
      </c>
      <c r="AI82" s="368">
        <f>AI79/'Продукция и цена '!$E$6</f>
        <v>0</v>
      </c>
      <c r="AJ82" s="368">
        <f>AJ79/'Продукция и цена '!$E$6</f>
        <v>0</v>
      </c>
      <c r="AK82" s="368">
        <f>AK79/'Продукция и цена '!$E$6</f>
        <v>0</v>
      </c>
      <c r="AL82" s="368">
        <f>AL79/'Продукция и цена '!$E$6</f>
        <v>0</v>
      </c>
      <c r="AM82" s="368">
        <f>AM79/'Продукция и цена '!$E$6</f>
        <v>0</v>
      </c>
      <c r="AN82" s="368">
        <f>AN79/'Продукция и цена '!$E$6</f>
        <v>0</v>
      </c>
      <c r="AO82" s="362">
        <f>SUM(AC82:AN82)/12</f>
        <v>0</v>
      </c>
    </row>
    <row r="83" spans="1:41" outlineLevel="1">
      <c r="A83" s="371" t="s">
        <v>321</v>
      </c>
      <c r="B83" s="372" t="s">
        <v>265</v>
      </c>
      <c r="C83" s="373">
        <f>'Продукция и цена '!$C$6</f>
        <v>9000</v>
      </c>
      <c r="D83" s="373">
        <f>C83</f>
        <v>9000</v>
      </c>
      <c r="E83" s="373">
        <f t="shared" ref="E83:N83" si="87">D83</f>
        <v>9000</v>
      </c>
      <c r="F83" s="373">
        <f t="shared" si="87"/>
        <v>9000</v>
      </c>
      <c r="G83" s="373">
        <f t="shared" si="87"/>
        <v>9000</v>
      </c>
      <c r="H83" s="373">
        <f t="shared" si="87"/>
        <v>9000</v>
      </c>
      <c r="I83" s="373">
        <f t="shared" si="87"/>
        <v>9000</v>
      </c>
      <c r="J83" s="373">
        <f t="shared" si="87"/>
        <v>9000</v>
      </c>
      <c r="K83" s="373">
        <f t="shared" si="87"/>
        <v>9000</v>
      </c>
      <c r="L83" s="373">
        <f t="shared" si="87"/>
        <v>9000</v>
      </c>
      <c r="M83" s="373">
        <f t="shared" si="87"/>
        <v>9000</v>
      </c>
      <c r="N83" s="373">
        <f t="shared" si="87"/>
        <v>9000</v>
      </c>
      <c r="O83" s="374">
        <f>SUM(C83:N83)/12</f>
        <v>9000</v>
      </c>
      <c r="P83" s="376">
        <f>'Продукция и цена '!$D$6</f>
        <v>10350</v>
      </c>
      <c r="Q83" s="373">
        <f>P83</f>
        <v>10350</v>
      </c>
      <c r="R83" s="373">
        <f t="shared" ref="R83:AA83" si="88">Q83</f>
        <v>10350</v>
      </c>
      <c r="S83" s="373">
        <f t="shared" si="88"/>
        <v>10350</v>
      </c>
      <c r="T83" s="373">
        <f t="shared" si="88"/>
        <v>10350</v>
      </c>
      <c r="U83" s="373">
        <f t="shared" si="88"/>
        <v>10350</v>
      </c>
      <c r="V83" s="373">
        <f t="shared" si="88"/>
        <v>10350</v>
      </c>
      <c r="W83" s="373">
        <f t="shared" si="88"/>
        <v>10350</v>
      </c>
      <c r="X83" s="373">
        <f t="shared" si="88"/>
        <v>10350</v>
      </c>
      <c r="Y83" s="373">
        <f t="shared" si="88"/>
        <v>10350</v>
      </c>
      <c r="Z83" s="373">
        <f t="shared" si="88"/>
        <v>10350</v>
      </c>
      <c r="AA83" s="373">
        <f t="shared" si="88"/>
        <v>10350</v>
      </c>
      <c r="AB83" s="374">
        <f>SUM(P83:AA83)/12</f>
        <v>10350</v>
      </c>
      <c r="AC83" s="376">
        <f>'Продукция и цена '!$E$6</f>
        <v>11902.5</v>
      </c>
      <c r="AD83" s="373">
        <f>AC83</f>
        <v>11902.5</v>
      </c>
      <c r="AE83" s="373">
        <f t="shared" ref="AE83:AN83" si="89">AD83</f>
        <v>11902.5</v>
      </c>
      <c r="AF83" s="373">
        <f t="shared" si="89"/>
        <v>11902.5</v>
      </c>
      <c r="AG83" s="373">
        <f t="shared" si="89"/>
        <v>11902.5</v>
      </c>
      <c r="AH83" s="373">
        <f t="shared" si="89"/>
        <v>11902.5</v>
      </c>
      <c r="AI83" s="373">
        <f t="shared" si="89"/>
        <v>11902.5</v>
      </c>
      <c r="AJ83" s="373">
        <f t="shared" si="89"/>
        <v>11902.5</v>
      </c>
      <c r="AK83" s="373">
        <f t="shared" si="89"/>
        <v>11902.5</v>
      </c>
      <c r="AL83" s="373">
        <f t="shared" si="89"/>
        <v>11902.5</v>
      </c>
      <c r="AM83" s="373">
        <f t="shared" si="89"/>
        <v>11902.5</v>
      </c>
      <c r="AN83" s="373">
        <f t="shared" si="89"/>
        <v>11902.5</v>
      </c>
      <c r="AO83" s="377">
        <f>SUM(AC83:AN83)/12</f>
        <v>11902.5</v>
      </c>
    </row>
    <row r="84" spans="1:41" s="346" customFormat="1" ht="14.25">
      <c r="A84" s="349">
        <v>4</v>
      </c>
      <c r="B84" s="350" t="str">
        <f>'Продукция и цена '!A7</f>
        <v>Установка и настройка системы, онбординг</v>
      </c>
      <c r="C84" s="351">
        <f>(C85+C90+C95+C100+C105)*Продажи!B8</f>
        <v>0</v>
      </c>
      <c r="D84" s="351">
        <f>(D85+D90+D95+D100+D105)*Продажи!C8</f>
        <v>0</v>
      </c>
      <c r="E84" s="351">
        <f>(E85+E90+E95+E100+E105)*Продажи!D8</f>
        <v>0</v>
      </c>
      <c r="F84" s="351">
        <f>(F85+F90+F95+F100+F105)*Продажи!E8</f>
        <v>0</v>
      </c>
      <c r="G84" s="351">
        <f>(G85+G90+G95+G100+G105)*Продажи!F8</f>
        <v>0</v>
      </c>
      <c r="H84" s="351">
        <f>(H85+H90+H95+H100+H105)*Продажи!G8</f>
        <v>0</v>
      </c>
      <c r="I84" s="351">
        <f>(I85+I90+I95+I100+I105)*Продажи!H8</f>
        <v>0</v>
      </c>
      <c r="J84" s="351">
        <f>(J85+J90+J95+J100+J105)*Продажи!I8</f>
        <v>0</v>
      </c>
      <c r="K84" s="351">
        <f>(K85+K90+K95+K100+K105)*Продажи!J8</f>
        <v>0</v>
      </c>
      <c r="L84" s="351">
        <f>(L85+L90+L95+L100+L105)*Продажи!K8</f>
        <v>0</v>
      </c>
      <c r="M84" s="351">
        <f>(M85+M90+M95+M100+M105)*Продажи!L8</f>
        <v>0</v>
      </c>
      <c r="N84" s="351">
        <f>(N85+N90+N95+N100+N105)*Продажи!M8</f>
        <v>0</v>
      </c>
      <c r="O84" s="352">
        <f>SUM(C84:N84)</f>
        <v>0</v>
      </c>
      <c r="P84" s="353">
        <f>(P85+P90+P95+P100+P105)*Продажи!O8</f>
        <v>0</v>
      </c>
      <c r="Q84" s="351">
        <f>(Q85+Q90+Q95+Q100+Q105)*Продажи!P8</f>
        <v>0</v>
      </c>
      <c r="R84" s="351">
        <f>(R85+R90+R95+R100+R105)*Продажи!Q8</f>
        <v>0</v>
      </c>
      <c r="S84" s="351">
        <f>(S85+S90+S95+S100+S105)*Продажи!R8</f>
        <v>0</v>
      </c>
      <c r="T84" s="351">
        <f>(T85+T90+T95+T100+T105)*Продажи!S8</f>
        <v>0</v>
      </c>
      <c r="U84" s="351">
        <f>(U85+U90+U95+U100+U105)*Продажи!T8</f>
        <v>0</v>
      </c>
      <c r="V84" s="351">
        <f>(V85+V90+V95+V100+V105)*Продажи!U8</f>
        <v>0</v>
      </c>
      <c r="W84" s="351">
        <f>(W85+W90+W95+W100+W105)*Продажи!V8</f>
        <v>0</v>
      </c>
      <c r="X84" s="351">
        <f>(X85+X90+X95+X100+X105)*Продажи!W8</f>
        <v>0</v>
      </c>
      <c r="Y84" s="351">
        <f>(Y85+Y90+Y95+Y100+Y105)*Продажи!X8</f>
        <v>0</v>
      </c>
      <c r="Z84" s="351">
        <f>(Z85+Z90+Z95+Z100+Z105)*Продажи!Y8</f>
        <v>0</v>
      </c>
      <c r="AA84" s="351">
        <f>(AA85+AA90+AA95+AA100+AA105)*Продажи!Z8</f>
        <v>0</v>
      </c>
      <c r="AB84" s="354">
        <f>SUM(P84:AA84)</f>
        <v>0</v>
      </c>
      <c r="AC84" s="355">
        <f>(AC85+AC90+AC95+AC100+AC105)*Продажи!AB8</f>
        <v>0</v>
      </c>
      <c r="AD84" s="351">
        <f>(AD85+AD90+AD95+AD100+AD105)*Продажи!AC8</f>
        <v>0</v>
      </c>
      <c r="AE84" s="351">
        <f>(AE85+AE90+AE95+AE100+AE105)*Продажи!AD8</f>
        <v>0</v>
      </c>
      <c r="AF84" s="351">
        <f>(AF85+AF90+AF95+AF100+AF105)*Продажи!AE8</f>
        <v>0</v>
      </c>
      <c r="AG84" s="351">
        <f>(AG85+AG90+AG95+AG100+AG105)*Продажи!AF8</f>
        <v>0</v>
      </c>
      <c r="AH84" s="351">
        <f>(AH85+AH90+AH95+AH100+AH105)*Продажи!AG8</f>
        <v>0</v>
      </c>
      <c r="AI84" s="351">
        <f>(AI85+AI90+AI95+AI100+AI105)*Продажи!AH8</f>
        <v>0</v>
      </c>
      <c r="AJ84" s="351">
        <f>(AJ85+AJ90+AJ95+AJ100+AJ105)*Продажи!AI8</f>
        <v>0</v>
      </c>
      <c r="AK84" s="351">
        <f>(AK85+AK90+AK95+AK100+AK105)*Продажи!AJ8</f>
        <v>0</v>
      </c>
      <c r="AL84" s="351">
        <f>(AL85+AL90+AL95+AL100+AL105)*Продажи!AK8</f>
        <v>0</v>
      </c>
      <c r="AM84" s="351">
        <f>(AM85+AM90+AM95+AM100+AM105)*Продажи!AL8</f>
        <v>0</v>
      </c>
      <c r="AN84" s="351">
        <f>(AN85+AN90+AN95+AN100+AN105)*Продажи!AM8</f>
        <v>0</v>
      </c>
      <c r="AO84" s="354">
        <f>SUM(AC84:AN84)</f>
        <v>0</v>
      </c>
    </row>
    <row r="85" spans="1:41" s="346" customFormat="1" ht="14.25" outlineLevel="1">
      <c r="A85" s="356" t="s">
        <v>33</v>
      </c>
      <c r="B85" s="357" t="s">
        <v>247</v>
      </c>
      <c r="C85" s="358">
        <f>C86*C87</f>
        <v>0</v>
      </c>
      <c r="D85" s="358">
        <f t="shared" ref="D85:N85" si="90">D86*D87</f>
        <v>0</v>
      </c>
      <c r="E85" s="358">
        <f t="shared" si="90"/>
        <v>0</v>
      </c>
      <c r="F85" s="358">
        <f t="shared" si="90"/>
        <v>0</v>
      </c>
      <c r="G85" s="358">
        <f t="shared" si="90"/>
        <v>0</v>
      </c>
      <c r="H85" s="358">
        <f t="shared" si="90"/>
        <v>0</v>
      </c>
      <c r="I85" s="358">
        <f t="shared" si="90"/>
        <v>0</v>
      </c>
      <c r="J85" s="358">
        <f t="shared" si="90"/>
        <v>0</v>
      </c>
      <c r="K85" s="358">
        <f t="shared" si="90"/>
        <v>0</v>
      </c>
      <c r="L85" s="358">
        <f t="shared" si="90"/>
        <v>0</v>
      </c>
      <c r="M85" s="358">
        <f t="shared" si="90"/>
        <v>0</v>
      </c>
      <c r="N85" s="358">
        <f t="shared" si="90"/>
        <v>0</v>
      </c>
      <c r="O85" s="359">
        <f>SUM(C85:N85)</f>
        <v>0</v>
      </c>
      <c r="P85" s="360">
        <f>P86*P87</f>
        <v>0</v>
      </c>
      <c r="Q85" s="358">
        <f t="shared" ref="Q85:AA85" si="91">Q86*Q87</f>
        <v>0</v>
      </c>
      <c r="R85" s="358">
        <f t="shared" si="91"/>
        <v>0</v>
      </c>
      <c r="S85" s="358">
        <f t="shared" si="91"/>
        <v>0</v>
      </c>
      <c r="T85" s="358">
        <f t="shared" si="91"/>
        <v>0</v>
      </c>
      <c r="U85" s="358">
        <f t="shared" si="91"/>
        <v>0</v>
      </c>
      <c r="V85" s="358">
        <f t="shared" si="91"/>
        <v>0</v>
      </c>
      <c r="W85" s="358">
        <f t="shared" si="91"/>
        <v>0</v>
      </c>
      <c r="X85" s="358">
        <f t="shared" si="91"/>
        <v>0</v>
      </c>
      <c r="Y85" s="358">
        <f t="shared" si="91"/>
        <v>0</v>
      </c>
      <c r="Z85" s="358">
        <f t="shared" si="91"/>
        <v>0</v>
      </c>
      <c r="AA85" s="358">
        <f t="shared" si="91"/>
        <v>0</v>
      </c>
      <c r="AB85" s="359">
        <f>SUM(P85:AA85)</f>
        <v>0</v>
      </c>
      <c r="AC85" s="361">
        <f>AC86*AC87</f>
        <v>0</v>
      </c>
      <c r="AD85" s="358">
        <f t="shared" ref="AD85:AN85" si="92">AD86*AD87</f>
        <v>0</v>
      </c>
      <c r="AE85" s="358">
        <f t="shared" si="92"/>
        <v>0</v>
      </c>
      <c r="AF85" s="358">
        <f t="shared" si="92"/>
        <v>0</v>
      </c>
      <c r="AG85" s="358">
        <f t="shared" si="92"/>
        <v>0</v>
      </c>
      <c r="AH85" s="358">
        <f t="shared" si="92"/>
        <v>0</v>
      </c>
      <c r="AI85" s="358">
        <f t="shared" si="92"/>
        <v>0</v>
      </c>
      <c r="AJ85" s="358">
        <f t="shared" si="92"/>
        <v>0</v>
      </c>
      <c r="AK85" s="358">
        <f t="shared" si="92"/>
        <v>0</v>
      </c>
      <c r="AL85" s="358">
        <f t="shared" si="92"/>
        <v>0</v>
      </c>
      <c r="AM85" s="358">
        <f t="shared" si="92"/>
        <v>0</v>
      </c>
      <c r="AN85" s="358">
        <f t="shared" si="92"/>
        <v>0</v>
      </c>
      <c r="AO85" s="362">
        <f>SUM(AC85:AN85)</f>
        <v>0</v>
      </c>
    </row>
    <row r="86" spans="1:41" ht="30" outlineLevel="1">
      <c r="A86" s="283" t="s">
        <v>322</v>
      </c>
      <c r="B86" s="363" t="s">
        <v>259</v>
      </c>
      <c r="C86" s="364">
        <v>1</v>
      </c>
      <c r="D86" s="364">
        <v>1</v>
      </c>
      <c r="E86" s="364">
        <v>1</v>
      </c>
      <c r="F86" s="364">
        <v>1</v>
      </c>
      <c r="G86" s="364">
        <v>1</v>
      </c>
      <c r="H86" s="364">
        <v>1</v>
      </c>
      <c r="I86" s="364">
        <v>1</v>
      </c>
      <c r="J86" s="364">
        <v>1</v>
      </c>
      <c r="K86" s="364">
        <v>1</v>
      </c>
      <c r="L86" s="364">
        <v>1</v>
      </c>
      <c r="M86" s="364">
        <v>1</v>
      </c>
      <c r="N86" s="364">
        <v>1</v>
      </c>
      <c r="O86" s="359"/>
      <c r="P86" s="365">
        <v>1</v>
      </c>
      <c r="Q86" s="365">
        <v>1</v>
      </c>
      <c r="R86" s="365">
        <v>1</v>
      </c>
      <c r="S86" s="365">
        <v>1</v>
      </c>
      <c r="T86" s="365">
        <v>1</v>
      </c>
      <c r="U86" s="365">
        <v>1</v>
      </c>
      <c r="V86" s="365">
        <v>1</v>
      </c>
      <c r="W86" s="365">
        <v>1</v>
      </c>
      <c r="X86" s="365">
        <v>1</v>
      </c>
      <c r="Y86" s="365">
        <v>1</v>
      </c>
      <c r="Z86" s="365">
        <v>1</v>
      </c>
      <c r="AA86" s="365">
        <v>1</v>
      </c>
      <c r="AB86" s="359"/>
      <c r="AC86" s="366">
        <v>1</v>
      </c>
      <c r="AD86" s="364">
        <v>1</v>
      </c>
      <c r="AE86" s="364">
        <v>1</v>
      </c>
      <c r="AF86" s="364">
        <v>1</v>
      </c>
      <c r="AG86" s="364">
        <v>1</v>
      </c>
      <c r="AH86" s="364">
        <v>1</v>
      </c>
      <c r="AI86" s="364">
        <v>1</v>
      </c>
      <c r="AJ86" s="364">
        <v>1</v>
      </c>
      <c r="AK86" s="364">
        <v>1</v>
      </c>
      <c r="AL86" s="364">
        <v>1</v>
      </c>
      <c r="AM86" s="364">
        <v>1</v>
      </c>
      <c r="AN86" s="364">
        <v>1</v>
      </c>
      <c r="AO86" s="362"/>
    </row>
    <row r="87" spans="1:41" outlineLevel="1">
      <c r="A87" s="283" t="s">
        <v>323</v>
      </c>
      <c r="B87" s="367" t="s">
        <v>261</v>
      </c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59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59"/>
      <c r="AC87" s="366"/>
      <c r="AD87" s="364"/>
      <c r="AE87" s="364"/>
      <c r="AF87" s="364"/>
      <c r="AG87" s="364"/>
      <c r="AH87" s="364"/>
      <c r="AI87" s="364"/>
      <c r="AJ87" s="364"/>
      <c r="AK87" s="364"/>
      <c r="AL87" s="364"/>
      <c r="AM87" s="364"/>
      <c r="AN87" s="364"/>
      <c r="AO87" s="362"/>
    </row>
    <row r="88" spans="1:41" outlineLevel="1">
      <c r="A88" s="283" t="s">
        <v>324</v>
      </c>
      <c r="B88" s="363" t="s">
        <v>263</v>
      </c>
      <c r="C88" s="368">
        <f>C85/'Продукция и цена '!$C$7</f>
        <v>0</v>
      </c>
      <c r="D88" s="368">
        <f>D85/'Продукция и цена '!$C$7</f>
        <v>0</v>
      </c>
      <c r="E88" s="368">
        <f>E85/'Продукция и цена '!$C$7</f>
        <v>0</v>
      </c>
      <c r="F88" s="368">
        <f>F85/'Продукция и цена '!$C$7</f>
        <v>0</v>
      </c>
      <c r="G88" s="368">
        <f>G85/'Продукция и цена '!$C$7</f>
        <v>0</v>
      </c>
      <c r="H88" s="368">
        <f>H85/'Продукция и цена '!$C$7</f>
        <v>0</v>
      </c>
      <c r="I88" s="368">
        <f>I85/'Продукция и цена '!$C$7</f>
        <v>0</v>
      </c>
      <c r="J88" s="368">
        <f>J85/'Продукция и цена '!$C$7</f>
        <v>0</v>
      </c>
      <c r="K88" s="368">
        <f>K85/'Продукция и цена '!$C$7</f>
        <v>0</v>
      </c>
      <c r="L88" s="368">
        <f>L85/'Продукция и цена '!$C$7</f>
        <v>0</v>
      </c>
      <c r="M88" s="368">
        <f>M85/'Продукция и цена '!$C$7</f>
        <v>0</v>
      </c>
      <c r="N88" s="368">
        <f>N85/'Продукция и цена '!$C$7</f>
        <v>0</v>
      </c>
      <c r="O88" s="359">
        <f>SUM(C88:N88)/12</f>
        <v>0</v>
      </c>
      <c r="P88" s="369">
        <f>P85/'Продукция и цена '!$D$7</f>
        <v>0</v>
      </c>
      <c r="Q88" s="368">
        <f>Q85/'Продукция и цена '!$D$7</f>
        <v>0</v>
      </c>
      <c r="R88" s="368">
        <f>R85/'Продукция и цена '!$D$7</f>
        <v>0</v>
      </c>
      <c r="S88" s="368">
        <f>S85/'Продукция и цена '!$D$7</f>
        <v>0</v>
      </c>
      <c r="T88" s="368">
        <f>T85/'Продукция и цена '!$D$7</f>
        <v>0</v>
      </c>
      <c r="U88" s="368">
        <f>U85/'Продукция и цена '!$D$7</f>
        <v>0</v>
      </c>
      <c r="V88" s="368">
        <f>V85/'Продукция и цена '!$D$7</f>
        <v>0</v>
      </c>
      <c r="W88" s="368">
        <f>W85/'Продукция и цена '!$D$7</f>
        <v>0</v>
      </c>
      <c r="X88" s="368">
        <f>X85/'Продукция и цена '!$D$7</f>
        <v>0</v>
      </c>
      <c r="Y88" s="368">
        <f>Y85/'Продукция и цена '!$D$7</f>
        <v>0</v>
      </c>
      <c r="Z88" s="368">
        <f>Z85/'Продукция и цена '!$D$7</f>
        <v>0</v>
      </c>
      <c r="AA88" s="368">
        <f>AA85/'Продукция и цена '!$D$7</f>
        <v>0</v>
      </c>
      <c r="AB88" s="359">
        <f>SUM(P88:AA88)/12</f>
        <v>0</v>
      </c>
      <c r="AC88" s="370">
        <f>AC85/'Продукция и цена '!$E$7</f>
        <v>0</v>
      </c>
      <c r="AD88" s="368">
        <f>AD85/'Продукция и цена '!$E$7</f>
        <v>0</v>
      </c>
      <c r="AE88" s="368">
        <f>AE85/'Продукция и цена '!$E$7</f>
        <v>0</v>
      </c>
      <c r="AF88" s="368">
        <f>AF85/'Продукция и цена '!$E$7</f>
        <v>0</v>
      </c>
      <c r="AG88" s="368">
        <f>AG85/'Продукция и цена '!$E$7</f>
        <v>0</v>
      </c>
      <c r="AH88" s="368">
        <f>AH85/'Продукция и цена '!$E$7</f>
        <v>0</v>
      </c>
      <c r="AI88" s="368">
        <f>AI85/'Продукция и цена '!$E$7</f>
        <v>0</v>
      </c>
      <c r="AJ88" s="368">
        <f>AJ85/'Продукция и цена '!$E$7</f>
        <v>0</v>
      </c>
      <c r="AK88" s="368">
        <f>AK85/'Продукция и цена '!$E$7</f>
        <v>0</v>
      </c>
      <c r="AL88" s="368">
        <f>AL85/'Продукция и цена '!$E$7</f>
        <v>0</v>
      </c>
      <c r="AM88" s="368">
        <f>AM85/'Продукция и цена '!$E$7</f>
        <v>0</v>
      </c>
      <c r="AN88" s="368">
        <f>AN85/'Продукция и цена '!$E$7</f>
        <v>0</v>
      </c>
      <c r="AO88" s="362">
        <f>SUM(AC88:AN88)/12</f>
        <v>0</v>
      </c>
    </row>
    <row r="89" spans="1:41" outlineLevel="1">
      <c r="A89" s="371" t="s">
        <v>325</v>
      </c>
      <c r="B89" s="372" t="s">
        <v>265</v>
      </c>
      <c r="C89" s="373">
        <f>'Продукция и цена '!$C$7</f>
        <v>250000</v>
      </c>
      <c r="D89" s="373">
        <f>C89</f>
        <v>250000</v>
      </c>
      <c r="E89" s="373">
        <f t="shared" ref="E89:N89" si="93">D89</f>
        <v>250000</v>
      </c>
      <c r="F89" s="373">
        <f t="shared" si="93"/>
        <v>250000</v>
      </c>
      <c r="G89" s="373">
        <f t="shared" si="93"/>
        <v>250000</v>
      </c>
      <c r="H89" s="373">
        <f t="shared" si="93"/>
        <v>250000</v>
      </c>
      <c r="I89" s="373">
        <f t="shared" si="93"/>
        <v>250000</v>
      </c>
      <c r="J89" s="373">
        <f t="shared" si="93"/>
        <v>250000</v>
      </c>
      <c r="K89" s="373">
        <f t="shared" si="93"/>
        <v>250000</v>
      </c>
      <c r="L89" s="373">
        <f t="shared" si="93"/>
        <v>250000</v>
      </c>
      <c r="M89" s="373">
        <f t="shared" si="93"/>
        <v>250000</v>
      </c>
      <c r="N89" s="373">
        <f t="shared" si="93"/>
        <v>250000</v>
      </c>
      <c r="O89" s="374">
        <f>SUM(C89:N89)/12</f>
        <v>250000</v>
      </c>
      <c r="P89" s="375">
        <f>'Продукция и цена '!$D$7</f>
        <v>287500</v>
      </c>
      <c r="Q89" s="373">
        <f>P89</f>
        <v>287500</v>
      </c>
      <c r="R89" s="373">
        <f t="shared" ref="R89:AA89" si="94">Q89</f>
        <v>287500</v>
      </c>
      <c r="S89" s="373">
        <f t="shared" si="94"/>
        <v>287500</v>
      </c>
      <c r="T89" s="373">
        <f t="shared" si="94"/>
        <v>287500</v>
      </c>
      <c r="U89" s="373">
        <f t="shared" si="94"/>
        <v>287500</v>
      </c>
      <c r="V89" s="373">
        <f t="shared" si="94"/>
        <v>287500</v>
      </c>
      <c r="W89" s="373">
        <f t="shared" si="94"/>
        <v>287500</v>
      </c>
      <c r="X89" s="373">
        <f t="shared" si="94"/>
        <v>287500</v>
      </c>
      <c r="Y89" s="373">
        <f t="shared" si="94"/>
        <v>287500</v>
      </c>
      <c r="Z89" s="373">
        <f t="shared" si="94"/>
        <v>287500</v>
      </c>
      <c r="AA89" s="373">
        <f t="shared" si="94"/>
        <v>287500</v>
      </c>
      <c r="AB89" s="374">
        <f>SUM(P89:AA89)/12</f>
        <v>287500</v>
      </c>
      <c r="AC89" s="376">
        <f>'Продукция и цена '!$E$7</f>
        <v>330625</v>
      </c>
      <c r="AD89" s="373">
        <f>AC89</f>
        <v>330625</v>
      </c>
      <c r="AE89" s="373">
        <f t="shared" ref="AE89:AN89" si="95">AD89</f>
        <v>330625</v>
      </c>
      <c r="AF89" s="373">
        <f t="shared" si="95"/>
        <v>330625</v>
      </c>
      <c r="AG89" s="373">
        <f t="shared" si="95"/>
        <v>330625</v>
      </c>
      <c r="AH89" s="373">
        <f t="shared" si="95"/>
        <v>330625</v>
      </c>
      <c r="AI89" s="373">
        <f t="shared" si="95"/>
        <v>330625</v>
      </c>
      <c r="AJ89" s="373">
        <f t="shared" si="95"/>
        <v>330625</v>
      </c>
      <c r="AK89" s="373">
        <f t="shared" si="95"/>
        <v>330625</v>
      </c>
      <c r="AL89" s="373">
        <f t="shared" si="95"/>
        <v>330625</v>
      </c>
      <c r="AM89" s="373">
        <f t="shared" si="95"/>
        <v>330625</v>
      </c>
      <c r="AN89" s="373">
        <f t="shared" si="95"/>
        <v>330625</v>
      </c>
      <c r="AO89" s="377">
        <f>SUM(AC89:AN89)/12</f>
        <v>330625</v>
      </c>
    </row>
    <row r="90" spans="1:41" s="346" customFormat="1" ht="14.25" outlineLevel="1">
      <c r="A90" s="378" t="s">
        <v>182</v>
      </c>
      <c r="B90" s="357" t="s">
        <v>248</v>
      </c>
      <c r="C90" s="358">
        <f>C91*C92</f>
        <v>0</v>
      </c>
      <c r="D90" s="358">
        <f t="shared" ref="D90:N90" si="96">D91*D92</f>
        <v>0</v>
      </c>
      <c r="E90" s="358">
        <f t="shared" si="96"/>
        <v>0</v>
      </c>
      <c r="F90" s="358">
        <f t="shared" si="96"/>
        <v>0</v>
      </c>
      <c r="G90" s="358">
        <f t="shared" si="96"/>
        <v>0</v>
      </c>
      <c r="H90" s="358">
        <f t="shared" si="96"/>
        <v>0</v>
      </c>
      <c r="I90" s="358">
        <f t="shared" si="96"/>
        <v>0</v>
      </c>
      <c r="J90" s="358">
        <f t="shared" si="96"/>
        <v>0</v>
      </c>
      <c r="K90" s="358">
        <f t="shared" si="96"/>
        <v>0</v>
      </c>
      <c r="L90" s="358">
        <f t="shared" si="96"/>
        <v>0</v>
      </c>
      <c r="M90" s="358">
        <f t="shared" si="96"/>
        <v>0</v>
      </c>
      <c r="N90" s="358">
        <f t="shared" si="96"/>
        <v>0</v>
      </c>
      <c r="O90" s="352">
        <f>SUM(C90:N90)</f>
        <v>0</v>
      </c>
      <c r="P90" s="379">
        <f>P91*P92</f>
        <v>0</v>
      </c>
      <c r="Q90" s="380">
        <f t="shared" ref="Q90:AA90" si="97">Q91*Q92</f>
        <v>0</v>
      </c>
      <c r="R90" s="380">
        <f t="shared" si="97"/>
        <v>0</v>
      </c>
      <c r="S90" s="380">
        <f t="shared" si="97"/>
        <v>0</v>
      </c>
      <c r="T90" s="380">
        <f t="shared" si="97"/>
        <v>0</v>
      </c>
      <c r="U90" s="380">
        <f t="shared" si="97"/>
        <v>0</v>
      </c>
      <c r="V90" s="380">
        <f t="shared" si="97"/>
        <v>0</v>
      </c>
      <c r="W90" s="380">
        <f t="shared" si="97"/>
        <v>0</v>
      </c>
      <c r="X90" s="380">
        <f t="shared" si="97"/>
        <v>0</v>
      </c>
      <c r="Y90" s="380">
        <f t="shared" si="97"/>
        <v>0</v>
      </c>
      <c r="Z90" s="380">
        <f t="shared" si="97"/>
        <v>0</v>
      </c>
      <c r="AA90" s="380">
        <f t="shared" si="97"/>
        <v>0</v>
      </c>
      <c r="AB90" s="352">
        <f>SUM(P90:AA90)</f>
        <v>0</v>
      </c>
      <c r="AC90" s="379">
        <f>AC91*AC92</f>
        <v>0</v>
      </c>
      <c r="AD90" s="380">
        <f t="shared" ref="AD90:AN90" si="98">AD91*AD92</f>
        <v>0</v>
      </c>
      <c r="AE90" s="380">
        <f t="shared" si="98"/>
        <v>0</v>
      </c>
      <c r="AF90" s="380">
        <f t="shared" si="98"/>
        <v>0</v>
      </c>
      <c r="AG90" s="380">
        <f t="shared" si="98"/>
        <v>0</v>
      </c>
      <c r="AH90" s="380">
        <f t="shared" si="98"/>
        <v>0</v>
      </c>
      <c r="AI90" s="380">
        <f t="shared" si="98"/>
        <v>0</v>
      </c>
      <c r="AJ90" s="380">
        <f t="shared" si="98"/>
        <v>0</v>
      </c>
      <c r="AK90" s="380">
        <f t="shared" si="98"/>
        <v>0</v>
      </c>
      <c r="AL90" s="380">
        <f t="shared" si="98"/>
        <v>0</v>
      </c>
      <c r="AM90" s="380">
        <f t="shared" si="98"/>
        <v>0</v>
      </c>
      <c r="AN90" s="380">
        <f t="shared" si="98"/>
        <v>0</v>
      </c>
      <c r="AO90" s="354">
        <f>SUM(AC90:AN90)</f>
        <v>0</v>
      </c>
    </row>
    <row r="91" spans="1:41" ht="30" outlineLevel="1">
      <c r="A91" s="283" t="s">
        <v>326</v>
      </c>
      <c r="B91" s="363" t="s">
        <v>259</v>
      </c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59"/>
      <c r="P91" s="366"/>
      <c r="Q91" s="364"/>
      <c r="R91" s="364"/>
      <c r="S91" s="364"/>
      <c r="T91" s="364"/>
      <c r="U91" s="364"/>
      <c r="V91" s="364"/>
      <c r="W91" s="364"/>
      <c r="X91" s="364"/>
      <c r="Y91" s="364"/>
      <c r="Z91" s="364"/>
      <c r="AA91" s="364"/>
      <c r="AB91" s="359"/>
      <c r="AC91" s="366"/>
      <c r="AD91" s="364"/>
      <c r="AE91" s="364"/>
      <c r="AF91" s="364"/>
      <c r="AG91" s="364"/>
      <c r="AH91" s="364"/>
      <c r="AI91" s="364"/>
      <c r="AJ91" s="364"/>
      <c r="AK91" s="364"/>
      <c r="AL91" s="364"/>
      <c r="AM91" s="364"/>
      <c r="AN91" s="364"/>
      <c r="AO91" s="362"/>
    </row>
    <row r="92" spans="1:41" outlineLevel="1">
      <c r="A92" s="283" t="s">
        <v>327</v>
      </c>
      <c r="B92" s="367" t="s">
        <v>261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59"/>
      <c r="P92" s="366"/>
      <c r="Q92" s="364"/>
      <c r="R92" s="364"/>
      <c r="S92" s="364"/>
      <c r="T92" s="364"/>
      <c r="U92" s="364"/>
      <c r="V92" s="364"/>
      <c r="W92" s="364"/>
      <c r="X92" s="364"/>
      <c r="Y92" s="364"/>
      <c r="Z92" s="364"/>
      <c r="AA92" s="364"/>
      <c r="AB92" s="359"/>
      <c r="AC92" s="366"/>
      <c r="AD92" s="364"/>
      <c r="AE92" s="364"/>
      <c r="AF92" s="364"/>
      <c r="AG92" s="364"/>
      <c r="AH92" s="364"/>
      <c r="AI92" s="364"/>
      <c r="AJ92" s="364"/>
      <c r="AK92" s="364"/>
      <c r="AL92" s="364"/>
      <c r="AM92" s="364"/>
      <c r="AN92" s="364"/>
      <c r="AO92" s="362"/>
    </row>
    <row r="93" spans="1:41" outlineLevel="1">
      <c r="A93" s="283" t="s">
        <v>328</v>
      </c>
      <c r="B93" s="363" t="s">
        <v>263</v>
      </c>
      <c r="C93" s="368">
        <f>C90/'Продукция и цена '!$C$7</f>
        <v>0</v>
      </c>
      <c r="D93" s="368">
        <f>D90/'Продукция и цена '!$C$7</f>
        <v>0</v>
      </c>
      <c r="E93" s="368">
        <f>E90/'Продукция и цена '!$C$7</f>
        <v>0</v>
      </c>
      <c r="F93" s="368">
        <f>F90/'Продукция и цена '!$C$7</f>
        <v>0</v>
      </c>
      <c r="G93" s="368">
        <f>G90/'Продукция и цена '!$C$7</f>
        <v>0</v>
      </c>
      <c r="H93" s="368">
        <f>H90/'Продукция и цена '!$C$7</f>
        <v>0</v>
      </c>
      <c r="I93" s="368">
        <f>I90/'Продукция и цена '!$C$7</f>
        <v>0</v>
      </c>
      <c r="J93" s="368">
        <f>J90/'Продукция и цена '!$C$7</f>
        <v>0</v>
      </c>
      <c r="K93" s="368">
        <f>K90/'Продукция и цена '!$C$7</f>
        <v>0</v>
      </c>
      <c r="L93" s="368">
        <f>L90/'Продукция и цена '!$C$7</f>
        <v>0</v>
      </c>
      <c r="M93" s="368">
        <f>M90/'Продукция и цена '!$C$7</f>
        <v>0</v>
      </c>
      <c r="N93" s="368">
        <f>N90/'Продукция и цена '!$C$7</f>
        <v>0</v>
      </c>
      <c r="O93" s="359">
        <f>SUM(C93:N93)/12</f>
        <v>0</v>
      </c>
      <c r="P93" s="370">
        <f>P90/'Продукция и цена '!$D$7</f>
        <v>0</v>
      </c>
      <c r="Q93" s="368">
        <f>Q90/'Продукция и цена '!$D$7</f>
        <v>0</v>
      </c>
      <c r="R93" s="368">
        <f>R90/'Продукция и цена '!$D$7</f>
        <v>0</v>
      </c>
      <c r="S93" s="368">
        <f>S90/'Продукция и цена '!$D$7</f>
        <v>0</v>
      </c>
      <c r="T93" s="368">
        <f>T90/'Продукция и цена '!$D$7</f>
        <v>0</v>
      </c>
      <c r="U93" s="368">
        <f>U90/'Продукция и цена '!$D$7</f>
        <v>0</v>
      </c>
      <c r="V93" s="368">
        <f>V90/'Продукция и цена '!$D$7</f>
        <v>0</v>
      </c>
      <c r="W93" s="368">
        <f>W90/'Продукция и цена '!$D$7</f>
        <v>0</v>
      </c>
      <c r="X93" s="368">
        <f>X90/'Продукция и цена '!$D$7</f>
        <v>0</v>
      </c>
      <c r="Y93" s="368">
        <f>Y90/'Продукция и цена '!$D$7</f>
        <v>0</v>
      </c>
      <c r="Z93" s="368">
        <f>Z90/'Продукция и цена '!$D$7</f>
        <v>0</v>
      </c>
      <c r="AA93" s="368">
        <f>AA90/'Продукция и цена '!$D$7</f>
        <v>0</v>
      </c>
      <c r="AB93" s="359">
        <f>SUM(P93:AA93)/12</f>
        <v>0</v>
      </c>
      <c r="AC93" s="370">
        <f>AC90/'Продукция и цена '!$E$7</f>
        <v>0</v>
      </c>
      <c r="AD93" s="368">
        <f>AD90/'Продукция и цена '!$E$7</f>
        <v>0</v>
      </c>
      <c r="AE93" s="368">
        <f>AE90/'Продукция и цена '!$E$7</f>
        <v>0</v>
      </c>
      <c r="AF93" s="368">
        <f>AF90/'Продукция и цена '!$E$7</f>
        <v>0</v>
      </c>
      <c r="AG93" s="368">
        <f>AG90/'Продукция и цена '!$E$7</f>
        <v>0</v>
      </c>
      <c r="AH93" s="368">
        <f>AH90/'Продукция и цена '!$E$7</f>
        <v>0</v>
      </c>
      <c r="AI93" s="368">
        <f>AI90/'Продукция и цена '!$E$7</f>
        <v>0</v>
      </c>
      <c r="AJ93" s="368">
        <f>AJ90/'Продукция и цена '!$E$7</f>
        <v>0</v>
      </c>
      <c r="AK93" s="368">
        <f>AK90/'Продукция и цена '!$E$7</f>
        <v>0</v>
      </c>
      <c r="AL93" s="368">
        <f>AL90/'Продукция и цена '!$E$7</f>
        <v>0</v>
      </c>
      <c r="AM93" s="368">
        <f>AM90/'Продукция и цена '!$E$7</f>
        <v>0</v>
      </c>
      <c r="AN93" s="368">
        <f>AN90/'Продукция и цена '!$E$7</f>
        <v>0</v>
      </c>
      <c r="AO93" s="362">
        <f>SUM(AC93:AN93)/12</f>
        <v>0</v>
      </c>
    </row>
    <row r="94" spans="1:41" outlineLevel="1">
      <c r="A94" s="371" t="s">
        <v>329</v>
      </c>
      <c r="B94" s="372" t="s">
        <v>265</v>
      </c>
      <c r="C94" s="373">
        <f>'Продукция и цена '!$C$7</f>
        <v>250000</v>
      </c>
      <c r="D94" s="373">
        <f>C94</f>
        <v>250000</v>
      </c>
      <c r="E94" s="373">
        <f t="shared" ref="E94:N94" si="99">D94</f>
        <v>250000</v>
      </c>
      <c r="F94" s="373">
        <f t="shared" si="99"/>
        <v>250000</v>
      </c>
      <c r="G94" s="373">
        <f t="shared" si="99"/>
        <v>250000</v>
      </c>
      <c r="H94" s="373">
        <f t="shared" si="99"/>
        <v>250000</v>
      </c>
      <c r="I94" s="373">
        <f t="shared" si="99"/>
        <v>250000</v>
      </c>
      <c r="J94" s="373">
        <f t="shared" si="99"/>
        <v>250000</v>
      </c>
      <c r="K94" s="373">
        <f t="shared" si="99"/>
        <v>250000</v>
      </c>
      <c r="L94" s="373">
        <f t="shared" si="99"/>
        <v>250000</v>
      </c>
      <c r="M94" s="373">
        <f t="shared" si="99"/>
        <v>250000</v>
      </c>
      <c r="N94" s="373">
        <f t="shared" si="99"/>
        <v>250000</v>
      </c>
      <c r="O94" s="374">
        <f>SUM(C94:N94)/12</f>
        <v>250000</v>
      </c>
      <c r="P94" s="376">
        <f>'Продукция и цена '!$D$7</f>
        <v>287500</v>
      </c>
      <c r="Q94" s="373">
        <f>P94</f>
        <v>287500</v>
      </c>
      <c r="R94" s="373">
        <f t="shared" ref="R94:AA94" si="100">Q94</f>
        <v>287500</v>
      </c>
      <c r="S94" s="373">
        <f t="shared" si="100"/>
        <v>287500</v>
      </c>
      <c r="T94" s="373">
        <f t="shared" si="100"/>
        <v>287500</v>
      </c>
      <c r="U94" s="373">
        <f t="shared" si="100"/>
        <v>287500</v>
      </c>
      <c r="V94" s="373">
        <f t="shared" si="100"/>
        <v>287500</v>
      </c>
      <c r="W94" s="373">
        <f t="shared" si="100"/>
        <v>287500</v>
      </c>
      <c r="X94" s="373">
        <f t="shared" si="100"/>
        <v>287500</v>
      </c>
      <c r="Y94" s="373">
        <f t="shared" si="100"/>
        <v>287500</v>
      </c>
      <c r="Z94" s="373">
        <f t="shared" si="100"/>
        <v>287500</v>
      </c>
      <c r="AA94" s="373">
        <f t="shared" si="100"/>
        <v>287500</v>
      </c>
      <c r="AB94" s="374">
        <f>SUM(P94:AA94)/12</f>
        <v>287500</v>
      </c>
      <c r="AC94" s="376">
        <f>'Продукция и цена '!$E$7</f>
        <v>330625</v>
      </c>
      <c r="AD94" s="373">
        <f>AC94</f>
        <v>330625</v>
      </c>
      <c r="AE94" s="373">
        <f t="shared" ref="AE94:AN94" si="101">AD94</f>
        <v>330625</v>
      </c>
      <c r="AF94" s="373">
        <f t="shared" si="101"/>
        <v>330625</v>
      </c>
      <c r="AG94" s="373">
        <f t="shared" si="101"/>
        <v>330625</v>
      </c>
      <c r="AH94" s="373">
        <f t="shared" si="101"/>
        <v>330625</v>
      </c>
      <c r="AI94" s="373">
        <f t="shared" si="101"/>
        <v>330625</v>
      </c>
      <c r="AJ94" s="373">
        <f t="shared" si="101"/>
        <v>330625</v>
      </c>
      <c r="AK94" s="373">
        <f t="shared" si="101"/>
        <v>330625</v>
      </c>
      <c r="AL94" s="373">
        <f t="shared" si="101"/>
        <v>330625</v>
      </c>
      <c r="AM94" s="373">
        <f t="shared" si="101"/>
        <v>330625</v>
      </c>
      <c r="AN94" s="373">
        <f t="shared" si="101"/>
        <v>330625</v>
      </c>
      <c r="AO94" s="377">
        <f>SUM(AC94:AN94)/12</f>
        <v>330625</v>
      </c>
    </row>
    <row r="95" spans="1:41" s="346" customFormat="1" ht="14.25" outlineLevel="1">
      <c r="A95" s="378" t="s">
        <v>183</v>
      </c>
      <c r="B95" s="381" t="s">
        <v>249</v>
      </c>
      <c r="C95" s="380">
        <f>C96*C97</f>
        <v>0</v>
      </c>
      <c r="D95" s="380">
        <f t="shared" ref="D95:N95" si="102">D96*D97</f>
        <v>0</v>
      </c>
      <c r="E95" s="380">
        <f t="shared" si="102"/>
        <v>0</v>
      </c>
      <c r="F95" s="380">
        <f t="shared" si="102"/>
        <v>0</v>
      </c>
      <c r="G95" s="380">
        <f t="shared" si="102"/>
        <v>0</v>
      </c>
      <c r="H95" s="380">
        <f t="shared" si="102"/>
        <v>0</v>
      </c>
      <c r="I95" s="380">
        <f t="shared" si="102"/>
        <v>0</v>
      </c>
      <c r="J95" s="380">
        <f t="shared" si="102"/>
        <v>0</v>
      </c>
      <c r="K95" s="380">
        <f t="shared" si="102"/>
        <v>0</v>
      </c>
      <c r="L95" s="380">
        <f t="shared" si="102"/>
        <v>0</v>
      </c>
      <c r="M95" s="380">
        <f t="shared" si="102"/>
        <v>0</v>
      </c>
      <c r="N95" s="380">
        <f t="shared" si="102"/>
        <v>0</v>
      </c>
      <c r="O95" s="352">
        <f>SUM(C95:N95)</f>
        <v>0</v>
      </c>
      <c r="P95" s="379">
        <f>P96*P97</f>
        <v>0</v>
      </c>
      <c r="Q95" s="380">
        <f t="shared" ref="Q95:AA95" si="103">Q96*Q97</f>
        <v>0</v>
      </c>
      <c r="R95" s="380">
        <f t="shared" si="103"/>
        <v>0</v>
      </c>
      <c r="S95" s="380">
        <f t="shared" si="103"/>
        <v>0</v>
      </c>
      <c r="T95" s="380">
        <f t="shared" si="103"/>
        <v>0</v>
      </c>
      <c r="U95" s="380">
        <f t="shared" si="103"/>
        <v>0</v>
      </c>
      <c r="V95" s="380">
        <f t="shared" si="103"/>
        <v>0</v>
      </c>
      <c r="W95" s="380">
        <f t="shared" si="103"/>
        <v>0</v>
      </c>
      <c r="X95" s="380">
        <f t="shared" si="103"/>
        <v>0</v>
      </c>
      <c r="Y95" s="380">
        <f t="shared" si="103"/>
        <v>0</v>
      </c>
      <c r="Z95" s="380">
        <f t="shared" si="103"/>
        <v>0</v>
      </c>
      <c r="AA95" s="380">
        <f t="shared" si="103"/>
        <v>0</v>
      </c>
      <c r="AB95" s="352">
        <f>SUM(P95:AA95)</f>
        <v>0</v>
      </c>
      <c r="AC95" s="379">
        <f>AC96*AC97</f>
        <v>0</v>
      </c>
      <c r="AD95" s="380">
        <f t="shared" ref="AD95:AN95" si="104">AD96*AD97</f>
        <v>0</v>
      </c>
      <c r="AE95" s="380">
        <f t="shared" si="104"/>
        <v>0</v>
      </c>
      <c r="AF95" s="380">
        <f t="shared" si="104"/>
        <v>0</v>
      </c>
      <c r="AG95" s="380">
        <f t="shared" si="104"/>
        <v>0</v>
      </c>
      <c r="AH95" s="380">
        <f t="shared" si="104"/>
        <v>0</v>
      </c>
      <c r="AI95" s="380">
        <f t="shared" si="104"/>
        <v>0</v>
      </c>
      <c r="AJ95" s="380">
        <f t="shared" si="104"/>
        <v>0</v>
      </c>
      <c r="AK95" s="380">
        <f t="shared" si="104"/>
        <v>0</v>
      </c>
      <c r="AL95" s="380">
        <f t="shared" si="104"/>
        <v>0</v>
      </c>
      <c r="AM95" s="380">
        <f t="shared" si="104"/>
        <v>0</v>
      </c>
      <c r="AN95" s="380">
        <f t="shared" si="104"/>
        <v>0</v>
      </c>
      <c r="AO95" s="354">
        <f>SUM(AC95:AN95)</f>
        <v>0</v>
      </c>
    </row>
    <row r="96" spans="1:41" ht="30" outlineLevel="1">
      <c r="A96" s="283" t="s">
        <v>330</v>
      </c>
      <c r="B96" s="363" t="s">
        <v>259</v>
      </c>
      <c r="C96" s="364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59"/>
      <c r="P96" s="366"/>
      <c r="Q96" s="364"/>
      <c r="R96" s="364"/>
      <c r="S96" s="364"/>
      <c r="T96" s="364"/>
      <c r="U96" s="364"/>
      <c r="V96" s="364"/>
      <c r="W96" s="364"/>
      <c r="X96" s="364"/>
      <c r="Y96" s="364"/>
      <c r="Z96" s="364"/>
      <c r="AA96" s="364"/>
      <c r="AB96" s="359"/>
      <c r="AC96" s="366"/>
      <c r="AD96" s="364"/>
      <c r="AE96" s="364"/>
      <c r="AF96" s="364"/>
      <c r="AG96" s="364"/>
      <c r="AH96" s="364"/>
      <c r="AI96" s="364"/>
      <c r="AJ96" s="364"/>
      <c r="AK96" s="364"/>
      <c r="AL96" s="364"/>
      <c r="AM96" s="364"/>
      <c r="AN96" s="364"/>
      <c r="AO96" s="362"/>
    </row>
    <row r="97" spans="1:41" outlineLevel="1">
      <c r="A97" s="283" t="s">
        <v>331</v>
      </c>
      <c r="B97" s="367" t="s">
        <v>261</v>
      </c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59"/>
      <c r="P97" s="366"/>
      <c r="Q97" s="364"/>
      <c r="R97" s="364"/>
      <c r="S97" s="364"/>
      <c r="T97" s="364"/>
      <c r="U97" s="364"/>
      <c r="V97" s="364"/>
      <c r="W97" s="364"/>
      <c r="X97" s="364"/>
      <c r="Y97" s="364"/>
      <c r="Z97" s="364"/>
      <c r="AA97" s="364"/>
      <c r="AB97" s="359"/>
      <c r="AC97" s="366"/>
      <c r="AD97" s="364"/>
      <c r="AE97" s="364"/>
      <c r="AF97" s="364"/>
      <c r="AG97" s="364"/>
      <c r="AH97" s="364"/>
      <c r="AI97" s="364"/>
      <c r="AJ97" s="364"/>
      <c r="AK97" s="364"/>
      <c r="AL97" s="364"/>
      <c r="AM97" s="364"/>
      <c r="AN97" s="364"/>
      <c r="AO97" s="362"/>
    </row>
    <row r="98" spans="1:41" outlineLevel="1">
      <c r="A98" s="283" t="s">
        <v>332</v>
      </c>
      <c r="B98" s="363" t="s">
        <v>263</v>
      </c>
      <c r="C98" s="368">
        <f>C95/'Продукция и цена '!$C$7</f>
        <v>0</v>
      </c>
      <c r="D98" s="368">
        <f>D95/'Продукция и цена '!$C$7</f>
        <v>0</v>
      </c>
      <c r="E98" s="368">
        <f>E95/'Продукция и цена '!$C$7</f>
        <v>0</v>
      </c>
      <c r="F98" s="368">
        <f>F95/'Продукция и цена '!$C$7</f>
        <v>0</v>
      </c>
      <c r="G98" s="368">
        <f>G95/'Продукция и цена '!$C$7</f>
        <v>0</v>
      </c>
      <c r="H98" s="368">
        <f>H95/'Продукция и цена '!$C$7</f>
        <v>0</v>
      </c>
      <c r="I98" s="368">
        <f>I95/'Продукция и цена '!$C$7</f>
        <v>0</v>
      </c>
      <c r="J98" s="368">
        <f>J95/'Продукция и цена '!$C$7</f>
        <v>0</v>
      </c>
      <c r="K98" s="368">
        <f>K95/'Продукция и цена '!$C$7</f>
        <v>0</v>
      </c>
      <c r="L98" s="368">
        <f>L95/'Продукция и цена '!$C$7</f>
        <v>0</v>
      </c>
      <c r="M98" s="368">
        <f>M95/'Продукция и цена '!$C$7</f>
        <v>0</v>
      </c>
      <c r="N98" s="368">
        <f>N95/'Продукция и цена '!$C$7</f>
        <v>0</v>
      </c>
      <c r="O98" s="359">
        <f>SUM(C98:N98)/12</f>
        <v>0</v>
      </c>
      <c r="P98" s="370">
        <f>P95/'Продукция и цена '!$D$7</f>
        <v>0</v>
      </c>
      <c r="Q98" s="368">
        <f>Q95/'Продукция и цена '!$D$7</f>
        <v>0</v>
      </c>
      <c r="R98" s="368">
        <f>R95/'Продукция и цена '!$D$7</f>
        <v>0</v>
      </c>
      <c r="S98" s="368">
        <f>S95/'Продукция и цена '!$D$7</f>
        <v>0</v>
      </c>
      <c r="T98" s="368">
        <f>T95/'Продукция и цена '!$D$7</f>
        <v>0</v>
      </c>
      <c r="U98" s="368">
        <f>U95/'Продукция и цена '!$D$7</f>
        <v>0</v>
      </c>
      <c r="V98" s="368">
        <f>V95/'Продукция и цена '!$D$7</f>
        <v>0</v>
      </c>
      <c r="W98" s="368">
        <f>W95/'Продукция и цена '!$D$7</f>
        <v>0</v>
      </c>
      <c r="X98" s="368">
        <f>X95/'Продукция и цена '!$D$7</f>
        <v>0</v>
      </c>
      <c r="Y98" s="368">
        <f>Y95/'Продукция и цена '!$D$7</f>
        <v>0</v>
      </c>
      <c r="Z98" s="368">
        <f>Z95/'Продукция и цена '!$D$7</f>
        <v>0</v>
      </c>
      <c r="AA98" s="368">
        <f>AA95/'Продукция и цена '!$D$7</f>
        <v>0</v>
      </c>
      <c r="AB98" s="359">
        <f>SUM(P98:AA98)/12</f>
        <v>0</v>
      </c>
      <c r="AC98" s="370">
        <f>AC95/'Продукция и цена '!$E$7</f>
        <v>0</v>
      </c>
      <c r="AD98" s="368">
        <f>AD95/'Продукция и цена '!$E$7</f>
        <v>0</v>
      </c>
      <c r="AE98" s="368">
        <f>AE95/'Продукция и цена '!$E$7</f>
        <v>0</v>
      </c>
      <c r="AF98" s="368">
        <f>AF95/'Продукция и цена '!$E$7</f>
        <v>0</v>
      </c>
      <c r="AG98" s="368">
        <f>AG95/'Продукция и цена '!$E$7</f>
        <v>0</v>
      </c>
      <c r="AH98" s="368">
        <f>AH95/'Продукция и цена '!$E$7</f>
        <v>0</v>
      </c>
      <c r="AI98" s="368">
        <f>AI95/'Продукция и цена '!$E$7</f>
        <v>0</v>
      </c>
      <c r="AJ98" s="368">
        <f>AJ95/'Продукция и цена '!$E$7</f>
        <v>0</v>
      </c>
      <c r="AK98" s="368">
        <f>AK95/'Продукция и цена '!$E$7</f>
        <v>0</v>
      </c>
      <c r="AL98" s="368">
        <f>AL95/'Продукция и цена '!$E$7</f>
        <v>0</v>
      </c>
      <c r="AM98" s="368">
        <f>AM95/'Продукция и цена '!$E$7</f>
        <v>0</v>
      </c>
      <c r="AN98" s="368">
        <f>AN95/'Продукция и цена '!$E$7</f>
        <v>0</v>
      </c>
      <c r="AO98" s="362">
        <f>SUM(AC98:AN98)/12</f>
        <v>0</v>
      </c>
    </row>
    <row r="99" spans="1:41" outlineLevel="1">
      <c r="A99" s="371" t="s">
        <v>333</v>
      </c>
      <c r="B99" s="372" t="s">
        <v>265</v>
      </c>
      <c r="C99" s="373">
        <f>'Продукция и цена '!$C$7</f>
        <v>250000</v>
      </c>
      <c r="D99" s="373">
        <f>C99</f>
        <v>250000</v>
      </c>
      <c r="E99" s="373">
        <f t="shared" ref="E99:N99" si="105">D99</f>
        <v>250000</v>
      </c>
      <c r="F99" s="373">
        <f t="shared" si="105"/>
        <v>250000</v>
      </c>
      <c r="G99" s="373">
        <f t="shared" si="105"/>
        <v>250000</v>
      </c>
      <c r="H99" s="373">
        <f t="shared" si="105"/>
        <v>250000</v>
      </c>
      <c r="I99" s="373">
        <f t="shared" si="105"/>
        <v>250000</v>
      </c>
      <c r="J99" s="373">
        <f t="shared" si="105"/>
        <v>250000</v>
      </c>
      <c r="K99" s="373">
        <f t="shared" si="105"/>
        <v>250000</v>
      </c>
      <c r="L99" s="373">
        <f t="shared" si="105"/>
        <v>250000</v>
      </c>
      <c r="M99" s="373">
        <f t="shared" si="105"/>
        <v>250000</v>
      </c>
      <c r="N99" s="373">
        <f t="shared" si="105"/>
        <v>250000</v>
      </c>
      <c r="O99" s="374">
        <f>SUM(C99:N99)/12</f>
        <v>250000</v>
      </c>
      <c r="P99" s="376">
        <f>'Продукция и цена '!$D$7</f>
        <v>287500</v>
      </c>
      <c r="Q99" s="373">
        <f>P99</f>
        <v>287500</v>
      </c>
      <c r="R99" s="373">
        <f t="shared" ref="R99:AA99" si="106">Q99</f>
        <v>287500</v>
      </c>
      <c r="S99" s="373">
        <f t="shared" si="106"/>
        <v>287500</v>
      </c>
      <c r="T99" s="373">
        <f t="shared" si="106"/>
        <v>287500</v>
      </c>
      <c r="U99" s="373">
        <f t="shared" si="106"/>
        <v>287500</v>
      </c>
      <c r="V99" s="373">
        <f t="shared" si="106"/>
        <v>287500</v>
      </c>
      <c r="W99" s="373">
        <f t="shared" si="106"/>
        <v>287500</v>
      </c>
      <c r="X99" s="373">
        <f t="shared" si="106"/>
        <v>287500</v>
      </c>
      <c r="Y99" s="373">
        <f t="shared" si="106"/>
        <v>287500</v>
      </c>
      <c r="Z99" s="373">
        <f t="shared" si="106"/>
        <v>287500</v>
      </c>
      <c r="AA99" s="373">
        <f t="shared" si="106"/>
        <v>287500</v>
      </c>
      <c r="AB99" s="374">
        <f>SUM(P99:AA99)/12</f>
        <v>287500</v>
      </c>
      <c r="AC99" s="376">
        <f>'Продукция и цена '!$E$7</f>
        <v>330625</v>
      </c>
      <c r="AD99" s="373">
        <f>AC99</f>
        <v>330625</v>
      </c>
      <c r="AE99" s="373">
        <f t="shared" ref="AE99:AN99" si="107">AD99</f>
        <v>330625</v>
      </c>
      <c r="AF99" s="373">
        <f t="shared" si="107"/>
        <v>330625</v>
      </c>
      <c r="AG99" s="373">
        <f t="shared" si="107"/>
        <v>330625</v>
      </c>
      <c r="AH99" s="373">
        <f t="shared" si="107"/>
        <v>330625</v>
      </c>
      <c r="AI99" s="373">
        <f t="shared" si="107"/>
        <v>330625</v>
      </c>
      <c r="AJ99" s="373">
        <f t="shared" si="107"/>
        <v>330625</v>
      </c>
      <c r="AK99" s="373">
        <f t="shared" si="107"/>
        <v>330625</v>
      </c>
      <c r="AL99" s="373">
        <f t="shared" si="107"/>
        <v>330625</v>
      </c>
      <c r="AM99" s="373">
        <f t="shared" si="107"/>
        <v>330625</v>
      </c>
      <c r="AN99" s="373">
        <f t="shared" si="107"/>
        <v>330625</v>
      </c>
      <c r="AO99" s="377">
        <f>SUM(AC99:AN99)/12</f>
        <v>330625</v>
      </c>
    </row>
    <row r="100" spans="1:41" s="346" customFormat="1" ht="14.25" outlineLevel="1">
      <c r="A100" s="378" t="s">
        <v>184</v>
      </c>
      <c r="B100" s="381" t="s">
        <v>250</v>
      </c>
      <c r="C100" s="380">
        <f>C101*C102</f>
        <v>0</v>
      </c>
      <c r="D100" s="380">
        <f t="shared" ref="D100:N100" si="108">D101*D102</f>
        <v>0</v>
      </c>
      <c r="E100" s="380">
        <f t="shared" si="108"/>
        <v>0</v>
      </c>
      <c r="F100" s="380">
        <f t="shared" si="108"/>
        <v>0</v>
      </c>
      <c r="G100" s="380">
        <f t="shared" si="108"/>
        <v>0</v>
      </c>
      <c r="H100" s="380">
        <f t="shared" si="108"/>
        <v>0</v>
      </c>
      <c r="I100" s="380">
        <f t="shared" si="108"/>
        <v>0</v>
      </c>
      <c r="J100" s="380">
        <f t="shared" si="108"/>
        <v>0</v>
      </c>
      <c r="K100" s="380">
        <f t="shared" si="108"/>
        <v>0</v>
      </c>
      <c r="L100" s="380">
        <f t="shared" si="108"/>
        <v>0</v>
      </c>
      <c r="M100" s="380">
        <f t="shared" si="108"/>
        <v>0</v>
      </c>
      <c r="N100" s="380">
        <f t="shared" si="108"/>
        <v>0</v>
      </c>
      <c r="O100" s="352">
        <f>SUM(C100:N100)</f>
        <v>0</v>
      </c>
      <c r="P100" s="379">
        <f>P101*P102</f>
        <v>0</v>
      </c>
      <c r="Q100" s="380">
        <f t="shared" ref="Q100:AA100" si="109">Q101*Q102</f>
        <v>0</v>
      </c>
      <c r="R100" s="380">
        <f t="shared" si="109"/>
        <v>0</v>
      </c>
      <c r="S100" s="380">
        <f t="shared" si="109"/>
        <v>0</v>
      </c>
      <c r="T100" s="380">
        <f t="shared" si="109"/>
        <v>0</v>
      </c>
      <c r="U100" s="380">
        <f t="shared" si="109"/>
        <v>0</v>
      </c>
      <c r="V100" s="380">
        <f t="shared" si="109"/>
        <v>0</v>
      </c>
      <c r="W100" s="380">
        <f t="shared" si="109"/>
        <v>0</v>
      </c>
      <c r="X100" s="380">
        <f t="shared" si="109"/>
        <v>0</v>
      </c>
      <c r="Y100" s="380">
        <f t="shared" si="109"/>
        <v>0</v>
      </c>
      <c r="Z100" s="380">
        <f t="shared" si="109"/>
        <v>0</v>
      </c>
      <c r="AA100" s="380">
        <f t="shared" si="109"/>
        <v>0</v>
      </c>
      <c r="AB100" s="352">
        <f>SUM(P100:AA100)</f>
        <v>0</v>
      </c>
      <c r="AC100" s="379">
        <f>AC101*AC102</f>
        <v>0</v>
      </c>
      <c r="AD100" s="380">
        <f t="shared" ref="AD100:AN100" si="110">AD101*AD102</f>
        <v>0</v>
      </c>
      <c r="AE100" s="380">
        <f t="shared" si="110"/>
        <v>0</v>
      </c>
      <c r="AF100" s="380">
        <f t="shared" si="110"/>
        <v>0</v>
      </c>
      <c r="AG100" s="380">
        <f t="shared" si="110"/>
        <v>0</v>
      </c>
      <c r="AH100" s="380">
        <f t="shared" si="110"/>
        <v>0</v>
      </c>
      <c r="AI100" s="380">
        <f t="shared" si="110"/>
        <v>0</v>
      </c>
      <c r="AJ100" s="380">
        <f t="shared" si="110"/>
        <v>0</v>
      </c>
      <c r="AK100" s="380">
        <f t="shared" si="110"/>
        <v>0</v>
      </c>
      <c r="AL100" s="380">
        <f t="shared" si="110"/>
        <v>0</v>
      </c>
      <c r="AM100" s="380">
        <f t="shared" si="110"/>
        <v>0</v>
      </c>
      <c r="AN100" s="380">
        <f t="shared" si="110"/>
        <v>0</v>
      </c>
      <c r="AO100" s="354">
        <f>SUM(AC100:AN100)</f>
        <v>0</v>
      </c>
    </row>
    <row r="101" spans="1:41" ht="30" outlineLevel="1">
      <c r="A101" s="283" t="s">
        <v>334</v>
      </c>
      <c r="B101" s="363" t="s">
        <v>259</v>
      </c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4"/>
      <c r="O101" s="359"/>
      <c r="P101" s="366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  <c r="AA101" s="364"/>
      <c r="AB101" s="359"/>
      <c r="AC101" s="366"/>
      <c r="AD101" s="364"/>
      <c r="AE101" s="364"/>
      <c r="AF101" s="364"/>
      <c r="AG101" s="364"/>
      <c r="AH101" s="364"/>
      <c r="AI101" s="364"/>
      <c r="AJ101" s="364"/>
      <c r="AK101" s="364"/>
      <c r="AL101" s="364"/>
      <c r="AM101" s="364"/>
      <c r="AN101" s="364"/>
      <c r="AO101" s="362"/>
    </row>
    <row r="102" spans="1:41" outlineLevel="1">
      <c r="A102" s="283" t="s">
        <v>335</v>
      </c>
      <c r="B102" s="367" t="s">
        <v>261</v>
      </c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59"/>
      <c r="P102" s="366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  <c r="AA102" s="364"/>
      <c r="AB102" s="359"/>
      <c r="AC102" s="366"/>
      <c r="AD102" s="364"/>
      <c r="AE102" s="364"/>
      <c r="AF102" s="364"/>
      <c r="AG102" s="364"/>
      <c r="AH102" s="364"/>
      <c r="AI102" s="364"/>
      <c r="AJ102" s="364"/>
      <c r="AK102" s="364"/>
      <c r="AL102" s="364"/>
      <c r="AM102" s="364"/>
      <c r="AN102" s="364"/>
      <c r="AO102" s="362"/>
    </row>
    <row r="103" spans="1:41" outlineLevel="1">
      <c r="A103" s="283" t="s">
        <v>336</v>
      </c>
      <c r="B103" s="363" t="s">
        <v>263</v>
      </c>
      <c r="C103" s="368">
        <f>C100/'Продукция и цена '!$C$7</f>
        <v>0</v>
      </c>
      <c r="D103" s="368">
        <f>D100/'Продукция и цена '!$C$7</f>
        <v>0</v>
      </c>
      <c r="E103" s="368">
        <f>E100/'Продукция и цена '!$C$7</f>
        <v>0</v>
      </c>
      <c r="F103" s="368">
        <f>F100/'Продукция и цена '!$C$7</f>
        <v>0</v>
      </c>
      <c r="G103" s="368">
        <f>G100/'Продукция и цена '!$C$7</f>
        <v>0</v>
      </c>
      <c r="H103" s="368">
        <f>H100/'Продукция и цена '!$C$7</f>
        <v>0</v>
      </c>
      <c r="I103" s="368">
        <f>I100/'Продукция и цена '!$C$7</f>
        <v>0</v>
      </c>
      <c r="J103" s="368">
        <f>J100/'Продукция и цена '!$C$7</f>
        <v>0</v>
      </c>
      <c r="K103" s="368">
        <f>K100/'Продукция и цена '!$C$7</f>
        <v>0</v>
      </c>
      <c r="L103" s="368">
        <f>L100/'Продукция и цена '!$C$7</f>
        <v>0</v>
      </c>
      <c r="M103" s="368">
        <f>M100/'Продукция и цена '!$C$7</f>
        <v>0</v>
      </c>
      <c r="N103" s="368">
        <f>N100/'Продукция и цена '!$C$7</f>
        <v>0</v>
      </c>
      <c r="O103" s="359">
        <f>SUM(C103:N103)/12</f>
        <v>0</v>
      </c>
      <c r="P103" s="370">
        <f>P100/'Продукция и цена '!$D$7</f>
        <v>0</v>
      </c>
      <c r="Q103" s="368">
        <f>Q100/'Продукция и цена '!$D$7</f>
        <v>0</v>
      </c>
      <c r="R103" s="368">
        <f>R100/'Продукция и цена '!$D$7</f>
        <v>0</v>
      </c>
      <c r="S103" s="368">
        <f>S100/'Продукция и цена '!$D$7</f>
        <v>0</v>
      </c>
      <c r="T103" s="368">
        <f>T100/'Продукция и цена '!$D$7</f>
        <v>0</v>
      </c>
      <c r="U103" s="368">
        <f>U100/'Продукция и цена '!$D$7</f>
        <v>0</v>
      </c>
      <c r="V103" s="368">
        <f>V100/'Продукция и цена '!$D$7</f>
        <v>0</v>
      </c>
      <c r="W103" s="368">
        <f>W100/'Продукция и цена '!$D$7</f>
        <v>0</v>
      </c>
      <c r="X103" s="368">
        <f>X100/'Продукция и цена '!$D$7</f>
        <v>0</v>
      </c>
      <c r="Y103" s="368">
        <f>Y100/'Продукция и цена '!$D$7</f>
        <v>0</v>
      </c>
      <c r="Z103" s="368">
        <f>Z100/'Продукция и цена '!$D$7</f>
        <v>0</v>
      </c>
      <c r="AA103" s="368">
        <f>AA100/'Продукция и цена '!$D$7</f>
        <v>0</v>
      </c>
      <c r="AB103" s="359">
        <f>SUM(P103:AA103)/12</f>
        <v>0</v>
      </c>
      <c r="AC103" s="370">
        <f>AC100/'Продукция и цена '!$E$7</f>
        <v>0</v>
      </c>
      <c r="AD103" s="368">
        <f>AD100/'Продукция и цена '!$E$7</f>
        <v>0</v>
      </c>
      <c r="AE103" s="368">
        <f>AE100/'Продукция и цена '!$E$7</f>
        <v>0</v>
      </c>
      <c r="AF103" s="368">
        <f>AF100/'Продукция и цена '!$E$7</f>
        <v>0</v>
      </c>
      <c r="AG103" s="368">
        <f>AG100/'Продукция и цена '!$E$7</f>
        <v>0</v>
      </c>
      <c r="AH103" s="368">
        <f>AH100/'Продукция и цена '!$E$7</f>
        <v>0</v>
      </c>
      <c r="AI103" s="368">
        <f>AI100/'Продукция и цена '!$E$7</f>
        <v>0</v>
      </c>
      <c r="AJ103" s="368">
        <f>AJ100/'Продукция и цена '!$E$7</f>
        <v>0</v>
      </c>
      <c r="AK103" s="368">
        <f>AK100/'Продукция и цена '!$E$7</f>
        <v>0</v>
      </c>
      <c r="AL103" s="368">
        <f>AL100/'Продукция и цена '!$E$7</f>
        <v>0</v>
      </c>
      <c r="AM103" s="368">
        <f>AM100/'Продукция и цена '!$E$7</f>
        <v>0</v>
      </c>
      <c r="AN103" s="368">
        <f>AN100/'Продукция и цена '!$E$7</f>
        <v>0</v>
      </c>
      <c r="AO103" s="362">
        <f>SUM(AC103:AN103)/12</f>
        <v>0</v>
      </c>
    </row>
    <row r="104" spans="1:41" outlineLevel="1">
      <c r="A104" s="371" t="s">
        <v>337</v>
      </c>
      <c r="B104" s="372" t="s">
        <v>265</v>
      </c>
      <c r="C104" s="373">
        <f>'Продукция и цена '!$C$7</f>
        <v>250000</v>
      </c>
      <c r="D104" s="373">
        <f>C104</f>
        <v>250000</v>
      </c>
      <c r="E104" s="373">
        <f t="shared" ref="E104:N104" si="111">D104</f>
        <v>250000</v>
      </c>
      <c r="F104" s="373">
        <f t="shared" si="111"/>
        <v>250000</v>
      </c>
      <c r="G104" s="373">
        <f t="shared" si="111"/>
        <v>250000</v>
      </c>
      <c r="H104" s="373">
        <f t="shared" si="111"/>
        <v>250000</v>
      </c>
      <c r="I104" s="373">
        <f t="shared" si="111"/>
        <v>250000</v>
      </c>
      <c r="J104" s="373">
        <f t="shared" si="111"/>
        <v>250000</v>
      </c>
      <c r="K104" s="373">
        <f t="shared" si="111"/>
        <v>250000</v>
      </c>
      <c r="L104" s="373">
        <f t="shared" si="111"/>
        <v>250000</v>
      </c>
      <c r="M104" s="373">
        <f t="shared" si="111"/>
        <v>250000</v>
      </c>
      <c r="N104" s="373">
        <f t="shared" si="111"/>
        <v>250000</v>
      </c>
      <c r="O104" s="374">
        <f>SUM(C104:N104)/12</f>
        <v>250000</v>
      </c>
      <c r="P104" s="376">
        <f>'Продукция и цена '!$D$7</f>
        <v>287500</v>
      </c>
      <c r="Q104" s="373">
        <f>P104</f>
        <v>287500</v>
      </c>
      <c r="R104" s="373">
        <f t="shared" ref="R104:AA104" si="112">Q104</f>
        <v>287500</v>
      </c>
      <c r="S104" s="373">
        <f t="shared" si="112"/>
        <v>287500</v>
      </c>
      <c r="T104" s="373">
        <f t="shared" si="112"/>
        <v>287500</v>
      </c>
      <c r="U104" s="373">
        <f t="shared" si="112"/>
        <v>287500</v>
      </c>
      <c r="V104" s="373">
        <f t="shared" si="112"/>
        <v>287500</v>
      </c>
      <c r="W104" s="373">
        <f t="shared" si="112"/>
        <v>287500</v>
      </c>
      <c r="X104" s="373">
        <f t="shared" si="112"/>
        <v>287500</v>
      </c>
      <c r="Y104" s="373">
        <f t="shared" si="112"/>
        <v>287500</v>
      </c>
      <c r="Z104" s="373">
        <f t="shared" si="112"/>
        <v>287500</v>
      </c>
      <c r="AA104" s="373">
        <f t="shared" si="112"/>
        <v>287500</v>
      </c>
      <c r="AB104" s="374">
        <f>SUM(P104:AA104)/12</f>
        <v>287500</v>
      </c>
      <c r="AC104" s="376">
        <f>'Продукция и цена '!$E$7</f>
        <v>330625</v>
      </c>
      <c r="AD104" s="373">
        <f>AC104</f>
        <v>330625</v>
      </c>
      <c r="AE104" s="373">
        <f t="shared" ref="AE104:AN104" si="113">AD104</f>
        <v>330625</v>
      </c>
      <c r="AF104" s="373">
        <f t="shared" si="113"/>
        <v>330625</v>
      </c>
      <c r="AG104" s="373">
        <f t="shared" si="113"/>
        <v>330625</v>
      </c>
      <c r="AH104" s="373">
        <f t="shared" si="113"/>
        <v>330625</v>
      </c>
      <c r="AI104" s="373">
        <f t="shared" si="113"/>
        <v>330625</v>
      </c>
      <c r="AJ104" s="373">
        <f t="shared" si="113"/>
        <v>330625</v>
      </c>
      <c r="AK104" s="373">
        <f t="shared" si="113"/>
        <v>330625</v>
      </c>
      <c r="AL104" s="373">
        <f t="shared" si="113"/>
        <v>330625</v>
      </c>
      <c r="AM104" s="373">
        <f t="shared" si="113"/>
        <v>330625</v>
      </c>
      <c r="AN104" s="373">
        <f t="shared" si="113"/>
        <v>330625</v>
      </c>
      <c r="AO104" s="377">
        <f>SUM(AC104:AN104)/12</f>
        <v>330625</v>
      </c>
    </row>
    <row r="105" spans="1:41" s="346" customFormat="1" ht="14.25" outlineLevel="1">
      <c r="A105" s="378" t="s">
        <v>185</v>
      </c>
      <c r="B105" s="381" t="s">
        <v>251</v>
      </c>
      <c r="C105" s="380">
        <f>C106*C107</f>
        <v>0</v>
      </c>
      <c r="D105" s="380">
        <f t="shared" ref="D105:N105" si="114">D106*D107</f>
        <v>0</v>
      </c>
      <c r="E105" s="380">
        <f t="shared" si="114"/>
        <v>0</v>
      </c>
      <c r="F105" s="380">
        <f t="shared" si="114"/>
        <v>0</v>
      </c>
      <c r="G105" s="380">
        <f t="shared" si="114"/>
        <v>0</v>
      </c>
      <c r="H105" s="380">
        <f t="shared" si="114"/>
        <v>0</v>
      </c>
      <c r="I105" s="380">
        <f t="shared" si="114"/>
        <v>0</v>
      </c>
      <c r="J105" s="380">
        <f t="shared" si="114"/>
        <v>0</v>
      </c>
      <c r="K105" s="380">
        <f t="shared" si="114"/>
        <v>0</v>
      </c>
      <c r="L105" s="380">
        <f t="shared" si="114"/>
        <v>0</v>
      </c>
      <c r="M105" s="380">
        <f t="shared" si="114"/>
        <v>0</v>
      </c>
      <c r="N105" s="380">
        <f t="shared" si="114"/>
        <v>0</v>
      </c>
      <c r="O105" s="352">
        <f>SUM(C105:N105)</f>
        <v>0</v>
      </c>
      <c r="P105" s="379">
        <f>P106*P107</f>
        <v>0</v>
      </c>
      <c r="Q105" s="380">
        <f t="shared" ref="Q105:AA105" si="115">Q106*Q107</f>
        <v>0</v>
      </c>
      <c r="R105" s="380">
        <f t="shared" si="115"/>
        <v>0</v>
      </c>
      <c r="S105" s="380">
        <f t="shared" si="115"/>
        <v>0</v>
      </c>
      <c r="T105" s="380">
        <f t="shared" si="115"/>
        <v>0</v>
      </c>
      <c r="U105" s="380">
        <f t="shared" si="115"/>
        <v>0</v>
      </c>
      <c r="V105" s="380">
        <f t="shared" si="115"/>
        <v>0</v>
      </c>
      <c r="W105" s="380">
        <f t="shared" si="115"/>
        <v>0</v>
      </c>
      <c r="X105" s="380">
        <f t="shared" si="115"/>
        <v>0</v>
      </c>
      <c r="Y105" s="380">
        <f t="shared" si="115"/>
        <v>0</v>
      </c>
      <c r="Z105" s="380">
        <f t="shared" si="115"/>
        <v>0</v>
      </c>
      <c r="AA105" s="380">
        <f t="shared" si="115"/>
        <v>0</v>
      </c>
      <c r="AB105" s="352">
        <f>SUM(P105:AA105)</f>
        <v>0</v>
      </c>
      <c r="AC105" s="379">
        <f>AC106*AC107</f>
        <v>0</v>
      </c>
      <c r="AD105" s="380">
        <f t="shared" ref="AD105:AN105" si="116">AD106*AD107</f>
        <v>0</v>
      </c>
      <c r="AE105" s="380">
        <f t="shared" si="116"/>
        <v>0</v>
      </c>
      <c r="AF105" s="380">
        <f t="shared" si="116"/>
        <v>0</v>
      </c>
      <c r="AG105" s="380">
        <f t="shared" si="116"/>
        <v>0</v>
      </c>
      <c r="AH105" s="380">
        <f t="shared" si="116"/>
        <v>0</v>
      </c>
      <c r="AI105" s="380">
        <f t="shared" si="116"/>
        <v>0</v>
      </c>
      <c r="AJ105" s="380">
        <f t="shared" si="116"/>
        <v>0</v>
      </c>
      <c r="AK105" s="380">
        <f t="shared" si="116"/>
        <v>0</v>
      </c>
      <c r="AL105" s="380">
        <f t="shared" si="116"/>
        <v>0</v>
      </c>
      <c r="AM105" s="380">
        <f t="shared" si="116"/>
        <v>0</v>
      </c>
      <c r="AN105" s="380">
        <f t="shared" si="116"/>
        <v>0</v>
      </c>
      <c r="AO105" s="354">
        <f>SUM(AC105:AN105)</f>
        <v>0</v>
      </c>
    </row>
    <row r="106" spans="1:41" ht="30" outlineLevel="1">
      <c r="A106" s="283" t="s">
        <v>338</v>
      </c>
      <c r="B106" s="363" t="s">
        <v>259</v>
      </c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59"/>
      <c r="P106" s="366"/>
      <c r="Q106" s="364"/>
      <c r="R106" s="364"/>
      <c r="S106" s="364"/>
      <c r="T106" s="364"/>
      <c r="U106" s="364"/>
      <c r="V106" s="364"/>
      <c r="W106" s="364"/>
      <c r="X106" s="364"/>
      <c r="Y106" s="364"/>
      <c r="Z106" s="364"/>
      <c r="AA106" s="364"/>
      <c r="AB106" s="359"/>
      <c r="AC106" s="366"/>
      <c r="AD106" s="364"/>
      <c r="AE106" s="364"/>
      <c r="AF106" s="364"/>
      <c r="AG106" s="364"/>
      <c r="AH106" s="364"/>
      <c r="AI106" s="364"/>
      <c r="AJ106" s="364"/>
      <c r="AK106" s="364"/>
      <c r="AL106" s="364"/>
      <c r="AM106" s="364"/>
      <c r="AN106" s="364"/>
      <c r="AO106" s="362"/>
    </row>
    <row r="107" spans="1:41" outlineLevel="1">
      <c r="A107" s="283" t="s">
        <v>339</v>
      </c>
      <c r="B107" s="367" t="s">
        <v>261</v>
      </c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59"/>
      <c r="P107" s="366"/>
      <c r="Q107" s="364"/>
      <c r="R107" s="364"/>
      <c r="S107" s="364"/>
      <c r="T107" s="364"/>
      <c r="U107" s="364"/>
      <c r="V107" s="364"/>
      <c r="W107" s="364"/>
      <c r="X107" s="364"/>
      <c r="Y107" s="364"/>
      <c r="Z107" s="364"/>
      <c r="AA107" s="364"/>
      <c r="AB107" s="359"/>
      <c r="AC107" s="366"/>
      <c r="AD107" s="364"/>
      <c r="AE107" s="364"/>
      <c r="AF107" s="364"/>
      <c r="AG107" s="364"/>
      <c r="AH107" s="364"/>
      <c r="AI107" s="364"/>
      <c r="AJ107" s="364"/>
      <c r="AK107" s="364"/>
      <c r="AL107" s="364"/>
      <c r="AM107" s="364"/>
      <c r="AN107" s="364"/>
      <c r="AO107" s="362"/>
    </row>
    <row r="108" spans="1:41" outlineLevel="1">
      <c r="A108" s="283" t="s">
        <v>340</v>
      </c>
      <c r="B108" s="363" t="s">
        <v>263</v>
      </c>
      <c r="C108" s="368">
        <f>C105/'Продукция и цена '!$C$7</f>
        <v>0</v>
      </c>
      <c r="D108" s="368">
        <f>D105/'Продукция и цена '!$C$7</f>
        <v>0</v>
      </c>
      <c r="E108" s="368">
        <f>E105/'Продукция и цена '!$C$7</f>
        <v>0</v>
      </c>
      <c r="F108" s="368">
        <f>F105/'Продукция и цена '!$C$7</f>
        <v>0</v>
      </c>
      <c r="G108" s="368">
        <f>G105/'Продукция и цена '!$C$7</f>
        <v>0</v>
      </c>
      <c r="H108" s="368">
        <f>H105/'Продукция и цена '!$C$7</f>
        <v>0</v>
      </c>
      <c r="I108" s="368">
        <f>I105/'Продукция и цена '!$C$7</f>
        <v>0</v>
      </c>
      <c r="J108" s="368">
        <f>J105/'Продукция и цена '!$C$7</f>
        <v>0</v>
      </c>
      <c r="K108" s="368">
        <f>K105/'Продукция и цена '!$C$7</f>
        <v>0</v>
      </c>
      <c r="L108" s="368">
        <f>L105/'Продукция и цена '!$C$7</f>
        <v>0</v>
      </c>
      <c r="M108" s="368">
        <f>M105/'Продукция и цена '!$C$7</f>
        <v>0</v>
      </c>
      <c r="N108" s="368">
        <f>N105/'Продукция и цена '!$C$7</f>
        <v>0</v>
      </c>
      <c r="O108" s="359">
        <f>SUM(C108:N108)/12</f>
        <v>0</v>
      </c>
      <c r="P108" s="370">
        <f>P105/'Продукция и цена '!$D$7</f>
        <v>0</v>
      </c>
      <c r="Q108" s="368">
        <f>Q105/'Продукция и цена '!$D$7</f>
        <v>0</v>
      </c>
      <c r="R108" s="368">
        <f>R105/'Продукция и цена '!$D$7</f>
        <v>0</v>
      </c>
      <c r="S108" s="368">
        <f>S105/'Продукция и цена '!$D$7</f>
        <v>0</v>
      </c>
      <c r="T108" s="368">
        <f>T105/'Продукция и цена '!$D$7</f>
        <v>0</v>
      </c>
      <c r="U108" s="368">
        <f>U105/'Продукция и цена '!$D$7</f>
        <v>0</v>
      </c>
      <c r="V108" s="368">
        <f>V105/'Продукция и цена '!$D$7</f>
        <v>0</v>
      </c>
      <c r="W108" s="368">
        <f>W105/'Продукция и цена '!$D$7</f>
        <v>0</v>
      </c>
      <c r="X108" s="368">
        <f>X105/'Продукция и цена '!$D$7</f>
        <v>0</v>
      </c>
      <c r="Y108" s="368">
        <f>Y105/'Продукция и цена '!$D$7</f>
        <v>0</v>
      </c>
      <c r="Z108" s="368">
        <f>Z105/'Продукция и цена '!$D$7</f>
        <v>0</v>
      </c>
      <c r="AA108" s="368">
        <f>AA105/'Продукция и цена '!$D$7</f>
        <v>0</v>
      </c>
      <c r="AB108" s="359">
        <f>SUM(P108:AA108)/12</f>
        <v>0</v>
      </c>
      <c r="AC108" s="370">
        <f>AC105/'Продукция и цена '!$E$7</f>
        <v>0</v>
      </c>
      <c r="AD108" s="368">
        <f>AD105/'Продукция и цена '!$E$7</f>
        <v>0</v>
      </c>
      <c r="AE108" s="368">
        <f>AE105/'Продукция и цена '!$E$7</f>
        <v>0</v>
      </c>
      <c r="AF108" s="368">
        <f>AF105/'Продукция и цена '!$E$7</f>
        <v>0</v>
      </c>
      <c r="AG108" s="368">
        <f>AG105/'Продукция и цена '!$E$7</f>
        <v>0</v>
      </c>
      <c r="AH108" s="368">
        <f>AH105/'Продукция и цена '!$E$7</f>
        <v>0</v>
      </c>
      <c r="AI108" s="368">
        <f>AI105/'Продукция и цена '!$E$7</f>
        <v>0</v>
      </c>
      <c r="AJ108" s="368">
        <f>AJ105/'Продукция и цена '!$E$7</f>
        <v>0</v>
      </c>
      <c r="AK108" s="368">
        <f>AK105/'Продукция и цена '!$E$7</f>
        <v>0</v>
      </c>
      <c r="AL108" s="368">
        <f>AL105/'Продукция и цена '!$E$7</f>
        <v>0</v>
      </c>
      <c r="AM108" s="368">
        <f>AM105/'Продукция и цена '!$E$7</f>
        <v>0</v>
      </c>
      <c r="AN108" s="368">
        <f>AN105/'Продукция и цена '!$E$7</f>
        <v>0</v>
      </c>
      <c r="AO108" s="362">
        <f>SUM(AC108:AN108)/12</f>
        <v>0</v>
      </c>
    </row>
    <row r="109" spans="1:41" outlineLevel="1">
      <c r="A109" s="371" t="s">
        <v>341</v>
      </c>
      <c r="B109" s="372" t="s">
        <v>265</v>
      </c>
      <c r="C109" s="373">
        <f>'Продукция и цена '!$C$7</f>
        <v>250000</v>
      </c>
      <c r="D109" s="373">
        <f>C109</f>
        <v>250000</v>
      </c>
      <c r="E109" s="373">
        <f t="shared" ref="E109:N109" si="117">D109</f>
        <v>250000</v>
      </c>
      <c r="F109" s="373">
        <f t="shared" si="117"/>
        <v>250000</v>
      </c>
      <c r="G109" s="373">
        <f t="shared" si="117"/>
        <v>250000</v>
      </c>
      <c r="H109" s="373">
        <f t="shared" si="117"/>
        <v>250000</v>
      </c>
      <c r="I109" s="373">
        <f t="shared" si="117"/>
        <v>250000</v>
      </c>
      <c r="J109" s="373">
        <f t="shared" si="117"/>
        <v>250000</v>
      </c>
      <c r="K109" s="373">
        <f t="shared" si="117"/>
        <v>250000</v>
      </c>
      <c r="L109" s="373">
        <f t="shared" si="117"/>
        <v>250000</v>
      </c>
      <c r="M109" s="373">
        <f t="shared" si="117"/>
        <v>250000</v>
      </c>
      <c r="N109" s="373">
        <f t="shared" si="117"/>
        <v>250000</v>
      </c>
      <c r="O109" s="374">
        <f>SUM(C109:N109)/12</f>
        <v>250000</v>
      </c>
      <c r="P109" s="376">
        <f>'Продукция и цена '!$D$7</f>
        <v>287500</v>
      </c>
      <c r="Q109" s="373">
        <f>P109</f>
        <v>287500</v>
      </c>
      <c r="R109" s="373">
        <f t="shared" ref="R109:AA109" si="118">Q109</f>
        <v>287500</v>
      </c>
      <c r="S109" s="373">
        <f t="shared" si="118"/>
        <v>287500</v>
      </c>
      <c r="T109" s="373">
        <f t="shared" si="118"/>
        <v>287500</v>
      </c>
      <c r="U109" s="373">
        <f t="shared" si="118"/>
        <v>287500</v>
      </c>
      <c r="V109" s="373">
        <f t="shared" si="118"/>
        <v>287500</v>
      </c>
      <c r="W109" s="373">
        <f t="shared" si="118"/>
        <v>287500</v>
      </c>
      <c r="X109" s="373">
        <f t="shared" si="118"/>
        <v>287500</v>
      </c>
      <c r="Y109" s="373">
        <f t="shared" si="118"/>
        <v>287500</v>
      </c>
      <c r="Z109" s="373">
        <f t="shared" si="118"/>
        <v>287500</v>
      </c>
      <c r="AA109" s="373">
        <f t="shared" si="118"/>
        <v>287500</v>
      </c>
      <c r="AB109" s="374">
        <f>SUM(P109:AA109)/12</f>
        <v>287500</v>
      </c>
      <c r="AC109" s="376">
        <f>'Продукция и цена '!$E$7</f>
        <v>330625</v>
      </c>
      <c r="AD109" s="373">
        <f>AC109</f>
        <v>330625</v>
      </c>
      <c r="AE109" s="373">
        <f t="shared" ref="AE109:AN109" si="119">AD109</f>
        <v>330625</v>
      </c>
      <c r="AF109" s="373">
        <f t="shared" si="119"/>
        <v>330625</v>
      </c>
      <c r="AG109" s="373">
        <f t="shared" si="119"/>
        <v>330625</v>
      </c>
      <c r="AH109" s="373">
        <f t="shared" si="119"/>
        <v>330625</v>
      </c>
      <c r="AI109" s="373">
        <f t="shared" si="119"/>
        <v>330625</v>
      </c>
      <c r="AJ109" s="373">
        <f t="shared" si="119"/>
        <v>330625</v>
      </c>
      <c r="AK109" s="373">
        <f t="shared" si="119"/>
        <v>330625</v>
      </c>
      <c r="AL109" s="373">
        <f t="shared" si="119"/>
        <v>330625</v>
      </c>
      <c r="AM109" s="373">
        <f t="shared" si="119"/>
        <v>330625</v>
      </c>
      <c r="AN109" s="373">
        <f t="shared" si="119"/>
        <v>330625</v>
      </c>
      <c r="AO109" s="377">
        <f>SUM(AC109:AN109)/12</f>
        <v>330625</v>
      </c>
    </row>
    <row r="110" spans="1:41" s="346" customFormat="1" ht="14.25">
      <c r="A110" s="349">
        <v>5</v>
      </c>
      <c r="B110" s="350" t="str">
        <f>'Продукция и цена '!A8</f>
        <v>Реклама/партнёрства</v>
      </c>
      <c r="C110" s="351">
        <f>(C111+C116+C121+C126+C131)*Продажи!B9</f>
        <v>0</v>
      </c>
      <c r="D110" s="351">
        <f>(D111+D116+D121+D126+D131)*Продажи!C9</f>
        <v>0</v>
      </c>
      <c r="E110" s="351">
        <f>(E111+E116+E121+E126+E131)*Продажи!D9</f>
        <v>0</v>
      </c>
      <c r="F110" s="351">
        <f>(F111+F116+F121+F126+F131)*Продажи!E9</f>
        <v>0</v>
      </c>
      <c r="G110" s="351">
        <f>(G111+G116+G121+G126+G131)*Продажи!F9</f>
        <v>0</v>
      </c>
      <c r="H110" s="351">
        <f>(H111+H116+H121+H126+H131)*Продажи!G9</f>
        <v>0</v>
      </c>
      <c r="I110" s="351">
        <f>(I111+I116+I121+I126+I131)*Продажи!H9</f>
        <v>0</v>
      </c>
      <c r="J110" s="351">
        <f>(J111+J116+J121+J126+J131)*Продажи!I9</f>
        <v>0</v>
      </c>
      <c r="K110" s="351">
        <f>(K111+K116+K121+K126+K131)*Продажи!J9</f>
        <v>0</v>
      </c>
      <c r="L110" s="351">
        <f>(L111+L116+L121+L126+L131)*Продажи!K9</f>
        <v>0</v>
      </c>
      <c r="M110" s="351">
        <f>(M111+M116+M121+M126+M131)*Продажи!L9</f>
        <v>0</v>
      </c>
      <c r="N110" s="351">
        <f>(N111+N116+N121+N126+N131)*Продажи!M9</f>
        <v>0</v>
      </c>
      <c r="O110" s="352">
        <f>SUM(C110:N110)</f>
        <v>0</v>
      </c>
      <c r="P110" s="353">
        <f>(P111+P116+P121+P126+P131)*Продажи!O9</f>
        <v>0</v>
      </c>
      <c r="Q110" s="351">
        <f>(Q111+Q116+Q121+Q126+Q131)*Продажи!P9</f>
        <v>0</v>
      </c>
      <c r="R110" s="351">
        <f>(R111+R116+R121+R126+R131)*Продажи!Q9</f>
        <v>0</v>
      </c>
      <c r="S110" s="351">
        <f>(S111+S116+S121+S126+S131)*Продажи!R9</f>
        <v>0</v>
      </c>
      <c r="T110" s="351">
        <f>(T111+T116+T121+T126+T131)*Продажи!S9</f>
        <v>0</v>
      </c>
      <c r="U110" s="351">
        <f>(U111+U116+U121+U126+U131)*Продажи!T9</f>
        <v>0</v>
      </c>
      <c r="V110" s="351">
        <f>(V111+V116+V121+V126+V131)*Продажи!U9</f>
        <v>0</v>
      </c>
      <c r="W110" s="351">
        <f>(W111+W116+W121+W126+W131)*Продажи!V9</f>
        <v>0</v>
      </c>
      <c r="X110" s="351">
        <f>(X111+X116+X121+X126+X131)*Продажи!W9</f>
        <v>0</v>
      </c>
      <c r="Y110" s="351">
        <f>(Y111+Y116+Y121+Y126+Y131)*Продажи!X9</f>
        <v>0</v>
      </c>
      <c r="Z110" s="351">
        <f>(Z111+Z116+Z121+Z126+Z131)*Продажи!Y9</f>
        <v>0</v>
      </c>
      <c r="AA110" s="351">
        <f>(AA111+AA116+AA121+AA126+AA131)*Продажи!Z9</f>
        <v>0</v>
      </c>
      <c r="AB110" s="354">
        <f>SUM(P110:AA110)</f>
        <v>0</v>
      </c>
      <c r="AC110" s="355">
        <f>(AC111+AC116+AC121+AC126+AC131)*Продажи!AB9</f>
        <v>0</v>
      </c>
      <c r="AD110" s="351">
        <f>(AD111+AD116+AD121+AD126+AD131)*Продажи!AC9</f>
        <v>0</v>
      </c>
      <c r="AE110" s="351">
        <f>(AE111+AE116+AE121+AE126+AE131)*Продажи!AD9</f>
        <v>0</v>
      </c>
      <c r="AF110" s="351">
        <f>(AF111+AF116+AF121+AF126+AF131)*Продажи!AE9</f>
        <v>0</v>
      </c>
      <c r="AG110" s="351">
        <f>(AG111+AG116+AG121+AG126+AG131)*Продажи!AF9</f>
        <v>0</v>
      </c>
      <c r="AH110" s="351">
        <f>(AH111+AH116+AH121+AH126+AH131)*Продажи!AG9</f>
        <v>0</v>
      </c>
      <c r="AI110" s="351">
        <f>(AI111+AI116+AI121+AI126+AI131)*Продажи!AH9</f>
        <v>0</v>
      </c>
      <c r="AJ110" s="351">
        <f>(AJ111+AJ116+AJ121+AJ126+AJ131)*Продажи!AI9</f>
        <v>0</v>
      </c>
      <c r="AK110" s="351">
        <f>(AK111+AK116+AK121+AK126+AK131)*Продажи!AJ9</f>
        <v>0</v>
      </c>
      <c r="AL110" s="351">
        <f>(AL111+AL116+AL121+AL126+AL131)*Продажи!AK9</f>
        <v>0</v>
      </c>
      <c r="AM110" s="351">
        <f>(AM111+AM116+AM121+AM126+AM131)*Продажи!AL9</f>
        <v>0</v>
      </c>
      <c r="AN110" s="351">
        <f>(AN111+AN116+AN121+AN126+AN131)*Продажи!AM9</f>
        <v>0</v>
      </c>
      <c r="AO110" s="354">
        <f>SUM(AC110:AN110)</f>
        <v>0</v>
      </c>
    </row>
    <row r="111" spans="1:41" s="346" customFormat="1" ht="14.25" outlineLevel="1">
      <c r="A111" s="356" t="s">
        <v>36</v>
      </c>
      <c r="B111" s="357" t="s">
        <v>247</v>
      </c>
      <c r="C111" s="358">
        <f>C112*C113</f>
        <v>0</v>
      </c>
      <c r="D111" s="358">
        <f t="shared" ref="D111:N111" si="120">D112*D113</f>
        <v>0</v>
      </c>
      <c r="E111" s="358">
        <f t="shared" si="120"/>
        <v>0</v>
      </c>
      <c r="F111" s="358">
        <f t="shared" si="120"/>
        <v>0</v>
      </c>
      <c r="G111" s="358">
        <f t="shared" si="120"/>
        <v>0</v>
      </c>
      <c r="H111" s="358">
        <f t="shared" si="120"/>
        <v>0</v>
      </c>
      <c r="I111" s="358">
        <f t="shared" si="120"/>
        <v>0</v>
      </c>
      <c r="J111" s="358">
        <f t="shared" si="120"/>
        <v>0</v>
      </c>
      <c r="K111" s="358">
        <f t="shared" si="120"/>
        <v>0</v>
      </c>
      <c r="L111" s="358">
        <f t="shared" si="120"/>
        <v>0</v>
      </c>
      <c r="M111" s="358">
        <f t="shared" si="120"/>
        <v>0</v>
      </c>
      <c r="N111" s="358">
        <f t="shared" si="120"/>
        <v>0</v>
      </c>
      <c r="O111" s="359">
        <f>SUM(C111:N111)</f>
        <v>0</v>
      </c>
      <c r="P111" s="360">
        <f>P112*P113</f>
        <v>0</v>
      </c>
      <c r="Q111" s="358">
        <f t="shared" ref="Q111:AA111" si="121">Q112*Q113</f>
        <v>0</v>
      </c>
      <c r="R111" s="358">
        <f t="shared" si="121"/>
        <v>0</v>
      </c>
      <c r="S111" s="358">
        <f t="shared" si="121"/>
        <v>0</v>
      </c>
      <c r="T111" s="358">
        <f t="shared" si="121"/>
        <v>0</v>
      </c>
      <c r="U111" s="358">
        <f t="shared" si="121"/>
        <v>0</v>
      </c>
      <c r="V111" s="358">
        <f t="shared" si="121"/>
        <v>0</v>
      </c>
      <c r="W111" s="358">
        <f t="shared" si="121"/>
        <v>0</v>
      </c>
      <c r="X111" s="358">
        <f t="shared" si="121"/>
        <v>0</v>
      </c>
      <c r="Y111" s="358">
        <f t="shared" si="121"/>
        <v>0</v>
      </c>
      <c r="Z111" s="358">
        <f t="shared" si="121"/>
        <v>0</v>
      </c>
      <c r="AA111" s="358">
        <f t="shared" si="121"/>
        <v>0</v>
      </c>
      <c r="AB111" s="359">
        <f>SUM(P111:AA111)</f>
        <v>0</v>
      </c>
      <c r="AC111" s="361">
        <f>AC112*AC113</f>
        <v>0</v>
      </c>
      <c r="AD111" s="358">
        <f t="shared" ref="AD111:AN111" si="122">AD112*AD113</f>
        <v>0</v>
      </c>
      <c r="AE111" s="358">
        <f t="shared" si="122"/>
        <v>0</v>
      </c>
      <c r="AF111" s="358">
        <f t="shared" si="122"/>
        <v>0</v>
      </c>
      <c r="AG111" s="358">
        <f t="shared" si="122"/>
        <v>0</v>
      </c>
      <c r="AH111" s="358">
        <f t="shared" si="122"/>
        <v>0</v>
      </c>
      <c r="AI111" s="358">
        <f t="shared" si="122"/>
        <v>0</v>
      </c>
      <c r="AJ111" s="358">
        <f t="shared" si="122"/>
        <v>0</v>
      </c>
      <c r="AK111" s="358">
        <f t="shared" si="122"/>
        <v>0</v>
      </c>
      <c r="AL111" s="358">
        <f t="shared" si="122"/>
        <v>0</v>
      </c>
      <c r="AM111" s="358">
        <f t="shared" si="122"/>
        <v>0</v>
      </c>
      <c r="AN111" s="358">
        <f t="shared" si="122"/>
        <v>0</v>
      </c>
      <c r="AO111" s="362">
        <f>SUM(AC111:AN111)</f>
        <v>0</v>
      </c>
    </row>
    <row r="112" spans="1:41" ht="30" outlineLevel="1">
      <c r="A112" s="283" t="s">
        <v>342</v>
      </c>
      <c r="B112" s="363" t="s">
        <v>259</v>
      </c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59"/>
      <c r="P112" s="365"/>
      <c r="Q112" s="364"/>
      <c r="R112" s="364"/>
      <c r="S112" s="364"/>
      <c r="T112" s="364"/>
      <c r="U112" s="364"/>
      <c r="V112" s="364"/>
      <c r="W112" s="364"/>
      <c r="X112" s="364"/>
      <c r="Y112" s="364"/>
      <c r="Z112" s="364"/>
      <c r="AA112" s="364"/>
      <c r="AB112" s="359"/>
      <c r="AC112" s="366"/>
      <c r="AD112" s="364"/>
      <c r="AE112" s="364"/>
      <c r="AF112" s="364"/>
      <c r="AG112" s="364"/>
      <c r="AH112" s="364"/>
      <c r="AI112" s="364"/>
      <c r="AJ112" s="364"/>
      <c r="AK112" s="364"/>
      <c r="AL112" s="364"/>
      <c r="AM112" s="364"/>
      <c r="AN112" s="364"/>
      <c r="AO112" s="362"/>
    </row>
    <row r="113" spans="1:41" outlineLevel="1">
      <c r="A113" s="283" t="s">
        <v>343</v>
      </c>
      <c r="B113" s="367" t="s">
        <v>261</v>
      </c>
      <c r="C113" s="36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  <c r="O113" s="359"/>
      <c r="P113" s="365"/>
      <c r="Q113" s="364"/>
      <c r="R113" s="364"/>
      <c r="S113" s="364"/>
      <c r="T113" s="364"/>
      <c r="U113" s="364"/>
      <c r="V113" s="364"/>
      <c r="W113" s="364"/>
      <c r="X113" s="364"/>
      <c r="Y113" s="364"/>
      <c r="Z113" s="364"/>
      <c r="AA113" s="364"/>
      <c r="AB113" s="359"/>
      <c r="AC113" s="366"/>
      <c r="AD113" s="364"/>
      <c r="AE113" s="364"/>
      <c r="AF113" s="364"/>
      <c r="AG113" s="364"/>
      <c r="AH113" s="364"/>
      <c r="AI113" s="364"/>
      <c r="AJ113" s="364"/>
      <c r="AK113" s="364"/>
      <c r="AL113" s="364"/>
      <c r="AM113" s="364"/>
      <c r="AN113" s="364"/>
      <c r="AO113" s="362"/>
    </row>
    <row r="114" spans="1:41" outlineLevel="1">
      <c r="A114" s="283" t="s">
        <v>344</v>
      </c>
      <c r="B114" s="363" t="s">
        <v>263</v>
      </c>
      <c r="C114" s="368">
        <f>C111/'Продукция и цена '!$C$8</f>
        <v>0</v>
      </c>
      <c r="D114" s="368">
        <f>D111/'Продукция и цена '!$C$8</f>
        <v>0</v>
      </c>
      <c r="E114" s="368">
        <f>E111/'Продукция и цена '!$C$8</f>
        <v>0</v>
      </c>
      <c r="F114" s="368">
        <f>F111/'Продукция и цена '!$C$8</f>
        <v>0</v>
      </c>
      <c r="G114" s="368">
        <f>G111/'Продукция и цена '!$C$8</f>
        <v>0</v>
      </c>
      <c r="H114" s="368">
        <f>H111/'Продукция и цена '!$C$8</f>
        <v>0</v>
      </c>
      <c r="I114" s="368">
        <f>I111/'Продукция и цена '!$C$8</f>
        <v>0</v>
      </c>
      <c r="J114" s="368">
        <f>J111/'Продукция и цена '!$C$8</f>
        <v>0</v>
      </c>
      <c r="K114" s="368">
        <f>K111/'Продукция и цена '!$C$8</f>
        <v>0</v>
      </c>
      <c r="L114" s="368">
        <f>L111/'Продукция и цена '!$C$8</f>
        <v>0</v>
      </c>
      <c r="M114" s="368">
        <f>M111/'Продукция и цена '!$C$8</f>
        <v>0</v>
      </c>
      <c r="N114" s="368">
        <f>N111/'Продукция и цена '!$C$8</f>
        <v>0</v>
      </c>
      <c r="O114" s="359">
        <f>SUM(C114:N114)/12</f>
        <v>0</v>
      </c>
      <c r="P114" s="369">
        <f>P111/'Продукция и цена '!$D$8</f>
        <v>0</v>
      </c>
      <c r="Q114" s="368">
        <f>Q111/'Продукция и цена '!$D$8</f>
        <v>0</v>
      </c>
      <c r="R114" s="368">
        <f>R111/'Продукция и цена '!$D$8</f>
        <v>0</v>
      </c>
      <c r="S114" s="368">
        <f>S111/'Продукция и цена '!$D$8</f>
        <v>0</v>
      </c>
      <c r="T114" s="368">
        <f>T111/'Продукция и цена '!$D$8</f>
        <v>0</v>
      </c>
      <c r="U114" s="368">
        <f>U111/'Продукция и цена '!$D$8</f>
        <v>0</v>
      </c>
      <c r="V114" s="368">
        <f>V111/'Продукция и цена '!$D$8</f>
        <v>0</v>
      </c>
      <c r="W114" s="368">
        <f>W111/'Продукция и цена '!$D$8</f>
        <v>0</v>
      </c>
      <c r="X114" s="368">
        <f>X111/'Продукция и цена '!$D$8</f>
        <v>0</v>
      </c>
      <c r="Y114" s="368">
        <f>Y111/'Продукция и цена '!$D$8</f>
        <v>0</v>
      </c>
      <c r="Z114" s="368">
        <f>Z111/'Продукция и цена '!$D$8</f>
        <v>0</v>
      </c>
      <c r="AA114" s="368">
        <f>AA111/'Продукция и цена '!$D$8</f>
        <v>0</v>
      </c>
      <c r="AB114" s="359">
        <f>SUM(P114:AA114)/12</f>
        <v>0</v>
      </c>
      <c r="AC114" s="370">
        <f>AC111/'Продукция и цена '!$E$8</f>
        <v>0</v>
      </c>
      <c r="AD114" s="368">
        <f>AD111/'Продукция и цена '!$E$8</f>
        <v>0</v>
      </c>
      <c r="AE114" s="368">
        <f>AE111/'Продукция и цена '!$E$8</f>
        <v>0</v>
      </c>
      <c r="AF114" s="368">
        <f>AF111/'Продукция и цена '!$E$8</f>
        <v>0</v>
      </c>
      <c r="AG114" s="368">
        <f>AG111/'Продукция и цена '!$E$8</f>
        <v>0</v>
      </c>
      <c r="AH114" s="368">
        <f>AH111/'Продукция и цена '!$E$8</f>
        <v>0</v>
      </c>
      <c r="AI114" s="368">
        <f>AI111/'Продукция и цена '!$E$8</f>
        <v>0</v>
      </c>
      <c r="AJ114" s="368">
        <f>AJ111/'Продукция и цена '!$E$8</f>
        <v>0</v>
      </c>
      <c r="AK114" s="368">
        <f>AK111/'Продукция и цена '!$E$8</f>
        <v>0</v>
      </c>
      <c r="AL114" s="368">
        <f>AL111/'Продукция и цена '!$E$8</f>
        <v>0</v>
      </c>
      <c r="AM114" s="368">
        <f>AM111/'Продукция и цена '!$E$8</f>
        <v>0</v>
      </c>
      <c r="AN114" s="368">
        <f>AN111/'Продукция и цена '!$E$8</f>
        <v>0</v>
      </c>
      <c r="AO114" s="362">
        <f>SUM(AC114:AN114)/12</f>
        <v>0</v>
      </c>
    </row>
    <row r="115" spans="1:41" outlineLevel="1">
      <c r="A115" s="371" t="s">
        <v>345</v>
      </c>
      <c r="B115" s="372" t="s">
        <v>265</v>
      </c>
      <c r="C115" s="373">
        <f>'Продукция и цена '!$C$8</f>
        <v>20000</v>
      </c>
      <c r="D115" s="373">
        <f>C115</f>
        <v>20000</v>
      </c>
      <c r="E115" s="373">
        <f t="shared" ref="E115:N115" si="123">D115</f>
        <v>20000</v>
      </c>
      <c r="F115" s="373">
        <f t="shared" si="123"/>
        <v>20000</v>
      </c>
      <c r="G115" s="373">
        <f t="shared" si="123"/>
        <v>20000</v>
      </c>
      <c r="H115" s="373">
        <f t="shared" si="123"/>
        <v>20000</v>
      </c>
      <c r="I115" s="373">
        <f t="shared" si="123"/>
        <v>20000</v>
      </c>
      <c r="J115" s="373">
        <f t="shared" si="123"/>
        <v>20000</v>
      </c>
      <c r="K115" s="373">
        <f t="shared" si="123"/>
        <v>20000</v>
      </c>
      <c r="L115" s="373">
        <f t="shared" si="123"/>
        <v>20000</v>
      </c>
      <c r="M115" s="373">
        <f t="shared" si="123"/>
        <v>20000</v>
      </c>
      <c r="N115" s="373">
        <f t="shared" si="123"/>
        <v>20000</v>
      </c>
      <c r="O115" s="374">
        <f>SUM(C115:N115)/12</f>
        <v>20000</v>
      </c>
      <c r="P115" s="375">
        <f>'Продукция и цена '!$D$8</f>
        <v>23000</v>
      </c>
      <c r="Q115" s="373">
        <f>P115</f>
        <v>23000</v>
      </c>
      <c r="R115" s="373">
        <f t="shared" ref="R115:AA115" si="124">Q115</f>
        <v>23000</v>
      </c>
      <c r="S115" s="373">
        <f t="shared" si="124"/>
        <v>23000</v>
      </c>
      <c r="T115" s="373">
        <f t="shared" si="124"/>
        <v>23000</v>
      </c>
      <c r="U115" s="373">
        <f t="shared" si="124"/>
        <v>23000</v>
      </c>
      <c r="V115" s="373">
        <f t="shared" si="124"/>
        <v>23000</v>
      </c>
      <c r="W115" s="373">
        <f t="shared" si="124"/>
        <v>23000</v>
      </c>
      <c r="X115" s="373">
        <f t="shared" si="124"/>
        <v>23000</v>
      </c>
      <c r="Y115" s="373">
        <f t="shared" si="124"/>
        <v>23000</v>
      </c>
      <c r="Z115" s="373">
        <f t="shared" si="124"/>
        <v>23000</v>
      </c>
      <c r="AA115" s="373">
        <f t="shared" si="124"/>
        <v>23000</v>
      </c>
      <c r="AB115" s="374">
        <f>SUM(P115:AA115)/12</f>
        <v>23000</v>
      </c>
      <c r="AC115" s="376">
        <f>'Продукция и цена '!$E$8</f>
        <v>26450</v>
      </c>
      <c r="AD115" s="373">
        <f>AC115</f>
        <v>26450</v>
      </c>
      <c r="AE115" s="373">
        <f t="shared" ref="AE115:AN115" si="125">AD115</f>
        <v>26450</v>
      </c>
      <c r="AF115" s="373">
        <f t="shared" si="125"/>
        <v>26450</v>
      </c>
      <c r="AG115" s="373">
        <f t="shared" si="125"/>
        <v>26450</v>
      </c>
      <c r="AH115" s="373">
        <f t="shared" si="125"/>
        <v>26450</v>
      </c>
      <c r="AI115" s="373">
        <f t="shared" si="125"/>
        <v>26450</v>
      </c>
      <c r="AJ115" s="373">
        <f t="shared" si="125"/>
        <v>26450</v>
      </c>
      <c r="AK115" s="373">
        <f t="shared" si="125"/>
        <v>26450</v>
      </c>
      <c r="AL115" s="373">
        <f t="shared" si="125"/>
        <v>26450</v>
      </c>
      <c r="AM115" s="373">
        <f t="shared" si="125"/>
        <v>26450</v>
      </c>
      <c r="AN115" s="373">
        <f t="shared" si="125"/>
        <v>26450</v>
      </c>
      <c r="AO115" s="377">
        <f>SUM(AC115:AN115)/12</f>
        <v>26450</v>
      </c>
    </row>
    <row r="116" spans="1:41" s="346" customFormat="1" ht="14.25" outlineLevel="1">
      <c r="A116" s="378" t="s">
        <v>38</v>
      </c>
      <c r="B116" s="357" t="s">
        <v>248</v>
      </c>
      <c r="C116" s="358">
        <f>C117*C118</f>
        <v>0</v>
      </c>
      <c r="D116" s="358">
        <f t="shared" ref="D116:N116" si="126">D117*D118</f>
        <v>0</v>
      </c>
      <c r="E116" s="358">
        <f t="shared" si="126"/>
        <v>0</v>
      </c>
      <c r="F116" s="358">
        <f t="shared" si="126"/>
        <v>0</v>
      </c>
      <c r="G116" s="358">
        <f t="shared" si="126"/>
        <v>0</v>
      </c>
      <c r="H116" s="358">
        <f t="shared" si="126"/>
        <v>0</v>
      </c>
      <c r="I116" s="358">
        <f t="shared" si="126"/>
        <v>0</v>
      </c>
      <c r="J116" s="358">
        <f t="shared" si="126"/>
        <v>0</v>
      </c>
      <c r="K116" s="358">
        <f t="shared" si="126"/>
        <v>0</v>
      </c>
      <c r="L116" s="358">
        <f t="shared" si="126"/>
        <v>0</v>
      </c>
      <c r="M116" s="358">
        <f t="shared" si="126"/>
        <v>0</v>
      </c>
      <c r="N116" s="358">
        <f t="shared" si="126"/>
        <v>0</v>
      </c>
      <c r="O116" s="352">
        <f>SUM(C116:N116)</f>
        <v>0</v>
      </c>
      <c r="P116" s="379">
        <f>P117*P118</f>
        <v>0</v>
      </c>
      <c r="Q116" s="380">
        <f t="shared" ref="Q116:AA116" si="127">Q117*Q118</f>
        <v>0</v>
      </c>
      <c r="R116" s="380">
        <f t="shared" si="127"/>
        <v>0</v>
      </c>
      <c r="S116" s="380">
        <f t="shared" si="127"/>
        <v>0</v>
      </c>
      <c r="T116" s="380">
        <f t="shared" si="127"/>
        <v>0</v>
      </c>
      <c r="U116" s="380">
        <f t="shared" si="127"/>
        <v>0</v>
      </c>
      <c r="V116" s="380">
        <f t="shared" si="127"/>
        <v>0</v>
      </c>
      <c r="W116" s="380">
        <f t="shared" si="127"/>
        <v>0</v>
      </c>
      <c r="X116" s="380">
        <f t="shared" si="127"/>
        <v>0</v>
      </c>
      <c r="Y116" s="380">
        <f t="shared" si="127"/>
        <v>0</v>
      </c>
      <c r="Z116" s="380">
        <f t="shared" si="127"/>
        <v>0</v>
      </c>
      <c r="AA116" s="380">
        <f t="shared" si="127"/>
        <v>0</v>
      </c>
      <c r="AB116" s="352">
        <f>SUM(P116:AA116)</f>
        <v>0</v>
      </c>
      <c r="AC116" s="379">
        <f>AC117*AC118</f>
        <v>0</v>
      </c>
      <c r="AD116" s="380">
        <f t="shared" ref="AD116:AN116" si="128">AD117*AD118</f>
        <v>0</v>
      </c>
      <c r="AE116" s="380">
        <f t="shared" si="128"/>
        <v>0</v>
      </c>
      <c r="AF116" s="380">
        <f t="shared" si="128"/>
        <v>0</v>
      </c>
      <c r="AG116" s="380">
        <f t="shared" si="128"/>
        <v>0</v>
      </c>
      <c r="AH116" s="380">
        <f t="shared" si="128"/>
        <v>0</v>
      </c>
      <c r="AI116" s="380">
        <f t="shared" si="128"/>
        <v>0</v>
      </c>
      <c r="AJ116" s="380">
        <f t="shared" si="128"/>
        <v>0</v>
      </c>
      <c r="AK116" s="380">
        <f t="shared" si="128"/>
        <v>0</v>
      </c>
      <c r="AL116" s="380">
        <f t="shared" si="128"/>
        <v>0</v>
      </c>
      <c r="AM116" s="380">
        <f t="shared" si="128"/>
        <v>0</v>
      </c>
      <c r="AN116" s="380">
        <f t="shared" si="128"/>
        <v>0</v>
      </c>
      <c r="AO116" s="354">
        <f>SUM(AC116:AN116)</f>
        <v>0</v>
      </c>
    </row>
    <row r="117" spans="1:41" ht="30" outlineLevel="1">
      <c r="A117" s="283" t="s">
        <v>346</v>
      </c>
      <c r="B117" s="363" t="s">
        <v>259</v>
      </c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59"/>
      <c r="P117" s="366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  <c r="AA117" s="364"/>
      <c r="AB117" s="359"/>
      <c r="AC117" s="366"/>
      <c r="AD117" s="364"/>
      <c r="AE117" s="364"/>
      <c r="AF117" s="364"/>
      <c r="AG117" s="364"/>
      <c r="AH117" s="364"/>
      <c r="AI117" s="364"/>
      <c r="AJ117" s="364"/>
      <c r="AK117" s="364"/>
      <c r="AL117" s="364"/>
      <c r="AM117" s="364"/>
      <c r="AN117" s="364"/>
      <c r="AO117" s="362"/>
    </row>
    <row r="118" spans="1:41" outlineLevel="1">
      <c r="A118" s="283" t="s">
        <v>347</v>
      </c>
      <c r="B118" s="367" t="s">
        <v>261</v>
      </c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59"/>
      <c r="P118" s="366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  <c r="AA118" s="364"/>
      <c r="AB118" s="359"/>
      <c r="AC118" s="366"/>
      <c r="AD118" s="364"/>
      <c r="AE118" s="364"/>
      <c r="AF118" s="364"/>
      <c r="AG118" s="364"/>
      <c r="AH118" s="364"/>
      <c r="AI118" s="364"/>
      <c r="AJ118" s="364"/>
      <c r="AK118" s="364"/>
      <c r="AL118" s="364"/>
      <c r="AM118" s="364"/>
      <c r="AN118" s="364"/>
      <c r="AO118" s="362"/>
    </row>
    <row r="119" spans="1:41" outlineLevel="1">
      <c r="A119" s="283" t="s">
        <v>348</v>
      </c>
      <c r="B119" s="363" t="s">
        <v>263</v>
      </c>
      <c r="C119" s="368">
        <f>C116/'Продукция и цена '!$C$8</f>
        <v>0</v>
      </c>
      <c r="D119" s="368">
        <f>D116/'Продукция и цена '!$C$8</f>
        <v>0</v>
      </c>
      <c r="E119" s="368">
        <f>E116/'Продукция и цена '!$C$8</f>
        <v>0</v>
      </c>
      <c r="F119" s="368">
        <f>F116/'Продукция и цена '!$C$8</f>
        <v>0</v>
      </c>
      <c r="G119" s="368">
        <f>G116/'Продукция и цена '!$C$8</f>
        <v>0</v>
      </c>
      <c r="H119" s="368">
        <f>H116/'Продукция и цена '!$C$8</f>
        <v>0</v>
      </c>
      <c r="I119" s="368">
        <f>I116/'Продукция и цена '!$C$8</f>
        <v>0</v>
      </c>
      <c r="J119" s="368">
        <f>J116/'Продукция и цена '!$C$8</f>
        <v>0</v>
      </c>
      <c r="K119" s="368">
        <f>K116/'Продукция и цена '!$C$8</f>
        <v>0</v>
      </c>
      <c r="L119" s="368">
        <f>L116/'Продукция и цена '!$C$8</f>
        <v>0</v>
      </c>
      <c r="M119" s="368">
        <f>M116/'Продукция и цена '!$C$8</f>
        <v>0</v>
      </c>
      <c r="N119" s="368">
        <f>N116/'Продукция и цена '!$C$8</f>
        <v>0</v>
      </c>
      <c r="O119" s="359">
        <f>SUM(C119:N119)/12</f>
        <v>0</v>
      </c>
      <c r="P119" s="370">
        <f>P116/'Продукция и цена '!$D$8</f>
        <v>0</v>
      </c>
      <c r="Q119" s="368">
        <f>Q116/'Продукция и цена '!$D$8</f>
        <v>0</v>
      </c>
      <c r="R119" s="368">
        <f>R116/'Продукция и цена '!$D$8</f>
        <v>0</v>
      </c>
      <c r="S119" s="368">
        <f>S116/'Продукция и цена '!$D$8</f>
        <v>0</v>
      </c>
      <c r="T119" s="368">
        <f>T116/'Продукция и цена '!$D$8</f>
        <v>0</v>
      </c>
      <c r="U119" s="368">
        <f>U116/'Продукция и цена '!$D$8</f>
        <v>0</v>
      </c>
      <c r="V119" s="368">
        <f>V116/'Продукция и цена '!$D$8</f>
        <v>0</v>
      </c>
      <c r="W119" s="368">
        <f>W116/'Продукция и цена '!$D$8</f>
        <v>0</v>
      </c>
      <c r="X119" s="368">
        <f>X116/'Продукция и цена '!$D$8</f>
        <v>0</v>
      </c>
      <c r="Y119" s="368">
        <f>Y116/'Продукция и цена '!$D$8</f>
        <v>0</v>
      </c>
      <c r="Z119" s="368">
        <f>Z116/'Продукция и цена '!$D$8</f>
        <v>0</v>
      </c>
      <c r="AA119" s="368">
        <f>AA116/'Продукция и цена '!$D$8</f>
        <v>0</v>
      </c>
      <c r="AB119" s="359">
        <f>SUM(P119:AA119)/12</f>
        <v>0</v>
      </c>
      <c r="AC119" s="370">
        <f>AC116/'Продукция и цена '!$E$8</f>
        <v>0</v>
      </c>
      <c r="AD119" s="368">
        <f>AD116/'Продукция и цена '!$E$8</f>
        <v>0</v>
      </c>
      <c r="AE119" s="368">
        <f>AE116/'Продукция и цена '!$E$8</f>
        <v>0</v>
      </c>
      <c r="AF119" s="368">
        <f>AF116/'Продукция и цена '!$E$8</f>
        <v>0</v>
      </c>
      <c r="AG119" s="368">
        <f>AG116/'Продукция и цена '!$E$8</f>
        <v>0</v>
      </c>
      <c r="AH119" s="368">
        <f>AH116/'Продукция и цена '!$E$8</f>
        <v>0</v>
      </c>
      <c r="AI119" s="368">
        <f>AI116/'Продукция и цена '!$E$8</f>
        <v>0</v>
      </c>
      <c r="AJ119" s="368">
        <f>AJ116/'Продукция и цена '!$E$8</f>
        <v>0</v>
      </c>
      <c r="AK119" s="368">
        <f>AK116/'Продукция и цена '!$E$8</f>
        <v>0</v>
      </c>
      <c r="AL119" s="368">
        <f>AL116/'Продукция и цена '!$E$8</f>
        <v>0</v>
      </c>
      <c r="AM119" s="368">
        <f>AM116/'Продукция и цена '!$E$8</f>
        <v>0</v>
      </c>
      <c r="AN119" s="368">
        <f>AN116/'Продукция и цена '!$E$8</f>
        <v>0</v>
      </c>
      <c r="AO119" s="362">
        <f>SUM(AC119:AN119)/12</f>
        <v>0</v>
      </c>
    </row>
    <row r="120" spans="1:41" outlineLevel="1">
      <c r="A120" s="371" t="s">
        <v>349</v>
      </c>
      <c r="B120" s="372" t="s">
        <v>265</v>
      </c>
      <c r="C120" s="373">
        <f>'Продукция и цена '!$C$8</f>
        <v>20000</v>
      </c>
      <c r="D120" s="373">
        <f>C120</f>
        <v>20000</v>
      </c>
      <c r="E120" s="373">
        <f t="shared" ref="E120:N120" si="129">D120</f>
        <v>20000</v>
      </c>
      <c r="F120" s="373">
        <f t="shared" si="129"/>
        <v>20000</v>
      </c>
      <c r="G120" s="373">
        <f t="shared" si="129"/>
        <v>20000</v>
      </c>
      <c r="H120" s="373">
        <f t="shared" si="129"/>
        <v>20000</v>
      </c>
      <c r="I120" s="373">
        <f t="shared" si="129"/>
        <v>20000</v>
      </c>
      <c r="J120" s="373">
        <f t="shared" si="129"/>
        <v>20000</v>
      </c>
      <c r="K120" s="373">
        <f t="shared" si="129"/>
        <v>20000</v>
      </c>
      <c r="L120" s="373">
        <f t="shared" si="129"/>
        <v>20000</v>
      </c>
      <c r="M120" s="373">
        <f t="shared" si="129"/>
        <v>20000</v>
      </c>
      <c r="N120" s="373">
        <f t="shared" si="129"/>
        <v>20000</v>
      </c>
      <c r="O120" s="374">
        <f>SUM(C120:N120)/12</f>
        <v>20000</v>
      </c>
      <c r="P120" s="376">
        <f>'Продукция и цена '!$D$8</f>
        <v>23000</v>
      </c>
      <c r="Q120" s="373">
        <f>P120</f>
        <v>23000</v>
      </c>
      <c r="R120" s="373">
        <f t="shared" ref="R120:AA120" si="130">Q120</f>
        <v>23000</v>
      </c>
      <c r="S120" s="373">
        <f t="shared" si="130"/>
        <v>23000</v>
      </c>
      <c r="T120" s="373">
        <f t="shared" si="130"/>
        <v>23000</v>
      </c>
      <c r="U120" s="373">
        <f t="shared" si="130"/>
        <v>23000</v>
      </c>
      <c r="V120" s="373">
        <f t="shared" si="130"/>
        <v>23000</v>
      </c>
      <c r="W120" s="373">
        <f t="shared" si="130"/>
        <v>23000</v>
      </c>
      <c r="X120" s="373">
        <f t="shared" si="130"/>
        <v>23000</v>
      </c>
      <c r="Y120" s="373">
        <f t="shared" si="130"/>
        <v>23000</v>
      </c>
      <c r="Z120" s="373">
        <f t="shared" si="130"/>
        <v>23000</v>
      </c>
      <c r="AA120" s="373">
        <f t="shared" si="130"/>
        <v>23000</v>
      </c>
      <c r="AB120" s="374">
        <f>SUM(P120:AA120)/12</f>
        <v>23000</v>
      </c>
      <c r="AC120" s="376">
        <f>'Продукция и цена '!$E$8</f>
        <v>26450</v>
      </c>
      <c r="AD120" s="373">
        <f>AC120</f>
        <v>26450</v>
      </c>
      <c r="AE120" s="373">
        <f t="shared" ref="AE120:AN120" si="131">AD120</f>
        <v>26450</v>
      </c>
      <c r="AF120" s="373">
        <f t="shared" si="131"/>
        <v>26450</v>
      </c>
      <c r="AG120" s="373">
        <f t="shared" si="131"/>
        <v>26450</v>
      </c>
      <c r="AH120" s="373">
        <f t="shared" si="131"/>
        <v>26450</v>
      </c>
      <c r="AI120" s="373">
        <f t="shared" si="131"/>
        <v>26450</v>
      </c>
      <c r="AJ120" s="373">
        <f t="shared" si="131"/>
        <v>26450</v>
      </c>
      <c r="AK120" s="373">
        <f t="shared" si="131"/>
        <v>26450</v>
      </c>
      <c r="AL120" s="373">
        <f t="shared" si="131"/>
        <v>26450</v>
      </c>
      <c r="AM120" s="373">
        <f t="shared" si="131"/>
        <v>26450</v>
      </c>
      <c r="AN120" s="373">
        <f t="shared" si="131"/>
        <v>26450</v>
      </c>
      <c r="AO120" s="377">
        <f>SUM(AC120:AN120)/12</f>
        <v>26450</v>
      </c>
    </row>
    <row r="121" spans="1:41" s="346" customFormat="1" ht="14.25" outlineLevel="1">
      <c r="A121" s="378" t="s">
        <v>40</v>
      </c>
      <c r="B121" s="381" t="s">
        <v>249</v>
      </c>
      <c r="C121" s="380">
        <f>C122*C123</f>
        <v>0</v>
      </c>
      <c r="D121" s="380">
        <f t="shared" ref="D121:N121" si="132">D122*D123</f>
        <v>0</v>
      </c>
      <c r="E121" s="380">
        <f t="shared" si="132"/>
        <v>0</v>
      </c>
      <c r="F121" s="380">
        <f t="shared" si="132"/>
        <v>0</v>
      </c>
      <c r="G121" s="380">
        <f t="shared" si="132"/>
        <v>0</v>
      </c>
      <c r="H121" s="380">
        <f t="shared" si="132"/>
        <v>0</v>
      </c>
      <c r="I121" s="380">
        <f t="shared" si="132"/>
        <v>0</v>
      </c>
      <c r="J121" s="380">
        <f t="shared" si="132"/>
        <v>0</v>
      </c>
      <c r="K121" s="380">
        <f t="shared" si="132"/>
        <v>0</v>
      </c>
      <c r="L121" s="380">
        <f t="shared" si="132"/>
        <v>0</v>
      </c>
      <c r="M121" s="380">
        <f t="shared" si="132"/>
        <v>0</v>
      </c>
      <c r="N121" s="380">
        <f t="shared" si="132"/>
        <v>0</v>
      </c>
      <c r="O121" s="352">
        <f>SUM(C121:N121)</f>
        <v>0</v>
      </c>
      <c r="P121" s="379">
        <f>P122*P123</f>
        <v>0</v>
      </c>
      <c r="Q121" s="380">
        <f t="shared" ref="Q121:AA121" si="133">Q122*Q123</f>
        <v>0</v>
      </c>
      <c r="R121" s="380">
        <f t="shared" si="133"/>
        <v>0</v>
      </c>
      <c r="S121" s="380">
        <f t="shared" si="133"/>
        <v>0</v>
      </c>
      <c r="T121" s="380">
        <f t="shared" si="133"/>
        <v>0</v>
      </c>
      <c r="U121" s="380">
        <f t="shared" si="133"/>
        <v>0</v>
      </c>
      <c r="V121" s="380">
        <f t="shared" si="133"/>
        <v>0</v>
      </c>
      <c r="W121" s="380">
        <f t="shared" si="133"/>
        <v>0</v>
      </c>
      <c r="X121" s="380">
        <f t="shared" si="133"/>
        <v>0</v>
      </c>
      <c r="Y121" s="380">
        <f t="shared" si="133"/>
        <v>0</v>
      </c>
      <c r="Z121" s="380">
        <f t="shared" si="133"/>
        <v>0</v>
      </c>
      <c r="AA121" s="380">
        <f t="shared" si="133"/>
        <v>0</v>
      </c>
      <c r="AB121" s="352">
        <f>SUM(P121:AA121)</f>
        <v>0</v>
      </c>
      <c r="AC121" s="379">
        <f>AC122*AC123</f>
        <v>0</v>
      </c>
      <c r="AD121" s="380">
        <f t="shared" ref="AD121:AN121" si="134">AD122*AD123</f>
        <v>0</v>
      </c>
      <c r="AE121" s="380">
        <f t="shared" si="134"/>
        <v>0</v>
      </c>
      <c r="AF121" s="380">
        <f t="shared" si="134"/>
        <v>0</v>
      </c>
      <c r="AG121" s="380">
        <f t="shared" si="134"/>
        <v>0</v>
      </c>
      <c r="AH121" s="380">
        <f t="shared" si="134"/>
        <v>0</v>
      </c>
      <c r="AI121" s="380">
        <f t="shared" si="134"/>
        <v>0</v>
      </c>
      <c r="AJ121" s="380">
        <f t="shared" si="134"/>
        <v>0</v>
      </c>
      <c r="AK121" s="380">
        <f t="shared" si="134"/>
        <v>0</v>
      </c>
      <c r="AL121" s="380">
        <f t="shared" si="134"/>
        <v>0</v>
      </c>
      <c r="AM121" s="380">
        <f t="shared" si="134"/>
        <v>0</v>
      </c>
      <c r="AN121" s="380">
        <f t="shared" si="134"/>
        <v>0</v>
      </c>
      <c r="AO121" s="354">
        <f>SUM(AC121:AN121)</f>
        <v>0</v>
      </c>
    </row>
    <row r="122" spans="1:41" ht="30" outlineLevel="1">
      <c r="A122" s="283" t="s">
        <v>350</v>
      </c>
      <c r="B122" s="363" t="s">
        <v>259</v>
      </c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59"/>
      <c r="P122" s="366"/>
      <c r="Q122" s="364"/>
      <c r="R122" s="364"/>
      <c r="S122" s="364"/>
      <c r="T122" s="364"/>
      <c r="U122" s="364"/>
      <c r="V122" s="364"/>
      <c r="W122" s="364"/>
      <c r="X122" s="364"/>
      <c r="Y122" s="364"/>
      <c r="Z122" s="364"/>
      <c r="AA122" s="364"/>
      <c r="AB122" s="359"/>
      <c r="AC122" s="366"/>
      <c r="AD122" s="364"/>
      <c r="AE122" s="364"/>
      <c r="AF122" s="364"/>
      <c r="AG122" s="364"/>
      <c r="AH122" s="364"/>
      <c r="AI122" s="364"/>
      <c r="AJ122" s="364"/>
      <c r="AK122" s="364"/>
      <c r="AL122" s="364"/>
      <c r="AM122" s="364"/>
      <c r="AN122" s="364"/>
      <c r="AO122" s="362"/>
    </row>
    <row r="123" spans="1:41" outlineLevel="1">
      <c r="A123" s="283" t="s">
        <v>351</v>
      </c>
      <c r="B123" s="367" t="s">
        <v>261</v>
      </c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59"/>
      <c r="P123" s="366"/>
      <c r="Q123" s="364"/>
      <c r="R123" s="364"/>
      <c r="S123" s="364"/>
      <c r="T123" s="364"/>
      <c r="U123" s="364"/>
      <c r="V123" s="364"/>
      <c r="W123" s="364"/>
      <c r="X123" s="364"/>
      <c r="Y123" s="364"/>
      <c r="Z123" s="364"/>
      <c r="AA123" s="364"/>
      <c r="AB123" s="359"/>
      <c r="AC123" s="366"/>
      <c r="AD123" s="364"/>
      <c r="AE123" s="364"/>
      <c r="AF123" s="364"/>
      <c r="AG123" s="364"/>
      <c r="AH123" s="364"/>
      <c r="AI123" s="364"/>
      <c r="AJ123" s="364"/>
      <c r="AK123" s="364"/>
      <c r="AL123" s="364"/>
      <c r="AM123" s="364"/>
      <c r="AN123" s="364"/>
      <c r="AO123" s="362"/>
    </row>
    <row r="124" spans="1:41" outlineLevel="1">
      <c r="A124" s="283" t="s">
        <v>352</v>
      </c>
      <c r="B124" s="363" t="s">
        <v>263</v>
      </c>
      <c r="C124" s="368">
        <f>C121/'Продукция и цена '!$C$8</f>
        <v>0</v>
      </c>
      <c r="D124" s="368">
        <f>D121/'Продукция и цена '!$C$8</f>
        <v>0</v>
      </c>
      <c r="E124" s="368">
        <f>E121/'Продукция и цена '!$C$8</f>
        <v>0</v>
      </c>
      <c r="F124" s="368">
        <f>F121/'Продукция и цена '!$C$8</f>
        <v>0</v>
      </c>
      <c r="G124" s="368">
        <f>G121/'Продукция и цена '!$C$8</f>
        <v>0</v>
      </c>
      <c r="H124" s="368">
        <f>H121/'Продукция и цена '!$C$8</f>
        <v>0</v>
      </c>
      <c r="I124" s="368">
        <f>I121/'Продукция и цена '!$C$8</f>
        <v>0</v>
      </c>
      <c r="J124" s="368">
        <f>J121/'Продукция и цена '!$C$8</f>
        <v>0</v>
      </c>
      <c r="K124" s="368">
        <f>K121/'Продукция и цена '!$C$8</f>
        <v>0</v>
      </c>
      <c r="L124" s="368">
        <f>L121/'Продукция и цена '!$C$8</f>
        <v>0</v>
      </c>
      <c r="M124" s="368">
        <f>M121/'Продукция и цена '!$C$8</f>
        <v>0</v>
      </c>
      <c r="N124" s="368">
        <f>N121/'Продукция и цена '!$C$8</f>
        <v>0</v>
      </c>
      <c r="O124" s="359">
        <f>SUM(C124:N124)/12</f>
        <v>0</v>
      </c>
      <c r="P124" s="370">
        <f>P121/'Продукция и цена '!$D$8</f>
        <v>0</v>
      </c>
      <c r="Q124" s="368">
        <f>Q121/'Продукция и цена '!$D$8</f>
        <v>0</v>
      </c>
      <c r="R124" s="368">
        <f>R121/'Продукция и цена '!$D$8</f>
        <v>0</v>
      </c>
      <c r="S124" s="368">
        <f>S121/'Продукция и цена '!$D$8</f>
        <v>0</v>
      </c>
      <c r="T124" s="368">
        <f>T121/'Продукция и цена '!$D$8</f>
        <v>0</v>
      </c>
      <c r="U124" s="368">
        <f>U121/'Продукция и цена '!$D$8</f>
        <v>0</v>
      </c>
      <c r="V124" s="368">
        <f>V121/'Продукция и цена '!$D$8</f>
        <v>0</v>
      </c>
      <c r="W124" s="368">
        <f>W121/'Продукция и цена '!$D$8</f>
        <v>0</v>
      </c>
      <c r="X124" s="368">
        <f>X121/'Продукция и цена '!$D$8</f>
        <v>0</v>
      </c>
      <c r="Y124" s="368">
        <f>Y121/'Продукция и цена '!$D$8</f>
        <v>0</v>
      </c>
      <c r="Z124" s="368">
        <f>Z121/'Продукция и цена '!$D$8</f>
        <v>0</v>
      </c>
      <c r="AA124" s="368">
        <f>AA121/'Продукция и цена '!$D$8</f>
        <v>0</v>
      </c>
      <c r="AB124" s="359">
        <f>SUM(P124:AA124)/12</f>
        <v>0</v>
      </c>
      <c r="AC124" s="370">
        <f>AC121/'Продукция и цена '!$E$8</f>
        <v>0</v>
      </c>
      <c r="AD124" s="368">
        <f>AD121/'Продукция и цена '!$E$8</f>
        <v>0</v>
      </c>
      <c r="AE124" s="368">
        <f>AE121/'Продукция и цена '!$E$8</f>
        <v>0</v>
      </c>
      <c r="AF124" s="368">
        <f>AF121/'Продукция и цена '!$E$8</f>
        <v>0</v>
      </c>
      <c r="AG124" s="368">
        <f>AG121/'Продукция и цена '!$E$8</f>
        <v>0</v>
      </c>
      <c r="AH124" s="368">
        <f>AH121/'Продукция и цена '!$E$8</f>
        <v>0</v>
      </c>
      <c r="AI124" s="368">
        <f>AI121/'Продукция и цена '!$E$8</f>
        <v>0</v>
      </c>
      <c r="AJ124" s="368">
        <f>AJ121/'Продукция и цена '!$E$8</f>
        <v>0</v>
      </c>
      <c r="AK124" s="368">
        <f>AK121/'Продукция и цена '!$E$8</f>
        <v>0</v>
      </c>
      <c r="AL124" s="368">
        <f>AL121/'Продукция и цена '!$E$8</f>
        <v>0</v>
      </c>
      <c r="AM124" s="368">
        <f>AM121/'Продукция и цена '!$E$8</f>
        <v>0</v>
      </c>
      <c r="AN124" s="368">
        <f>AN121/'Продукция и цена '!$E$8</f>
        <v>0</v>
      </c>
      <c r="AO124" s="362">
        <f>SUM(AC124:AN124)/12</f>
        <v>0</v>
      </c>
    </row>
    <row r="125" spans="1:41" outlineLevel="1">
      <c r="A125" s="371" t="s">
        <v>353</v>
      </c>
      <c r="B125" s="372" t="s">
        <v>265</v>
      </c>
      <c r="C125" s="373">
        <f>'Продукция и цена '!$C$8</f>
        <v>20000</v>
      </c>
      <c r="D125" s="373">
        <f>C125</f>
        <v>20000</v>
      </c>
      <c r="E125" s="373">
        <f t="shared" ref="E125:N125" si="135">D125</f>
        <v>20000</v>
      </c>
      <c r="F125" s="373">
        <f t="shared" si="135"/>
        <v>20000</v>
      </c>
      <c r="G125" s="373">
        <f t="shared" si="135"/>
        <v>20000</v>
      </c>
      <c r="H125" s="373">
        <f t="shared" si="135"/>
        <v>20000</v>
      </c>
      <c r="I125" s="373">
        <f t="shared" si="135"/>
        <v>20000</v>
      </c>
      <c r="J125" s="373">
        <f t="shared" si="135"/>
        <v>20000</v>
      </c>
      <c r="K125" s="373">
        <f t="shared" si="135"/>
        <v>20000</v>
      </c>
      <c r="L125" s="373">
        <f t="shared" si="135"/>
        <v>20000</v>
      </c>
      <c r="M125" s="373">
        <f t="shared" si="135"/>
        <v>20000</v>
      </c>
      <c r="N125" s="373">
        <f t="shared" si="135"/>
        <v>20000</v>
      </c>
      <c r="O125" s="374">
        <f>SUM(C125:N125)/12</f>
        <v>20000</v>
      </c>
      <c r="P125" s="376">
        <f>'Продукция и цена '!$D$8</f>
        <v>23000</v>
      </c>
      <c r="Q125" s="373">
        <f>P125</f>
        <v>23000</v>
      </c>
      <c r="R125" s="373">
        <f t="shared" ref="R125:AA125" si="136">Q125</f>
        <v>23000</v>
      </c>
      <c r="S125" s="373">
        <f t="shared" si="136"/>
        <v>23000</v>
      </c>
      <c r="T125" s="373">
        <f t="shared" si="136"/>
        <v>23000</v>
      </c>
      <c r="U125" s="373">
        <f t="shared" si="136"/>
        <v>23000</v>
      </c>
      <c r="V125" s="373">
        <f t="shared" si="136"/>
        <v>23000</v>
      </c>
      <c r="W125" s="373">
        <f t="shared" si="136"/>
        <v>23000</v>
      </c>
      <c r="X125" s="373">
        <f t="shared" si="136"/>
        <v>23000</v>
      </c>
      <c r="Y125" s="373">
        <f t="shared" si="136"/>
        <v>23000</v>
      </c>
      <c r="Z125" s="373">
        <f t="shared" si="136"/>
        <v>23000</v>
      </c>
      <c r="AA125" s="373">
        <f t="shared" si="136"/>
        <v>23000</v>
      </c>
      <c r="AB125" s="374">
        <f>SUM(P125:AA125)/12</f>
        <v>23000</v>
      </c>
      <c r="AC125" s="376">
        <f>'Продукция и цена '!$E$8</f>
        <v>26450</v>
      </c>
      <c r="AD125" s="373">
        <f>AC125</f>
        <v>26450</v>
      </c>
      <c r="AE125" s="373">
        <f t="shared" ref="AE125:AN125" si="137">AD125</f>
        <v>26450</v>
      </c>
      <c r="AF125" s="373">
        <f t="shared" si="137"/>
        <v>26450</v>
      </c>
      <c r="AG125" s="373">
        <f t="shared" si="137"/>
        <v>26450</v>
      </c>
      <c r="AH125" s="373">
        <f t="shared" si="137"/>
        <v>26450</v>
      </c>
      <c r="AI125" s="373">
        <f t="shared" si="137"/>
        <v>26450</v>
      </c>
      <c r="AJ125" s="373">
        <f t="shared" si="137"/>
        <v>26450</v>
      </c>
      <c r="AK125" s="373">
        <f t="shared" si="137"/>
        <v>26450</v>
      </c>
      <c r="AL125" s="373">
        <f t="shared" si="137"/>
        <v>26450</v>
      </c>
      <c r="AM125" s="373">
        <f t="shared" si="137"/>
        <v>26450</v>
      </c>
      <c r="AN125" s="373">
        <f t="shared" si="137"/>
        <v>26450</v>
      </c>
      <c r="AO125" s="377">
        <f>SUM(AC125:AN125)/12</f>
        <v>26450</v>
      </c>
    </row>
    <row r="126" spans="1:41" s="346" customFormat="1" ht="14.25" outlineLevel="1">
      <c r="A126" s="378" t="s">
        <v>192</v>
      </c>
      <c r="B126" s="381" t="s">
        <v>250</v>
      </c>
      <c r="C126" s="380">
        <f>C127*C128</f>
        <v>0</v>
      </c>
      <c r="D126" s="380">
        <f t="shared" ref="D126:N126" si="138">D127*D128</f>
        <v>0</v>
      </c>
      <c r="E126" s="380">
        <f t="shared" si="138"/>
        <v>0</v>
      </c>
      <c r="F126" s="380">
        <f t="shared" si="138"/>
        <v>0</v>
      </c>
      <c r="G126" s="380">
        <f t="shared" si="138"/>
        <v>0</v>
      </c>
      <c r="H126" s="380">
        <f t="shared" si="138"/>
        <v>0</v>
      </c>
      <c r="I126" s="380">
        <f t="shared" si="138"/>
        <v>0</v>
      </c>
      <c r="J126" s="380">
        <f t="shared" si="138"/>
        <v>0</v>
      </c>
      <c r="K126" s="380">
        <f t="shared" si="138"/>
        <v>0</v>
      </c>
      <c r="L126" s="380">
        <f t="shared" si="138"/>
        <v>0</v>
      </c>
      <c r="M126" s="380">
        <f t="shared" si="138"/>
        <v>0</v>
      </c>
      <c r="N126" s="380">
        <f t="shared" si="138"/>
        <v>0</v>
      </c>
      <c r="O126" s="352">
        <f>SUM(C126:N126)</f>
        <v>0</v>
      </c>
      <c r="P126" s="379">
        <f>P127*P128</f>
        <v>0</v>
      </c>
      <c r="Q126" s="380">
        <f t="shared" ref="Q126:AA126" si="139">Q127*Q128</f>
        <v>0</v>
      </c>
      <c r="R126" s="380">
        <f t="shared" si="139"/>
        <v>0</v>
      </c>
      <c r="S126" s="380">
        <f t="shared" si="139"/>
        <v>0</v>
      </c>
      <c r="T126" s="380">
        <f t="shared" si="139"/>
        <v>0</v>
      </c>
      <c r="U126" s="380">
        <f t="shared" si="139"/>
        <v>0</v>
      </c>
      <c r="V126" s="380">
        <f t="shared" si="139"/>
        <v>0</v>
      </c>
      <c r="W126" s="380">
        <f t="shared" si="139"/>
        <v>0</v>
      </c>
      <c r="X126" s="380">
        <f t="shared" si="139"/>
        <v>0</v>
      </c>
      <c r="Y126" s="380">
        <f t="shared" si="139"/>
        <v>0</v>
      </c>
      <c r="Z126" s="380">
        <f t="shared" si="139"/>
        <v>0</v>
      </c>
      <c r="AA126" s="380">
        <f t="shared" si="139"/>
        <v>0</v>
      </c>
      <c r="AB126" s="352">
        <f>SUM(P126:AA126)</f>
        <v>0</v>
      </c>
      <c r="AC126" s="379">
        <f>AC127*AC128</f>
        <v>0</v>
      </c>
      <c r="AD126" s="380">
        <f t="shared" ref="AD126:AN126" si="140">AD127*AD128</f>
        <v>0</v>
      </c>
      <c r="AE126" s="380">
        <f t="shared" si="140"/>
        <v>0</v>
      </c>
      <c r="AF126" s="380">
        <f t="shared" si="140"/>
        <v>0</v>
      </c>
      <c r="AG126" s="380">
        <f t="shared" si="140"/>
        <v>0</v>
      </c>
      <c r="AH126" s="380">
        <f t="shared" si="140"/>
        <v>0</v>
      </c>
      <c r="AI126" s="380">
        <f t="shared" si="140"/>
        <v>0</v>
      </c>
      <c r="AJ126" s="380">
        <f t="shared" si="140"/>
        <v>0</v>
      </c>
      <c r="AK126" s="380">
        <f t="shared" si="140"/>
        <v>0</v>
      </c>
      <c r="AL126" s="380">
        <f t="shared" si="140"/>
        <v>0</v>
      </c>
      <c r="AM126" s="380">
        <f t="shared" si="140"/>
        <v>0</v>
      </c>
      <c r="AN126" s="380">
        <f t="shared" si="140"/>
        <v>0</v>
      </c>
      <c r="AO126" s="354">
        <f>SUM(AC126:AN126)</f>
        <v>0</v>
      </c>
    </row>
    <row r="127" spans="1:41" ht="30" outlineLevel="1">
      <c r="A127" s="283" t="s">
        <v>354</v>
      </c>
      <c r="B127" s="363" t="s">
        <v>259</v>
      </c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59"/>
      <c r="P127" s="366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64"/>
      <c r="AB127" s="359"/>
      <c r="AC127" s="366"/>
      <c r="AD127" s="364"/>
      <c r="AE127" s="364"/>
      <c r="AF127" s="364"/>
      <c r="AG127" s="364"/>
      <c r="AH127" s="364"/>
      <c r="AI127" s="364"/>
      <c r="AJ127" s="364"/>
      <c r="AK127" s="364"/>
      <c r="AL127" s="364"/>
      <c r="AM127" s="364"/>
      <c r="AN127" s="364"/>
      <c r="AO127" s="362"/>
    </row>
    <row r="128" spans="1:41" outlineLevel="1">
      <c r="A128" s="283" t="s">
        <v>355</v>
      </c>
      <c r="B128" s="367" t="s">
        <v>261</v>
      </c>
      <c r="C128" s="364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59"/>
      <c r="P128" s="366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  <c r="AA128" s="364"/>
      <c r="AB128" s="359"/>
      <c r="AC128" s="366"/>
      <c r="AD128" s="364"/>
      <c r="AE128" s="364"/>
      <c r="AF128" s="364"/>
      <c r="AG128" s="364"/>
      <c r="AH128" s="364"/>
      <c r="AI128" s="364"/>
      <c r="AJ128" s="364"/>
      <c r="AK128" s="364"/>
      <c r="AL128" s="364"/>
      <c r="AM128" s="364"/>
      <c r="AN128" s="364"/>
      <c r="AO128" s="362"/>
    </row>
    <row r="129" spans="1:41" outlineLevel="1">
      <c r="A129" s="283" t="s">
        <v>356</v>
      </c>
      <c r="B129" s="363" t="s">
        <v>263</v>
      </c>
      <c r="C129" s="368">
        <f>C126/'Продукция и цена '!$C$8</f>
        <v>0</v>
      </c>
      <c r="D129" s="368">
        <f>D126/'Продукция и цена '!$C$8</f>
        <v>0</v>
      </c>
      <c r="E129" s="368">
        <f>E126/'Продукция и цена '!$C$8</f>
        <v>0</v>
      </c>
      <c r="F129" s="368">
        <f>F126/'Продукция и цена '!$C$8</f>
        <v>0</v>
      </c>
      <c r="G129" s="368">
        <f>G126/'Продукция и цена '!$C$8</f>
        <v>0</v>
      </c>
      <c r="H129" s="368">
        <f>H126/'Продукция и цена '!$C$8</f>
        <v>0</v>
      </c>
      <c r="I129" s="368">
        <f>I126/'Продукция и цена '!$C$8</f>
        <v>0</v>
      </c>
      <c r="J129" s="368">
        <f>J126/'Продукция и цена '!$C$8</f>
        <v>0</v>
      </c>
      <c r="K129" s="368">
        <f>K126/'Продукция и цена '!$C$8</f>
        <v>0</v>
      </c>
      <c r="L129" s="368">
        <f>L126/'Продукция и цена '!$C$8</f>
        <v>0</v>
      </c>
      <c r="M129" s="368">
        <f>M126/'Продукция и цена '!$C$8</f>
        <v>0</v>
      </c>
      <c r="N129" s="368">
        <f>N126/'Продукция и цена '!$C$8</f>
        <v>0</v>
      </c>
      <c r="O129" s="359">
        <f>SUM(C129:N129)/12</f>
        <v>0</v>
      </c>
      <c r="P129" s="370">
        <f>P126/'Продукция и цена '!$D$8</f>
        <v>0</v>
      </c>
      <c r="Q129" s="368">
        <f>Q126/'Продукция и цена '!$D$8</f>
        <v>0</v>
      </c>
      <c r="R129" s="368">
        <f>R126/'Продукция и цена '!$D$8</f>
        <v>0</v>
      </c>
      <c r="S129" s="368">
        <f>S126/'Продукция и цена '!$D$8</f>
        <v>0</v>
      </c>
      <c r="T129" s="368">
        <f>T126/'Продукция и цена '!$D$8</f>
        <v>0</v>
      </c>
      <c r="U129" s="368">
        <f>U126/'Продукция и цена '!$D$8</f>
        <v>0</v>
      </c>
      <c r="V129" s="368">
        <f>V126/'Продукция и цена '!$D$8</f>
        <v>0</v>
      </c>
      <c r="W129" s="368">
        <f>W126/'Продукция и цена '!$D$8</f>
        <v>0</v>
      </c>
      <c r="X129" s="368">
        <f>X126/'Продукция и цена '!$D$8</f>
        <v>0</v>
      </c>
      <c r="Y129" s="368">
        <f>Y126/'Продукция и цена '!$D$8</f>
        <v>0</v>
      </c>
      <c r="Z129" s="368">
        <f>Z126/'Продукция и цена '!$D$8</f>
        <v>0</v>
      </c>
      <c r="AA129" s="368">
        <f>AA126/'Продукция и цена '!$D$8</f>
        <v>0</v>
      </c>
      <c r="AB129" s="359">
        <f>SUM(P129:AA129)/12</f>
        <v>0</v>
      </c>
      <c r="AC129" s="370">
        <f>AC126/'Продукция и цена '!$E$8</f>
        <v>0</v>
      </c>
      <c r="AD129" s="368">
        <f>AD126/'Продукция и цена '!$E$8</f>
        <v>0</v>
      </c>
      <c r="AE129" s="368">
        <f>AE126/'Продукция и цена '!$E$8</f>
        <v>0</v>
      </c>
      <c r="AF129" s="368">
        <f>AF126/'Продукция и цена '!$E$8</f>
        <v>0</v>
      </c>
      <c r="AG129" s="368">
        <f>AG126/'Продукция и цена '!$E$8</f>
        <v>0</v>
      </c>
      <c r="AH129" s="368">
        <f>AH126/'Продукция и цена '!$E$8</f>
        <v>0</v>
      </c>
      <c r="AI129" s="368">
        <f>AI126/'Продукция и цена '!$E$8</f>
        <v>0</v>
      </c>
      <c r="AJ129" s="368">
        <f>AJ126/'Продукция и цена '!$E$8</f>
        <v>0</v>
      </c>
      <c r="AK129" s="368">
        <f>AK126/'Продукция и цена '!$E$8</f>
        <v>0</v>
      </c>
      <c r="AL129" s="368">
        <f>AL126/'Продукция и цена '!$E$8</f>
        <v>0</v>
      </c>
      <c r="AM129" s="368">
        <f>AM126/'Продукция и цена '!$E$8</f>
        <v>0</v>
      </c>
      <c r="AN129" s="368">
        <f>AN126/'Продукция и цена '!$E$8</f>
        <v>0</v>
      </c>
      <c r="AO129" s="362">
        <f>SUM(AC129:AN129)/12</f>
        <v>0</v>
      </c>
    </row>
    <row r="130" spans="1:41" outlineLevel="1">
      <c r="A130" s="371" t="s">
        <v>357</v>
      </c>
      <c r="B130" s="372" t="s">
        <v>265</v>
      </c>
      <c r="C130" s="373">
        <f>'Продукция и цена '!$C$8</f>
        <v>20000</v>
      </c>
      <c r="D130" s="373">
        <f>C130</f>
        <v>20000</v>
      </c>
      <c r="E130" s="373">
        <f t="shared" ref="E130:N130" si="141">D130</f>
        <v>20000</v>
      </c>
      <c r="F130" s="373">
        <f t="shared" si="141"/>
        <v>20000</v>
      </c>
      <c r="G130" s="373">
        <f t="shared" si="141"/>
        <v>20000</v>
      </c>
      <c r="H130" s="373">
        <f t="shared" si="141"/>
        <v>20000</v>
      </c>
      <c r="I130" s="373">
        <f t="shared" si="141"/>
        <v>20000</v>
      </c>
      <c r="J130" s="373">
        <f t="shared" si="141"/>
        <v>20000</v>
      </c>
      <c r="K130" s="373">
        <f t="shared" si="141"/>
        <v>20000</v>
      </c>
      <c r="L130" s="373">
        <f t="shared" si="141"/>
        <v>20000</v>
      </c>
      <c r="M130" s="373">
        <f t="shared" si="141"/>
        <v>20000</v>
      </c>
      <c r="N130" s="373">
        <f t="shared" si="141"/>
        <v>20000</v>
      </c>
      <c r="O130" s="374">
        <f>SUM(C130:N130)/12</f>
        <v>20000</v>
      </c>
      <c r="P130" s="376">
        <f>'Продукция и цена '!$D$8</f>
        <v>23000</v>
      </c>
      <c r="Q130" s="373">
        <f>P130</f>
        <v>23000</v>
      </c>
      <c r="R130" s="373">
        <f t="shared" ref="R130:AA130" si="142">Q130</f>
        <v>23000</v>
      </c>
      <c r="S130" s="373">
        <f t="shared" si="142"/>
        <v>23000</v>
      </c>
      <c r="T130" s="373">
        <f t="shared" si="142"/>
        <v>23000</v>
      </c>
      <c r="U130" s="373">
        <f t="shared" si="142"/>
        <v>23000</v>
      </c>
      <c r="V130" s="373">
        <f t="shared" si="142"/>
        <v>23000</v>
      </c>
      <c r="W130" s="373">
        <f t="shared" si="142"/>
        <v>23000</v>
      </c>
      <c r="X130" s="373">
        <f t="shared" si="142"/>
        <v>23000</v>
      </c>
      <c r="Y130" s="373">
        <f t="shared" si="142"/>
        <v>23000</v>
      </c>
      <c r="Z130" s="373">
        <f t="shared" si="142"/>
        <v>23000</v>
      </c>
      <c r="AA130" s="373">
        <f t="shared" si="142"/>
        <v>23000</v>
      </c>
      <c r="AB130" s="374">
        <f>SUM(P130:AA130)/12</f>
        <v>23000</v>
      </c>
      <c r="AC130" s="376">
        <f>'Продукция и цена '!$E$8</f>
        <v>26450</v>
      </c>
      <c r="AD130" s="373">
        <f>AC130</f>
        <v>26450</v>
      </c>
      <c r="AE130" s="373">
        <f t="shared" ref="AE130:AN130" si="143">AD130</f>
        <v>26450</v>
      </c>
      <c r="AF130" s="373">
        <f t="shared" si="143"/>
        <v>26450</v>
      </c>
      <c r="AG130" s="373">
        <f t="shared" si="143"/>
        <v>26450</v>
      </c>
      <c r="AH130" s="373">
        <f t="shared" si="143"/>
        <v>26450</v>
      </c>
      <c r="AI130" s="373">
        <f t="shared" si="143"/>
        <v>26450</v>
      </c>
      <c r="AJ130" s="373">
        <f t="shared" si="143"/>
        <v>26450</v>
      </c>
      <c r="AK130" s="373">
        <f t="shared" si="143"/>
        <v>26450</v>
      </c>
      <c r="AL130" s="373">
        <f t="shared" si="143"/>
        <v>26450</v>
      </c>
      <c r="AM130" s="373">
        <f t="shared" si="143"/>
        <v>26450</v>
      </c>
      <c r="AN130" s="373">
        <f t="shared" si="143"/>
        <v>26450</v>
      </c>
      <c r="AO130" s="377">
        <f>SUM(AC130:AN130)/12</f>
        <v>26450</v>
      </c>
    </row>
    <row r="131" spans="1:41" s="346" customFormat="1" ht="14.25" outlineLevel="1">
      <c r="A131" s="378" t="s">
        <v>193</v>
      </c>
      <c r="B131" s="381" t="s">
        <v>251</v>
      </c>
      <c r="C131" s="380">
        <f>C132*C133</f>
        <v>0</v>
      </c>
      <c r="D131" s="380">
        <f t="shared" ref="D131:N131" si="144">D132*D133</f>
        <v>0</v>
      </c>
      <c r="E131" s="380">
        <f t="shared" si="144"/>
        <v>0</v>
      </c>
      <c r="F131" s="380">
        <f t="shared" si="144"/>
        <v>0</v>
      </c>
      <c r="G131" s="380">
        <f t="shared" si="144"/>
        <v>0</v>
      </c>
      <c r="H131" s="380">
        <f t="shared" si="144"/>
        <v>0</v>
      </c>
      <c r="I131" s="380">
        <f t="shared" si="144"/>
        <v>0</v>
      </c>
      <c r="J131" s="380">
        <f t="shared" si="144"/>
        <v>0</v>
      </c>
      <c r="K131" s="380">
        <f t="shared" si="144"/>
        <v>0</v>
      </c>
      <c r="L131" s="380">
        <f t="shared" si="144"/>
        <v>0</v>
      </c>
      <c r="M131" s="380">
        <f t="shared" si="144"/>
        <v>0</v>
      </c>
      <c r="N131" s="380">
        <f t="shared" si="144"/>
        <v>0</v>
      </c>
      <c r="O131" s="352">
        <f>SUM(C131:N131)</f>
        <v>0</v>
      </c>
      <c r="P131" s="379">
        <f>P132*P133</f>
        <v>0</v>
      </c>
      <c r="Q131" s="380">
        <f t="shared" ref="Q131:AA131" si="145">Q132*Q133</f>
        <v>0</v>
      </c>
      <c r="R131" s="380">
        <f t="shared" si="145"/>
        <v>0</v>
      </c>
      <c r="S131" s="380">
        <f t="shared" si="145"/>
        <v>0</v>
      </c>
      <c r="T131" s="380">
        <f t="shared" si="145"/>
        <v>0</v>
      </c>
      <c r="U131" s="380">
        <f t="shared" si="145"/>
        <v>0</v>
      </c>
      <c r="V131" s="380">
        <f t="shared" si="145"/>
        <v>0</v>
      </c>
      <c r="W131" s="380">
        <f t="shared" si="145"/>
        <v>0</v>
      </c>
      <c r="X131" s="380">
        <f t="shared" si="145"/>
        <v>0</v>
      </c>
      <c r="Y131" s="380">
        <f t="shared" si="145"/>
        <v>0</v>
      </c>
      <c r="Z131" s="380">
        <f t="shared" si="145"/>
        <v>0</v>
      </c>
      <c r="AA131" s="380">
        <f t="shared" si="145"/>
        <v>0</v>
      </c>
      <c r="AB131" s="352">
        <f>SUM(P131:AA131)</f>
        <v>0</v>
      </c>
      <c r="AC131" s="379">
        <f>AC132*AC133</f>
        <v>0</v>
      </c>
      <c r="AD131" s="380">
        <f t="shared" ref="AD131:AN131" si="146">AD132*AD133</f>
        <v>0</v>
      </c>
      <c r="AE131" s="380">
        <f t="shared" si="146"/>
        <v>0</v>
      </c>
      <c r="AF131" s="380">
        <f t="shared" si="146"/>
        <v>0</v>
      </c>
      <c r="AG131" s="380">
        <f t="shared" si="146"/>
        <v>0</v>
      </c>
      <c r="AH131" s="380">
        <f t="shared" si="146"/>
        <v>0</v>
      </c>
      <c r="AI131" s="380">
        <f t="shared" si="146"/>
        <v>0</v>
      </c>
      <c r="AJ131" s="380">
        <f t="shared" si="146"/>
        <v>0</v>
      </c>
      <c r="AK131" s="380">
        <f t="shared" si="146"/>
        <v>0</v>
      </c>
      <c r="AL131" s="380">
        <f t="shared" si="146"/>
        <v>0</v>
      </c>
      <c r="AM131" s="380">
        <f t="shared" si="146"/>
        <v>0</v>
      </c>
      <c r="AN131" s="380">
        <f t="shared" si="146"/>
        <v>0</v>
      </c>
      <c r="AO131" s="354">
        <f>SUM(AC131:AN131)</f>
        <v>0</v>
      </c>
    </row>
    <row r="132" spans="1:41" ht="30" outlineLevel="1">
      <c r="A132" s="283" t="s">
        <v>358</v>
      </c>
      <c r="B132" s="363" t="s">
        <v>259</v>
      </c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59"/>
      <c r="P132" s="366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  <c r="AA132" s="364"/>
      <c r="AB132" s="359"/>
      <c r="AC132" s="366"/>
      <c r="AD132" s="364"/>
      <c r="AE132" s="364"/>
      <c r="AF132" s="364"/>
      <c r="AG132" s="364"/>
      <c r="AH132" s="364"/>
      <c r="AI132" s="364"/>
      <c r="AJ132" s="364"/>
      <c r="AK132" s="364"/>
      <c r="AL132" s="364"/>
      <c r="AM132" s="364"/>
      <c r="AN132" s="364"/>
      <c r="AO132" s="362"/>
    </row>
    <row r="133" spans="1:41" outlineLevel="1">
      <c r="A133" s="283" t="s">
        <v>359</v>
      </c>
      <c r="B133" s="367" t="s">
        <v>261</v>
      </c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59"/>
      <c r="P133" s="366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  <c r="AA133" s="364"/>
      <c r="AB133" s="359"/>
      <c r="AC133" s="366"/>
      <c r="AD133" s="364"/>
      <c r="AE133" s="364"/>
      <c r="AF133" s="364"/>
      <c r="AG133" s="364"/>
      <c r="AH133" s="364"/>
      <c r="AI133" s="364"/>
      <c r="AJ133" s="364"/>
      <c r="AK133" s="364"/>
      <c r="AL133" s="364"/>
      <c r="AM133" s="364"/>
      <c r="AN133" s="364"/>
      <c r="AO133" s="362"/>
    </row>
    <row r="134" spans="1:41" outlineLevel="1">
      <c r="A134" s="283" t="s">
        <v>360</v>
      </c>
      <c r="B134" s="363" t="s">
        <v>263</v>
      </c>
      <c r="C134" s="368">
        <f>C131/'Продукция и цена '!$C$8</f>
        <v>0</v>
      </c>
      <c r="D134" s="368">
        <f>D131/'Продукция и цена '!$C$8</f>
        <v>0</v>
      </c>
      <c r="E134" s="368">
        <f>E131/'Продукция и цена '!$C$8</f>
        <v>0</v>
      </c>
      <c r="F134" s="368">
        <f>F131/'Продукция и цена '!$C$8</f>
        <v>0</v>
      </c>
      <c r="G134" s="368">
        <f>G131/'Продукция и цена '!$C$8</f>
        <v>0</v>
      </c>
      <c r="H134" s="368">
        <f>H131/'Продукция и цена '!$C$8</f>
        <v>0</v>
      </c>
      <c r="I134" s="368">
        <f>I131/'Продукция и цена '!$C$8</f>
        <v>0</v>
      </c>
      <c r="J134" s="368">
        <f>J131/'Продукция и цена '!$C$8</f>
        <v>0</v>
      </c>
      <c r="K134" s="368">
        <f>K131/'Продукция и цена '!$C$8</f>
        <v>0</v>
      </c>
      <c r="L134" s="368">
        <f>L131/'Продукция и цена '!$C$8</f>
        <v>0</v>
      </c>
      <c r="M134" s="368">
        <f>M131/'Продукция и цена '!$C$8</f>
        <v>0</v>
      </c>
      <c r="N134" s="368">
        <f>N131/'Продукция и цена '!$C$8</f>
        <v>0</v>
      </c>
      <c r="O134" s="359">
        <f>SUM(C134:N134)/12</f>
        <v>0</v>
      </c>
      <c r="P134" s="370">
        <f>P131/'Продукция и цена '!$D$8</f>
        <v>0</v>
      </c>
      <c r="Q134" s="368">
        <f>Q131/'Продукция и цена '!$D$8</f>
        <v>0</v>
      </c>
      <c r="R134" s="368">
        <f>R131/'Продукция и цена '!$D$8</f>
        <v>0</v>
      </c>
      <c r="S134" s="368">
        <f>S131/'Продукция и цена '!$D$8</f>
        <v>0</v>
      </c>
      <c r="T134" s="368">
        <f>T131/'Продукция и цена '!$D$8</f>
        <v>0</v>
      </c>
      <c r="U134" s="368">
        <f>U131/'Продукция и цена '!$D$8</f>
        <v>0</v>
      </c>
      <c r="V134" s="368">
        <f>V131/'Продукция и цена '!$D$8</f>
        <v>0</v>
      </c>
      <c r="W134" s="368">
        <f>W131/'Продукция и цена '!$D$8</f>
        <v>0</v>
      </c>
      <c r="X134" s="368">
        <f>X131/'Продукция и цена '!$D$8</f>
        <v>0</v>
      </c>
      <c r="Y134" s="368">
        <f>Y131/'Продукция и цена '!$D$8</f>
        <v>0</v>
      </c>
      <c r="Z134" s="368">
        <f>Z131/'Продукция и цена '!$D$8</f>
        <v>0</v>
      </c>
      <c r="AA134" s="368">
        <f>AA131/'Продукция и цена '!$D$8</f>
        <v>0</v>
      </c>
      <c r="AB134" s="359">
        <f>SUM(P134:AA134)/12</f>
        <v>0</v>
      </c>
      <c r="AC134" s="370">
        <f>AC131/'Продукция и цена '!$E$8</f>
        <v>0</v>
      </c>
      <c r="AD134" s="368">
        <f>AD131/'Продукция и цена '!$E$8</f>
        <v>0</v>
      </c>
      <c r="AE134" s="368">
        <f>AE131/'Продукция и цена '!$E$8</f>
        <v>0</v>
      </c>
      <c r="AF134" s="368">
        <f>AF131/'Продукция и цена '!$E$8</f>
        <v>0</v>
      </c>
      <c r="AG134" s="368">
        <f>AG131/'Продукция и цена '!$E$8</f>
        <v>0</v>
      </c>
      <c r="AH134" s="368">
        <f>AH131/'Продукция и цена '!$E$8</f>
        <v>0</v>
      </c>
      <c r="AI134" s="368">
        <f>AI131/'Продукция и цена '!$E$8</f>
        <v>0</v>
      </c>
      <c r="AJ134" s="368">
        <f>AJ131/'Продукция и цена '!$E$8</f>
        <v>0</v>
      </c>
      <c r="AK134" s="368">
        <f>AK131/'Продукция и цена '!$E$8</f>
        <v>0</v>
      </c>
      <c r="AL134" s="368">
        <f>AL131/'Продукция и цена '!$E$8</f>
        <v>0</v>
      </c>
      <c r="AM134" s="368">
        <f>AM131/'Продукция и цена '!$E$8</f>
        <v>0</v>
      </c>
      <c r="AN134" s="368">
        <f>AN131/'Продукция и цена '!$E$8</f>
        <v>0</v>
      </c>
      <c r="AO134" s="362">
        <f>SUM(AC134:AN134)/12</f>
        <v>0</v>
      </c>
    </row>
    <row r="135" spans="1:41" outlineLevel="1">
      <c r="A135" s="371" t="s">
        <v>361</v>
      </c>
      <c r="B135" s="372" t="s">
        <v>265</v>
      </c>
      <c r="C135" s="373">
        <f>'Продукция и цена '!$C$8</f>
        <v>20000</v>
      </c>
      <c r="D135" s="373">
        <f>C135</f>
        <v>20000</v>
      </c>
      <c r="E135" s="373">
        <f t="shared" ref="E135:N135" si="147">D135</f>
        <v>20000</v>
      </c>
      <c r="F135" s="373">
        <f t="shared" si="147"/>
        <v>20000</v>
      </c>
      <c r="G135" s="373">
        <f t="shared" si="147"/>
        <v>20000</v>
      </c>
      <c r="H135" s="373">
        <f t="shared" si="147"/>
        <v>20000</v>
      </c>
      <c r="I135" s="373">
        <f t="shared" si="147"/>
        <v>20000</v>
      </c>
      <c r="J135" s="373">
        <f t="shared" si="147"/>
        <v>20000</v>
      </c>
      <c r="K135" s="373">
        <f t="shared" si="147"/>
        <v>20000</v>
      </c>
      <c r="L135" s="373">
        <f t="shared" si="147"/>
        <v>20000</v>
      </c>
      <c r="M135" s="373">
        <f t="shared" si="147"/>
        <v>20000</v>
      </c>
      <c r="N135" s="373">
        <f t="shared" si="147"/>
        <v>20000</v>
      </c>
      <c r="O135" s="374">
        <f>SUM(C135:N135)/12</f>
        <v>20000</v>
      </c>
      <c r="P135" s="376">
        <f>'Продукция и цена '!$D$8</f>
        <v>23000</v>
      </c>
      <c r="Q135" s="373">
        <f>P135</f>
        <v>23000</v>
      </c>
      <c r="R135" s="373">
        <f t="shared" ref="R135:AA135" si="148">Q135</f>
        <v>23000</v>
      </c>
      <c r="S135" s="373">
        <f t="shared" si="148"/>
        <v>23000</v>
      </c>
      <c r="T135" s="373">
        <f t="shared" si="148"/>
        <v>23000</v>
      </c>
      <c r="U135" s="373">
        <f t="shared" si="148"/>
        <v>23000</v>
      </c>
      <c r="V135" s="373">
        <f t="shared" si="148"/>
        <v>23000</v>
      </c>
      <c r="W135" s="373">
        <f t="shared" si="148"/>
        <v>23000</v>
      </c>
      <c r="X135" s="373">
        <f t="shared" si="148"/>
        <v>23000</v>
      </c>
      <c r="Y135" s="373">
        <f t="shared" si="148"/>
        <v>23000</v>
      </c>
      <c r="Z135" s="373">
        <f t="shared" si="148"/>
        <v>23000</v>
      </c>
      <c r="AA135" s="373">
        <f t="shared" si="148"/>
        <v>23000</v>
      </c>
      <c r="AB135" s="374">
        <f>SUM(P135:AA135)/12</f>
        <v>23000</v>
      </c>
      <c r="AC135" s="376">
        <f>'Продукция и цена '!$E$8</f>
        <v>26450</v>
      </c>
      <c r="AD135" s="373">
        <f>AC135</f>
        <v>26450</v>
      </c>
      <c r="AE135" s="373">
        <f t="shared" ref="AE135:AN135" si="149">AD135</f>
        <v>26450</v>
      </c>
      <c r="AF135" s="373">
        <f t="shared" si="149"/>
        <v>26450</v>
      </c>
      <c r="AG135" s="373">
        <f t="shared" si="149"/>
        <v>26450</v>
      </c>
      <c r="AH135" s="373">
        <f t="shared" si="149"/>
        <v>26450</v>
      </c>
      <c r="AI135" s="373">
        <f t="shared" si="149"/>
        <v>26450</v>
      </c>
      <c r="AJ135" s="373">
        <f t="shared" si="149"/>
        <v>26450</v>
      </c>
      <c r="AK135" s="373">
        <f t="shared" si="149"/>
        <v>26450</v>
      </c>
      <c r="AL135" s="373">
        <f t="shared" si="149"/>
        <v>26450</v>
      </c>
      <c r="AM135" s="373">
        <f t="shared" si="149"/>
        <v>26450</v>
      </c>
      <c r="AN135" s="373">
        <f t="shared" si="149"/>
        <v>26450</v>
      </c>
      <c r="AO135" s="377">
        <f>SUM(AC135:AN135)/12</f>
        <v>26450</v>
      </c>
    </row>
    <row r="136" spans="1:41" s="346" customFormat="1" ht="14.25">
      <c r="A136" s="349">
        <v>6</v>
      </c>
      <c r="B136" s="350">
        <f>'Продукция и цена '!A9</f>
        <v>0</v>
      </c>
      <c r="C136" s="351">
        <f>(C137+C142+C147+C152+C157)*Продажи!B10</f>
        <v>0</v>
      </c>
      <c r="D136" s="351">
        <f>(D137+D142+D147+D152+D157)*Продажи!C10</f>
        <v>0</v>
      </c>
      <c r="E136" s="351">
        <f>(E137+E142+E147+E152+E157)*Продажи!D10</f>
        <v>0</v>
      </c>
      <c r="F136" s="351">
        <f>(F137+F142+F147+F152+F157)*Продажи!E10</f>
        <v>0</v>
      </c>
      <c r="G136" s="351">
        <f>(G137+G142+G147+G152+G157)*Продажи!F10</f>
        <v>0</v>
      </c>
      <c r="H136" s="351">
        <f>(H137+H142+H147+H152+H157)*Продажи!G10</f>
        <v>0</v>
      </c>
      <c r="I136" s="351">
        <f>(I137+I142+I147+I152+I157)*Продажи!H10</f>
        <v>0</v>
      </c>
      <c r="J136" s="351">
        <f>(J137+J142+J147+J152+J157)*Продажи!I10</f>
        <v>0</v>
      </c>
      <c r="K136" s="351">
        <f>(K137+K142+K147+K152+K157)*Продажи!J10</f>
        <v>0</v>
      </c>
      <c r="L136" s="351">
        <f>(L137+L142+L147+L152+L157)*Продажи!K10</f>
        <v>0</v>
      </c>
      <c r="M136" s="351">
        <f>(M137+M142+M147+M152+M157)*Продажи!L10</f>
        <v>0</v>
      </c>
      <c r="N136" s="351">
        <f>(N137+N142+N147+N152+N157)*Продажи!M10</f>
        <v>0</v>
      </c>
      <c r="O136" s="352">
        <f>SUM(C136:N136)</f>
        <v>0</v>
      </c>
      <c r="P136" s="353">
        <f>(P137+P142+P147+P152+P157)*Продажи!O10</f>
        <v>0</v>
      </c>
      <c r="Q136" s="351">
        <f>(Q137+Q142+Q147+Q152+Q157)*Продажи!P10</f>
        <v>0</v>
      </c>
      <c r="R136" s="351">
        <f>(R137+R142+R147+R152+R157)*Продажи!Q10</f>
        <v>0</v>
      </c>
      <c r="S136" s="351">
        <f>(S137+S142+S147+S152+S157)*Продажи!R10</f>
        <v>0</v>
      </c>
      <c r="T136" s="351">
        <f>(T137+T142+T147+T152+T157)*Продажи!S10</f>
        <v>0</v>
      </c>
      <c r="U136" s="351">
        <f>(U137+U142+U147+U152+U157)*Продажи!T10</f>
        <v>0</v>
      </c>
      <c r="V136" s="351">
        <f>(V137+V142+V147+V152+V157)*Продажи!U10</f>
        <v>0</v>
      </c>
      <c r="W136" s="351">
        <f>(W137+W142+W147+W152+W157)*Продажи!V10</f>
        <v>0</v>
      </c>
      <c r="X136" s="351">
        <f>(X137+X142+X147+X152+X157)*Продажи!W10</f>
        <v>0</v>
      </c>
      <c r="Y136" s="351">
        <f>(Y137+Y142+Y147+Y152+Y157)*Продажи!X10</f>
        <v>0</v>
      </c>
      <c r="Z136" s="351">
        <f>(Z137+Z142+Z147+Z152+Z157)*Продажи!Y10</f>
        <v>0</v>
      </c>
      <c r="AA136" s="351">
        <f>(AA137+AA142+AA147+AA152+AA157)*Продажи!Z10</f>
        <v>0</v>
      </c>
      <c r="AB136" s="354">
        <f>SUM(P136:AA136)</f>
        <v>0</v>
      </c>
      <c r="AC136" s="355">
        <f>(AC137+AC142+AC147+AC152+AC157)*Продажи!AB10</f>
        <v>0</v>
      </c>
      <c r="AD136" s="351">
        <f>(AD137+AD142+AD147+AD152+AD157)*Продажи!AC10</f>
        <v>0</v>
      </c>
      <c r="AE136" s="351">
        <f>(AE137+AE142+AE147+AE152+AE157)*Продажи!AD10</f>
        <v>0</v>
      </c>
      <c r="AF136" s="351">
        <f>(AF137+AF142+AF147+AF152+AF157)*Продажи!AE10</f>
        <v>0</v>
      </c>
      <c r="AG136" s="351">
        <f>(AG137+AG142+AG147+AG152+AG157)*Продажи!AF10</f>
        <v>0</v>
      </c>
      <c r="AH136" s="351">
        <f>(AH137+AH142+AH147+AH152+AH157)*Продажи!AG10</f>
        <v>0</v>
      </c>
      <c r="AI136" s="351">
        <f>(AI137+AI142+AI147+AI152+AI157)*Продажи!AH10</f>
        <v>0</v>
      </c>
      <c r="AJ136" s="351">
        <f>(AJ137+AJ142+AJ147+AJ152+AJ157)*Продажи!AI10</f>
        <v>0</v>
      </c>
      <c r="AK136" s="351">
        <f>(AK137+AK142+AK147+AK152+AK157)*Продажи!AJ10</f>
        <v>0</v>
      </c>
      <c r="AL136" s="351">
        <f>(AL137+AL142+AL147+AL152+AL157)*Продажи!AK10</f>
        <v>0</v>
      </c>
      <c r="AM136" s="351">
        <f>(AM137+AM142+AM147+AM152+AM157)*Продажи!AL10</f>
        <v>0</v>
      </c>
      <c r="AN136" s="351">
        <f>(AN137+AN142+AN147+AN152+AN157)*Продажи!AM10</f>
        <v>0</v>
      </c>
      <c r="AO136" s="354">
        <f>SUM(AC136:AN136)</f>
        <v>0</v>
      </c>
    </row>
    <row r="137" spans="1:41" s="346" customFormat="1" ht="14.25" outlineLevel="1">
      <c r="A137" s="356" t="s">
        <v>44</v>
      </c>
      <c r="B137" s="357" t="s">
        <v>247</v>
      </c>
      <c r="C137" s="358">
        <f>C138*C139</f>
        <v>0</v>
      </c>
      <c r="D137" s="358">
        <f t="shared" ref="D137:N137" si="150">D138*D139</f>
        <v>0</v>
      </c>
      <c r="E137" s="358">
        <f t="shared" si="150"/>
        <v>0</v>
      </c>
      <c r="F137" s="358">
        <f t="shared" si="150"/>
        <v>0</v>
      </c>
      <c r="G137" s="358">
        <f t="shared" si="150"/>
        <v>0</v>
      </c>
      <c r="H137" s="358">
        <f t="shared" si="150"/>
        <v>0</v>
      </c>
      <c r="I137" s="358">
        <f t="shared" si="150"/>
        <v>0</v>
      </c>
      <c r="J137" s="358">
        <f t="shared" si="150"/>
        <v>0</v>
      </c>
      <c r="K137" s="358">
        <f t="shared" si="150"/>
        <v>0</v>
      </c>
      <c r="L137" s="358">
        <f t="shared" si="150"/>
        <v>0</v>
      </c>
      <c r="M137" s="358">
        <f t="shared" si="150"/>
        <v>0</v>
      </c>
      <c r="N137" s="358">
        <f t="shared" si="150"/>
        <v>0</v>
      </c>
      <c r="O137" s="359">
        <f>SUM(C137:N137)</f>
        <v>0</v>
      </c>
      <c r="P137" s="360">
        <f>P138*P139</f>
        <v>0</v>
      </c>
      <c r="Q137" s="358">
        <f t="shared" ref="Q137:AA137" si="151">Q138*Q139</f>
        <v>0</v>
      </c>
      <c r="R137" s="358">
        <f t="shared" si="151"/>
        <v>0</v>
      </c>
      <c r="S137" s="358">
        <f t="shared" si="151"/>
        <v>0</v>
      </c>
      <c r="T137" s="358">
        <f t="shared" si="151"/>
        <v>0</v>
      </c>
      <c r="U137" s="358">
        <f t="shared" si="151"/>
        <v>0</v>
      </c>
      <c r="V137" s="358">
        <f t="shared" si="151"/>
        <v>0</v>
      </c>
      <c r="W137" s="358">
        <f t="shared" si="151"/>
        <v>0</v>
      </c>
      <c r="X137" s="358">
        <f t="shared" si="151"/>
        <v>0</v>
      </c>
      <c r="Y137" s="358">
        <f t="shared" si="151"/>
        <v>0</v>
      </c>
      <c r="Z137" s="358">
        <f t="shared" si="151"/>
        <v>0</v>
      </c>
      <c r="AA137" s="358">
        <f t="shared" si="151"/>
        <v>0</v>
      </c>
      <c r="AB137" s="359">
        <f>SUM(P137:AA137)</f>
        <v>0</v>
      </c>
      <c r="AC137" s="361">
        <f>AC138*AC139</f>
        <v>0</v>
      </c>
      <c r="AD137" s="358">
        <f t="shared" ref="AD137:AN137" si="152">AD138*AD139</f>
        <v>0</v>
      </c>
      <c r="AE137" s="358">
        <f t="shared" si="152"/>
        <v>0</v>
      </c>
      <c r="AF137" s="358">
        <f t="shared" si="152"/>
        <v>0</v>
      </c>
      <c r="AG137" s="358">
        <f t="shared" si="152"/>
        <v>0</v>
      </c>
      <c r="AH137" s="358">
        <f t="shared" si="152"/>
        <v>0</v>
      </c>
      <c r="AI137" s="358">
        <f t="shared" si="152"/>
        <v>0</v>
      </c>
      <c r="AJ137" s="358">
        <f t="shared" si="152"/>
        <v>0</v>
      </c>
      <c r="AK137" s="358">
        <f t="shared" si="152"/>
        <v>0</v>
      </c>
      <c r="AL137" s="358">
        <f t="shared" si="152"/>
        <v>0</v>
      </c>
      <c r="AM137" s="358">
        <f t="shared" si="152"/>
        <v>0</v>
      </c>
      <c r="AN137" s="358">
        <f t="shared" si="152"/>
        <v>0</v>
      </c>
      <c r="AO137" s="362">
        <f>SUM(AC137:AN137)</f>
        <v>0</v>
      </c>
    </row>
    <row r="138" spans="1:41" ht="30" outlineLevel="1">
      <c r="A138" s="283" t="s">
        <v>362</v>
      </c>
      <c r="B138" s="363" t="s">
        <v>259</v>
      </c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59"/>
      <c r="P138" s="365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  <c r="AA138" s="364"/>
      <c r="AB138" s="359"/>
      <c r="AC138" s="366"/>
      <c r="AD138" s="364"/>
      <c r="AE138" s="364"/>
      <c r="AF138" s="364"/>
      <c r="AG138" s="364"/>
      <c r="AH138" s="364"/>
      <c r="AI138" s="364"/>
      <c r="AJ138" s="364"/>
      <c r="AK138" s="364"/>
      <c r="AL138" s="364"/>
      <c r="AM138" s="364"/>
      <c r="AN138" s="364"/>
      <c r="AO138" s="362"/>
    </row>
    <row r="139" spans="1:41" outlineLevel="1">
      <c r="A139" s="283" t="s">
        <v>363</v>
      </c>
      <c r="B139" s="367" t="s">
        <v>261</v>
      </c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59"/>
      <c r="P139" s="365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  <c r="AA139" s="364"/>
      <c r="AB139" s="359"/>
      <c r="AC139" s="366"/>
      <c r="AD139" s="364"/>
      <c r="AE139" s="364"/>
      <c r="AF139" s="364"/>
      <c r="AG139" s="364"/>
      <c r="AH139" s="364"/>
      <c r="AI139" s="364"/>
      <c r="AJ139" s="364"/>
      <c r="AK139" s="364"/>
      <c r="AL139" s="364"/>
      <c r="AM139" s="364"/>
      <c r="AN139" s="364"/>
      <c r="AO139" s="362"/>
    </row>
    <row r="140" spans="1:41" outlineLevel="1">
      <c r="A140" s="283" t="s">
        <v>364</v>
      </c>
      <c r="B140" s="363" t="s">
        <v>263</v>
      </c>
      <c r="C140" s="368" t="e">
        <f>C137/'Продукция и цена '!$C$9</f>
        <v>#DIV/0!</v>
      </c>
      <c r="D140" s="368" t="e">
        <f>D137/'Продукция и цена '!$C$9</f>
        <v>#DIV/0!</v>
      </c>
      <c r="E140" s="368" t="e">
        <f>E137/'Продукция и цена '!$C$9</f>
        <v>#DIV/0!</v>
      </c>
      <c r="F140" s="368" t="e">
        <f>F137/'Продукция и цена '!$C$9</f>
        <v>#DIV/0!</v>
      </c>
      <c r="G140" s="368" t="e">
        <f>G137/'Продукция и цена '!$C$9</f>
        <v>#DIV/0!</v>
      </c>
      <c r="H140" s="368" t="e">
        <f>H137/'Продукция и цена '!$C$9</f>
        <v>#DIV/0!</v>
      </c>
      <c r="I140" s="368" t="e">
        <f>I137/'Продукция и цена '!$C$9</f>
        <v>#DIV/0!</v>
      </c>
      <c r="J140" s="368" t="e">
        <f>J137/'Продукция и цена '!$C$9</f>
        <v>#DIV/0!</v>
      </c>
      <c r="K140" s="368" t="e">
        <f>K137/'Продукция и цена '!$C$9</f>
        <v>#DIV/0!</v>
      </c>
      <c r="L140" s="368" t="e">
        <f>L137/'Продукция и цена '!$C$9</f>
        <v>#DIV/0!</v>
      </c>
      <c r="M140" s="368" t="e">
        <f>M137/'Продукция и цена '!$C$9</f>
        <v>#DIV/0!</v>
      </c>
      <c r="N140" s="368" t="e">
        <f>N137/'Продукция и цена '!$C$9</f>
        <v>#DIV/0!</v>
      </c>
      <c r="O140" s="359" t="e">
        <f>SUM(C140:N140)/12</f>
        <v>#DIV/0!</v>
      </c>
      <c r="P140" s="369" t="e">
        <f>P137/'Продукция и цена '!$D$9</f>
        <v>#DIV/0!</v>
      </c>
      <c r="Q140" s="368" t="e">
        <f>Q137/'Продукция и цена '!$D$9</f>
        <v>#DIV/0!</v>
      </c>
      <c r="R140" s="368" t="e">
        <f>R137/'Продукция и цена '!$D$9</f>
        <v>#DIV/0!</v>
      </c>
      <c r="S140" s="368" t="e">
        <f>S137/'Продукция и цена '!$D$9</f>
        <v>#DIV/0!</v>
      </c>
      <c r="T140" s="368" t="e">
        <f>T137/'Продукция и цена '!$D$9</f>
        <v>#DIV/0!</v>
      </c>
      <c r="U140" s="368" t="e">
        <f>U137/'Продукция и цена '!$D$9</f>
        <v>#DIV/0!</v>
      </c>
      <c r="V140" s="368" t="e">
        <f>V137/'Продукция и цена '!$D$9</f>
        <v>#DIV/0!</v>
      </c>
      <c r="W140" s="368" t="e">
        <f>W137/'Продукция и цена '!$D$9</f>
        <v>#DIV/0!</v>
      </c>
      <c r="X140" s="368" t="e">
        <f>X137/'Продукция и цена '!$D$9</f>
        <v>#DIV/0!</v>
      </c>
      <c r="Y140" s="368" t="e">
        <f>Y137/'Продукция и цена '!$D$9</f>
        <v>#DIV/0!</v>
      </c>
      <c r="Z140" s="368" t="e">
        <f>Z137/'Продукция и цена '!$D$9</f>
        <v>#DIV/0!</v>
      </c>
      <c r="AA140" s="368" t="e">
        <f>AA137/'Продукция и цена '!$D$9</f>
        <v>#DIV/0!</v>
      </c>
      <c r="AB140" s="359" t="e">
        <f>SUM(P140:AA140)/12</f>
        <v>#DIV/0!</v>
      </c>
      <c r="AC140" s="370" t="e">
        <f>AC137/'Продукция и цена '!$E$9</f>
        <v>#DIV/0!</v>
      </c>
      <c r="AD140" s="368" t="e">
        <f>AD137/'Продукция и цена '!$E$9</f>
        <v>#DIV/0!</v>
      </c>
      <c r="AE140" s="368" t="e">
        <f>AE137/'Продукция и цена '!$E$9</f>
        <v>#DIV/0!</v>
      </c>
      <c r="AF140" s="368" t="e">
        <f>AF137/'Продукция и цена '!$E$9</f>
        <v>#DIV/0!</v>
      </c>
      <c r="AG140" s="368" t="e">
        <f>AG137/'Продукция и цена '!$E$9</f>
        <v>#DIV/0!</v>
      </c>
      <c r="AH140" s="368" t="e">
        <f>AH137/'Продукция и цена '!$E$9</f>
        <v>#DIV/0!</v>
      </c>
      <c r="AI140" s="368" t="e">
        <f>AI137/'Продукция и цена '!$E$9</f>
        <v>#DIV/0!</v>
      </c>
      <c r="AJ140" s="368" t="e">
        <f>AJ137/'Продукция и цена '!$E$9</f>
        <v>#DIV/0!</v>
      </c>
      <c r="AK140" s="368" t="e">
        <f>AK137/'Продукция и цена '!$E$9</f>
        <v>#DIV/0!</v>
      </c>
      <c r="AL140" s="368" t="e">
        <f>AL137/'Продукция и цена '!$E$9</f>
        <v>#DIV/0!</v>
      </c>
      <c r="AM140" s="368" t="e">
        <f>AM137/'Продукция и цена '!$E$9</f>
        <v>#DIV/0!</v>
      </c>
      <c r="AN140" s="368" t="e">
        <f>AN137/'Продукция и цена '!$E$9</f>
        <v>#DIV/0!</v>
      </c>
      <c r="AO140" s="362" t="e">
        <f>SUM(AC140:AN140)/12</f>
        <v>#DIV/0!</v>
      </c>
    </row>
    <row r="141" spans="1:41" outlineLevel="1">
      <c r="A141" s="371" t="s">
        <v>365</v>
      </c>
      <c r="B141" s="372" t="s">
        <v>265</v>
      </c>
      <c r="C141" s="373">
        <f>'Продукция и цена '!$C$9</f>
        <v>0</v>
      </c>
      <c r="D141" s="373">
        <f>C141</f>
        <v>0</v>
      </c>
      <c r="E141" s="373">
        <f t="shared" ref="E141:N141" si="153">D141</f>
        <v>0</v>
      </c>
      <c r="F141" s="373">
        <f t="shared" si="153"/>
        <v>0</v>
      </c>
      <c r="G141" s="373">
        <f t="shared" si="153"/>
        <v>0</v>
      </c>
      <c r="H141" s="373">
        <f t="shared" si="153"/>
        <v>0</v>
      </c>
      <c r="I141" s="373">
        <f t="shared" si="153"/>
        <v>0</v>
      </c>
      <c r="J141" s="373">
        <f t="shared" si="153"/>
        <v>0</v>
      </c>
      <c r="K141" s="373">
        <f t="shared" si="153"/>
        <v>0</v>
      </c>
      <c r="L141" s="373">
        <f t="shared" si="153"/>
        <v>0</v>
      </c>
      <c r="M141" s="373">
        <f t="shared" si="153"/>
        <v>0</v>
      </c>
      <c r="N141" s="373">
        <f t="shared" si="153"/>
        <v>0</v>
      </c>
      <c r="O141" s="374">
        <f>SUM(C141:N141)/12</f>
        <v>0</v>
      </c>
      <c r="P141" s="375">
        <f>'Продукция и цена '!$D$9</f>
        <v>0</v>
      </c>
      <c r="Q141" s="373">
        <f>P141</f>
        <v>0</v>
      </c>
      <c r="R141" s="373">
        <f t="shared" ref="R141:AA141" si="154">Q141</f>
        <v>0</v>
      </c>
      <c r="S141" s="373">
        <f t="shared" si="154"/>
        <v>0</v>
      </c>
      <c r="T141" s="373">
        <f t="shared" si="154"/>
        <v>0</v>
      </c>
      <c r="U141" s="373">
        <f t="shared" si="154"/>
        <v>0</v>
      </c>
      <c r="V141" s="373">
        <f t="shared" si="154"/>
        <v>0</v>
      </c>
      <c r="W141" s="373">
        <f t="shared" si="154"/>
        <v>0</v>
      </c>
      <c r="X141" s="373">
        <f t="shared" si="154"/>
        <v>0</v>
      </c>
      <c r="Y141" s="373">
        <f t="shared" si="154"/>
        <v>0</v>
      </c>
      <c r="Z141" s="373">
        <f t="shared" si="154"/>
        <v>0</v>
      </c>
      <c r="AA141" s="373">
        <f t="shared" si="154"/>
        <v>0</v>
      </c>
      <c r="AB141" s="374">
        <f>SUM(P141:AA141)/12</f>
        <v>0</v>
      </c>
      <c r="AC141" s="376">
        <f>'Продукция и цена '!$E$9</f>
        <v>0</v>
      </c>
      <c r="AD141" s="373">
        <f>AC141</f>
        <v>0</v>
      </c>
      <c r="AE141" s="373">
        <f t="shared" ref="AE141:AN141" si="155">AD141</f>
        <v>0</v>
      </c>
      <c r="AF141" s="373">
        <f t="shared" si="155"/>
        <v>0</v>
      </c>
      <c r="AG141" s="373">
        <f t="shared" si="155"/>
        <v>0</v>
      </c>
      <c r="AH141" s="373">
        <f t="shared" si="155"/>
        <v>0</v>
      </c>
      <c r="AI141" s="373">
        <f t="shared" si="155"/>
        <v>0</v>
      </c>
      <c r="AJ141" s="373">
        <f t="shared" si="155"/>
        <v>0</v>
      </c>
      <c r="AK141" s="373">
        <f t="shared" si="155"/>
        <v>0</v>
      </c>
      <c r="AL141" s="373">
        <f t="shared" si="155"/>
        <v>0</v>
      </c>
      <c r="AM141" s="373">
        <f t="shared" si="155"/>
        <v>0</v>
      </c>
      <c r="AN141" s="373">
        <f t="shared" si="155"/>
        <v>0</v>
      </c>
      <c r="AO141" s="377">
        <f>SUM(AC141:AN141)/12</f>
        <v>0</v>
      </c>
    </row>
    <row r="142" spans="1:41" s="346" customFormat="1" ht="14.25" outlineLevel="1">
      <c r="A142" s="378" t="s">
        <v>46</v>
      </c>
      <c r="B142" s="357" t="s">
        <v>248</v>
      </c>
      <c r="C142" s="358">
        <f>C143*C144</f>
        <v>0</v>
      </c>
      <c r="D142" s="358">
        <f t="shared" ref="D142:N142" si="156">D143*D144</f>
        <v>0</v>
      </c>
      <c r="E142" s="358">
        <f t="shared" si="156"/>
        <v>0</v>
      </c>
      <c r="F142" s="358">
        <f t="shared" si="156"/>
        <v>0</v>
      </c>
      <c r="G142" s="358">
        <f t="shared" si="156"/>
        <v>0</v>
      </c>
      <c r="H142" s="358">
        <f t="shared" si="156"/>
        <v>0</v>
      </c>
      <c r="I142" s="358">
        <f t="shared" si="156"/>
        <v>0</v>
      </c>
      <c r="J142" s="358">
        <f t="shared" si="156"/>
        <v>0</v>
      </c>
      <c r="K142" s="358">
        <f t="shared" si="156"/>
        <v>0</v>
      </c>
      <c r="L142" s="358">
        <f t="shared" si="156"/>
        <v>0</v>
      </c>
      <c r="M142" s="358">
        <f t="shared" si="156"/>
        <v>0</v>
      </c>
      <c r="N142" s="358">
        <f t="shared" si="156"/>
        <v>0</v>
      </c>
      <c r="O142" s="352">
        <f>SUM(C142:N142)</f>
        <v>0</v>
      </c>
      <c r="P142" s="379">
        <f>P143*P144</f>
        <v>0</v>
      </c>
      <c r="Q142" s="380">
        <f t="shared" ref="Q142:AA142" si="157">Q143*Q144</f>
        <v>0</v>
      </c>
      <c r="R142" s="380">
        <f t="shared" si="157"/>
        <v>0</v>
      </c>
      <c r="S142" s="380">
        <f t="shared" si="157"/>
        <v>0</v>
      </c>
      <c r="T142" s="380">
        <f t="shared" si="157"/>
        <v>0</v>
      </c>
      <c r="U142" s="380">
        <f t="shared" si="157"/>
        <v>0</v>
      </c>
      <c r="V142" s="380">
        <f t="shared" si="157"/>
        <v>0</v>
      </c>
      <c r="W142" s="380">
        <f t="shared" si="157"/>
        <v>0</v>
      </c>
      <c r="X142" s="380">
        <f t="shared" si="157"/>
        <v>0</v>
      </c>
      <c r="Y142" s="380">
        <f t="shared" si="157"/>
        <v>0</v>
      </c>
      <c r="Z142" s="380">
        <f t="shared" si="157"/>
        <v>0</v>
      </c>
      <c r="AA142" s="380">
        <f t="shared" si="157"/>
        <v>0</v>
      </c>
      <c r="AB142" s="352">
        <f>SUM(P142:AA142)</f>
        <v>0</v>
      </c>
      <c r="AC142" s="379">
        <f>AC143*AC144</f>
        <v>0</v>
      </c>
      <c r="AD142" s="380">
        <f t="shared" ref="AD142:AN142" si="158">AD143*AD144</f>
        <v>0</v>
      </c>
      <c r="AE142" s="380">
        <f t="shared" si="158"/>
        <v>0</v>
      </c>
      <c r="AF142" s="380">
        <f t="shared" si="158"/>
        <v>0</v>
      </c>
      <c r="AG142" s="380">
        <f t="shared" si="158"/>
        <v>0</v>
      </c>
      <c r="AH142" s="380">
        <f t="shared" si="158"/>
        <v>0</v>
      </c>
      <c r="AI142" s="380">
        <f t="shared" si="158"/>
        <v>0</v>
      </c>
      <c r="AJ142" s="380">
        <f t="shared" si="158"/>
        <v>0</v>
      </c>
      <c r="AK142" s="380">
        <f t="shared" si="158"/>
        <v>0</v>
      </c>
      <c r="AL142" s="380">
        <f t="shared" si="158"/>
        <v>0</v>
      </c>
      <c r="AM142" s="380">
        <f t="shared" si="158"/>
        <v>0</v>
      </c>
      <c r="AN142" s="380">
        <f t="shared" si="158"/>
        <v>0</v>
      </c>
      <c r="AO142" s="354">
        <f>SUM(AC142:AN142)</f>
        <v>0</v>
      </c>
    </row>
    <row r="143" spans="1:41" ht="30" outlineLevel="1">
      <c r="A143" s="283" t="s">
        <v>366</v>
      </c>
      <c r="B143" s="363" t="s">
        <v>259</v>
      </c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59"/>
      <c r="P143" s="366"/>
      <c r="Q143" s="364"/>
      <c r="R143" s="364"/>
      <c r="S143" s="364"/>
      <c r="T143" s="364"/>
      <c r="U143" s="364"/>
      <c r="V143" s="364"/>
      <c r="W143" s="364"/>
      <c r="X143" s="364"/>
      <c r="Y143" s="364"/>
      <c r="Z143" s="364"/>
      <c r="AA143" s="364"/>
      <c r="AB143" s="359"/>
      <c r="AC143" s="366"/>
      <c r="AD143" s="364"/>
      <c r="AE143" s="364"/>
      <c r="AF143" s="364"/>
      <c r="AG143" s="364"/>
      <c r="AH143" s="364"/>
      <c r="AI143" s="364"/>
      <c r="AJ143" s="364"/>
      <c r="AK143" s="364"/>
      <c r="AL143" s="364"/>
      <c r="AM143" s="364"/>
      <c r="AN143" s="364"/>
      <c r="AO143" s="362"/>
    </row>
    <row r="144" spans="1:41" outlineLevel="1">
      <c r="A144" s="283" t="s">
        <v>367</v>
      </c>
      <c r="B144" s="367" t="s">
        <v>261</v>
      </c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59"/>
      <c r="P144" s="366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  <c r="AA144" s="364"/>
      <c r="AB144" s="359"/>
      <c r="AC144" s="366"/>
      <c r="AD144" s="364"/>
      <c r="AE144" s="364"/>
      <c r="AF144" s="364"/>
      <c r="AG144" s="364"/>
      <c r="AH144" s="364"/>
      <c r="AI144" s="364"/>
      <c r="AJ144" s="364"/>
      <c r="AK144" s="364"/>
      <c r="AL144" s="364"/>
      <c r="AM144" s="364"/>
      <c r="AN144" s="364"/>
      <c r="AO144" s="362"/>
    </row>
    <row r="145" spans="1:41" outlineLevel="1">
      <c r="A145" s="283" t="s">
        <v>368</v>
      </c>
      <c r="B145" s="363" t="s">
        <v>263</v>
      </c>
      <c r="C145" s="368" t="e">
        <f>C142/'Продукция и цена '!$C$9</f>
        <v>#DIV/0!</v>
      </c>
      <c r="D145" s="368" t="e">
        <f>D142/'Продукция и цена '!$C$9</f>
        <v>#DIV/0!</v>
      </c>
      <c r="E145" s="368" t="e">
        <f>E142/'Продукция и цена '!$C$9</f>
        <v>#DIV/0!</v>
      </c>
      <c r="F145" s="368" t="e">
        <f>F142/'Продукция и цена '!$C$9</f>
        <v>#DIV/0!</v>
      </c>
      <c r="G145" s="368" t="e">
        <f>G142/'Продукция и цена '!$C$9</f>
        <v>#DIV/0!</v>
      </c>
      <c r="H145" s="368" t="e">
        <f>H142/'Продукция и цена '!$C$9</f>
        <v>#DIV/0!</v>
      </c>
      <c r="I145" s="368" t="e">
        <f>I142/'Продукция и цена '!$C$9</f>
        <v>#DIV/0!</v>
      </c>
      <c r="J145" s="368" t="e">
        <f>J142/'Продукция и цена '!$C$9</f>
        <v>#DIV/0!</v>
      </c>
      <c r="K145" s="368" t="e">
        <f>K142/'Продукция и цена '!$C$9</f>
        <v>#DIV/0!</v>
      </c>
      <c r="L145" s="368" t="e">
        <f>L142/'Продукция и цена '!$C$9</f>
        <v>#DIV/0!</v>
      </c>
      <c r="M145" s="368" t="e">
        <f>M142/'Продукция и цена '!$C$9</f>
        <v>#DIV/0!</v>
      </c>
      <c r="N145" s="368" t="e">
        <f>N142/'Продукция и цена '!$C$9</f>
        <v>#DIV/0!</v>
      </c>
      <c r="O145" s="359" t="e">
        <f>SUM(C145:N145)/12</f>
        <v>#DIV/0!</v>
      </c>
      <c r="P145" s="370" t="e">
        <f>P142/'Продукция и цена '!$D$9</f>
        <v>#DIV/0!</v>
      </c>
      <c r="Q145" s="368" t="e">
        <f>Q142/'Продукция и цена '!$D$9</f>
        <v>#DIV/0!</v>
      </c>
      <c r="R145" s="368" t="e">
        <f>R142/'Продукция и цена '!$D$9</f>
        <v>#DIV/0!</v>
      </c>
      <c r="S145" s="368" t="e">
        <f>S142/'Продукция и цена '!$D$9</f>
        <v>#DIV/0!</v>
      </c>
      <c r="T145" s="368" t="e">
        <f>T142/'Продукция и цена '!$D$9</f>
        <v>#DIV/0!</v>
      </c>
      <c r="U145" s="368" t="e">
        <f>U142/'Продукция и цена '!$D$9</f>
        <v>#DIV/0!</v>
      </c>
      <c r="V145" s="368" t="e">
        <f>V142/'Продукция и цена '!$D$9</f>
        <v>#DIV/0!</v>
      </c>
      <c r="W145" s="368" t="e">
        <f>W142/'Продукция и цена '!$D$9</f>
        <v>#DIV/0!</v>
      </c>
      <c r="X145" s="368" t="e">
        <f>X142/'Продукция и цена '!$D$9</f>
        <v>#DIV/0!</v>
      </c>
      <c r="Y145" s="368" t="e">
        <f>Y142/'Продукция и цена '!$D$9</f>
        <v>#DIV/0!</v>
      </c>
      <c r="Z145" s="368" t="e">
        <f>Z142/'Продукция и цена '!$D$9</f>
        <v>#DIV/0!</v>
      </c>
      <c r="AA145" s="368" t="e">
        <f>AA142/'Продукция и цена '!$D$9</f>
        <v>#DIV/0!</v>
      </c>
      <c r="AB145" s="359" t="e">
        <f>SUM(P145:AA145)/12</f>
        <v>#DIV/0!</v>
      </c>
      <c r="AC145" s="370" t="e">
        <f>AC142/'Продукция и цена '!$E$9</f>
        <v>#DIV/0!</v>
      </c>
      <c r="AD145" s="368" t="e">
        <f>AD142/'Продукция и цена '!$E$9</f>
        <v>#DIV/0!</v>
      </c>
      <c r="AE145" s="368" t="e">
        <f>AE142/'Продукция и цена '!$E$9</f>
        <v>#DIV/0!</v>
      </c>
      <c r="AF145" s="368" t="e">
        <f>AF142/'Продукция и цена '!$E$9</f>
        <v>#DIV/0!</v>
      </c>
      <c r="AG145" s="368" t="e">
        <f>AG142/'Продукция и цена '!$E$9</f>
        <v>#DIV/0!</v>
      </c>
      <c r="AH145" s="368" t="e">
        <f>AH142/'Продукция и цена '!$E$9</f>
        <v>#DIV/0!</v>
      </c>
      <c r="AI145" s="368" t="e">
        <f>AI142/'Продукция и цена '!$E$9</f>
        <v>#DIV/0!</v>
      </c>
      <c r="AJ145" s="368" t="e">
        <f>AJ142/'Продукция и цена '!$E$9</f>
        <v>#DIV/0!</v>
      </c>
      <c r="AK145" s="368" t="e">
        <f>AK142/'Продукция и цена '!$E$9</f>
        <v>#DIV/0!</v>
      </c>
      <c r="AL145" s="368" t="e">
        <f>AL142/'Продукция и цена '!$E$9</f>
        <v>#DIV/0!</v>
      </c>
      <c r="AM145" s="368" t="e">
        <f>AM142/'Продукция и цена '!$E$9</f>
        <v>#DIV/0!</v>
      </c>
      <c r="AN145" s="368" t="e">
        <f>AN142/'Продукция и цена '!$E$9</f>
        <v>#DIV/0!</v>
      </c>
      <c r="AO145" s="362" t="e">
        <f>SUM(AC145:AN145)/12</f>
        <v>#DIV/0!</v>
      </c>
    </row>
    <row r="146" spans="1:41" outlineLevel="1">
      <c r="A146" s="371" t="s">
        <v>369</v>
      </c>
      <c r="B146" s="372" t="s">
        <v>265</v>
      </c>
      <c r="C146" s="373">
        <f>'Продукция и цена '!$C$9</f>
        <v>0</v>
      </c>
      <c r="D146" s="373">
        <f>C146</f>
        <v>0</v>
      </c>
      <c r="E146" s="373">
        <f t="shared" ref="E146:N146" si="159">D146</f>
        <v>0</v>
      </c>
      <c r="F146" s="373">
        <f t="shared" si="159"/>
        <v>0</v>
      </c>
      <c r="G146" s="373">
        <f t="shared" si="159"/>
        <v>0</v>
      </c>
      <c r="H146" s="373">
        <f t="shared" si="159"/>
        <v>0</v>
      </c>
      <c r="I146" s="373">
        <f t="shared" si="159"/>
        <v>0</v>
      </c>
      <c r="J146" s="373">
        <f t="shared" si="159"/>
        <v>0</v>
      </c>
      <c r="K146" s="373">
        <f t="shared" si="159"/>
        <v>0</v>
      </c>
      <c r="L146" s="373">
        <f t="shared" si="159"/>
        <v>0</v>
      </c>
      <c r="M146" s="373">
        <f t="shared" si="159"/>
        <v>0</v>
      </c>
      <c r="N146" s="373">
        <f t="shared" si="159"/>
        <v>0</v>
      </c>
      <c r="O146" s="374">
        <f>SUM(C146:N146)/12</f>
        <v>0</v>
      </c>
      <c r="P146" s="376">
        <f>'Продукция и цена '!$D$9</f>
        <v>0</v>
      </c>
      <c r="Q146" s="373">
        <f>P146</f>
        <v>0</v>
      </c>
      <c r="R146" s="373">
        <f t="shared" ref="R146:AA146" si="160">Q146</f>
        <v>0</v>
      </c>
      <c r="S146" s="373">
        <f t="shared" si="160"/>
        <v>0</v>
      </c>
      <c r="T146" s="373">
        <f t="shared" si="160"/>
        <v>0</v>
      </c>
      <c r="U146" s="373">
        <f t="shared" si="160"/>
        <v>0</v>
      </c>
      <c r="V146" s="373">
        <f t="shared" si="160"/>
        <v>0</v>
      </c>
      <c r="W146" s="373">
        <f t="shared" si="160"/>
        <v>0</v>
      </c>
      <c r="X146" s="373">
        <f t="shared" si="160"/>
        <v>0</v>
      </c>
      <c r="Y146" s="373">
        <f t="shared" si="160"/>
        <v>0</v>
      </c>
      <c r="Z146" s="373">
        <f t="shared" si="160"/>
        <v>0</v>
      </c>
      <c r="AA146" s="373">
        <f t="shared" si="160"/>
        <v>0</v>
      </c>
      <c r="AB146" s="374">
        <f>SUM(P146:AA146)/12</f>
        <v>0</v>
      </c>
      <c r="AC146" s="376">
        <f>'Продукция и цена '!$E$9</f>
        <v>0</v>
      </c>
      <c r="AD146" s="373">
        <f>AC146</f>
        <v>0</v>
      </c>
      <c r="AE146" s="373">
        <f t="shared" ref="AE146:AN146" si="161">AD146</f>
        <v>0</v>
      </c>
      <c r="AF146" s="373">
        <f t="shared" si="161"/>
        <v>0</v>
      </c>
      <c r="AG146" s="373">
        <f t="shared" si="161"/>
        <v>0</v>
      </c>
      <c r="AH146" s="373">
        <f t="shared" si="161"/>
        <v>0</v>
      </c>
      <c r="AI146" s="373">
        <f t="shared" si="161"/>
        <v>0</v>
      </c>
      <c r="AJ146" s="373">
        <f t="shared" si="161"/>
        <v>0</v>
      </c>
      <c r="AK146" s="373">
        <f t="shared" si="161"/>
        <v>0</v>
      </c>
      <c r="AL146" s="373">
        <f t="shared" si="161"/>
        <v>0</v>
      </c>
      <c r="AM146" s="373">
        <f t="shared" si="161"/>
        <v>0</v>
      </c>
      <c r="AN146" s="373">
        <f t="shared" si="161"/>
        <v>0</v>
      </c>
      <c r="AO146" s="377">
        <f>SUM(AC146:AN146)/12</f>
        <v>0</v>
      </c>
    </row>
    <row r="147" spans="1:41" s="346" customFormat="1" ht="14.25" outlineLevel="1">
      <c r="A147" s="378" t="s">
        <v>200</v>
      </c>
      <c r="B147" s="381" t="s">
        <v>249</v>
      </c>
      <c r="C147" s="380">
        <f>C148*C149</f>
        <v>0</v>
      </c>
      <c r="D147" s="380">
        <f t="shared" ref="D147:N147" si="162">D148*D149</f>
        <v>0</v>
      </c>
      <c r="E147" s="380">
        <f t="shared" si="162"/>
        <v>0</v>
      </c>
      <c r="F147" s="380">
        <f t="shared" si="162"/>
        <v>0</v>
      </c>
      <c r="G147" s="380">
        <f t="shared" si="162"/>
        <v>0</v>
      </c>
      <c r="H147" s="380">
        <f t="shared" si="162"/>
        <v>0</v>
      </c>
      <c r="I147" s="380">
        <f t="shared" si="162"/>
        <v>0</v>
      </c>
      <c r="J147" s="380">
        <f t="shared" si="162"/>
        <v>0</v>
      </c>
      <c r="K147" s="380">
        <f t="shared" si="162"/>
        <v>0</v>
      </c>
      <c r="L147" s="380">
        <f t="shared" si="162"/>
        <v>0</v>
      </c>
      <c r="M147" s="380">
        <f t="shared" si="162"/>
        <v>0</v>
      </c>
      <c r="N147" s="380">
        <f t="shared" si="162"/>
        <v>0</v>
      </c>
      <c r="O147" s="352">
        <f>SUM(C147:N147)</f>
        <v>0</v>
      </c>
      <c r="P147" s="379">
        <f>P148*P149</f>
        <v>0</v>
      </c>
      <c r="Q147" s="380">
        <f t="shared" ref="Q147:AA147" si="163">Q148*Q149</f>
        <v>0</v>
      </c>
      <c r="R147" s="380">
        <f t="shared" si="163"/>
        <v>0</v>
      </c>
      <c r="S147" s="380">
        <f t="shared" si="163"/>
        <v>0</v>
      </c>
      <c r="T147" s="380">
        <f t="shared" si="163"/>
        <v>0</v>
      </c>
      <c r="U147" s="380">
        <f t="shared" si="163"/>
        <v>0</v>
      </c>
      <c r="V147" s="380">
        <f t="shared" si="163"/>
        <v>0</v>
      </c>
      <c r="W147" s="380">
        <f t="shared" si="163"/>
        <v>0</v>
      </c>
      <c r="X147" s="380">
        <f t="shared" si="163"/>
        <v>0</v>
      </c>
      <c r="Y147" s="380">
        <f t="shared" si="163"/>
        <v>0</v>
      </c>
      <c r="Z147" s="380">
        <f t="shared" si="163"/>
        <v>0</v>
      </c>
      <c r="AA147" s="380">
        <f t="shared" si="163"/>
        <v>0</v>
      </c>
      <c r="AB147" s="352">
        <f>SUM(P147:AA147)</f>
        <v>0</v>
      </c>
      <c r="AC147" s="379">
        <f>AC148*AC149</f>
        <v>0</v>
      </c>
      <c r="AD147" s="380">
        <f t="shared" ref="AD147:AN147" si="164">AD148*AD149</f>
        <v>0</v>
      </c>
      <c r="AE147" s="380">
        <f t="shared" si="164"/>
        <v>0</v>
      </c>
      <c r="AF147" s="380">
        <f t="shared" si="164"/>
        <v>0</v>
      </c>
      <c r="AG147" s="380">
        <f t="shared" si="164"/>
        <v>0</v>
      </c>
      <c r="AH147" s="380">
        <f t="shared" si="164"/>
        <v>0</v>
      </c>
      <c r="AI147" s="380">
        <f t="shared" si="164"/>
        <v>0</v>
      </c>
      <c r="AJ147" s="380">
        <f t="shared" si="164"/>
        <v>0</v>
      </c>
      <c r="AK147" s="380">
        <f t="shared" si="164"/>
        <v>0</v>
      </c>
      <c r="AL147" s="380">
        <f t="shared" si="164"/>
        <v>0</v>
      </c>
      <c r="AM147" s="380">
        <f t="shared" si="164"/>
        <v>0</v>
      </c>
      <c r="AN147" s="380">
        <f t="shared" si="164"/>
        <v>0</v>
      </c>
      <c r="AO147" s="354">
        <f>SUM(AC147:AN147)</f>
        <v>0</v>
      </c>
    </row>
    <row r="148" spans="1:41" ht="30" outlineLevel="1">
      <c r="A148" s="283" t="s">
        <v>370</v>
      </c>
      <c r="B148" s="363" t="s">
        <v>259</v>
      </c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59"/>
      <c r="P148" s="366"/>
      <c r="Q148" s="364"/>
      <c r="R148" s="364"/>
      <c r="S148" s="364"/>
      <c r="T148" s="364"/>
      <c r="U148" s="364"/>
      <c r="V148" s="364"/>
      <c r="W148" s="364"/>
      <c r="X148" s="364"/>
      <c r="Y148" s="364"/>
      <c r="Z148" s="364"/>
      <c r="AA148" s="364"/>
      <c r="AB148" s="359"/>
      <c r="AC148" s="366"/>
      <c r="AD148" s="364"/>
      <c r="AE148" s="364"/>
      <c r="AF148" s="364"/>
      <c r="AG148" s="364"/>
      <c r="AH148" s="364"/>
      <c r="AI148" s="364"/>
      <c r="AJ148" s="364"/>
      <c r="AK148" s="364"/>
      <c r="AL148" s="364"/>
      <c r="AM148" s="364"/>
      <c r="AN148" s="364"/>
      <c r="AO148" s="362"/>
    </row>
    <row r="149" spans="1:41" outlineLevel="1">
      <c r="A149" s="283" t="s">
        <v>371</v>
      </c>
      <c r="B149" s="367" t="s">
        <v>261</v>
      </c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59"/>
      <c r="P149" s="366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  <c r="AA149" s="364"/>
      <c r="AB149" s="359"/>
      <c r="AC149" s="366"/>
      <c r="AD149" s="364"/>
      <c r="AE149" s="364"/>
      <c r="AF149" s="364"/>
      <c r="AG149" s="364"/>
      <c r="AH149" s="364"/>
      <c r="AI149" s="364"/>
      <c r="AJ149" s="364"/>
      <c r="AK149" s="364"/>
      <c r="AL149" s="364"/>
      <c r="AM149" s="364"/>
      <c r="AN149" s="364"/>
      <c r="AO149" s="362"/>
    </row>
    <row r="150" spans="1:41" outlineLevel="1">
      <c r="A150" s="283" t="s">
        <v>372</v>
      </c>
      <c r="B150" s="363" t="s">
        <v>263</v>
      </c>
      <c r="C150" s="368" t="e">
        <f>C147/'Продукция и цена '!$C$9</f>
        <v>#DIV/0!</v>
      </c>
      <c r="D150" s="368" t="e">
        <f>D147/'Продукция и цена '!$C$9</f>
        <v>#DIV/0!</v>
      </c>
      <c r="E150" s="368" t="e">
        <f>E147/'Продукция и цена '!$C$9</f>
        <v>#DIV/0!</v>
      </c>
      <c r="F150" s="368" t="e">
        <f>F147/'Продукция и цена '!$C$9</f>
        <v>#DIV/0!</v>
      </c>
      <c r="G150" s="368" t="e">
        <f>G147/'Продукция и цена '!$C$9</f>
        <v>#DIV/0!</v>
      </c>
      <c r="H150" s="368" t="e">
        <f>H147/'Продукция и цена '!$C$9</f>
        <v>#DIV/0!</v>
      </c>
      <c r="I150" s="368" t="e">
        <f>I147/'Продукция и цена '!$C$9</f>
        <v>#DIV/0!</v>
      </c>
      <c r="J150" s="368" t="e">
        <f>J147/'Продукция и цена '!$C$9</f>
        <v>#DIV/0!</v>
      </c>
      <c r="K150" s="368" t="e">
        <f>K147/'Продукция и цена '!$C$9</f>
        <v>#DIV/0!</v>
      </c>
      <c r="L150" s="368" t="e">
        <f>L147/'Продукция и цена '!$C$9</f>
        <v>#DIV/0!</v>
      </c>
      <c r="M150" s="368" t="e">
        <f>M147/'Продукция и цена '!$C$9</f>
        <v>#DIV/0!</v>
      </c>
      <c r="N150" s="368" t="e">
        <f>N147/'Продукция и цена '!$C$9</f>
        <v>#DIV/0!</v>
      </c>
      <c r="O150" s="359" t="e">
        <f>SUM(C150:N150)/12</f>
        <v>#DIV/0!</v>
      </c>
      <c r="P150" s="370" t="e">
        <f>P147/'Продукция и цена '!$D$9</f>
        <v>#DIV/0!</v>
      </c>
      <c r="Q150" s="368" t="e">
        <f>Q147/'Продукция и цена '!$D$9</f>
        <v>#DIV/0!</v>
      </c>
      <c r="R150" s="368" t="e">
        <f>R147/'Продукция и цена '!$D$9</f>
        <v>#DIV/0!</v>
      </c>
      <c r="S150" s="368" t="e">
        <f>S147/'Продукция и цена '!$D$9</f>
        <v>#DIV/0!</v>
      </c>
      <c r="T150" s="368" t="e">
        <f>T147/'Продукция и цена '!$D$9</f>
        <v>#DIV/0!</v>
      </c>
      <c r="U150" s="368" t="e">
        <f>U147/'Продукция и цена '!$D$9</f>
        <v>#DIV/0!</v>
      </c>
      <c r="V150" s="368" t="e">
        <f>V147/'Продукция и цена '!$D$9</f>
        <v>#DIV/0!</v>
      </c>
      <c r="W150" s="368" t="e">
        <f>W147/'Продукция и цена '!$D$9</f>
        <v>#DIV/0!</v>
      </c>
      <c r="X150" s="368" t="e">
        <f>X147/'Продукция и цена '!$D$9</f>
        <v>#DIV/0!</v>
      </c>
      <c r="Y150" s="368" t="e">
        <f>Y147/'Продукция и цена '!$D$9</f>
        <v>#DIV/0!</v>
      </c>
      <c r="Z150" s="368" t="e">
        <f>Z147/'Продукция и цена '!$D$9</f>
        <v>#DIV/0!</v>
      </c>
      <c r="AA150" s="368" t="e">
        <f>AA147/'Продукция и цена '!$D$9</f>
        <v>#DIV/0!</v>
      </c>
      <c r="AB150" s="359" t="e">
        <f>SUM(P150:AA150)/12</f>
        <v>#DIV/0!</v>
      </c>
      <c r="AC150" s="370" t="e">
        <f>AC147/'Продукция и цена '!$E$9</f>
        <v>#DIV/0!</v>
      </c>
      <c r="AD150" s="368" t="e">
        <f>AD147/'Продукция и цена '!$E$9</f>
        <v>#DIV/0!</v>
      </c>
      <c r="AE150" s="368" t="e">
        <f>AE147/'Продукция и цена '!$E$9</f>
        <v>#DIV/0!</v>
      </c>
      <c r="AF150" s="368" t="e">
        <f>AF147/'Продукция и цена '!$E$9</f>
        <v>#DIV/0!</v>
      </c>
      <c r="AG150" s="368" t="e">
        <f>AG147/'Продукция и цена '!$E$9</f>
        <v>#DIV/0!</v>
      </c>
      <c r="AH150" s="368" t="e">
        <f>AH147/'Продукция и цена '!$E$9</f>
        <v>#DIV/0!</v>
      </c>
      <c r="AI150" s="368" t="e">
        <f>AI147/'Продукция и цена '!$E$9</f>
        <v>#DIV/0!</v>
      </c>
      <c r="AJ150" s="368" t="e">
        <f>AJ147/'Продукция и цена '!$E$9</f>
        <v>#DIV/0!</v>
      </c>
      <c r="AK150" s="368" t="e">
        <f>AK147/'Продукция и цена '!$E$9</f>
        <v>#DIV/0!</v>
      </c>
      <c r="AL150" s="368" t="e">
        <f>AL147/'Продукция и цена '!$E$9</f>
        <v>#DIV/0!</v>
      </c>
      <c r="AM150" s="368" t="e">
        <f>AM147/'Продукция и цена '!$E$9</f>
        <v>#DIV/0!</v>
      </c>
      <c r="AN150" s="368" t="e">
        <f>AN147/'Продукция и цена '!$E$9</f>
        <v>#DIV/0!</v>
      </c>
      <c r="AO150" s="362" t="e">
        <f>SUM(AC150:AN150)/12</f>
        <v>#DIV/0!</v>
      </c>
    </row>
    <row r="151" spans="1:41" outlineLevel="1">
      <c r="A151" s="371" t="s">
        <v>373</v>
      </c>
      <c r="B151" s="372" t="s">
        <v>265</v>
      </c>
      <c r="C151" s="373">
        <f>'Продукция и цена '!$C$9</f>
        <v>0</v>
      </c>
      <c r="D151" s="373">
        <f>C151</f>
        <v>0</v>
      </c>
      <c r="E151" s="373">
        <f t="shared" ref="E151:N151" si="165">D151</f>
        <v>0</v>
      </c>
      <c r="F151" s="373">
        <f t="shared" si="165"/>
        <v>0</v>
      </c>
      <c r="G151" s="373">
        <f t="shared" si="165"/>
        <v>0</v>
      </c>
      <c r="H151" s="373">
        <f t="shared" si="165"/>
        <v>0</v>
      </c>
      <c r="I151" s="373">
        <f t="shared" si="165"/>
        <v>0</v>
      </c>
      <c r="J151" s="373">
        <f t="shared" si="165"/>
        <v>0</v>
      </c>
      <c r="K151" s="373">
        <f t="shared" si="165"/>
        <v>0</v>
      </c>
      <c r="L151" s="373">
        <f t="shared" si="165"/>
        <v>0</v>
      </c>
      <c r="M151" s="373">
        <f t="shared" si="165"/>
        <v>0</v>
      </c>
      <c r="N151" s="373">
        <f t="shared" si="165"/>
        <v>0</v>
      </c>
      <c r="O151" s="374">
        <f>SUM(C151:N151)/12</f>
        <v>0</v>
      </c>
      <c r="P151" s="376">
        <f>'Продукция и цена '!$D$9</f>
        <v>0</v>
      </c>
      <c r="Q151" s="373">
        <f>P151</f>
        <v>0</v>
      </c>
      <c r="R151" s="373">
        <f t="shared" ref="R151:AA151" si="166">Q151</f>
        <v>0</v>
      </c>
      <c r="S151" s="373">
        <f t="shared" si="166"/>
        <v>0</v>
      </c>
      <c r="T151" s="373">
        <f t="shared" si="166"/>
        <v>0</v>
      </c>
      <c r="U151" s="373">
        <f t="shared" si="166"/>
        <v>0</v>
      </c>
      <c r="V151" s="373">
        <f t="shared" si="166"/>
        <v>0</v>
      </c>
      <c r="W151" s="373">
        <f t="shared" si="166"/>
        <v>0</v>
      </c>
      <c r="X151" s="373">
        <f t="shared" si="166"/>
        <v>0</v>
      </c>
      <c r="Y151" s="373">
        <f t="shared" si="166"/>
        <v>0</v>
      </c>
      <c r="Z151" s="373">
        <f t="shared" si="166"/>
        <v>0</v>
      </c>
      <c r="AA151" s="373">
        <f t="shared" si="166"/>
        <v>0</v>
      </c>
      <c r="AB151" s="374">
        <f>SUM(P151:AA151)/12</f>
        <v>0</v>
      </c>
      <c r="AC151" s="376">
        <f>'Продукция и цена '!$E$9</f>
        <v>0</v>
      </c>
      <c r="AD151" s="373">
        <f>AC151</f>
        <v>0</v>
      </c>
      <c r="AE151" s="373">
        <f t="shared" ref="AE151:AN151" si="167">AD151</f>
        <v>0</v>
      </c>
      <c r="AF151" s="373">
        <f t="shared" si="167"/>
        <v>0</v>
      </c>
      <c r="AG151" s="373">
        <f t="shared" si="167"/>
        <v>0</v>
      </c>
      <c r="AH151" s="373">
        <f t="shared" si="167"/>
        <v>0</v>
      </c>
      <c r="AI151" s="373">
        <f t="shared" si="167"/>
        <v>0</v>
      </c>
      <c r="AJ151" s="373">
        <f t="shared" si="167"/>
        <v>0</v>
      </c>
      <c r="AK151" s="373">
        <f t="shared" si="167"/>
        <v>0</v>
      </c>
      <c r="AL151" s="373">
        <f t="shared" si="167"/>
        <v>0</v>
      </c>
      <c r="AM151" s="373">
        <f t="shared" si="167"/>
        <v>0</v>
      </c>
      <c r="AN151" s="373">
        <f t="shared" si="167"/>
        <v>0</v>
      </c>
      <c r="AO151" s="377">
        <f>SUM(AC151:AN151)/12</f>
        <v>0</v>
      </c>
    </row>
    <row r="152" spans="1:41" s="346" customFormat="1" ht="14.25" outlineLevel="1">
      <c r="A152" s="378" t="s">
        <v>201</v>
      </c>
      <c r="B152" s="381" t="s">
        <v>250</v>
      </c>
      <c r="C152" s="380">
        <f>C153*C154</f>
        <v>0</v>
      </c>
      <c r="D152" s="380">
        <f t="shared" ref="D152:N152" si="168">D153*D154</f>
        <v>0</v>
      </c>
      <c r="E152" s="380">
        <f t="shared" si="168"/>
        <v>0</v>
      </c>
      <c r="F152" s="380">
        <f t="shared" si="168"/>
        <v>0</v>
      </c>
      <c r="G152" s="380">
        <f t="shared" si="168"/>
        <v>0</v>
      </c>
      <c r="H152" s="380">
        <f t="shared" si="168"/>
        <v>0</v>
      </c>
      <c r="I152" s="380">
        <f t="shared" si="168"/>
        <v>0</v>
      </c>
      <c r="J152" s="380">
        <f t="shared" si="168"/>
        <v>0</v>
      </c>
      <c r="K152" s="380">
        <f t="shared" si="168"/>
        <v>0</v>
      </c>
      <c r="L152" s="380">
        <f t="shared" si="168"/>
        <v>0</v>
      </c>
      <c r="M152" s="380">
        <f t="shared" si="168"/>
        <v>0</v>
      </c>
      <c r="N152" s="380">
        <f t="shared" si="168"/>
        <v>0</v>
      </c>
      <c r="O152" s="352">
        <f>SUM(C152:N152)</f>
        <v>0</v>
      </c>
      <c r="P152" s="379">
        <f>P153*P154</f>
        <v>0</v>
      </c>
      <c r="Q152" s="380">
        <f t="shared" ref="Q152:AA152" si="169">Q153*Q154</f>
        <v>0</v>
      </c>
      <c r="R152" s="380">
        <f t="shared" si="169"/>
        <v>0</v>
      </c>
      <c r="S152" s="380">
        <f t="shared" si="169"/>
        <v>0</v>
      </c>
      <c r="T152" s="380">
        <f t="shared" si="169"/>
        <v>0</v>
      </c>
      <c r="U152" s="380">
        <f t="shared" si="169"/>
        <v>0</v>
      </c>
      <c r="V152" s="380">
        <f t="shared" si="169"/>
        <v>0</v>
      </c>
      <c r="W152" s="380">
        <f t="shared" si="169"/>
        <v>0</v>
      </c>
      <c r="X152" s="380">
        <f t="shared" si="169"/>
        <v>0</v>
      </c>
      <c r="Y152" s="380">
        <f t="shared" si="169"/>
        <v>0</v>
      </c>
      <c r="Z152" s="380">
        <f t="shared" si="169"/>
        <v>0</v>
      </c>
      <c r="AA152" s="380">
        <f t="shared" si="169"/>
        <v>0</v>
      </c>
      <c r="AB152" s="352">
        <f>SUM(P152:AA152)</f>
        <v>0</v>
      </c>
      <c r="AC152" s="379">
        <f>AC153*AC154</f>
        <v>0</v>
      </c>
      <c r="AD152" s="380">
        <f t="shared" ref="AD152:AN152" si="170">AD153*AD154</f>
        <v>0</v>
      </c>
      <c r="AE152" s="380">
        <f t="shared" si="170"/>
        <v>0</v>
      </c>
      <c r="AF152" s="380">
        <f t="shared" si="170"/>
        <v>0</v>
      </c>
      <c r="AG152" s="380">
        <f t="shared" si="170"/>
        <v>0</v>
      </c>
      <c r="AH152" s="380">
        <f t="shared" si="170"/>
        <v>0</v>
      </c>
      <c r="AI152" s="380">
        <f t="shared" si="170"/>
        <v>0</v>
      </c>
      <c r="AJ152" s="380">
        <f t="shared" si="170"/>
        <v>0</v>
      </c>
      <c r="AK152" s="380">
        <f t="shared" si="170"/>
        <v>0</v>
      </c>
      <c r="AL152" s="380">
        <f t="shared" si="170"/>
        <v>0</v>
      </c>
      <c r="AM152" s="380">
        <f t="shared" si="170"/>
        <v>0</v>
      </c>
      <c r="AN152" s="380">
        <f t="shared" si="170"/>
        <v>0</v>
      </c>
      <c r="AO152" s="354">
        <f>SUM(AC152:AN152)</f>
        <v>0</v>
      </c>
    </row>
    <row r="153" spans="1:41" ht="30" outlineLevel="1">
      <c r="A153" s="283" t="s">
        <v>374</v>
      </c>
      <c r="B153" s="363" t="s">
        <v>259</v>
      </c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59"/>
      <c r="P153" s="366"/>
      <c r="Q153" s="364"/>
      <c r="R153" s="364"/>
      <c r="S153" s="364"/>
      <c r="T153" s="364"/>
      <c r="U153" s="364"/>
      <c r="V153" s="364"/>
      <c r="W153" s="364"/>
      <c r="X153" s="364"/>
      <c r="Y153" s="364"/>
      <c r="Z153" s="364"/>
      <c r="AA153" s="364"/>
      <c r="AB153" s="359"/>
      <c r="AC153" s="366"/>
      <c r="AD153" s="364"/>
      <c r="AE153" s="364"/>
      <c r="AF153" s="364"/>
      <c r="AG153" s="364"/>
      <c r="AH153" s="364"/>
      <c r="AI153" s="364"/>
      <c r="AJ153" s="364"/>
      <c r="AK153" s="364"/>
      <c r="AL153" s="364"/>
      <c r="AM153" s="364"/>
      <c r="AN153" s="364"/>
      <c r="AO153" s="362"/>
    </row>
    <row r="154" spans="1:41" outlineLevel="1">
      <c r="A154" s="283" t="s">
        <v>375</v>
      </c>
      <c r="B154" s="367" t="s">
        <v>261</v>
      </c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59"/>
      <c r="P154" s="366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64"/>
      <c r="AB154" s="359"/>
      <c r="AC154" s="366"/>
      <c r="AD154" s="364"/>
      <c r="AE154" s="364"/>
      <c r="AF154" s="364"/>
      <c r="AG154" s="364"/>
      <c r="AH154" s="364"/>
      <c r="AI154" s="364"/>
      <c r="AJ154" s="364"/>
      <c r="AK154" s="364"/>
      <c r="AL154" s="364"/>
      <c r="AM154" s="364"/>
      <c r="AN154" s="364"/>
      <c r="AO154" s="362"/>
    </row>
    <row r="155" spans="1:41" outlineLevel="1">
      <c r="A155" s="283" t="s">
        <v>376</v>
      </c>
      <c r="B155" s="363" t="s">
        <v>263</v>
      </c>
      <c r="C155" s="368" t="e">
        <f>C152/'Продукция и цена '!$C$9</f>
        <v>#DIV/0!</v>
      </c>
      <c r="D155" s="368" t="e">
        <f>D152/'Продукция и цена '!$C$9</f>
        <v>#DIV/0!</v>
      </c>
      <c r="E155" s="368" t="e">
        <f>E152/'Продукция и цена '!$C$9</f>
        <v>#DIV/0!</v>
      </c>
      <c r="F155" s="368" t="e">
        <f>F152/'Продукция и цена '!$C$9</f>
        <v>#DIV/0!</v>
      </c>
      <c r="G155" s="368" t="e">
        <f>G152/'Продукция и цена '!$C$9</f>
        <v>#DIV/0!</v>
      </c>
      <c r="H155" s="368" t="e">
        <f>H152/'Продукция и цена '!$C$9</f>
        <v>#DIV/0!</v>
      </c>
      <c r="I155" s="368" t="e">
        <f>I152/'Продукция и цена '!$C$9</f>
        <v>#DIV/0!</v>
      </c>
      <c r="J155" s="368" t="e">
        <f>J152/'Продукция и цена '!$C$9</f>
        <v>#DIV/0!</v>
      </c>
      <c r="K155" s="368" t="e">
        <f>K152/'Продукция и цена '!$C$9</f>
        <v>#DIV/0!</v>
      </c>
      <c r="L155" s="368" t="e">
        <f>L152/'Продукция и цена '!$C$9</f>
        <v>#DIV/0!</v>
      </c>
      <c r="M155" s="368" t="e">
        <f>M152/'Продукция и цена '!$C$9</f>
        <v>#DIV/0!</v>
      </c>
      <c r="N155" s="368" t="e">
        <f>N152/'Продукция и цена '!$C$9</f>
        <v>#DIV/0!</v>
      </c>
      <c r="O155" s="359" t="e">
        <f>SUM(C155:N155)/12</f>
        <v>#DIV/0!</v>
      </c>
      <c r="P155" s="370" t="e">
        <f>P152/'Продукция и цена '!$D$9</f>
        <v>#DIV/0!</v>
      </c>
      <c r="Q155" s="368" t="e">
        <f>Q152/'Продукция и цена '!$D$9</f>
        <v>#DIV/0!</v>
      </c>
      <c r="R155" s="368" t="e">
        <f>R152/'Продукция и цена '!$D$9</f>
        <v>#DIV/0!</v>
      </c>
      <c r="S155" s="368" t="e">
        <f>S152/'Продукция и цена '!$D$9</f>
        <v>#DIV/0!</v>
      </c>
      <c r="T155" s="368" t="e">
        <f>T152/'Продукция и цена '!$D$9</f>
        <v>#DIV/0!</v>
      </c>
      <c r="U155" s="368" t="e">
        <f>U152/'Продукция и цена '!$D$9</f>
        <v>#DIV/0!</v>
      </c>
      <c r="V155" s="368" t="e">
        <f>V152/'Продукция и цена '!$D$9</f>
        <v>#DIV/0!</v>
      </c>
      <c r="W155" s="368" t="e">
        <f>W152/'Продукция и цена '!$D$9</f>
        <v>#DIV/0!</v>
      </c>
      <c r="X155" s="368" t="e">
        <f>X152/'Продукция и цена '!$D$9</f>
        <v>#DIV/0!</v>
      </c>
      <c r="Y155" s="368" t="e">
        <f>Y152/'Продукция и цена '!$D$9</f>
        <v>#DIV/0!</v>
      </c>
      <c r="Z155" s="368" t="e">
        <f>Z152/'Продукция и цена '!$D$9</f>
        <v>#DIV/0!</v>
      </c>
      <c r="AA155" s="368" t="e">
        <f>AA152/'Продукция и цена '!$D$9</f>
        <v>#DIV/0!</v>
      </c>
      <c r="AB155" s="359" t="e">
        <f>SUM(P155:AA155)/12</f>
        <v>#DIV/0!</v>
      </c>
      <c r="AC155" s="370" t="e">
        <f>AC152/'Продукция и цена '!$E$9</f>
        <v>#DIV/0!</v>
      </c>
      <c r="AD155" s="368" t="e">
        <f>AD152/'Продукция и цена '!$E$9</f>
        <v>#DIV/0!</v>
      </c>
      <c r="AE155" s="368" t="e">
        <f>AE152/'Продукция и цена '!$E$9</f>
        <v>#DIV/0!</v>
      </c>
      <c r="AF155" s="368" t="e">
        <f>AF152/'Продукция и цена '!$E$9</f>
        <v>#DIV/0!</v>
      </c>
      <c r="AG155" s="368" t="e">
        <f>AG152/'Продукция и цена '!$E$9</f>
        <v>#DIV/0!</v>
      </c>
      <c r="AH155" s="368" t="e">
        <f>AH152/'Продукция и цена '!$E$9</f>
        <v>#DIV/0!</v>
      </c>
      <c r="AI155" s="368" t="e">
        <f>AI152/'Продукция и цена '!$E$9</f>
        <v>#DIV/0!</v>
      </c>
      <c r="AJ155" s="368" t="e">
        <f>AJ152/'Продукция и цена '!$E$9</f>
        <v>#DIV/0!</v>
      </c>
      <c r="AK155" s="368" t="e">
        <f>AK152/'Продукция и цена '!$E$9</f>
        <v>#DIV/0!</v>
      </c>
      <c r="AL155" s="368" t="e">
        <f>AL152/'Продукция и цена '!$E$9</f>
        <v>#DIV/0!</v>
      </c>
      <c r="AM155" s="368" t="e">
        <f>AM152/'Продукция и цена '!$E$9</f>
        <v>#DIV/0!</v>
      </c>
      <c r="AN155" s="368" t="e">
        <f>AN152/'Продукция и цена '!$E$9</f>
        <v>#DIV/0!</v>
      </c>
      <c r="AO155" s="362" t="e">
        <f>SUM(AC155:AN155)/12</f>
        <v>#DIV/0!</v>
      </c>
    </row>
    <row r="156" spans="1:41" outlineLevel="1">
      <c r="A156" s="371" t="s">
        <v>377</v>
      </c>
      <c r="B156" s="372" t="s">
        <v>265</v>
      </c>
      <c r="C156" s="373">
        <f>'Продукция и цена '!$C$9</f>
        <v>0</v>
      </c>
      <c r="D156" s="373">
        <f>C156</f>
        <v>0</v>
      </c>
      <c r="E156" s="373">
        <f t="shared" ref="E156:N156" si="171">D156</f>
        <v>0</v>
      </c>
      <c r="F156" s="373">
        <f t="shared" si="171"/>
        <v>0</v>
      </c>
      <c r="G156" s="373">
        <f t="shared" si="171"/>
        <v>0</v>
      </c>
      <c r="H156" s="373">
        <f t="shared" si="171"/>
        <v>0</v>
      </c>
      <c r="I156" s="373">
        <f t="shared" si="171"/>
        <v>0</v>
      </c>
      <c r="J156" s="373">
        <f t="shared" si="171"/>
        <v>0</v>
      </c>
      <c r="K156" s="373">
        <f t="shared" si="171"/>
        <v>0</v>
      </c>
      <c r="L156" s="373">
        <f t="shared" si="171"/>
        <v>0</v>
      </c>
      <c r="M156" s="373">
        <f t="shared" si="171"/>
        <v>0</v>
      </c>
      <c r="N156" s="373">
        <f t="shared" si="171"/>
        <v>0</v>
      </c>
      <c r="O156" s="374">
        <f>SUM(C156:N156)/12</f>
        <v>0</v>
      </c>
      <c r="P156" s="376">
        <f>'Продукция и цена '!$D$9</f>
        <v>0</v>
      </c>
      <c r="Q156" s="373">
        <f>P156</f>
        <v>0</v>
      </c>
      <c r="R156" s="373">
        <f t="shared" ref="R156:AA156" si="172">Q156</f>
        <v>0</v>
      </c>
      <c r="S156" s="373">
        <f t="shared" si="172"/>
        <v>0</v>
      </c>
      <c r="T156" s="373">
        <f t="shared" si="172"/>
        <v>0</v>
      </c>
      <c r="U156" s="373">
        <f t="shared" si="172"/>
        <v>0</v>
      </c>
      <c r="V156" s="373">
        <f t="shared" si="172"/>
        <v>0</v>
      </c>
      <c r="W156" s="373">
        <f t="shared" si="172"/>
        <v>0</v>
      </c>
      <c r="X156" s="373">
        <f t="shared" si="172"/>
        <v>0</v>
      </c>
      <c r="Y156" s="373">
        <f t="shared" si="172"/>
        <v>0</v>
      </c>
      <c r="Z156" s="373">
        <f t="shared" si="172"/>
        <v>0</v>
      </c>
      <c r="AA156" s="373">
        <f t="shared" si="172"/>
        <v>0</v>
      </c>
      <c r="AB156" s="374">
        <f>SUM(P156:AA156)/12</f>
        <v>0</v>
      </c>
      <c r="AC156" s="376">
        <f>'Продукция и цена '!$E$9</f>
        <v>0</v>
      </c>
      <c r="AD156" s="373">
        <f>AC156</f>
        <v>0</v>
      </c>
      <c r="AE156" s="373">
        <f t="shared" ref="AE156:AN156" si="173">AD156</f>
        <v>0</v>
      </c>
      <c r="AF156" s="373">
        <f t="shared" si="173"/>
        <v>0</v>
      </c>
      <c r="AG156" s="373">
        <f t="shared" si="173"/>
        <v>0</v>
      </c>
      <c r="AH156" s="373">
        <f t="shared" si="173"/>
        <v>0</v>
      </c>
      <c r="AI156" s="373">
        <f t="shared" si="173"/>
        <v>0</v>
      </c>
      <c r="AJ156" s="373">
        <f t="shared" si="173"/>
        <v>0</v>
      </c>
      <c r="AK156" s="373">
        <f t="shared" si="173"/>
        <v>0</v>
      </c>
      <c r="AL156" s="373">
        <f t="shared" si="173"/>
        <v>0</v>
      </c>
      <c r="AM156" s="373">
        <f t="shared" si="173"/>
        <v>0</v>
      </c>
      <c r="AN156" s="373">
        <f t="shared" si="173"/>
        <v>0</v>
      </c>
      <c r="AO156" s="377">
        <f>SUM(AC156:AN156)/12</f>
        <v>0</v>
      </c>
    </row>
    <row r="157" spans="1:41" s="346" customFormat="1" ht="14.25" outlineLevel="1">
      <c r="A157" s="378" t="s">
        <v>202</v>
      </c>
      <c r="B157" s="381" t="s">
        <v>251</v>
      </c>
      <c r="C157" s="380">
        <f>C158*C159</f>
        <v>0</v>
      </c>
      <c r="D157" s="380">
        <f t="shared" ref="D157:N157" si="174">D158*D159</f>
        <v>0</v>
      </c>
      <c r="E157" s="380">
        <f t="shared" si="174"/>
        <v>0</v>
      </c>
      <c r="F157" s="380">
        <f t="shared" si="174"/>
        <v>0</v>
      </c>
      <c r="G157" s="380">
        <f t="shared" si="174"/>
        <v>0</v>
      </c>
      <c r="H157" s="380">
        <f t="shared" si="174"/>
        <v>0</v>
      </c>
      <c r="I157" s="380">
        <f t="shared" si="174"/>
        <v>0</v>
      </c>
      <c r="J157" s="380">
        <f t="shared" si="174"/>
        <v>0</v>
      </c>
      <c r="K157" s="380">
        <f t="shared" si="174"/>
        <v>0</v>
      </c>
      <c r="L157" s="380">
        <f t="shared" si="174"/>
        <v>0</v>
      </c>
      <c r="M157" s="380">
        <f t="shared" si="174"/>
        <v>0</v>
      </c>
      <c r="N157" s="380">
        <f t="shared" si="174"/>
        <v>0</v>
      </c>
      <c r="O157" s="352">
        <f>SUM(C157:N157)</f>
        <v>0</v>
      </c>
      <c r="P157" s="379">
        <f>P158*P159</f>
        <v>0</v>
      </c>
      <c r="Q157" s="380">
        <f t="shared" ref="Q157:AA157" si="175">Q158*Q159</f>
        <v>0</v>
      </c>
      <c r="R157" s="380">
        <f t="shared" si="175"/>
        <v>0</v>
      </c>
      <c r="S157" s="380">
        <f t="shared" si="175"/>
        <v>0</v>
      </c>
      <c r="T157" s="380">
        <f t="shared" si="175"/>
        <v>0</v>
      </c>
      <c r="U157" s="380">
        <f t="shared" si="175"/>
        <v>0</v>
      </c>
      <c r="V157" s="380">
        <f t="shared" si="175"/>
        <v>0</v>
      </c>
      <c r="W157" s="380">
        <f t="shared" si="175"/>
        <v>0</v>
      </c>
      <c r="X157" s="380">
        <f t="shared" si="175"/>
        <v>0</v>
      </c>
      <c r="Y157" s="380">
        <f t="shared" si="175"/>
        <v>0</v>
      </c>
      <c r="Z157" s="380">
        <f t="shared" si="175"/>
        <v>0</v>
      </c>
      <c r="AA157" s="380">
        <f t="shared" si="175"/>
        <v>0</v>
      </c>
      <c r="AB157" s="352">
        <f>SUM(P157:AA157)</f>
        <v>0</v>
      </c>
      <c r="AC157" s="379">
        <f>AC158*AC159</f>
        <v>0</v>
      </c>
      <c r="AD157" s="380">
        <f t="shared" ref="AD157:AN157" si="176">AD158*AD159</f>
        <v>0</v>
      </c>
      <c r="AE157" s="380">
        <f t="shared" si="176"/>
        <v>0</v>
      </c>
      <c r="AF157" s="380">
        <f t="shared" si="176"/>
        <v>0</v>
      </c>
      <c r="AG157" s="380">
        <f t="shared" si="176"/>
        <v>0</v>
      </c>
      <c r="AH157" s="380">
        <f t="shared" si="176"/>
        <v>0</v>
      </c>
      <c r="AI157" s="380">
        <f t="shared" si="176"/>
        <v>0</v>
      </c>
      <c r="AJ157" s="380">
        <f t="shared" si="176"/>
        <v>0</v>
      </c>
      <c r="AK157" s="380">
        <f t="shared" si="176"/>
        <v>0</v>
      </c>
      <c r="AL157" s="380">
        <f t="shared" si="176"/>
        <v>0</v>
      </c>
      <c r="AM157" s="380">
        <f t="shared" si="176"/>
        <v>0</v>
      </c>
      <c r="AN157" s="380">
        <f t="shared" si="176"/>
        <v>0</v>
      </c>
      <c r="AO157" s="354">
        <f>SUM(AC157:AN157)</f>
        <v>0</v>
      </c>
    </row>
    <row r="158" spans="1:41" ht="30" outlineLevel="1">
      <c r="A158" s="283" t="s">
        <v>378</v>
      </c>
      <c r="B158" s="363" t="s">
        <v>259</v>
      </c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59"/>
      <c r="P158" s="366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  <c r="AA158" s="364"/>
      <c r="AB158" s="359"/>
      <c r="AC158" s="366"/>
      <c r="AD158" s="364"/>
      <c r="AE158" s="364"/>
      <c r="AF158" s="364"/>
      <c r="AG158" s="364"/>
      <c r="AH158" s="364"/>
      <c r="AI158" s="364"/>
      <c r="AJ158" s="364"/>
      <c r="AK158" s="364"/>
      <c r="AL158" s="364"/>
      <c r="AM158" s="364"/>
      <c r="AN158" s="364"/>
      <c r="AO158" s="362"/>
    </row>
    <row r="159" spans="1:41" outlineLevel="1">
      <c r="A159" s="283" t="s">
        <v>379</v>
      </c>
      <c r="B159" s="367" t="s">
        <v>261</v>
      </c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59"/>
      <c r="P159" s="366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  <c r="AA159" s="364"/>
      <c r="AB159" s="359"/>
      <c r="AC159" s="366"/>
      <c r="AD159" s="364"/>
      <c r="AE159" s="364"/>
      <c r="AF159" s="364"/>
      <c r="AG159" s="364"/>
      <c r="AH159" s="364"/>
      <c r="AI159" s="364"/>
      <c r="AJ159" s="364"/>
      <c r="AK159" s="364"/>
      <c r="AL159" s="364"/>
      <c r="AM159" s="364"/>
      <c r="AN159" s="364"/>
      <c r="AO159" s="362"/>
    </row>
    <row r="160" spans="1:41" outlineLevel="1">
      <c r="A160" s="283" t="s">
        <v>380</v>
      </c>
      <c r="B160" s="363" t="s">
        <v>263</v>
      </c>
      <c r="C160" s="368" t="e">
        <f>C157/'Продукция и цена '!$C$9</f>
        <v>#DIV/0!</v>
      </c>
      <c r="D160" s="368" t="e">
        <f>D157/'Продукция и цена '!$C$9</f>
        <v>#DIV/0!</v>
      </c>
      <c r="E160" s="368" t="e">
        <f>E157/'Продукция и цена '!$C$9</f>
        <v>#DIV/0!</v>
      </c>
      <c r="F160" s="368" t="e">
        <f>F157/'Продукция и цена '!$C$9</f>
        <v>#DIV/0!</v>
      </c>
      <c r="G160" s="368" t="e">
        <f>G157/'Продукция и цена '!$C$9</f>
        <v>#DIV/0!</v>
      </c>
      <c r="H160" s="368" t="e">
        <f>H157/'Продукция и цена '!$C$9</f>
        <v>#DIV/0!</v>
      </c>
      <c r="I160" s="368" t="e">
        <f>I157/'Продукция и цена '!$C$9</f>
        <v>#DIV/0!</v>
      </c>
      <c r="J160" s="368" t="e">
        <f>J157/'Продукция и цена '!$C$9</f>
        <v>#DIV/0!</v>
      </c>
      <c r="K160" s="368" t="e">
        <f>K157/'Продукция и цена '!$C$9</f>
        <v>#DIV/0!</v>
      </c>
      <c r="L160" s="368" t="e">
        <f>L157/'Продукция и цена '!$C$9</f>
        <v>#DIV/0!</v>
      </c>
      <c r="M160" s="368" t="e">
        <f>M157/'Продукция и цена '!$C$9</f>
        <v>#DIV/0!</v>
      </c>
      <c r="N160" s="368" t="e">
        <f>N157/'Продукция и цена '!$C$9</f>
        <v>#DIV/0!</v>
      </c>
      <c r="O160" s="359" t="e">
        <f>SUM(C160:N160)/12</f>
        <v>#DIV/0!</v>
      </c>
      <c r="P160" s="370" t="e">
        <f>P157/'Продукция и цена '!$D$9</f>
        <v>#DIV/0!</v>
      </c>
      <c r="Q160" s="368" t="e">
        <f>Q157/'Продукция и цена '!$D$9</f>
        <v>#DIV/0!</v>
      </c>
      <c r="R160" s="368" t="e">
        <f>R157/'Продукция и цена '!$D$9</f>
        <v>#DIV/0!</v>
      </c>
      <c r="S160" s="368" t="e">
        <f>S157/'Продукция и цена '!$D$9</f>
        <v>#DIV/0!</v>
      </c>
      <c r="T160" s="368" t="e">
        <f>T157/'Продукция и цена '!$D$9</f>
        <v>#DIV/0!</v>
      </c>
      <c r="U160" s="368" t="e">
        <f>U157/'Продукция и цена '!$D$9</f>
        <v>#DIV/0!</v>
      </c>
      <c r="V160" s="368" t="e">
        <f>V157/'Продукция и цена '!$D$9</f>
        <v>#DIV/0!</v>
      </c>
      <c r="W160" s="368" t="e">
        <f>W157/'Продукция и цена '!$D$9</f>
        <v>#DIV/0!</v>
      </c>
      <c r="X160" s="368" t="e">
        <f>X157/'Продукция и цена '!$D$9</f>
        <v>#DIV/0!</v>
      </c>
      <c r="Y160" s="368" t="e">
        <f>Y157/'Продукция и цена '!$D$9</f>
        <v>#DIV/0!</v>
      </c>
      <c r="Z160" s="368" t="e">
        <f>Z157/'Продукция и цена '!$D$9</f>
        <v>#DIV/0!</v>
      </c>
      <c r="AA160" s="368" t="e">
        <f>AA157/'Продукция и цена '!$D$9</f>
        <v>#DIV/0!</v>
      </c>
      <c r="AB160" s="359" t="e">
        <f>SUM(P160:AA160)/12</f>
        <v>#DIV/0!</v>
      </c>
      <c r="AC160" s="370" t="e">
        <f>AC157/'Продукция и цена '!$E$9</f>
        <v>#DIV/0!</v>
      </c>
      <c r="AD160" s="368" t="e">
        <f>AD157/'Продукция и цена '!$E$9</f>
        <v>#DIV/0!</v>
      </c>
      <c r="AE160" s="368" t="e">
        <f>AE157/'Продукция и цена '!$E$9</f>
        <v>#DIV/0!</v>
      </c>
      <c r="AF160" s="368" t="e">
        <f>AF157/'Продукция и цена '!$E$9</f>
        <v>#DIV/0!</v>
      </c>
      <c r="AG160" s="368" t="e">
        <f>AG157/'Продукция и цена '!$E$9</f>
        <v>#DIV/0!</v>
      </c>
      <c r="AH160" s="368" t="e">
        <f>AH157/'Продукция и цена '!$E$9</f>
        <v>#DIV/0!</v>
      </c>
      <c r="AI160" s="368" t="e">
        <f>AI157/'Продукция и цена '!$E$9</f>
        <v>#DIV/0!</v>
      </c>
      <c r="AJ160" s="368" t="e">
        <f>AJ157/'Продукция и цена '!$E$9</f>
        <v>#DIV/0!</v>
      </c>
      <c r="AK160" s="368" t="e">
        <f>AK157/'Продукция и цена '!$E$9</f>
        <v>#DIV/0!</v>
      </c>
      <c r="AL160" s="368" t="e">
        <f>AL157/'Продукция и цена '!$E$9</f>
        <v>#DIV/0!</v>
      </c>
      <c r="AM160" s="368" t="e">
        <f>AM157/'Продукция и цена '!$E$9</f>
        <v>#DIV/0!</v>
      </c>
      <c r="AN160" s="368" t="e">
        <f>AN157/'Продукция и цена '!$E$9</f>
        <v>#DIV/0!</v>
      </c>
      <c r="AO160" s="362" t="e">
        <f>SUM(AC160:AN160)/12</f>
        <v>#DIV/0!</v>
      </c>
    </row>
    <row r="161" spans="1:41" outlineLevel="1">
      <c r="A161" s="371" t="s">
        <v>381</v>
      </c>
      <c r="B161" s="372" t="s">
        <v>265</v>
      </c>
      <c r="C161" s="373">
        <f>'Продукция и цена '!$C$9</f>
        <v>0</v>
      </c>
      <c r="D161" s="373">
        <f>C161</f>
        <v>0</v>
      </c>
      <c r="E161" s="373">
        <f t="shared" ref="E161:N161" si="177">D161</f>
        <v>0</v>
      </c>
      <c r="F161" s="373">
        <f t="shared" si="177"/>
        <v>0</v>
      </c>
      <c r="G161" s="373">
        <f t="shared" si="177"/>
        <v>0</v>
      </c>
      <c r="H161" s="373">
        <f t="shared" si="177"/>
        <v>0</v>
      </c>
      <c r="I161" s="373">
        <f t="shared" si="177"/>
        <v>0</v>
      </c>
      <c r="J161" s="373">
        <f t="shared" si="177"/>
        <v>0</v>
      </c>
      <c r="K161" s="373">
        <f t="shared" si="177"/>
        <v>0</v>
      </c>
      <c r="L161" s="373">
        <f t="shared" si="177"/>
        <v>0</v>
      </c>
      <c r="M161" s="373">
        <f t="shared" si="177"/>
        <v>0</v>
      </c>
      <c r="N161" s="373">
        <f t="shared" si="177"/>
        <v>0</v>
      </c>
      <c r="O161" s="374">
        <f>SUM(C161:N161)/12</f>
        <v>0</v>
      </c>
      <c r="P161" s="376">
        <f>'Продукция и цена '!$D$9</f>
        <v>0</v>
      </c>
      <c r="Q161" s="373">
        <f>P161</f>
        <v>0</v>
      </c>
      <c r="R161" s="373">
        <f t="shared" ref="R161:AA161" si="178">Q161</f>
        <v>0</v>
      </c>
      <c r="S161" s="373">
        <f t="shared" si="178"/>
        <v>0</v>
      </c>
      <c r="T161" s="373">
        <f t="shared" si="178"/>
        <v>0</v>
      </c>
      <c r="U161" s="373">
        <f t="shared" si="178"/>
        <v>0</v>
      </c>
      <c r="V161" s="373">
        <f t="shared" si="178"/>
        <v>0</v>
      </c>
      <c r="W161" s="373">
        <f t="shared" si="178"/>
        <v>0</v>
      </c>
      <c r="X161" s="373">
        <f t="shared" si="178"/>
        <v>0</v>
      </c>
      <c r="Y161" s="373">
        <f t="shared" si="178"/>
        <v>0</v>
      </c>
      <c r="Z161" s="373">
        <f t="shared" si="178"/>
        <v>0</v>
      </c>
      <c r="AA161" s="373">
        <f t="shared" si="178"/>
        <v>0</v>
      </c>
      <c r="AB161" s="374">
        <f>SUM(P161:AA161)/12</f>
        <v>0</v>
      </c>
      <c r="AC161" s="376">
        <f>'Продукция и цена '!$E$9</f>
        <v>0</v>
      </c>
      <c r="AD161" s="373">
        <f>AC161</f>
        <v>0</v>
      </c>
      <c r="AE161" s="373">
        <f t="shared" ref="AE161:AN161" si="179">AD161</f>
        <v>0</v>
      </c>
      <c r="AF161" s="373">
        <f t="shared" si="179"/>
        <v>0</v>
      </c>
      <c r="AG161" s="373">
        <f t="shared" si="179"/>
        <v>0</v>
      </c>
      <c r="AH161" s="373">
        <f t="shared" si="179"/>
        <v>0</v>
      </c>
      <c r="AI161" s="373">
        <f t="shared" si="179"/>
        <v>0</v>
      </c>
      <c r="AJ161" s="373">
        <f t="shared" si="179"/>
        <v>0</v>
      </c>
      <c r="AK161" s="373">
        <f t="shared" si="179"/>
        <v>0</v>
      </c>
      <c r="AL161" s="373">
        <f t="shared" si="179"/>
        <v>0</v>
      </c>
      <c r="AM161" s="373">
        <f t="shared" si="179"/>
        <v>0</v>
      </c>
      <c r="AN161" s="373">
        <f t="shared" si="179"/>
        <v>0</v>
      </c>
      <c r="AO161" s="377">
        <f>SUM(AC161:AN161)/12</f>
        <v>0</v>
      </c>
    </row>
    <row r="162" spans="1:41" s="346" customFormat="1" ht="14.25">
      <c r="A162" s="349">
        <v>7</v>
      </c>
      <c r="B162" s="350">
        <f>'Продукция и цена '!A10</f>
        <v>0</v>
      </c>
      <c r="C162" s="351">
        <f>(C163+C168+C173+C178+C183)*Продажи!B11</f>
        <v>0</v>
      </c>
      <c r="D162" s="351">
        <f>(D163+D168+D173+D178+D183)*Продажи!C11</f>
        <v>0</v>
      </c>
      <c r="E162" s="351">
        <f>(E163+E168+E173+E178+E183)*Продажи!D11</f>
        <v>0</v>
      </c>
      <c r="F162" s="351">
        <f>(F163+F168+F173+F178+F183)*Продажи!E11</f>
        <v>0</v>
      </c>
      <c r="G162" s="351">
        <f>(G163+G168+G173+G178+G183)*Продажи!F11</f>
        <v>0</v>
      </c>
      <c r="H162" s="351">
        <f>(H163+H168+H173+H178+H183)*Продажи!G11</f>
        <v>0</v>
      </c>
      <c r="I162" s="351">
        <f>(I163+I168+I173+I178+I183)*Продажи!H11</f>
        <v>0</v>
      </c>
      <c r="J162" s="351">
        <f>(J163+J168+J173+J178+J183)*Продажи!I11</f>
        <v>0</v>
      </c>
      <c r="K162" s="351">
        <f>(K163+K168+K173+K178+K183)*Продажи!J11</f>
        <v>0</v>
      </c>
      <c r="L162" s="351">
        <f>(L163+L168+L173+L178+L183)*Продажи!K11</f>
        <v>0</v>
      </c>
      <c r="M162" s="351">
        <f>(M163+M168+M173+M178+M183)*Продажи!L11</f>
        <v>0</v>
      </c>
      <c r="N162" s="351">
        <f>(N163+N168+N173+N178+N183)*Продажи!M11</f>
        <v>0</v>
      </c>
      <c r="O162" s="352">
        <f>SUM(C162:N162)</f>
        <v>0</v>
      </c>
      <c r="P162" s="353">
        <f>(P163+P168+P173+P178+P183)*Продажи!O11</f>
        <v>0</v>
      </c>
      <c r="Q162" s="351">
        <f>(Q163+Q168+Q173+Q178+Q183)*Продажи!P11</f>
        <v>0</v>
      </c>
      <c r="R162" s="351">
        <f>(R163+R168+R173+R178+R183)*Продажи!Q11</f>
        <v>0</v>
      </c>
      <c r="S162" s="351">
        <f>(S163+S168+S173+S178+S183)*Продажи!R11</f>
        <v>0</v>
      </c>
      <c r="T162" s="351">
        <f>(T163+T168+T173+T178+T183)*Продажи!S11</f>
        <v>0</v>
      </c>
      <c r="U162" s="351">
        <f>(U163+U168+U173+U178+U183)*Продажи!T11</f>
        <v>0</v>
      </c>
      <c r="V162" s="351">
        <f>(V163+V168+V173+V178+V183)*Продажи!U11</f>
        <v>0</v>
      </c>
      <c r="W162" s="351">
        <f>(W163+W168+W173+W178+W183)*Продажи!V11</f>
        <v>0</v>
      </c>
      <c r="X162" s="351">
        <f>(X163+X168+X173+X178+X183)*Продажи!W11</f>
        <v>0</v>
      </c>
      <c r="Y162" s="351">
        <f>(Y163+Y168+Y173+Y178+Y183)*Продажи!X11</f>
        <v>0</v>
      </c>
      <c r="Z162" s="351">
        <f>(Z163+Z168+Z173+Z178+Z183)*Продажи!Y11</f>
        <v>0</v>
      </c>
      <c r="AA162" s="351">
        <f>(AA163+AA168+AA173+AA178+AA183)*Продажи!Z11</f>
        <v>0</v>
      </c>
      <c r="AB162" s="354">
        <f>SUM(P162:AA162)</f>
        <v>0</v>
      </c>
      <c r="AC162" s="355">
        <f>(AC163+AC168+AC173+AC178+AC183)*Продажи!AB11</f>
        <v>0</v>
      </c>
      <c r="AD162" s="351">
        <f>(AD163+AD168+AD173+AD178+AD183)*Продажи!AC11</f>
        <v>0</v>
      </c>
      <c r="AE162" s="351">
        <f>(AE163+AE168+AE173+AE178+AE183)*Продажи!AD11</f>
        <v>0</v>
      </c>
      <c r="AF162" s="351">
        <f>(AF163+AF168+AF173+AF178+AF183)*Продажи!AE11</f>
        <v>0</v>
      </c>
      <c r="AG162" s="351">
        <f>(AG163+AG168+AG173+AG178+AG183)*Продажи!AF11</f>
        <v>0</v>
      </c>
      <c r="AH162" s="351">
        <f>(AH163+AH168+AH173+AH178+AH183)*Продажи!AG11</f>
        <v>0</v>
      </c>
      <c r="AI162" s="351">
        <f>(AI163+AI168+AI173+AI178+AI183)*Продажи!AH11</f>
        <v>0</v>
      </c>
      <c r="AJ162" s="351">
        <f>(AJ163+AJ168+AJ173+AJ178+AJ183)*Продажи!AI11</f>
        <v>0</v>
      </c>
      <c r="AK162" s="351">
        <f>(AK163+AK168+AK173+AK178+AK183)*Продажи!AJ11</f>
        <v>0</v>
      </c>
      <c r="AL162" s="351">
        <f>(AL163+AL168+AL173+AL178+AL183)*Продажи!AK11</f>
        <v>0</v>
      </c>
      <c r="AM162" s="351">
        <f>(AM163+AM168+AM173+AM178+AM183)*Продажи!AL11</f>
        <v>0</v>
      </c>
      <c r="AN162" s="351">
        <f>(AN163+AN168+AN173+AN178+AN183)*Продажи!AM11</f>
        <v>0</v>
      </c>
      <c r="AO162" s="354">
        <f>SUM(AC162:AN162)</f>
        <v>0</v>
      </c>
    </row>
    <row r="163" spans="1:41" s="346" customFormat="1" ht="14.25" outlineLevel="1">
      <c r="A163" s="356" t="s">
        <v>209</v>
      </c>
      <c r="B163" s="357" t="s">
        <v>247</v>
      </c>
      <c r="C163" s="358">
        <f>C164*C165</f>
        <v>0</v>
      </c>
      <c r="D163" s="358">
        <f t="shared" ref="D163:N163" si="180">D164*D165</f>
        <v>0</v>
      </c>
      <c r="E163" s="358">
        <f t="shared" si="180"/>
        <v>0</v>
      </c>
      <c r="F163" s="358">
        <f t="shared" si="180"/>
        <v>0</v>
      </c>
      <c r="G163" s="358">
        <f t="shared" si="180"/>
        <v>0</v>
      </c>
      <c r="H163" s="358">
        <f t="shared" si="180"/>
        <v>0</v>
      </c>
      <c r="I163" s="358">
        <f t="shared" si="180"/>
        <v>0</v>
      </c>
      <c r="J163" s="358">
        <f t="shared" si="180"/>
        <v>0</v>
      </c>
      <c r="K163" s="358">
        <f t="shared" si="180"/>
        <v>0</v>
      </c>
      <c r="L163" s="358">
        <f t="shared" si="180"/>
        <v>0</v>
      </c>
      <c r="M163" s="358">
        <f t="shared" si="180"/>
        <v>0</v>
      </c>
      <c r="N163" s="358">
        <f t="shared" si="180"/>
        <v>0</v>
      </c>
      <c r="O163" s="359">
        <f>SUM(C163:N163)</f>
        <v>0</v>
      </c>
      <c r="P163" s="360">
        <f>P164*P165</f>
        <v>0</v>
      </c>
      <c r="Q163" s="358">
        <f t="shared" ref="Q163:AA163" si="181">Q164*Q165</f>
        <v>0</v>
      </c>
      <c r="R163" s="358">
        <f t="shared" si="181"/>
        <v>0</v>
      </c>
      <c r="S163" s="358">
        <f t="shared" si="181"/>
        <v>0</v>
      </c>
      <c r="T163" s="358">
        <f t="shared" si="181"/>
        <v>0</v>
      </c>
      <c r="U163" s="358">
        <f t="shared" si="181"/>
        <v>0</v>
      </c>
      <c r="V163" s="358">
        <f t="shared" si="181"/>
        <v>0</v>
      </c>
      <c r="W163" s="358">
        <f t="shared" si="181"/>
        <v>0</v>
      </c>
      <c r="X163" s="358">
        <f t="shared" si="181"/>
        <v>0</v>
      </c>
      <c r="Y163" s="358">
        <f t="shared" si="181"/>
        <v>0</v>
      </c>
      <c r="Z163" s="358">
        <f t="shared" si="181"/>
        <v>0</v>
      </c>
      <c r="AA163" s="358">
        <f t="shared" si="181"/>
        <v>0</v>
      </c>
      <c r="AB163" s="359">
        <f>SUM(P163:AA163)</f>
        <v>0</v>
      </c>
      <c r="AC163" s="361">
        <f>AC164*AC165</f>
        <v>0</v>
      </c>
      <c r="AD163" s="358">
        <f t="shared" ref="AD163:AN163" si="182">AD164*AD165</f>
        <v>0</v>
      </c>
      <c r="AE163" s="358">
        <f t="shared" si="182"/>
        <v>0</v>
      </c>
      <c r="AF163" s="358">
        <f t="shared" si="182"/>
        <v>0</v>
      </c>
      <c r="AG163" s="358">
        <f t="shared" si="182"/>
        <v>0</v>
      </c>
      <c r="AH163" s="358">
        <f t="shared" si="182"/>
        <v>0</v>
      </c>
      <c r="AI163" s="358">
        <f t="shared" si="182"/>
        <v>0</v>
      </c>
      <c r="AJ163" s="358">
        <f t="shared" si="182"/>
        <v>0</v>
      </c>
      <c r="AK163" s="358">
        <f t="shared" si="182"/>
        <v>0</v>
      </c>
      <c r="AL163" s="358">
        <f t="shared" si="182"/>
        <v>0</v>
      </c>
      <c r="AM163" s="358">
        <f t="shared" si="182"/>
        <v>0</v>
      </c>
      <c r="AN163" s="358">
        <f t="shared" si="182"/>
        <v>0</v>
      </c>
      <c r="AO163" s="362">
        <f>SUM(AC163:AN163)</f>
        <v>0</v>
      </c>
    </row>
    <row r="164" spans="1:41" ht="30" outlineLevel="1">
      <c r="A164" s="283" t="s">
        <v>382</v>
      </c>
      <c r="B164" s="363" t="s">
        <v>259</v>
      </c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59"/>
      <c r="P164" s="365"/>
      <c r="Q164" s="364"/>
      <c r="R164" s="364"/>
      <c r="S164" s="364"/>
      <c r="T164" s="364"/>
      <c r="U164" s="364"/>
      <c r="V164" s="364"/>
      <c r="W164" s="364"/>
      <c r="X164" s="364"/>
      <c r="Y164" s="364"/>
      <c r="Z164" s="364"/>
      <c r="AA164" s="364"/>
      <c r="AB164" s="359"/>
      <c r="AC164" s="366"/>
      <c r="AD164" s="364"/>
      <c r="AE164" s="364"/>
      <c r="AF164" s="364"/>
      <c r="AG164" s="364"/>
      <c r="AH164" s="364"/>
      <c r="AI164" s="364"/>
      <c r="AJ164" s="364"/>
      <c r="AK164" s="364"/>
      <c r="AL164" s="364"/>
      <c r="AM164" s="364"/>
      <c r="AN164" s="364"/>
      <c r="AO164" s="362"/>
    </row>
    <row r="165" spans="1:41" outlineLevel="1">
      <c r="A165" s="283" t="s">
        <v>383</v>
      </c>
      <c r="B165" s="367" t="s">
        <v>261</v>
      </c>
      <c r="C165" s="364"/>
      <c r="D165" s="364"/>
      <c r="E165" s="364"/>
      <c r="F165" s="364"/>
      <c r="G165" s="364"/>
      <c r="H165" s="364"/>
      <c r="I165" s="364"/>
      <c r="J165" s="364"/>
      <c r="K165" s="364"/>
      <c r="L165" s="364"/>
      <c r="M165" s="364"/>
      <c r="N165" s="364"/>
      <c r="O165" s="359"/>
      <c r="P165" s="365"/>
      <c r="Q165" s="364"/>
      <c r="R165" s="364"/>
      <c r="S165" s="364"/>
      <c r="T165" s="364"/>
      <c r="U165" s="364"/>
      <c r="V165" s="364"/>
      <c r="W165" s="364"/>
      <c r="X165" s="364"/>
      <c r="Y165" s="364"/>
      <c r="Z165" s="364"/>
      <c r="AA165" s="364"/>
      <c r="AB165" s="359"/>
      <c r="AC165" s="366"/>
      <c r="AD165" s="364"/>
      <c r="AE165" s="364"/>
      <c r="AF165" s="364"/>
      <c r="AG165" s="364"/>
      <c r="AH165" s="364"/>
      <c r="AI165" s="364"/>
      <c r="AJ165" s="364"/>
      <c r="AK165" s="364"/>
      <c r="AL165" s="364"/>
      <c r="AM165" s="364"/>
      <c r="AN165" s="364"/>
      <c r="AO165" s="362"/>
    </row>
    <row r="166" spans="1:41" outlineLevel="1">
      <c r="A166" s="283" t="s">
        <v>384</v>
      </c>
      <c r="B166" s="363" t="s">
        <v>263</v>
      </c>
      <c r="C166" s="368" t="e">
        <f>C163/'Продукция и цена '!$C$10</f>
        <v>#DIV/0!</v>
      </c>
      <c r="D166" s="368" t="e">
        <f>D163/'Продукция и цена '!$C$10</f>
        <v>#DIV/0!</v>
      </c>
      <c r="E166" s="368" t="e">
        <f>E163/'Продукция и цена '!$C$10</f>
        <v>#DIV/0!</v>
      </c>
      <c r="F166" s="368" t="e">
        <f>F163/'Продукция и цена '!$C$10</f>
        <v>#DIV/0!</v>
      </c>
      <c r="G166" s="368" t="e">
        <f>G163/'Продукция и цена '!$C$10</f>
        <v>#DIV/0!</v>
      </c>
      <c r="H166" s="368" t="e">
        <f>H163/'Продукция и цена '!$C$10</f>
        <v>#DIV/0!</v>
      </c>
      <c r="I166" s="368" t="e">
        <f>I163/'Продукция и цена '!$C$10</f>
        <v>#DIV/0!</v>
      </c>
      <c r="J166" s="368" t="e">
        <f>J163/'Продукция и цена '!$C$10</f>
        <v>#DIV/0!</v>
      </c>
      <c r="K166" s="368" t="e">
        <f>K163/'Продукция и цена '!$C$10</f>
        <v>#DIV/0!</v>
      </c>
      <c r="L166" s="368" t="e">
        <f>L163/'Продукция и цена '!$C$10</f>
        <v>#DIV/0!</v>
      </c>
      <c r="M166" s="368" t="e">
        <f>M163/'Продукция и цена '!$C$10</f>
        <v>#DIV/0!</v>
      </c>
      <c r="N166" s="368" t="e">
        <f>N163/'Продукция и цена '!$C$10</f>
        <v>#DIV/0!</v>
      </c>
      <c r="O166" s="359" t="e">
        <f>SUM(C166:N166)/12</f>
        <v>#DIV/0!</v>
      </c>
      <c r="P166" s="369" t="e">
        <f>P163/'Продукция и цена '!$D$10</f>
        <v>#DIV/0!</v>
      </c>
      <c r="Q166" s="368" t="e">
        <f>Q163/'Продукция и цена '!$D$10</f>
        <v>#DIV/0!</v>
      </c>
      <c r="R166" s="368" t="e">
        <f>R163/'Продукция и цена '!$D$10</f>
        <v>#DIV/0!</v>
      </c>
      <c r="S166" s="368" t="e">
        <f>S163/'Продукция и цена '!$D$10</f>
        <v>#DIV/0!</v>
      </c>
      <c r="T166" s="368" t="e">
        <f>T163/'Продукция и цена '!$D$10</f>
        <v>#DIV/0!</v>
      </c>
      <c r="U166" s="368" t="e">
        <f>U163/'Продукция и цена '!$D$10</f>
        <v>#DIV/0!</v>
      </c>
      <c r="V166" s="368" t="e">
        <f>V163/'Продукция и цена '!$D$10</f>
        <v>#DIV/0!</v>
      </c>
      <c r="W166" s="368" t="e">
        <f>W163/'Продукция и цена '!$D$10</f>
        <v>#DIV/0!</v>
      </c>
      <c r="X166" s="368" t="e">
        <f>X163/'Продукция и цена '!$D$10</f>
        <v>#DIV/0!</v>
      </c>
      <c r="Y166" s="368" t="e">
        <f>Y163/'Продукция и цена '!$D$10</f>
        <v>#DIV/0!</v>
      </c>
      <c r="Z166" s="368" t="e">
        <f>Z163/'Продукция и цена '!$D$10</f>
        <v>#DIV/0!</v>
      </c>
      <c r="AA166" s="368" t="e">
        <f>AA163/'Продукция и цена '!$D$10</f>
        <v>#DIV/0!</v>
      </c>
      <c r="AB166" s="359" t="e">
        <f>SUM(P166:AA166)/12</f>
        <v>#DIV/0!</v>
      </c>
      <c r="AC166" s="370" t="e">
        <f>AC163/'Продукция и цена '!$E$10</f>
        <v>#DIV/0!</v>
      </c>
      <c r="AD166" s="368" t="e">
        <f>AD163/'Продукция и цена '!$E$10</f>
        <v>#DIV/0!</v>
      </c>
      <c r="AE166" s="368" t="e">
        <f>AE163/'Продукция и цена '!$E$10</f>
        <v>#DIV/0!</v>
      </c>
      <c r="AF166" s="368" t="e">
        <f>AF163/'Продукция и цена '!$E$10</f>
        <v>#DIV/0!</v>
      </c>
      <c r="AG166" s="368" t="e">
        <f>AG163/'Продукция и цена '!$E$10</f>
        <v>#DIV/0!</v>
      </c>
      <c r="AH166" s="368" t="e">
        <f>AH163/'Продукция и цена '!$E$10</f>
        <v>#DIV/0!</v>
      </c>
      <c r="AI166" s="368" t="e">
        <f>AI163/'Продукция и цена '!$E$10</f>
        <v>#DIV/0!</v>
      </c>
      <c r="AJ166" s="368" t="e">
        <f>AJ163/'Продукция и цена '!$E$10</f>
        <v>#DIV/0!</v>
      </c>
      <c r="AK166" s="368" t="e">
        <f>AK163/'Продукция и цена '!$E$10</f>
        <v>#DIV/0!</v>
      </c>
      <c r="AL166" s="368" t="e">
        <f>AL163/'Продукция и цена '!$E$10</f>
        <v>#DIV/0!</v>
      </c>
      <c r="AM166" s="368" t="e">
        <f>AM163/'Продукция и цена '!$E$10</f>
        <v>#DIV/0!</v>
      </c>
      <c r="AN166" s="368" t="e">
        <f>AN163/'Продукция и цена '!$E$10</f>
        <v>#DIV/0!</v>
      </c>
      <c r="AO166" s="362" t="e">
        <f>SUM(AC166:AN166)/12</f>
        <v>#DIV/0!</v>
      </c>
    </row>
    <row r="167" spans="1:41" outlineLevel="1">
      <c r="A167" s="371" t="s">
        <v>385</v>
      </c>
      <c r="B167" s="372" t="s">
        <v>265</v>
      </c>
      <c r="C167" s="373">
        <f>'Продукция и цена '!$C$10</f>
        <v>0</v>
      </c>
      <c r="D167" s="373">
        <f>C167</f>
        <v>0</v>
      </c>
      <c r="E167" s="373">
        <f t="shared" ref="E167:N167" si="183">D167</f>
        <v>0</v>
      </c>
      <c r="F167" s="373">
        <f t="shared" si="183"/>
        <v>0</v>
      </c>
      <c r="G167" s="373">
        <f t="shared" si="183"/>
        <v>0</v>
      </c>
      <c r="H167" s="373">
        <f t="shared" si="183"/>
        <v>0</v>
      </c>
      <c r="I167" s="373">
        <f t="shared" si="183"/>
        <v>0</v>
      </c>
      <c r="J167" s="373">
        <f t="shared" si="183"/>
        <v>0</v>
      </c>
      <c r="K167" s="373">
        <f t="shared" si="183"/>
        <v>0</v>
      </c>
      <c r="L167" s="373">
        <f t="shared" si="183"/>
        <v>0</v>
      </c>
      <c r="M167" s="373">
        <f t="shared" si="183"/>
        <v>0</v>
      </c>
      <c r="N167" s="373">
        <f t="shared" si="183"/>
        <v>0</v>
      </c>
      <c r="O167" s="374">
        <f>SUM(C167:N167)/12</f>
        <v>0</v>
      </c>
      <c r="P167" s="375">
        <f>'Продукция и цена '!$D$10</f>
        <v>0</v>
      </c>
      <c r="Q167" s="373">
        <f>P167</f>
        <v>0</v>
      </c>
      <c r="R167" s="373">
        <f t="shared" ref="R167:AA167" si="184">Q167</f>
        <v>0</v>
      </c>
      <c r="S167" s="373">
        <f t="shared" si="184"/>
        <v>0</v>
      </c>
      <c r="T167" s="373">
        <f t="shared" si="184"/>
        <v>0</v>
      </c>
      <c r="U167" s="373">
        <f t="shared" si="184"/>
        <v>0</v>
      </c>
      <c r="V167" s="373">
        <f t="shared" si="184"/>
        <v>0</v>
      </c>
      <c r="W167" s="373">
        <f t="shared" si="184"/>
        <v>0</v>
      </c>
      <c r="X167" s="373">
        <f t="shared" si="184"/>
        <v>0</v>
      </c>
      <c r="Y167" s="373">
        <f t="shared" si="184"/>
        <v>0</v>
      </c>
      <c r="Z167" s="373">
        <f t="shared" si="184"/>
        <v>0</v>
      </c>
      <c r="AA167" s="373">
        <f t="shared" si="184"/>
        <v>0</v>
      </c>
      <c r="AB167" s="374">
        <f>SUM(P167:AA167)/12</f>
        <v>0</v>
      </c>
      <c r="AC167" s="376">
        <f>'Продукция и цена '!$E$10</f>
        <v>0</v>
      </c>
      <c r="AD167" s="373">
        <f>AC167</f>
        <v>0</v>
      </c>
      <c r="AE167" s="373">
        <f t="shared" ref="AE167:AN167" si="185">AD167</f>
        <v>0</v>
      </c>
      <c r="AF167" s="373">
        <f t="shared" si="185"/>
        <v>0</v>
      </c>
      <c r="AG167" s="373">
        <f t="shared" si="185"/>
        <v>0</v>
      </c>
      <c r="AH167" s="373">
        <f t="shared" si="185"/>
        <v>0</v>
      </c>
      <c r="AI167" s="373">
        <f t="shared" si="185"/>
        <v>0</v>
      </c>
      <c r="AJ167" s="373">
        <f t="shared" si="185"/>
        <v>0</v>
      </c>
      <c r="AK167" s="373">
        <f t="shared" si="185"/>
        <v>0</v>
      </c>
      <c r="AL167" s="373">
        <f t="shared" si="185"/>
        <v>0</v>
      </c>
      <c r="AM167" s="373">
        <f t="shared" si="185"/>
        <v>0</v>
      </c>
      <c r="AN167" s="373">
        <f t="shared" si="185"/>
        <v>0</v>
      </c>
      <c r="AO167" s="377">
        <f>SUM(AC167:AN167)/12</f>
        <v>0</v>
      </c>
    </row>
    <row r="168" spans="1:41" s="346" customFormat="1" ht="14.25" outlineLevel="1">
      <c r="A168" s="378" t="s">
        <v>210</v>
      </c>
      <c r="B168" s="357" t="s">
        <v>248</v>
      </c>
      <c r="C168" s="358">
        <f>C169*C170</f>
        <v>0</v>
      </c>
      <c r="D168" s="358">
        <f t="shared" ref="D168:N168" si="186">D169*D170</f>
        <v>0</v>
      </c>
      <c r="E168" s="358">
        <f t="shared" si="186"/>
        <v>0</v>
      </c>
      <c r="F168" s="358">
        <f t="shared" si="186"/>
        <v>0</v>
      </c>
      <c r="G168" s="358">
        <f t="shared" si="186"/>
        <v>0</v>
      </c>
      <c r="H168" s="358">
        <f t="shared" si="186"/>
        <v>0</v>
      </c>
      <c r="I168" s="358">
        <f t="shared" si="186"/>
        <v>0</v>
      </c>
      <c r="J168" s="358">
        <f t="shared" si="186"/>
        <v>0</v>
      </c>
      <c r="K168" s="358">
        <f t="shared" si="186"/>
        <v>0</v>
      </c>
      <c r="L168" s="358">
        <f t="shared" si="186"/>
        <v>0</v>
      </c>
      <c r="M168" s="358">
        <f t="shared" si="186"/>
        <v>0</v>
      </c>
      <c r="N168" s="358">
        <f t="shared" si="186"/>
        <v>0</v>
      </c>
      <c r="O168" s="352">
        <f>SUM(C168:N168)</f>
        <v>0</v>
      </c>
      <c r="P168" s="379">
        <f>P169*P170</f>
        <v>0</v>
      </c>
      <c r="Q168" s="380">
        <f t="shared" ref="Q168:AA168" si="187">Q169*Q170</f>
        <v>0</v>
      </c>
      <c r="R168" s="380">
        <f t="shared" si="187"/>
        <v>0</v>
      </c>
      <c r="S168" s="380">
        <f t="shared" si="187"/>
        <v>0</v>
      </c>
      <c r="T168" s="380">
        <f t="shared" si="187"/>
        <v>0</v>
      </c>
      <c r="U168" s="380">
        <f t="shared" si="187"/>
        <v>0</v>
      </c>
      <c r="V168" s="380">
        <f t="shared" si="187"/>
        <v>0</v>
      </c>
      <c r="W168" s="380">
        <f t="shared" si="187"/>
        <v>0</v>
      </c>
      <c r="X168" s="380">
        <f t="shared" si="187"/>
        <v>0</v>
      </c>
      <c r="Y168" s="380">
        <f t="shared" si="187"/>
        <v>0</v>
      </c>
      <c r="Z168" s="380">
        <f t="shared" si="187"/>
        <v>0</v>
      </c>
      <c r="AA168" s="380">
        <f t="shared" si="187"/>
        <v>0</v>
      </c>
      <c r="AB168" s="352">
        <f>SUM(P168:AA168)</f>
        <v>0</v>
      </c>
      <c r="AC168" s="379">
        <f>AC169*AC170</f>
        <v>0</v>
      </c>
      <c r="AD168" s="380">
        <f t="shared" ref="AD168:AN168" si="188">AD169*AD170</f>
        <v>0</v>
      </c>
      <c r="AE168" s="380">
        <f t="shared" si="188"/>
        <v>0</v>
      </c>
      <c r="AF168" s="380">
        <f t="shared" si="188"/>
        <v>0</v>
      </c>
      <c r="AG168" s="380">
        <f t="shared" si="188"/>
        <v>0</v>
      </c>
      <c r="AH168" s="380">
        <f t="shared" si="188"/>
        <v>0</v>
      </c>
      <c r="AI168" s="380">
        <f t="shared" si="188"/>
        <v>0</v>
      </c>
      <c r="AJ168" s="380">
        <f t="shared" si="188"/>
        <v>0</v>
      </c>
      <c r="AK168" s="380">
        <f t="shared" si="188"/>
        <v>0</v>
      </c>
      <c r="AL168" s="380">
        <f t="shared" si="188"/>
        <v>0</v>
      </c>
      <c r="AM168" s="380">
        <f t="shared" si="188"/>
        <v>0</v>
      </c>
      <c r="AN168" s="380">
        <f t="shared" si="188"/>
        <v>0</v>
      </c>
      <c r="AO168" s="354">
        <f>SUM(AC168:AN168)</f>
        <v>0</v>
      </c>
    </row>
    <row r="169" spans="1:41" ht="30" outlineLevel="1">
      <c r="A169" s="283" t="s">
        <v>386</v>
      </c>
      <c r="B169" s="363" t="s">
        <v>259</v>
      </c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59"/>
      <c r="P169" s="366"/>
      <c r="Q169" s="364"/>
      <c r="R169" s="364"/>
      <c r="S169" s="364"/>
      <c r="T169" s="364"/>
      <c r="U169" s="364"/>
      <c r="V169" s="364"/>
      <c r="W169" s="364"/>
      <c r="X169" s="364"/>
      <c r="Y169" s="364"/>
      <c r="Z169" s="364"/>
      <c r="AA169" s="364"/>
      <c r="AB169" s="359"/>
      <c r="AC169" s="366"/>
      <c r="AD169" s="364"/>
      <c r="AE169" s="364"/>
      <c r="AF169" s="364"/>
      <c r="AG169" s="364"/>
      <c r="AH169" s="364"/>
      <c r="AI169" s="364"/>
      <c r="AJ169" s="364"/>
      <c r="AK169" s="364"/>
      <c r="AL169" s="364"/>
      <c r="AM169" s="364"/>
      <c r="AN169" s="364"/>
      <c r="AO169" s="362"/>
    </row>
    <row r="170" spans="1:41" outlineLevel="1">
      <c r="A170" s="283" t="s">
        <v>387</v>
      </c>
      <c r="B170" s="367" t="s">
        <v>261</v>
      </c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59"/>
      <c r="P170" s="366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  <c r="AA170" s="364"/>
      <c r="AB170" s="359"/>
      <c r="AC170" s="366"/>
      <c r="AD170" s="364"/>
      <c r="AE170" s="364"/>
      <c r="AF170" s="364"/>
      <c r="AG170" s="364"/>
      <c r="AH170" s="364"/>
      <c r="AI170" s="364"/>
      <c r="AJ170" s="364"/>
      <c r="AK170" s="364"/>
      <c r="AL170" s="364"/>
      <c r="AM170" s="364"/>
      <c r="AN170" s="364"/>
      <c r="AO170" s="362"/>
    </row>
    <row r="171" spans="1:41" outlineLevel="1">
      <c r="A171" s="283" t="s">
        <v>388</v>
      </c>
      <c r="B171" s="363" t="s">
        <v>263</v>
      </c>
      <c r="C171" s="368" t="e">
        <f>C168/'Продукция и цена '!$C$10</f>
        <v>#DIV/0!</v>
      </c>
      <c r="D171" s="368" t="e">
        <f>D168/'Продукция и цена '!$C$10</f>
        <v>#DIV/0!</v>
      </c>
      <c r="E171" s="368" t="e">
        <f>E168/'Продукция и цена '!$C$10</f>
        <v>#DIV/0!</v>
      </c>
      <c r="F171" s="368" t="e">
        <f>F168/'Продукция и цена '!$C$10</f>
        <v>#DIV/0!</v>
      </c>
      <c r="G171" s="368" t="e">
        <f>G168/'Продукция и цена '!$C$10</f>
        <v>#DIV/0!</v>
      </c>
      <c r="H171" s="368" t="e">
        <f>H168/'Продукция и цена '!$C$10</f>
        <v>#DIV/0!</v>
      </c>
      <c r="I171" s="368" t="e">
        <f>I168/'Продукция и цена '!$C$10</f>
        <v>#DIV/0!</v>
      </c>
      <c r="J171" s="368" t="e">
        <f>J168/'Продукция и цена '!$C$10</f>
        <v>#DIV/0!</v>
      </c>
      <c r="K171" s="368" t="e">
        <f>K168/'Продукция и цена '!$C$10</f>
        <v>#DIV/0!</v>
      </c>
      <c r="L171" s="368" t="e">
        <f>L168/'Продукция и цена '!$C$10</f>
        <v>#DIV/0!</v>
      </c>
      <c r="M171" s="368" t="e">
        <f>M168/'Продукция и цена '!$C$10</f>
        <v>#DIV/0!</v>
      </c>
      <c r="N171" s="368" t="e">
        <f>N168/'Продукция и цена '!$C$10</f>
        <v>#DIV/0!</v>
      </c>
      <c r="O171" s="359" t="e">
        <f>SUM(C171:N171)/12</f>
        <v>#DIV/0!</v>
      </c>
      <c r="P171" s="370" t="e">
        <f>P168/'Продукция и цена '!$D$10</f>
        <v>#DIV/0!</v>
      </c>
      <c r="Q171" s="368" t="e">
        <f>Q168/'Продукция и цена '!$D$10</f>
        <v>#DIV/0!</v>
      </c>
      <c r="R171" s="368" t="e">
        <f>R168/'Продукция и цена '!$D$10</f>
        <v>#DIV/0!</v>
      </c>
      <c r="S171" s="368" t="e">
        <f>S168/'Продукция и цена '!$D$10</f>
        <v>#DIV/0!</v>
      </c>
      <c r="T171" s="368" t="e">
        <f>T168/'Продукция и цена '!$D$10</f>
        <v>#DIV/0!</v>
      </c>
      <c r="U171" s="368" t="e">
        <f>U168/'Продукция и цена '!$D$10</f>
        <v>#DIV/0!</v>
      </c>
      <c r="V171" s="368" t="e">
        <f>V168/'Продукция и цена '!$D$10</f>
        <v>#DIV/0!</v>
      </c>
      <c r="W171" s="368" t="e">
        <f>W168/'Продукция и цена '!$D$10</f>
        <v>#DIV/0!</v>
      </c>
      <c r="X171" s="368" t="e">
        <f>X168/'Продукция и цена '!$D$10</f>
        <v>#DIV/0!</v>
      </c>
      <c r="Y171" s="368" t="e">
        <f>Y168/'Продукция и цена '!$D$10</f>
        <v>#DIV/0!</v>
      </c>
      <c r="Z171" s="368" t="e">
        <f>Z168/'Продукция и цена '!$D$10</f>
        <v>#DIV/0!</v>
      </c>
      <c r="AA171" s="368" t="e">
        <f>AA168/'Продукция и цена '!$D$10</f>
        <v>#DIV/0!</v>
      </c>
      <c r="AB171" s="359" t="e">
        <f>SUM(P171:AA171)/12</f>
        <v>#DIV/0!</v>
      </c>
      <c r="AC171" s="370" t="e">
        <f>AC168/'Продукция и цена '!$E$10</f>
        <v>#DIV/0!</v>
      </c>
      <c r="AD171" s="368" t="e">
        <f>AD168/'Продукция и цена '!$E$10</f>
        <v>#DIV/0!</v>
      </c>
      <c r="AE171" s="368" t="e">
        <f>AE168/'Продукция и цена '!$E$10</f>
        <v>#DIV/0!</v>
      </c>
      <c r="AF171" s="368" t="e">
        <f>AF168/'Продукция и цена '!$E$10</f>
        <v>#DIV/0!</v>
      </c>
      <c r="AG171" s="368" t="e">
        <f>AG168/'Продукция и цена '!$E$10</f>
        <v>#DIV/0!</v>
      </c>
      <c r="AH171" s="368" t="e">
        <f>AH168/'Продукция и цена '!$E$10</f>
        <v>#DIV/0!</v>
      </c>
      <c r="AI171" s="368" t="e">
        <f>AI168/'Продукция и цена '!$E$10</f>
        <v>#DIV/0!</v>
      </c>
      <c r="AJ171" s="368" t="e">
        <f>AJ168/'Продукция и цена '!$E$10</f>
        <v>#DIV/0!</v>
      </c>
      <c r="AK171" s="368" t="e">
        <f>AK168/'Продукция и цена '!$E$10</f>
        <v>#DIV/0!</v>
      </c>
      <c r="AL171" s="368" t="e">
        <f>AL168/'Продукция и цена '!$E$10</f>
        <v>#DIV/0!</v>
      </c>
      <c r="AM171" s="368" t="e">
        <f>AM168/'Продукция и цена '!$E$10</f>
        <v>#DIV/0!</v>
      </c>
      <c r="AN171" s="368" t="e">
        <f>AN168/'Продукция и цена '!$E$10</f>
        <v>#DIV/0!</v>
      </c>
      <c r="AO171" s="362" t="e">
        <f>SUM(AC171:AN171)/12</f>
        <v>#DIV/0!</v>
      </c>
    </row>
    <row r="172" spans="1:41" outlineLevel="1">
      <c r="A172" s="371" t="s">
        <v>389</v>
      </c>
      <c r="B172" s="372" t="s">
        <v>265</v>
      </c>
      <c r="C172" s="373">
        <f>'Продукция и цена '!$C$10</f>
        <v>0</v>
      </c>
      <c r="D172" s="373">
        <f>C172</f>
        <v>0</v>
      </c>
      <c r="E172" s="373">
        <f t="shared" ref="E172:N172" si="189">D172</f>
        <v>0</v>
      </c>
      <c r="F172" s="373">
        <f t="shared" si="189"/>
        <v>0</v>
      </c>
      <c r="G172" s="373">
        <f t="shared" si="189"/>
        <v>0</v>
      </c>
      <c r="H172" s="373">
        <f t="shared" si="189"/>
        <v>0</v>
      </c>
      <c r="I172" s="373">
        <f t="shared" si="189"/>
        <v>0</v>
      </c>
      <c r="J172" s="373">
        <f t="shared" si="189"/>
        <v>0</v>
      </c>
      <c r="K172" s="373">
        <f t="shared" si="189"/>
        <v>0</v>
      </c>
      <c r="L172" s="373">
        <f t="shared" si="189"/>
        <v>0</v>
      </c>
      <c r="M172" s="373">
        <f t="shared" si="189"/>
        <v>0</v>
      </c>
      <c r="N172" s="373">
        <f t="shared" si="189"/>
        <v>0</v>
      </c>
      <c r="O172" s="374">
        <f>SUM(C172:N172)/12</f>
        <v>0</v>
      </c>
      <c r="P172" s="376">
        <f>'Продукция и цена '!$D$10</f>
        <v>0</v>
      </c>
      <c r="Q172" s="373">
        <f>P172</f>
        <v>0</v>
      </c>
      <c r="R172" s="373">
        <f t="shared" ref="R172:AA172" si="190">Q172</f>
        <v>0</v>
      </c>
      <c r="S172" s="373">
        <f t="shared" si="190"/>
        <v>0</v>
      </c>
      <c r="T172" s="373">
        <f t="shared" si="190"/>
        <v>0</v>
      </c>
      <c r="U172" s="373">
        <f t="shared" si="190"/>
        <v>0</v>
      </c>
      <c r="V172" s="373">
        <f t="shared" si="190"/>
        <v>0</v>
      </c>
      <c r="W172" s="373">
        <f t="shared" si="190"/>
        <v>0</v>
      </c>
      <c r="X172" s="373">
        <f t="shared" si="190"/>
        <v>0</v>
      </c>
      <c r="Y172" s="373">
        <f t="shared" si="190"/>
        <v>0</v>
      </c>
      <c r="Z172" s="373">
        <f t="shared" si="190"/>
        <v>0</v>
      </c>
      <c r="AA172" s="373">
        <f t="shared" si="190"/>
        <v>0</v>
      </c>
      <c r="AB172" s="374">
        <f>SUM(P172:AA172)/12</f>
        <v>0</v>
      </c>
      <c r="AC172" s="376">
        <f>'Продукция и цена '!$E$10</f>
        <v>0</v>
      </c>
      <c r="AD172" s="373">
        <f>AC172</f>
        <v>0</v>
      </c>
      <c r="AE172" s="373">
        <f t="shared" ref="AE172:AN172" si="191">AD172</f>
        <v>0</v>
      </c>
      <c r="AF172" s="373">
        <f t="shared" si="191"/>
        <v>0</v>
      </c>
      <c r="AG172" s="373">
        <f t="shared" si="191"/>
        <v>0</v>
      </c>
      <c r="AH172" s="373">
        <f t="shared" si="191"/>
        <v>0</v>
      </c>
      <c r="AI172" s="373">
        <f t="shared" si="191"/>
        <v>0</v>
      </c>
      <c r="AJ172" s="373">
        <f t="shared" si="191"/>
        <v>0</v>
      </c>
      <c r="AK172" s="373">
        <f t="shared" si="191"/>
        <v>0</v>
      </c>
      <c r="AL172" s="373">
        <f t="shared" si="191"/>
        <v>0</v>
      </c>
      <c r="AM172" s="373">
        <f t="shared" si="191"/>
        <v>0</v>
      </c>
      <c r="AN172" s="373">
        <f t="shared" si="191"/>
        <v>0</v>
      </c>
      <c r="AO172" s="377">
        <f>SUM(AC172:AN172)/12</f>
        <v>0</v>
      </c>
    </row>
    <row r="173" spans="1:41" s="346" customFormat="1" ht="14.25" outlineLevel="1">
      <c r="A173" s="378" t="s">
        <v>211</v>
      </c>
      <c r="B173" s="381" t="s">
        <v>249</v>
      </c>
      <c r="C173" s="380">
        <f>C174*C175</f>
        <v>0</v>
      </c>
      <c r="D173" s="380">
        <f t="shared" ref="D173:N173" si="192">D174*D175</f>
        <v>0</v>
      </c>
      <c r="E173" s="380">
        <f t="shared" si="192"/>
        <v>0</v>
      </c>
      <c r="F173" s="380">
        <f t="shared" si="192"/>
        <v>0</v>
      </c>
      <c r="G173" s="380">
        <f t="shared" si="192"/>
        <v>0</v>
      </c>
      <c r="H173" s="380">
        <f t="shared" si="192"/>
        <v>0</v>
      </c>
      <c r="I173" s="380">
        <f t="shared" si="192"/>
        <v>0</v>
      </c>
      <c r="J173" s="380">
        <f t="shared" si="192"/>
        <v>0</v>
      </c>
      <c r="K173" s="380">
        <f t="shared" si="192"/>
        <v>0</v>
      </c>
      <c r="L173" s="380">
        <f t="shared" si="192"/>
        <v>0</v>
      </c>
      <c r="M173" s="380">
        <f t="shared" si="192"/>
        <v>0</v>
      </c>
      <c r="N173" s="380">
        <f t="shared" si="192"/>
        <v>0</v>
      </c>
      <c r="O173" s="352">
        <f>SUM(C173:N173)</f>
        <v>0</v>
      </c>
      <c r="P173" s="379">
        <f>P174*P175</f>
        <v>0</v>
      </c>
      <c r="Q173" s="380">
        <f t="shared" ref="Q173:AA173" si="193">Q174*Q175</f>
        <v>0</v>
      </c>
      <c r="R173" s="380">
        <f t="shared" si="193"/>
        <v>0</v>
      </c>
      <c r="S173" s="380">
        <f t="shared" si="193"/>
        <v>0</v>
      </c>
      <c r="T173" s="380">
        <f t="shared" si="193"/>
        <v>0</v>
      </c>
      <c r="U173" s="380">
        <f t="shared" si="193"/>
        <v>0</v>
      </c>
      <c r="V173" s="380">
        <f t="shared" si="193"/>
        <v>0</v>
      </c>
      <c r="W173" s="380">
        <f t="shared" si="193"/>
        <v>0</v>
      </c>
      <c r="X173" s="380">
        <f t="shared" si="193"/>
        <v>0</v>
      </c>
      <c r="Y173" s="380">
        <f t="shared" si="193"/>
        <v>0</v>
      </c>
      <c r="Z173" s="380">
        <f t="shared" si="193"/>
        <v>0</v>
      </c>
      <c r="AA173" s="380">
        <f t="shared" si="193"/>
        <v>0</v>
      </c>
      <c r="AB173" s="352">
        <f>SUM(P173:AA173)</f>
        <v>0</v>
      </c>
      <c r="AC173" s="379">
        <f>AC174*AC175</f>
        <v>0</v>
      </c>
      <c r="AD173" s="380">
        <f t="shared" ref="AD173:AN173" si="194">AD174*AD175</f>
        <v>0</v>
      </c>
      <c r="AE173" s="380">
        <f t="shared" si="194"/>
        <v>0</v>
      </c>
      <c r="AF173" s="380">
        <f t="shared" si="194"/>
        <v>0</v>
      </c>
      <c r="AG173" s="380">
        <f t="shared" si="194"/>
        <v>0</v>
      </c>
      <c r="AH173" s="380">
        <f t="shared" si="194"/>
        <v>0</v>
      </c>
      <c r="AI173" s="380">
        <f t="shared" si="194"/>
        <v>0</v>
      </c>
      <c r="AJ173" s="380">
        <f t="shared" si="194"/>
        <v>0</v>
      </c>
      <c r="AK173" s="380">
        <f t="shared" si="194"/>
        <v>0</v>
      </c>
      <c r="AL173" s="380">
        <f t="shared" si="194"/>
        <v>0</v>
      </c>
      <c r="AM173" s="380">
        <f t="shared" si="194"/>
        <v>0</v>
      </c>
      <c r="AN173" s="380">
        <f t="shared" si="194"/>
        <v>0</v>
      </c>
      <c r="AO173" s="354">
        <f>SUM(AC173:AN173)</f>
        <v>0</v>
      </c>
    </row>
    <row r="174" spans="1:41" ht="30" outlineLevel="1">
      <c r="A174" s="283" t="s">
        <v>390</v>
      </c>
      <c r="B174" s="363" t="s">
        <v>259</v>
      </c>
      <c r="C174" s="364"/>
      <c r="D174" s="364"/>
      <c r="E174" s="364"/>
      <c r="F174" s="364"/>
      <c r="G174" s="364"/>
      <c r="H174" s="364"/>
      <c r="I174" s="364"/>
      <c r="J174" s="364"/>
      <c r="K174" s="364"/>
      <c r="L174" s="364"/>
      <c r="M174" s="364"/>
      <c r="N174" s="364"/>
      <c r="O174" s="359"/>
      <c r="P174" s="366"/>
      <c r="Q174" s="364"/>
      <c r="R174" s="364"/>
      <c r="S174" s="364"/>
      <c r="T174" s="364"/>
      <c r="U174" s="364"/>
      <c r="V174" s="364"/>
      <c r="W174" s="364"/>
      <c r="X174" s="364"/>
      <c r="Y174" s="364"/>
      <c r="Z174" s="364"/>
      <c r="AA174" s="364"/>
      <c r="AB174" s="359"/>
      <c r="AC174" s="366"/>
      <c r="AD174" s="364"/>
      <c r="AE174" s="364"/>
      <c r="AF174" s="364"/>
      <c r="AG174" s="364"/>
      <c r="AH174" s="364"/>
      <c r="AI174" s="364"/>
      <c r="AJ174" s="364"/>
      <c r="AK174" s="364"/>
      <c r="AL174" s="364"/>
      <c r="AM174" s="364"/>
      <c r="AN174" s="364"/>
      <c r="AO174" s="362"/>
    </row>
    <row r="175" spans="1:41" outlineLevel="1">
      <c r="A175" s="283" t="s">
        <v>391</v>
      </c>
      <c r="B175" s="367" t="s">
        <v>261</v>
      </c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59"/>
      <c r="P175" s="366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364"/>
      <c r="AB175" s="359"/>
      <c r="AC175" s="366"/>
      <c r="AD175" s="364"/>
      <c r="AE175" s="364"/>
      <c r="AF175" s="364"/>
      <c r="AG175" s="364"/>
      <c r="AH175" s="364"/>
      <c r="AI175" s="364"/>
      <c r="AJ175" s="364"/>
      <c r="AK175" s="364"/>
      <c r="AL175" s="364"/>
      <c r="AM175" s="364"/>
      <c r="AN175" s="364"/>
      <c r="AO175" s="362"/>
    </row>
    <row r="176" spans="1:41" outlineLevel="1">
      <c r="A176" s="283" t="s">
        <v>392</v>
      </c>
      <c r="B176" s="363" t="s">
        <v>263</v>
      </c>
      <c r="C176" s="368" t="e">
        <f>C173/'Продукция и цена '!$C$10</f>
        <v>#DIV/0!</v>
      </c>
      <c r="D176" s="368" t="e">
        <f>D173/'Продукция и цена '!$C$10</f>
        <v>#DIV/0!</v>
      </c>
      <c r="E176" s="368" t="e">
        <f>E173/'Продукция и цена '!$C$10</f>
        <v>#DIV/0!</v>
      </c>
      <c r="F176" s="368" t="e">
        <f>F173/'Продукция и цена '!$C$10</f>
        <v>#DIV/0!</v>
      </c>
      <c r="G176" s="368" t="e">
        <f>G173/'Продукция и цена '!$C$10</f>
        <v>#DIV/0!</v>
      </c>
      <c r="H176" s="368" t="e">
        <f>H173/'Продукция и цена '!$C$10</f>
        <v>#DIV/0!</v>
      </c>
      <c r="I176" s="368" t="e">
        <f>I173/'Продукция и цена '!$C$10</f>
        <v>#DIV/0!</v>
      </c>
      <c r="J176" s="368" t="e">
        <f>J173/'Продукция и цена '!$C$10</f>
        <v>#DIV/0!</v>
      </c>
      <c r="K176" s="368" t="e">
        <f>K173/'Продукция и цена '!$C$10</f>
        <v>#DIV/0!</v>
      </c>
      <c r="L176" s="368" t="e">
        <f>L173/'Продукция и цена '!$C$10</f>
        <v>#DIV/0!</v>
      </c>
      <c r="M176" s="368" t="e">
        <f>M173/'Продукция и цена '!$C$10</f>
        <v>#DIV/0!</v>
      </c>
      <c r="N176" s="368" t="e">
        <f>N173/'Продукция и цена '!$C$10</f>
        <v>#DIV/0!</v>
      </c>
      <c r="O176" s="359" t="e">
        <f>SUM(C176:N176)/12</f>
        <v>#DIV/0!</v>
      </c>
      <c r="P176" s="370" t="e">
        <f>P173/'Продукция и цена '!$D$10</f>
        <v>#DIV/0!</v>
      </c>
      <c r="Q176" s="368" t="e">
        <f>Q173/'Продукция и цена '!$D$10</f>
        <v>#DIV/0!</v>
      </c>
      <c r="R176" s="368" t="e">
        <f>R173/'Продукция и цена '!$D$10</f>
        <v>#DIV/0!</v>
      </c>
      <c r="S176" s="368" t="e">
        <f>S173/'Продукция и цена '!$D$10</f>
        <v>#DIV/0!</v>
      </c>
      <c r="T176" s="368" t="e">
        <f>T173/'Продукция и цена '!$D$10</f>
        <v>#DIV/0!</v>
      </c>
      <c r="U176" s="368" t="e">
        <f>U173/'Продукция и цена '!$D$10</f>
        <v>#DIV/0!</v>
      </c>
      <c r="V176" s="368" t="e">
        <f>V173/'Продукция и цена '!$D$10</f>
        <v>#DIV/0!</v>
      </c>
      <c r="W176" s="368" t="e">
        <f>W173/'Продукция и цена '!$D$10</f>
        <v>#DIV/0!</v>
      </c>
      <c r="X176" s="368" t="e">
        <f>X173/'Продукция и цена '!$D$10</f>
        <v>#DIV/0!</v>
      </c>
      <c r="Y176" s="368" t="e">
        <f>Y173/'Продукция и цена '!$D$10</f>
        <v>#DIV/0!</v>
      </c>
      <c r="Z176" s="368" t="e">
        <f>Z173/'Продукция и цена '!$D$10</f>
        <v>#DIV/0!</v>
      </c>
      <c r="AA176" s="368" t="e">
        <f>AA173/'Продукция и цена '!$D$10</f>
        <v>#DIV/0!</v>
      </c>
      <c r="AB176" s="359" t="e">
        <f>SUM(P176:AA176)/12</f>
        <v>#DIV/0!</v>
      </c>
      <c r="AC176" s="370" t="e">
        <f>AC173/'Продукция и цена '!$E$10</f>
        <v>#DIV/0!</v>
      </c>
      <c r="AD176" s="368" t="e">
        <f>AD173/'Продукция и цена '!$E$10</f>
        <v>#DIV/0!</v>
      </c>
      <c r="AE176" s="368" t="e">
        <f>AE173/'Продукция и цена '!$E$10</f>
        <v>#DIV/0!</v>
      </c>
      <c r="AF176" s="368" t="e">
        <f>AF173/'Продукция и цена '!$E$10</f>
        <v>#DIV/0!</v>
      </c>
      <c r="AG176" s="368" t="e">
        <f>AG173/'Продукция и цена '!$E$10</f>
        <v>#DIV/0!</v>
      </c>
      <c r="AH176" s="368" t="e">
        <f>AH173/'Продукция и цена '!$E$10</f>
        <v>#DIV/0!</v>
      </c>
      <c r="AI176" s="368" t="e">
        <f>AI173/'Продукция и цена '!$E$10</f>
        <v>#DIV/0!</v>
      </c>
      <c r="AJ176" s="368" t="e">
        <f>AJ173/'Продукция и цена '!$E$10</f>
        <v>#DIV/0!</v>
      </c>
      <c r="AK176" s="368" t="e">
        <f>AK173/'Продукция и цена '!$E$10</f>
        <v>#DIV/0!</v>
      </c>
      <c r="AL176" s="368" t="e">
        <f>AL173/'Продукция и цена '!$E$10</f>
        <v>#DIV/0!</v>
      </c>
      <c r="AM176" s="368" t="e">
        <f>AM173/'Продукция и цена '!$E$10</f>
        <v>#DIV/0!</v>
      </c>
      <c r="AN176" s="368" t="e">
        <f>AN173/'Продукция и цена '!$E$10</f>
        <v>#DIV/0!</v>
      </c>
      <c r="AO176" s="362" t="e">
        <f>SUM(AC176:AN176)/12</f>
        <v>#DIV/0!</v>
      </c>
    </row>
    <row r="177" spans="1:41" outlineLevel="1">
      <c r="A177" s="371" t="s">
        <v>393</v>
      </c>
      <c r="B177" s="372" t="s">
        <v>265</v>
      </c>
      <c r="C177" s="373">
        <f>'Продукция и цена '!$C$10</f>
        <v>0</v>
      </c>
      <c r="D177" s="373">
        <f>C177</f>
        <v>0</v>
      </c>
      <c r="E177" s="373">
        <f t="shared" ref="E177:N177" si="195">D177</f>
        <v>0</v>
      </c>
      <c r="F177" s="373">
        <f t="shared" si="195"/>
        <v>0</v>
      </c>
      <c r="G177" s="373">
        <f t="shared" si="195"/>
        <v>0</v>
      </c>
      <c r="H177" s="373">
        <f t="shared" si="195"/>
        <v>0</v>
      </c>
      <c r="I177" s="373">
        <f t="shared" si="195"/>
        <v>0</v>
      </c>
      <c r="J177" s="373">
        <f t="shared" si="195"/>
        <v>0</v>
      </c>
      <c r="K177" s="373">
        <f t="shared" si="195"/>
        <v>0</v>
      </c>
      <c r="L177" s="373">
        <f t="shared" si="195"/>
        <v>0</v>
      </c>
      <c r="M177" s="373">
        <f t="shared" si="195"/>
        <v>0</v>
      </c>
      <c r="N177" s="373">
        <f t="shared" si="195"/>
        <v>0</v>
      </c>
      <c r="O177" s="374">
        <f>SUM(C177:N177)/12</f>
        <v>0</v>
      </c>
      <c r="P177" s="376">
        <f>'Продукция и цена '!$D$10</f>
        <v>0</v>
      </c>
      <c r="Q177" s="373">
        <f>P177</f>
        <v>0</v>
      </c>
      <c r="R177" s="373">
        <f t="shared" ref="R177:AA177" si="196">Q177</f>
        <v>0</v>
      </c>
      <c r="S177" s="373">
        <f t="shared" si="196"/>
        <v>0</v>
      </c>
      <c r="T177" s="373">
        <f t="shared" si="196"/>
        <v>0</v>
      </c>
      <c r="U177" s="373">
        <f t="shared" si="196"/>
        <v>0</v>
      </c>
      <c r="V177" s="373">
        <f t="shared" si="196"/>
        <v>0</v>
      </c>
      <c r="W177" s="373">
        <f t="shared" si="196"/>
        <v>0</v>
      </c>
      <c r="X177" s="373">
        <f t="shared" si="196"/>
        <v>0</v>
      </c>
      <c r="Y177" s="373">
        <f t="shared" si="196"/>
        <v>0</v>
      </c>
      <c r="Z177" s="373">
        <f t="shared" si="196"/>
        <v>0</v>
      </c>
      <c r="AA177" s="373">
        <f t="shared" si="196"/>
        <v>0</v>
      </c>
      <c r="AB177" s="374">
        <f>SUM(P177:AA177)/12</f>
        <v>0</v>
      </c>
      <c r="AC177" s="376">
        <f>'Продукция и цена '!$E$10</f>
        <v>0</v>
      </c>
      <c r="AD177" s="373">
        <f>AC177</f>
        <v>0</v>
      </c>
      <c r="AE177" s="373">
        <f t="shared" ref="AE177:AN177" si="197">AD177</f>
        <v>0</v>
      </c>
      <c r="AF177" s="373">
        <f t="shared" si="197"/>
        <v>0</v>
      </c>
      <c r="AG177" s="373">
        <f t="shared" si="197"/>
        <v>0</v>
      </c>
      <c r="AH177" s="373">
        <f t="shared" si="197"/>
        <v>0</v>
      </c>
      <c r="AI177" s="373">
        <f t="shared" si="197"/>
        <v>0</v>
      </c>
      <c r="AJ177" s="373">
        <f t="shared" si="197"/>
        <v>0</v>
      </c>
      <c r="AK177" s="373">
        <f t="shared" si="197"/>
        <v>0</v>
      </c>
      <c r="AL177" s="373">
        <f t="shared" si="197"/>
        <v>0</v>
      </c>
      <c r="AM177" s="373">
        <f t="shared" si="197"/>
        <v>0</v>
      </c>
      <c r="AN177" s="373">
        <f t="shared" si="197"/>
        <v>0</v>
      </c>
      <c r="AO177" s="377">
        <f>SUM(AC177:AN177)/12</f>
        <v>0</v>
      </c>
    </row>
    <row r="178" spans="1:41" s="346" customFormat="1" ht="14.25" outlineLevel="1">
      <c r="A178" s="378" t="s">
        <v>212</v>
      </c>
      <c r="B178" s="381" t="s">
        <v>250</v>
      </c>
      <c r="C178" s="380">
        <f>C179*C180</f>
        <v>0</v>
      </c>
      <c r="D178" s="380">
        <f t="shared" ref="D178:N178" si="198">D179*D180</f>
        <v>0</v>
      </c>
      <c r="E178" s="380">
        <f t="shared" si="198"/>
        <v>0</v>
      </c>
      <c r="F178" s="380">
        <f t="shared" si="198"/>
        <v>0</v>
      </c>
      <c r="G178" s="380">
        <f t="shared" si="198"/>
        <v>0</v>
      </c>
      <c r="H178" s="380">
        <f t="shared" si="198"/>
        <v>0</v>
      </c>
      <c r="I178" s="380">
        <f t="shared" si="198"/>
        <v>0</v>
      </c>
      <c r="J178" s="380">
        <f t="shared" si="198"/>
        <v>0</v>
      </c>
      <c r="K178" s="380">
        <f t="shared" si="198"/>
        <v>0</v>
      </c>
      <c r="L178" s="380">
        <f t="shared" si="198"/>
        <v>0</v>
      </c>
      <c r="M178" s="380">
        <f t="shared" si="198"/>
        <v>0</v>
      </c>
      <c r="N178" s="380">
        <f t="shared" si="198"/>
        <v>0</v>
      </c>
      <c r="O178" s="352">
        <f>SUM(C178:N178)</f>
        <v>0</v>
      </c>
      <c r="P178" s="379">
        <f>P179*P180</f>
        <v>0</v>
      </c>
      <c r="Q178" s="380">
        <f t="shared" ref="Q178:AA178" si="199">Q179*Q180</f>
        <v>0</v>
      </c>
      <c r="R178" s="380">
        <f t="shared" si="199"/>
        <v>0</v>
      </c>
      <c r="S178" s="380">
        <f t="shared" si="199"/>
        <v>0</v>
      </c>
      <c r="T178" s="380">
        <f t="shared" si="199"/>
        <v>0</v>
      </c>
      <c r="U178" s="380">
        <f t="shared" si="199"/>
        <v>0</v>
      </c>
      <c r="V178" s="380">
        <f t="shared" si="199"/>
        <v>0</v>
      </c>
      <c r="W178" s="380">
        <f t="shared" si="199"/>
        <v>0</v>
      </c>
      <c r="X178" s="380">
        <f t="shared" si="199"/>
        <v>0</v>
      </c>
      <c r="Y178" s="380">
        <f t="shared" si="199"/>
        <v>0</v>
      </c>
      <c r="Z178" s="380">
        <f t="shared" si="199"/>
        <v>0</v>
      </c>
      <c r="AA178" s="380">
        <f t="shared" si="199"/>
        <v>0</v>
      </c>
      <c r="AB178" s="352">
        <f>SUM(P178:AA178)</f>
        <v>0</v>
      </c>
      <c r="AC178" s="379">
        <f>AC179*AC180</f>
        <v>0</v>
      </c>
      <c r="AD178" s="380">
        <f t="shared" ref="AD178:AN178" si="200">AD179*AD180</f>
        <v>0</v>
      </c>
      <c r="AE178" s="380">
        <f t="shared" si="200"/>
        <v>0</v>
      </c>
      <c r="AF178" s="380">
        <f t="shared" si="200"/>
        <v>0</v>
      </c>
      <c r="AG178" s="380">
        <f t="shared" si="200"/>
        <v>0</v>
      </c>
      <c r="AH178" s="380">
        <f t="shared" si="200"/>
        <v>0</v>
      </c>
      <c r="AI178" s="380">
        <f t="shared" si="200"/>
        <v>0</v>
      </c>
      <c r="AJ178" s="380">
        <f t="shared" si="200"/>
        <v>0</v>
      </c>
      <c r="AK178" s="380">
        <f t="shared" si="200"/>
        <v>0</v>
      </c>
      <c r="AL178" s="380">
        <f t="shared" si="200"/>
        <v>0</v>
      </c>
      <c r="AM178" s="380">
        <f t="shared" si="200"/>
        <v>0</v>
      </c>
      <c r="AN178" s="380">
        <f t="shared" si="200"/>
        <v>0</v>
      </c>
      <c r="AO178" s="354">
        <f>SUM(AC178:AN178)</f>
        <v>0</v>
      </c>
    </row>
    <row r="179" spans="1:41" ht="30" outlineLevel="1">
      <c r="A179" s="283" t="s">
        <v>394</v>
      </c>
      <c r="B179" s="363" t="s">
        <v>259</v>
      </c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59"/>
      <c r="P179" s="366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  <c r="AA179" s="364"/>
      <c r="AB179" s="359"/>
      <c r="AC179" s="366"/>
      <c r="AD179" s="364"/>
      <c r="AE179" s="364"/>
      <c r="AF179" s="364"/>
      <c r="AG179" s="364"/>
      <c r="AH179" s="364"/>
      <c r="AI179" s="364"/>
      <c r="AJ179" s="364"/>
      <c r="AK179" s="364"/>
      <c r="AL179" s="364"/>
      <c r="AM179" s="364"/>
      <c r="AN179" s="364"/>
      <c r="AO179" s="362"/>
    </row>
    <row r="180" spans="1:41" outlineLevel="1">
      <c r="A180" s="283" t="s">
        <v>395</v>
      </c>
      <c r="B180" s="367" t="s">
        <v>261</v>
      </c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59"/>
      <c r="P180" s="366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  <c r="AA180" s="364"/>
      <c r="AB180" s="359"/>
      <c r="AC180" s="366"/>
      <c r="AD180" s="364"/>
      <c r="AE180" s="364"/>
      <c r="AF180" s="364"/>
      <c r="AG180" s="364"/>
      <c r="AH180" s="364"/>
      <c r="AI180" s="364"/>
      <c r="AJ180" s="364"/>
      <c r="AK180" s="364"/>
      <c r="AL180" s="364"/>
      <c r="AM180" s="364"/>
      <c r="AN180" s="364"/>
      <c r="AO180" s="362"/>
    </row>
    <row r="181" spans="1:41" outlineLevel="1">
      <c r="A181" s="283" t="s">
        <v>396</v>
      </c>
      <c r="B181" s="363" t="s">
        <v>263</v>
      </c>
      <c r="C181" s="368" t="e">
        <f>C178/'Продукция и цена '!$C$10</f>
        <v>#DIV/0!</v>
      </c>
      <c r="D181" s="368" t="e">
        <f>D178/'Продукция и цена '!$C$10</f>
        <v>#DIV/0!</v>
      </c>
      <c r="E181" s="368" t="e">
        <f>E178/'Продукция и цена '!$C$10</f>
        <v>#DIV/0!</v>
      </c>
      <c r="F181" s="368" t="e">
        <f>F178/'Продукция и цена '!$C$10</f>
        <v>#DIV/0!</v>
      </c>
      <c r="G181" s="368" t="e">
        <f>G178/'Продукция и цена '!$C$10</f>
        <v>#DIV/0!</v>
      </c>
      <c r="H181" s="368" t="e">
        <f>H178/'Продукция и цена '!$C$10</f>
        <v>#DIV/0!</v>
      </c>
      <c r="I181" s="368" t="e">
        <f>I178/'Продукция и цена '!$C$10</f>
        <v>#DIV/0!</v>
      </c>
      <c r="J181" s="368" t="e">
        <f>J178/'Продукция и цена '!$C$10</f>
        <v>#DIV/0!</v>
      </c>
      <c r="K181" s="368" t="e">
        <f>K178/'Продукция и цена '!$C$10</f>
        <v>#DIV/0!</v>
      </c>
      <c r="L181" s="368" t="e">
        <f>L178/'Продукция и цена '!$C$10</f>
        <v>#DIV/0!</v>
      </c>
      <c r="M181" s="368" t="e">
        <f>M178/'Продукция и цена '!$C$10</f>
        <v>#DIV/0!</v>
      </c>
      <c r="N181" s="368" t="e">
        <f>N178/'Продукция и цена '!$C$10</f>
        <v>#DIV/0!</v>
      </c>
      <c r="O181" s="359" t="e">
        <f>SUM(C181:N181)/12</f>
        <v>#DIV/0!</v>
      </c>
      <c r="P181" s="370" t="e">
        <f>P178/'Продукция и цена '!$D$10</f>
        <v>#DIV/0!</v>
      </c>
      <c r="Q181" s="368" t="e">
        <f>Q178/'Продукция и цена '!$D$10</f>
        <v>#DIV/0!</v>
      </c>
      <c r="R181" s="368" t="e">
        <f>R178/'Продукция и цена '!$D$10</f>
        <v>#DIV/0!</v>
      </c>
      <c r="S181" s="368" t="e">
        <f>S178/'Продукция и цена '!$D$10</f>
        <v>#DIV/0!</v>
      </c>
      <c r="T181" s="368" t="e">
        <f>T178/'Продукция и цена '!$D$10</f>
        <v>#DIV/0!</v>
      </c>
      <c r="U181" s="368" t="e">
        <f>U178/'Продукция и цена '!$D$10</f>
        <v>#DIV/0!</v>
      </c>
      <c r="V181" s="368" t="e">
        <f>V178/'Продукция и цена '!$D$10</f>
        <v>#DIV/0!</v>
      </c>
      <c r="W181" s="368" t="e">
        <f>W178/'Продукция и цена '!$D$10</f>
        <v>#DIV/0!</v>
      </c>
      <c r="X181" s="368" t="e">
        <f>X178/'Продукция и цена '!$D$10</f>
        <v>#DIV/0!</v>
      </c>
      <c r="Y181" s="368" t="e">
        <f>Y178/'Продукция и цена '!$D$10</f>
        <v>#DIV/0!</v>
      </c>
      <c r="Z181" s="368" t="e">
        <f>Z178/'Продукция и цена '!$D$10</f>
        <v>#DIV/0!</v>
      </c>
      <c r="AA181" s="368" t="e">
        <f>AA178/'Продукция и цена '!$D$10</f>
        <v>#DIV/0!</v>
      </c>
      <c r="AB181" s="359" t="e">
        <f>SUM(P181:AA181)/12</f>
        <v>#DIV/0!</v>
      </c>
      <c r="AC181" s="370" t="e">
        <f>AC178/'Продукция и цена '!$E$10</f>
        <v>#DIV/0!</v>
      </c>
      <c r="AD181" s="368" t="e">
        <f>AD178/'Продукция и цена '!$E$10</f>
        <v>#DIV/0!</v>
      </c>
      <c r="AE181" s="368" t="e">
        <f>AE178/'Продукция и цена '!$E$10</f>
        <v>#DIV/0!</v>
      </c>
      <c r="AF181" s="368" t="e">
        <f>AF178/'Продукция и цена '!$E$10</f>
        <v>#DIV/0!</v>
      </c>
      <c r="AG181" s="368" t="e">
        <f>AG178/'Продукция и цена '!$E$10</f>
        <v>#DIV/0!</v>
      </c>
      <c r="AH181" s="368" t="e">
        <f>AH178/'Продукция и цена '!$E$10</f>
        <v>#DIV/0!</v>
      </c>
      <c r="AI181" s="368" t="e">
        <f>AI178/'Продукция и цена '!$E$10</f>
        <v>#DIV/0!</v>
      </c>
      <c r="AJ181" s="368" t="e">
        <f>AJ178/'Продукция и цена '!$E$10</f>
        <v>#DIV/0!</v>
      </c>
      <c r="AK181" s="368" t="e">
        <f>AK178/'Продукция и цена '!$E$10</f>
        <v>#DIV/0!</v>
      </c>
      <c r="AL181" s="368" t="e">
        <f>AL178/'Продукция и цена '!$E$10</f>
        <v>#DIV/0!</v>
      </c>
      <c r="AM181" s="368" t="e">
        <f>AM178/'Продукция и цена '!$E$10</f>
        <v>#DIV/0!</v>
      </c>
      <c r="AN181" s="368" t="e">
        <f>AN178/'Продукция и цена '!$E$10</f>
        <v>#DIV/0!</v>
      </c>
      <c r="AO181" s="362" t="e">
        <f>SUM(AC181:AN181)/12</f>
        <v>#DIV/0!</v>
      </c>
    </row>
    <row r="182" spans="1:41" outlineLevel="1">
      <c r="A182" s="371" t="s">
        <v>397</v>
      </c>
      <c r="B182" s="372" t="s">
        <v>265</v>
      </c>
      <c r="C182" s="373">
        <f>'Продукция и цена '!$C$10</f>
        <v>0</v>
      </c>
      <c r="D182" s="373">
        <f>C182</f>
        <v>0</v>
      </c>
      <c r="E182" s="373">
        <f t="shared" ref="E182:N182" si="201">D182</f>
        <v>0</v>
      </c>
      <c r="F182" s="373">
        <f t="shared" si="201"/>
        <v>0</v>
      </c>
      <c r="G182" s="373">
        <f t="shared" si="201"/>
        <v>0</v>
      </c>
      <c r="H182" s="373">
        <f t="shared" si="201"/>
        <v>0</v>
      </c>
      <c r="I182" s="373">
        <f t="shared" si="201"/>
        <v>0</v>
      </c>
      <c r="J182" s="373">
        <f t="shared" si="201"/>
        <v>0</v>
      </c>
      <c r="K182" s="373">
        <f t="shared" si="201"/>
        <v>0</v>
      </c>
      <c r="L182" s="373">
        <f t="shared" si="201"/>
        <v>0</v>
      </c>
      <c r="M182" s="373">
        <f t="shared" si="201"/>
        <v>0</v>
      </c>
      <c r="N182" s="373">
        <f t="shared" si="201"/>
        <v>0</v>
      </c>
      <c r="O182" s="374">
        <f>SUM(C182:N182)/12</f>
        <v>0</v>
      </c>
      <c r="P182" s="376">
        <f>'Продукция и цена '!$D$10</f>
        <v>0</v>
      </c>
      <c r="Q182" s="373">
        <f>P182</f>
        <v>0</v>
      </c>
      <c r="R182" s="373">
        <f t="shared" ref="R182:AA182" si="202">Q182</f>
        <v>0</v>
      </c>
      <c r="S182" s="373">
        <f t="shared" si="202"/>
        <v>0</v>
      </c>
      <c r="T182" s="373">
        <f t="shared" si="202"/>
        <v>0</v>
      </c>
      <c r="U182" s="373">
        <f t="shared" si="202"/>
        <v>0</v>
      </c>
      <c r="V182" s="373">
        <f t="shared" si="202"/>
        <v>0</v>
      </c>
      <c r="W182" s="373">
        <f t="shared" si="202"/>
        <v>0</v>
      </c>
      <c r="X182" s="373">
        <f t="shared" si="202"/>
        <v>0</v>
      </c>
      <c r="Y182" s="373">
        <f t="shared" si="202"/>
        <v>0</v>
      </c>
      <c r="Z182" s="373">
        <f t="shared" si="202"/>
        <v>0</v>
      </c>
      <c r="AA182" s="373">
        <f t="shared" si="202"/>
        <v>0</v>
      </c>
      <c r="AB182" s="374">
        <f>SUM(P182:AA182)/12</f>
        <v>0</v>
      </c>
      <c r="AC182" s="376">
        <f>'Продукция и цена '!$E$10</f>
        <v>0</v>
      </c>
      <c r="AD182" s="373">
        <f>AC182</f>
        <v>0</v>
      </c>
      <c r="AE182" s="373">
        <f t="shared" ref="AE182:AN182" si="203">AD182</f>
        <v>0</v>
      </c>
      <c r="AF182" s="373">
        <f t="shared" si="203"/>
        <v>0</v>
      </c>
      <c r="AG182" s="373">
        <f t="shared" si="203"/>
        <v>0</v>
      </c>
      <c r="AH182" s="373">
        <f t="shared" si="203"/>
        <v>0</v>
      </c>
      <c r="AI182" s="373">
        <f t="shared" si="203"/>
        <v>0</v>
      </c>
      <c r="AJ182" s="373">
        <f t="shared" si="203"/>
        <v>0</v>
      </c>
      <c r="AK182" s="373">
        <f t="shared" si="203"/>
        <v>0</v>
      </c>
      <c r="AL182" s="373">
        <f t="shared" si="203"/>
        <v>0</v>
      </c>
      <c r="AM182" s="373">
        <f t="shared" si="203"/>
        <v>0</v>
      </c>
      <c r="AN182" s="373">
        <f t="shared" si="203"/>
        <v>0</v>
      </c>
      <c r="AO182" s="377">
        <f>SUM(AC182:AN182)/12</f>
        <v>0</v>
      </c>
    </row>
    <row r="183" spans="1:41" s="346" customFormat="1" ht="14.25" outlineLevel="1">
      <c r="A183" s="378" t="s">
        <v>213</v>
      </c>
      <c r="B183" s="381" t="s">
        <v>251</v>
      </c>
      <c r="C183" s="380">
        <f>C184*C185</f>
        <v>0</v>
      </c>
      <c r="D183" s="380">
        <f t="shared" ref="D183:N183" si="204">D184*D185</f>
        <v>0</v>
      </c>
      <c r="E183" s="380">
        <f t="shared" si="204"/>
        <v>0</v>
      </c>
      <c r="F183" s="380">
        <f t="shared" si="204"/>
        <v>0</v>
      </c>
      <c r="G183" s="380">
        <f t="shared" si="204"/>
        <v>0</v>
      </c>
      <c r="H183" s="380">
        <f t="shared" si="204"/>
        <v>0</v>
      </c>
      <c r="I183" s="380">
        <f t="shared" si="204"/>
        <v>0</v>
      </c>
      <c r="J183" s="380">
        <f t="shared" si="204"/>
        <v>0</v>
      </c>
      <c r="K183" s="380">
        <f t="shared" si="204"/>
        <v>0</v>
      </c>
      <c r="L183" s="380">
        <f t="shared" si="204"/>
        <v>0</v>
      </c>
      <c r="M183" s="380">
        <f t="shared" si="204"/>
        <v>0</v>
      </c>
      <c r="N183" s="380">
        <f t="shared" si="204"/>
        <v>0</v>
      </c>
      <c r="O183" s="352">
        <f>SUM(C183:N183)</f>
        <v>0</v>
      </c>
      <c r="P183" s="379">
        <f>P184*P185</f>
        <v>0</v>
      </c>
      <c r="Q183" s="380">
        <f t="shared" ref="Q183:AA183" si="205">Q184*Q185</f>
        <v>0</v>
      </c>
      <c r="R183" s="380">
        <f t="shared" si="205"/>
        <v>0</v>
      </c>
      <c r="S183" s="380">
        <f t="shared" si="205"/>
        <v>0</v>
      </c>
      <c r="T183" s="380">
        <f t="shared" si="205"/>
        <v>0</v>
      </c>
      <c r="U183" s="380">
        <f t="shared" si="205"/>
        <v>0</v>
      </c>
      <c r="V183" s="380">
        <f t="shared" si="205"/>
        <v>0</v>
      </c>
      <c r="W183" s="380">
        <f t="shared" si="205"/>
        <v>0</v>
      </c>
      <c r="X183" s="380">
        <f t="shared" si="205"/>
        <v>0</v>
      </c>
      <c r="Y183" s="380">
        <f t="shared" si="205"/>
        <v>0</v>
      </c>
      <c r="Z183" s="380">
        <f t="shared" si="205"/>
        <v>0</v>
      </c>
      <c r="AA183" s="380">
        <f t="shared" si="205"/>
        <v>0</v>
      </c>
      <c r="AB183" s="352">
        <f>SUM(P183:AA183)</f>
        <v>0</v>
      </c>
      <c r="AC183" s="379">
        <f>AC184*AC185</f>
        <v>0</v>
      </c>
      <c r="AD183" s="380">
        <f t="shared" ref="AD183:AN183" si="206">AD184*AD185</f>
        <v>0</v>
      </c>
      <c r="AE183" s="380">
        <f t="shared" si="206"/>
        <v>0</v>
      </c>
      <c r="AF183" s="380">
        <f t="shared" si="206"/>
        <v>0</v>
      </c>
      <c r="AG183" s="380">
        <f t="shared" si="206"/>
        <v>0</v>
      </c>
      <c r="AH183" s="380">
        <f t="shared" si="206"/>
        <v>0</v>
      </c>
      <c r="AI183" s="380">
        <f t="shared" si="206"/>
        <v>0</v>
      </c>
      <c r="AJ183" s="380">
        <f t="shared" si="206"/>
        <v>0</v>
      </c>
      <c r="AK183" s="380">
        <f t="shared" si="206"/>
        <v>0</v>
      </c>
      <c r="AL183" s="380">
        <f t="shared" si="206"/>
        <v>0</v>
      </c>
      <c r="AM183" s="380">
        <f t="shared" si="206"/>
        <v>0</v>
      </c>
      <c r="AN183" s="380">
        <f t="shared" si="206"/>
        <v>0</v>
      </c>
      <c r="AO183" s="354">
        <f>SUM(AC183:AN183)</f>
        <v>0</v>
      </c>
    </row>
    <row r="184" spans="1:41" ht="30" outlineLevel="1">
      <c r="A184" s="283" t="s">
        <v>398</v>
      </c>
      <c r="B184" s="363" t="s">
        <v>259</v>
      </c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59"/>
      <c r="P184" s="366"/>
      <c r="Q184" s="364"/>
      <c r="R184" s="364"/>
      <c r="S184" s="364"/>
      <c r="T184" s="364"/>
      <c r="U184" s="364"/>
      <c r="V184" s="364"/>
      <c r="W184" s="364"/>
      <c r="X184" s="364"/>
      <c r="Y184" s="364"/>
      <c r="Z184" s="364"/>
      <c r="AA184" s="364"/>
      <c r="AB184" s="359"/>
      <c r="AC184" s="366"/>
      <c r="AD184" s="364"/>
      <c r="AE184" s="364"/>
      <c r="AF184" s="364"/>
      <c r="AG184" s="364"/>
      <c r="AH184" s="364"/>
      <c r="AI184" s="364"/>
      <c r="AJ184" s="364"/>
      <c r="AK184" s="364"/>
      <c r="AL184" s="364"/>
      <c r="AM184" s="364"/>
      <c r="AN184" s="364"/>
      <c r="AO184" s="362"/>
    </row>
    <row r="185" spans="1:41" outlineLevel="1">
      <c r="A185" s="283" t="s">
        <v>399</v>
      </c>
      <c r="B185" s="367" t="s">
        <v>261</v>
      </c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59"/>
      <c r="P185" s="366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  <c r="AA185" s="364"/>
      <c r="AB185" s="359"/>
      <c r="AC185" s="366"/>
      <c r="AD185" s="364"/>
      <c r="AE185" s="364"/>
      <c r="AF185" s="364"/>
      <c r="AG185" s="364"/>
      <c r="AH185" s="364"/>
      <c r="AI185" s="364"/>
      <c r="AJ185" s="364"/>
      <c r="AK185" s="364"/>
      <c r="AL185" s="364"/>
      <c r="AM185" s="364"/>
      <c r="AN185" s="364"/>
      <c r="AO185" s="362"/>
    </row>
    <row r="186" spans="1:41" outlineLevel="1">
      <c r="A186" s="283" t="s">
        <v>400</v>
      </c>
      <c r="B186" s="363" t="s">
        <v>263</v>
      </c>
      <c r="C186" s="368" t="e">
        <f>C183/'Продукция и цена '!$C$10</f>
        <v>#DIV/0!</v>
      </c>
      <c r="D186" s="368" t="e">
        <f>D183/'Продукция и цена '!$C$10</f>
        <v>#DIV/0!</v>
      </c>
      <c r="E186" s="368" t="e">
        <f>E183/'Продукция и цена '!$C$10</f>
        <v>#DIV/0!</v>
      </c>
      <c r="F186" s="368" t="e">
        <f>F183/'Продукция и цена '!$C$10</f>
        <v>#DIV/0!</v>
      </c>
      <c r="G186" s="368" t="e">
        <f>G183/'Продукция и цена '!$C$10</f>
        <v>#DIV/0!</v>
      </c>
      <c r="H186" s="368" t="e">
        <f>H183/'Продукция и цена '!$C$10</f>
        <v>#DIV/0!</v>
      </c>
      <c r="I186" s="368" t="e">
        <f>I183/'Продукция и цена '!$C$10</f>
        <v>#DIV/0!</v>
      </c>
      <c r="J186" s="368" t="e">
        <f>J183/'Продукция и цена '!$C$10</f>
        <v>#DIV/0!</v>
      </c>
      <c r="K186" s="368" t="e">
        <f>K183/'Продукция и цена '!$C$10</f>
        <v>#DIV/0!</v>
      </c>
      <c r="L186" s="368" t="e">
        <f>L183/'Продукция и цена '!$C$10</f>
        <v>#DIV/0!</v>
      </c>
      <c r="M186" s="368" t="e">
        <f>M183/'Продукция и цена '!$C$10</f>
        <v>#DIV/0!</v>
      </c>
      <c r="N186" s="368" t="e">
        <f>N183/'Продукция и цена '!$C$10</f>
        <v>#DIV/0!</v>
      </c>
      <c r="O186" s="359" t="e">
        <f>SUM(C186:N186)/12</f>
        <v>#DIV/0!</v>
      </c>
      <c r="P186" s="370" t="e">
        <f>P183/'Продукция и цена '!$D$10</f>
        <v>#DIV/0!</v>
      </c>
      <c r="Q186" s="368" t="e">
        <f>Q183/'Продукция и цена '!$D$10</f>
        <v>#DIV/0!</v>
      </c>
      <c r="R186" s="368" t="e">
        <f>R183/'Продукция и цена '!$D$10</f>
        <v>#DIV/0!</v>
      </c>
      <c r="S186" s="368" t="e">
        <f>S183/'Продукция и цена '!$D$10</f>
        <v>#DIV/0!</v>
      </c>
      <c r="T186" s="368" t="e">
        <f>T183/'Продукция и цена '!$D$10</f>
        <v>#DIV/0!</v>
      </c>
      <c r="U186" s="368" t="e">
        <f>U183/'Продукция и цена '!$D$10</f>
        <v>#DIV/0!</v>
      </c>
      <c r="V186" s="368" t="e">
        <f>V183/'Продукция и цена '!$D$10</f>
        <v>#DIV/0!</v>
      </c>
      <c r="W186" s="368" t="e">
        <f>W183/'Продукция и цена '!$D$10</f>
        <v>#DIV/0!</v>
      </c>
      <c r="X186" s="368" t="e">
        <f>X183/'Продукция и цена '!$D$10</f>
        <v>#DIV/0!</v>
      </c>
      <c r="Y186" s="368" t="e">
        <f>Y183/'Продукция и цена '!$D$10</f>
        <v>#DIV/0!</v>
      </c>
      <c r="Z186" s="368" t="e">
        <f>Z183/'Продукция и цена '!$D$10</f>
        <v>#DIV/0!</v>
      </c>
      <c r="AA186" s="368" t="e">
        <f>AA183/'Продукция и цена '!$D$10</f>
        <v>#DIV/0!</v>
      </c>
      <c r="AB186" s="359" t="e">
        <f>SUM(P186:AA186)/12</f>
        <v>#DIV/0!</v>
      </c>
      <c r="AC186" s="370" t="e">
        <f>AC183/'Продукция и цена '!$E$10</f>
        <v>#DIV/0!</v>
      </c>
      <c r="AD186" s="368" t="e">
        <f>AD183/'Продукция и цена '!$E$10</f>
        <v>#DIV/0!</v>
      </c>
      <c r="AE186" s="368" t="e">
        <f>AE183/'Продукция и цена '!$E$10</f>
        <v>#DIV/0!</v>
      </c>
      <c r="AF186" s="368" t="e">
        <f>AF183/'Продукция и цена '!$E$10</f>
        <v>#DIV/0!</v>
      </c>
      <c r="AG186" s="368" t="e">
        <f>AG183/'Продукция и цена '!$E$10</f>
        <v>#DIV/0!</v>
      </c>
      <c r="AH186" s="368" t="e">
        <f>AH183/'Продукция и цена '!$E$10</f>
        <v>#DIV/0!</v>
      </c>
      <c r="AI186" s="368" t="e">
        <f>AI183/'Продукция и цена '!$E$10</f>
        <v>#DIV/0!</v>
      </c>
      <c r="AJ186" s="368" t="e">
        <f>AJ183/'Продукция и цена '!$E$10</f>
        <v>#DIV/0!</v>
      </c>
      <c r="AK186" s="368" t="e">
        <f>AK183/'Продукция и цена '!$E$10</f>
        <v>#DIV/0!</v>
      </c>
      <c r="AL186" s="368" t="e">
        <f>AL183/'Продукция и цена '!$E$10</f>
        <v>#DIV/0!</v>
      </c>
      <c r="AM186" s="368" t="e">
        <f>AM183/'Продукция и цена '!$E$10</f>
        <v>#DIV/0!</v>
      </c>
      <c r="AN186" s="368" t="e">
        <f>AN183/'Продукция и цена '!$E$10</f>
        <v>#DIV/0!</v>
      </c>
      <c r="AO186" s="362" t="e">
        <f>SUM(AC186:AN186)/12</f>
        <v>#DIV/0!</v>
      </c>
    </row>
    <row r="187" spans="1:41" outlineLevel="1">
      <c r="A187" s="371" t="s">
        <v>401</v>
      </c>
      <c r="B187" s="372" t="s">
        <v>265</v>
      </c>
      <c r="C187" s="373">
        <f>'Продукция и цена '!$C$10</f>
        <v>0</v>
      </c>
      <c r="D187" s="373">
        <f>C187</f>
        <v>0</v>
      </c>
      <c r="E187" s="373">
        <f t="shared" ref="E187:N187" si="207">D187</f>
        <v>0</v>
      </c>
      <c r="F187" s="373">
        <f t="shared" si="207"/>
        <v>0</v>
      </c>
      <c r="G187" s="373">
        <f t="shared" si="207"/>
        <v>0</v>
      </c>
      <c r="H187" s="373">
        <f t="shared" si="207"/>
        <v>0</v>
      </c>
      <c r="I187" s="373">
        <f t="shared" si="207"/>
        <v>0</v>
      </c>
      <c r="J187" s="373">
        <f t="shared" si="207"/>
        <v>0</v>
      </c>
      <c r="K187" s="373">
        <f t="shared" si="207"/>
        <v>0</v>
      </c>
      <c r="L187" s="373">
        <f t="shared" si="207"/>
        <v>0</v>
      </c>
      <c r="M187" s="373">
        <f t="shared" si="207"/>
        <v>0</v>
      </c>
      <c r="N187" s="373">
        <f t="shared" si="207"/>
        <v>0</v>
      </c>
      <c r="O187" s="374">
        <f>SUM(C187:N187)/12</f>
        <v>0</v>
      </c>
      <c r="P187" s="376">
        <f>'Продукция и цена '!$D$10</f>
        <v>0</v>
      </c>
      <c r="Q187" s="373">
        <f>P187</f>
        <v>0</v>
      </c>
      <c r="R187" s="373">
        <f t="shared" ref="R187:AA187" si="208">Q187</f>
        <v>0</v>
      </c>
      <c r="S187" s="373">
        <f t="shared" si="208"/>
        <v>0</v>
      </c>
      <c r="T187" s="373">
        <f t="shared" si="208"/>
        <v>0</v>
      </c>
      <c r="U187" s="373">
        <f t="shared" si="208"/>
        <v>0</v>
      </c>
      <c r="V187" s="373">
        <f t="shared" si="208"/>
        <v>0</v>
      </c>
      <c r="W187" s="373">
        <f t="shared" si="208"/>
        <v>0</v>
      </c>
      <c r="X187" s="373">
        <f t="shared" si="208"/>
        <v>0</v>
      </c>
      <c r="Y187" s="373">
        <f t="shared" si="208"/>
        <v>0</v>
      </c>
      <c r="Z187" s="373">
        <f t="shared" si="208"/>
        <v>0</v>
      </c>
      <c r="AA187" s="373">
        <f t="shared" si="208"/>
        <v>0</v>
      </c>
      <c r="AB187" s="374">
        <f>SUM(P187:AA187)/12</f>
        <v>0</v>
      </c>
      <c r="AC187" s="376">
        <f>'Продукция и цена '!$E$10</f>
        <v>0</v>
      </c>
      <c r="AD187" s="373">
        <f>AC187</f>
        <v>0</v>
      </c>
      <c r="AE187" s="373">
        <f t="shared" ref="AE187:AN187" si="209">AD187</f>
        <v>0</v>
      </c>
      <c r="AF187" s="373">
        <f t="shared" si="209"/>
        <v>0</v>
      </c>
      <c r="AG187" s="373">
        <f t="shared" si="209"/>
        <v>0</v>
      </c>
      <c r="AH187" s="373">
        <f t="shared" si="209"/>
        <v>0</v>
      </c>
      <c r="AI187" s="373">
        <f t="shared" si="209"/>
        <v>0</v>
      </c>
      <c r="AJ187" s="373">
        <f t="shared" si="209"/>
        <v>0</v>
      </c>
      <c r="AK187" s="373">
        <f t="shared" si="209"/>
        <v>0</v>
      </c>
      <c r="AL187" s="373">
        <f t="shared" si="209"/>
        <v>0</v>
      </c>
      <c r="AM187" s="373">
        <f t="shared" si="209"/>
        <v>0</v>
      </c>
      <c r="AN187" s="373">
        <f t="shared" si="209"/>
        <v>0</v>
      </c>
      <c r="AO187" s="377">
        <f>SUM(AC187:AN187)/12</f>
        <v>0</v>
      </c>
    </row>
    <row r="188" spans="1:41" s="346" customFormat="1" ht="14.25">
      <c r="A188" s="349">
        <v>8</v>
      </c>
      <c r="B188" s="350" t="str">
        <f>'Продукция и цена '!A11</f>
        <v>Аренда системы: "Продвинутый" тариф</v>
      </c>
      <c r="C188" s="351">
        <f>(C189+C194+C199+C204+C209)*Продажи!B12</f>
        <v>0</v>
      </c>
      <c r="D188" s="351">
        <f>(D189+D194+D199+D204+D209)*Продажи!C12</f>
        <v>0</v>
      </c>
      <c r="E188" s="351">
        <f>(E189+E194+E199+E204+E209)*Продажи!D12</f>
        <v>0</v>
      </c>
      <c r="F188" s="351">
        <f>(F189+F194+F199+F204+F209)*Продажи!E12</f>
        <v>0</v>
      </c>
      <c r="G188" s="351">
        <f>(G189+G194+G199+G204+G209)*Продажи!F12</f>
        <v>0</v>
      </c>
      <c r="H188" s="351">
        <f>(H189+H194+H199+H204+H209)*Продажи!G12</f>
        <v>0</v>
      </c>
      <c r="I188" s="351">
        <f>(I189+I194+I199+I204+I209)*Продажи!H12</f>
        <v>0</v>
      </c>
      <c r="J188" s="351">
        <f>(J189+J194+J199+J204+J209)*Продажи!I12</f>
        <v>0</v>
      </c>
      <c r="K188" s="351">
        <f>(K189+K194+K199+K204+K209)*Продажи!J12</f>
        <v>0</v>
      </c>
      <c r="L188" s="351">
        <f>(L189+L194+L199+L204+L209)*Продажи!K12</f>
        <v>0</v>
      </c>
      <c r="M188" s="351">
        <f>(M189+M194+M199+M204+M209)*Продажи!L12</f>
        <v>0</v>
      </c>
      <c r="N188" s="351">
        <f>(N189+N194+N199+N204+N209)*Продажи!M12</f>
        <v>0</v>
      </c>
      <c r="O188" s="352">
        <f>SUM(C188:N188)</f>
        <v>0</v>
      </c>
      <c r="P188" s="353">
        <f>(P189+P194+P199+P204+P209)*Продажи!O12</f>
        <v>0</v>
      </c>
      <c r="Q188" s="351">
        <f>(Q189+Q194+Q199+Q204+Q209)*Продажи!P12</f>
        <v>0</v>
      </c>
      <c r="R188" s="351">
        <f>(R189+R194+R199+R204+R209)*Продажи!Q12</f>
        <v>0</v>
      </c>
      <c r="S188" s="351">
        <f>(S189+S194+S199+S204+S209)*Продажи!R12</f>
        <v>0</v>
      </c>
      <c r="T188" s="351">
        <f>(T189+T194+T199+T204+T209)*Продажи!S12</f>
        <v>0</v>
      </c>
      <c r="U188" s="351">
        <f>(U189+U194+U199+U204+U209)*Продажи!T12</f>
        <v>0</v>
      </c>
      <c r="V188" s="351">
        <f>(V189+V194+V199+V204+V209)*Продажи!U12</f>
        <v>0</v>
      </c>
      <c r="W188" s="351">
        <f>(W189+W194+W199+W204+W209)*Продажи!V12</f>
        <v>0</v>
      </c>
      <c r="X188" s="351">
        <f>(X189+X194+X199+X204+X209)*Продажи!W12</f>
        <v>0</v>
      </c>
      <c r="Y188" s="351">
        <f>(Y189+Y194+Y199+Y204+Y209)*Продажи!X12</f>
        <v>0</v>
      </c>
      <c r="Z188" s="351">
        <f>(Z189+Z194+Z199+Z204+Z209)*Продажи!Y12</f>
        <v>0</v>
      </c>
      <c r="AA188" s="351">
        <f>(AA189+AA194+AA199+AA204+AA209)*Продажи!Z12</f>
        <v>0</v>
      </c>
      <c r="AB188" s="354">
        <f>SUM(P188:AA188)</f>
        <v>0</v>
      </c>
      <c r="AC188" s="355">
        <f>(AC189+AC194+AC199+AC204+AC209)*Продажи!AB12</f>
        <v>0</v>
      </c>
      <c r="AD188" s="351">
        <f>(AD189+AD194+AD199+AD204+AD209)*Продажи!AC12</f>
        <v>0</v>
      </c>
      <c r="AE188" s="351">
        <f>(AE189+AE194+AE199+AE204+AE209)*Продажи!AD12</f>
        <v>0</v>
      </c>
      <c r="AF188" s="351">
        <f>(AF189+AF194+AF199+AF204+AF209)*Продажи!AE12</f>
        <v>0</v>
      </c>
      <c r="AG188" s="351">
        <f>(AG189+AG194+AG199+AG204+AG209)*Продажи!AF12</f>
        <v>0</v>
      </c>
      <c r="AH188" s="351">
        <f>(AH189+AH194+AH199+AH204+AH209)*Продажи!AG12</f>
        <v>0</v>
      </c>
      <c r="AI188" s="351">
        <f>(AI189+AI194+AI199+AI204+AI209)*Продажи!AH12</f>
        <v>0</v>
      </c>
      <c r="AJ188" s="351">
        <f>(AJ189+AJ194+AJ199+AJ204+AJ209)*Продажи!AI12</f>
        <v>0</v>
      </c>
      <c r="AK188" s="351">
        <f>(AK189+AK194+AK199+AK204+AK209)*Продажи!AJ12</f>
        <v>0</v>
      </c>
      <c r="AL188" s="351">
        <f>(AL189+AL194+AL199+AL204+AL209)*Продажи!AK12</f>
        <v>0</v>
      </c>
      <c r="AM188" s="351">
        <f>(AM189+AM194+AM199+AM204+AM209)*Продажи!AL12</f>
        <v>0</v>
      </c>
      <c r="AN188" s="351">
        <f>(AN189+AN194+AN199+AN204+AN209)*Продажи!AM12</f>
        <v>0</v>
      </c>
      <c r="AO188" s="354">
        <f>SUM(AC188:AN188)</f>
        <v>0</v>
      </c>
    </row>
    <row r="189" spans="1:41" s="346" customFormat="1" ht="14.25" outlineLevel="1">
      <c r="A189" s="356" t="s">
        <v>50</v>
      </c>
      <c r="B189" s="357" t="s">
        <v>247</v>
      </c>
      <c r="C189" s="358">
        <f>C190*C191</f>
        <v>0</v>
      </c>
      <c r="D189" s="358">
        <f t="shared" ref="D189:N189" si="210">D190*D191</f>
        <v>0</v>
      </c>
      <c r="E189" s="358">
        <f t="shared" si="210"/>
        <v>0</v>
      </c>
      <c r="F189" s="358">
        <f t="shared" si="210"/>
        <v>0</v>
      </c>
      <c r="G189" s="358">
        <f t="shared" si="210"/>
        <v>0</v>
      </c>
      <c r="H189" s="358">
        <f t="shared" si="210"/>
        <v>0</v>
      </c>
      <c r="I189" s="358">
        <f t="shared" si="210"/>
        <v>0</v>
      </c>
      <c r="J189" s="358">
        <f t="shared" si="210"/>
        <v>0</v>
      </c>
      <c r="K189" s="358">
        <f t="shared" si="210"/>
        <v>0</v>
      </c>
      <c r="L189" s="358">
        <f t="shared" si="210"/>
        <v>0</v>
      </c>
      <c r="M189" s="358">
        <f t="shared" si="210"/>
        <v>0</v>
      </c>
      <c r="N189" s="358">
        <f t="shared" si="210"/>
        <v>0</v>
      </c>
      <c r="O189" s="359">
        <f>SUM(C189:N189)</f>
        <v>0</v>
      </c>
      <c r="P189" s="360">
        <f>P190*P191</f>
        <v>0</v>
      </c>
      <c r="Q189" s="358">
        <f t="shared" ref="Q189:AA189" si="211">Q190*Q191</f>
        <v>0</v>
      </c>
      <c r="R189" s="358">
        <f t="shared" si="211"/>
        <v>0</v>
      </c>
      <c r="S189" s="358">
        <f t="shared" si="211"/>
        <v>0</v>
      </c>
      <c r="T189" s="358">
        <f t="shared" si="211"/>
        <v>0</v>
      </c>
      <c r="U189" s="358">
        <f t="shared" si="211"/>
        <v>0</v>
      </c>
      <c r="V189" s="358">
        <f t="shared" si="211"/>
        <v>0</v>
      </c>
      <c r="W189" s="358">
        <f t="shared" si="211"/>
        <v>0</v>
      </c>
      <c r="X189" s="358">
        <f t="shared" si="211"/>
        <v>0</v>
      </c>
      <c r="Y189" s="358">
        <f t="shared" si="211"/>
        <v>0</v>
      </c>
      <c r="Z189" s="358">
        <f t="shared" si="211"/>
        <v>0</v>
      </c>
      <c r="AA189" s="358">
        <f t="shared" si="211"/>
        <v>0</v>
      </c>
      <c r="AB189" s="359">
        <f>SUM(P189:AA189)</f>
        <v>0</v>
      </c>
      <c r="AC189" s="361">
        <f>AC190*AC191</f>
        <v>0</v>
      </c>
      <c r="AD189" s="358">
        <f t="shared" ref="AD189:AN189" si="212">AD190*AD191</f>
        <v>0</v>
      </c>
      <c r="AE189" s="358">
        <f t="shared" si="212"/>
        <v>0</v>
      </c>
      <c r="AF189" s="358">
        <f t="shared" si="212"/>
        <v>0</v>
      </c>
      <c r="AG189" s="358">
        <f t="shared" si="212"/>
        <v>0</v>
      </c>
      <c r="AH189" s="358">
        <f t="shared" si="212"/>
        <v>0</v>
      </c>
      <c r="AI189" s="358">
        <f t="shared" si="212"/>
        <v>0</v>
      </c>
      <c r="AJ189" s="358">
        <f t="shared" si="212"/>
        <v>0</v>
      </c>
      <c r="AK189" s="358">
        <f t="shared" si="212"/>
        <v>0</v>
      </c>
      <c r="AL189" s="358">
        <f t="shared" si="212"/>
        <v>0</v>
      </c>
      <c r="AM189" s="358">
        <f t="shared" si="212"/>
        <v>0</v>
      </c>
      <c r="AN189" s="358">
        <f t="shared" si="212"/>
        <v>0</v>
      </c>
      <c r="AO189" s="362">
        <f>SUM(AC189:AN189)</f>
        <v>0</v>
      </c>
    </row>
    <row r="190" spans="1:41" ht="30" outlineLevel="1">
      <c r="A190" s="283" t="s">
        <v>402</v>
      </c>
      <c r="B190" s="363" t="s">
        <v>259</v>
      </c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59"/>
      <c r="P190" s="365"/>
      <c r="Q190" s="364"/>
      <c r="R190" s="364"/>
      <c r="S190" s="364"/>
      <c r="T190" s="364"/>
      <c r="U190" s="364"/>
      <c r="V190" s="364"/>
      <c r="W190" s="364"/>
      <c r="X190" s="364"/>
      <c r="Y190" s="364"/>
      <c r="Z190" s="364"/>
      <c r="AA190" s="364"/>
      <c r="AB190" s="359"/>
      <c r="AC190" s="366"/>
      <c r="AD190" s="364"/>
      <c r="AE190" s="364"/>
      <c r="AF190" s="364"/>
      <c r="AG190" s="364"/>
      <c r="AH190" s="364"/>
      <c r="AI190" s="364"/>
      <c r="AJ190" s="364"/>
      <c r="AK190" s="364"/>
      <c r="AL190" s="364"/>
      <c r="AM190" s="364"/>
      <c r="AN190" s="364"/>
      <c r="AO190" s="362"/>
    </row>
    <row r="191" spans="1:41" outlineLevel="1">
      <c r="A191" s="283" t="s">
        <v>403</v>
      </c>
      <c r="B191" s="367" t="s">
        <v>261</v>
      </c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59"/>
      <c r="P191" s="365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  <c r="AA191" s="364"/>
      <c r="AB191" s="359"/>
      <c r="AC191" s="366"/>
      <c r="AD191" s="364"/>
      <c r="AE191" s="364"/>
      <c r="AF191" s="364"/>
      <c r="AG191" s="364"/>
      <c r="AH191" s="364"/>
      <c r="AI191" s="364"/>
      <c r="AJ191" s="364"/>
      <c r="AK191" s="364"/>
      <c r="AL191" s="364"/>
      <c r="AM191" s="364"/>
      <c r="AN191" s="364"/>
      <c r="AO191" s="362"/>
    </row>
    <row r="192" spans="1:41" outlineLevel="1">
      <c r="A192" s="283" t="s">
        <v>404</v>
      </c>
      <c r="B192" s="363" t="s">
        <v>263</v>
      </c>
      <c r="C192" s="368">
        <f>C189/'Продукция и цена '!$C$11</f>
        <v>0</v>
      </c>
      <c r="D192" s="368">
        <f>D189/'Продукция и цена '!$C$11</f>
        <v>0</v>
      </c>
      <c r="E192" s="368">
        <f>E189/'Продукция и цена '!$C$11</f>
        <v>0</v>
      </c>
      <c r="F192" s="368">
        <f>F189/'Продукция и цена '!$C$11</f>
        <v>0</v>
      </c>
      <c r="G192" s="368">
        <f>G189/'Продукция и цена '!$C$11</f>
        <v>0</v>
      </c>
      <c r="H192" s="368">
        <f>H189/'Продукция и цена '!$C$11</f>
        <v>0</v>
      </c>
      <c r="I192" s="368">
        <f>I189/'Продукция и цена '!$C$11</f>
        <v>0</v>
      </c>
      <c r="J192" s="368">
        <f>J189/'Продукция и цена '!$C$11</f>
        <v>0</v>
      </c>
      <c r="K192" s="368">
        <f>K189/'Продукция и цена '!$C$11</f>
        <v>0</v>
      </c>
      <c r="L192" s="368">
        <f>L189/'Продукция и цена '!$C$11</f>
        <v>0</v>
      </c>
      <c r="M192" s="368">
        <f>M189/'Продукция и цена '!$C$11</f>
        <v>0</v>
      </c>
      <c r="N192" s="368">
        <f>N189/'Продукция и цена '!$C$11</f>
        <v>0</v>
      </c>
      <c r="O192" s="359">
        <f>SUM(C192:N192)/12</f>
        <v>0</v>
      </c>
      <c r="P192" s="369">
        <f>P189/'Продукция и цена '!$D$11</f>
        <v>0</v>
      </c>
      <c r="Q192" s="368">
        <f>Q189/'Продукция и цена '!$D$11</f>
        <v>0</v>
      </c>
      <c r="R192" s="368">
        <f>R189/'Продукция и цена '!$D$11</f>
        <v>0</v>
      </c>
      <c r="S192" s="368">
        <f>S189/'Продукция и цена '!$D$11</f>
        <v>0</v>
      </c>
      <c r="T192" s="368">
        <f>T189/'Продукция и цена '!$D$11</f>
        <v>0</v>
      </c>
      <c r="U192" s="368">
        <f>U189/'Продукция и цена '!$D$11</f>
        <v>0</v>
      </c>
      <c r="V192" s="368">
        <f>V189/'Продукция и цена '!$D$11</f>
        <v>0</v>
      </c>
      <c r="W192" s="368">
        <f>W189/'Продукция и цена '!$D$11</f>
        <v>0</v>
      </c>
      <c r="X192" s="368">
        <f>X189/'Продукция и цена '!$D$11</f>
        <v>0</v>
      </c>
      <c r="Y192" s="368">
        <f>Y189/'Продукция и цена '!$D$11</f>
        <v>0</v>
      </c>
      <c r="Z192" s="368">
        <f>Z189/'Продукция и цена '!$D$11</f>
        <v>0</v>
      </c>
      <c r="AA192" s="368">
        <f>AA189/'Продукция и цена '!$D$11</f>
        <v>0</v>
      </c>
      <c r="AB192" s="359">
        <f>SUM(P192:AA192)/12</f>
        <v>0</v>
      </c>
      <c r="AC192" s="370">
        <f>AC189/'Продукция и цена '!$E$11</f>
        <v>0</v>
      </c>
      <c r="AD192" s="368">
        <f>AD189/'Продукция и цена '!$E$11</f>
        <v>0</v>
      </c>
      <c r="AE192" s="368">
        <f>AE189/'Продукция и цена '!$E$11</f>
        <v>0</v>
      </c>
      <c r="AF192" s="368">
        <f>AF189/'Продукция и цена '!$E$11</f>
        <v>0</v>
      </c>
      <c r="AG192" s="368">
        <f>AG189/'Продукция и цена '!$E$11</f>
        <v>0</v>
      </c>
      <c r="AH192" s="368">
        <f>AH189/'Продукция и цена '!$E$11</f>
        <v>0</v>
      </c>
      <c r="AI192" s="368">
        <f>AI189/'Продукция и цена '!$E$11</f>
        <v>0</v>
      </c>
      <c r="AJ192" s="368">
        <f>AJ189/'Продукция и цена '!$E$11</f>
        <v>0</v>
      </c>
      <c r="AK192" s="368">
        <f>AK189/'Продукция и цена '!$E$11</f>
        <v>0</v>
      </c>
      <c r="AL192" s="368">
        <f>AL189/'Продукция и цена '!$E$11</f>
        <v>0</v>
      </c>
      <c r="AM192" s="368">
        <f>AM189/'Продукция и цена '!$E$11</f>
        <v>0</v>
      </c>
      <c r="AN192" s="368">
        <f>AN189/'Продукция и цена '!$E$11</f>
        <v>0</v>
      </c>
      <c r="AO192" s="362">
        <f>SUM(AC192:AN192)/12</f>
        <v>0</v>
      </c>
    </row>
    <row r="193" spans="1:41" outlineLevel="1">
      <c r="A193" s="371" t="s">
        <v>405</v>
      </c>
      <c r="B193" s="372" t="s">
        <v>265</v>
      </c>
      <c r="C193" s="373">
        <f>'Продукция и цена '!$C$11</f>
        <v>65000</v>
      </c>
      <c r="D193" s="373">
        <f>C193</f>
        <v>65000</v>
      </c>
      <c r="E193" s="373">
        <f t="shared" ref="E193:N193" si="213">D193</f>
        <v>65000</v>
      </c>
      <c r="F193" s="373">
        <f t="shared" si="213"/>
        <v>65000</v>
      </c>
      <c r="G193" s="373">
        <f t="shared" si="213"/>
        <v>65000</v>
      </c>
      <c r="H193" s="373">
        <f t="shared" si="213"/>
        <v>65000</v>
      </c>
      <c r="I193" s="373">
        <f t="shared" si="213"/>
        <v>65000</v>
      </c>
      <c r="J193" s="373">
        <f t="shared" si="213"/>
        <v>65000</v>
      </c>
      <c r="K193" s="373">
        <f t="shared" si="213"/>
        <v>65000</v>
      </c>
      <c r="L193" s="373">
        <f t="shared" si="213"/>
        <v>65000</v>
      </c>
      <c r="M193" s="373">
        <f t="shared" si="213"/>
        <v>65000</v>
      </c>
      <c r="N193" s="373">
        <f t="shared" si="213"/>
        <v>65000</v>
      </c>
      <c r="O193" s="374">
        <f>SUM(C193:N193)/12</f>
        <v>65000</v>
      </c>
      <c r="P193" s="375">
        <f>'Продукция и цена '!$D$11</f>
        <v>74750</v>
      </c>
      <c r="Q193" s="373">
        <f>P193</f>
        <v>74750</v>
      </c>
      <c r="R193" s="373">
        <f t="shared" ref="R193:AA193" si="214">Q193</f>
        <v>74750</v>
      </c>
      <c r="S193" s="373">
        <f t="shared" si="214"/>
        <v>74750</v>
      </c>
      <c r="T193" s="373">
        <f t="shared" si="214"/>
        <v>74750</v>
      </c>
      <c r="U193" s="373">
        <f t="shared" si="214"/>
        <v>74750</v>
      </c>
      <c r="V193" s="373">
        <f t="shared" si="214"/>
        <v>74750</v>
      </c>
      <c r="W193" s="373">
        <f t="shared" si="214"/>
        <v>74750</v>
      </c>
      <c r="X193" s="373">
        <f t="shared" si="214"/>
        <v>74750</v>
      </c>
      <c r="Y193" s="373">
        <f t="shared" si="214"/>
        <v>74750</v>
      </c>
      <c r="Z193" s="373">
        <f t="shared" si="214"/>
        <v>74750</v>
      </c>
      <c r="AA193" s="373">
        <f t="shared" si="214"/>
        <v>74750</v>
      </c>
      <c r="AB193" s="374">
        <f>SUM(P193:AA193)/12</f>
        <v>74750</v>
      </c>
      <c r="AC193" s="376">
        <f>'Продукция и цена '!$E$11</f>
        <v>85962.5</v>
      </c>
      <c r="AD193" s="373">
        <f>AC193</f>
        <v>85962.5</v>
      </c>
      <c r="AE193" s="373">
        <f t="shared" ref="AE193:AN193" si="215">AD193</f>
        <v>85962.5</v>
      </c>
      <c r="AF193" s="373">
        <f t="shared" si="215"/>
        <v>85962.5</v>
      </c>
      <c r="AG193" s="373">
        <f t="shared" si="215"/>
        <v>85962.5</v>
      </c>
      <c r="AH193" s="373">
        <f t="shared" si="215"/>
        <v>85962.5</v>
      </c>
      <c r="AI193" s="373">
        <f t="shared" si="215"/>
        <v>85962.5</v>
      </c>
      <c r="AJ193" s="373">
        <f t="shared" si="215"/>
        <v>85962.5</v>
      </c>
      <c r="AK193" s="373">
        <f t="shared" si="215"/>
        <v>85962.5</v>
      </c>
      <c r="AL193" s="373">
        <f t="shared" si="215"/>
        <v>85962.5</v>
      </c>
      <c r="AM193" s="373">
        <f t="shared" si="215"/>
        <v>85962.5</v>
      </c>
      <c r="AN193" s="373">
        <f t="shared" si="215"/>
        <v>85962.5</v>
      </c>
      <c r="AO193" s="377">
        <f>SUM(AC193:AN193)/12</f>
        <v>85962.5</v>
      </c>
    </row>
    <row r="194" spans="1:41" s="346" customFormat="1" ht="14.25" outlineLevel="1">
      <c r="A194" s="378" t="s">
        <v>52</v>
      </c>
      <c r="B194" s="357" t="s">
        <v>248</v>
      </c>
      <c r="C194" s="358">
        <f>C195*C196</f>
        <v>0</v>
      </c>
      <c r="D194" s="358">
        <f t="shared" ref="D194:N194" si="216">D195*D196</f>
        <v>0</v>
      </c>
      <c r="E194" s="358">
        <f t="shared" si="216"/>
        <v>0</v>
      </c>
      <c r="F194" s="358">
        <f t="shared" si="216"/>
        <v>0</v>
      </c>
      <c r="G194" s="358">
        <f t="shared" si="216"/>
        <v>0</v>
      </c>
      <c r="H194" s="358">
        <f t="shared" si="216"/>
        <v>0</v>
      </c>
      <c r="I194" s="358">
        <f t="shared" si="216"/>
        <v>0</v>
      </c>
      <c r="J194" s="358">
        <f t="shared" si="216"/>
        <v>0</v>
      </c>
      <c r="K194" s="358">
        <f t="shared" si="216"/>
        <v>0</v>
      </c>
      <c r="L194" s="358">
        <f t="shared" si="216"/>
        <v>0</v>
      </c>
      <c r="M194" s="358">
        <f t="shared" si="216"/>
        <v>0</v>
      </c>
      <c r="N194" s="358">
        <f t="shared" si="216"/>
        <v>0</v>
      </c>
      <c r="O194" s="352">
        <f>SUM(C194:N194)</f>
        <v>0</v>
      </c>
      <c r="P194" s="379">
        <f>P195*P196</f>
        <v>0</v>
      </c>
      <c r="Q194" s="380">
        <f t="shared" ref="Q194:AA194" si="217">Q195*Q196</f>
        <v>0</v>
      </c>
      <c r="R194" s="380">
        <f t="shared" si="217"/>
        <v>0</v>
      </c>
      <c r="S194" s="380">
        <f t="shared" si="217"/>
        <v>0</v>
      </c>
      <c r="T194" s="380">
        <f t="shared" si="217"/>
        <v>0</v>
      </c>
      <c r="U194" s="380">
        <f t="shared" si="217"/>
        <v>0</v>
      </c>
      <c r="V194" s="380">
        <f t="shared" si="217"/>
        <v>0</v>
      </c>
      <c r="W194" s="380">
        <f t="shared" si="217"/>
        <v>0</v>
      </c>
      <c r="X194" s="380">
        <f t="shared" si="217"/>
        <v>0</v>
      </c>
      <c r="Y194" s="380">
        <f t="shared" si="217"/>
        <v>0</v>
      </c>
      <c r="Z194" s="380">
        <f t="shared" si="217"/>
        <v>0</v>
      </c>
      <c r="AA194" s="380">
        <f t="shared" si="217"/>
        <v>0</v>
      </c>
      <c r="AB194" s="352">
        <f>SUM(P194:AA194)</f>
        <v>0</v>
      </c>
      <c r="AC194" s="379">
        <f>AC195*AC196</f>
        <v>0</v>
      </c>
      <c r="AD194" s="380">
        <f t="shared" ref="AD194:AN194" si="218">AD195*AD196</f>
        <v>0</v>
      </c>
      <c r="AE194" s="380">
        <f t="shared" si="218"/>
        <v>0</v>
      </c>
      <c r="AF194" s="380">
        <f t="shared" si="218"/>
        <v>0</v>
      </c>
      <c r="AG194" s="380">
        <f t="shared" si="218"/>
        <v>0</v>
      </c>
      <c r="AH194" s="380">
        <f t="shared" si="218"/>
        <v>0</v>
      </c>
      <c r="AI194" s="380">
        <f t="shared" si="218"/>
        <v>0</v>
      </c>
      <c r="AJ194" s="380">
        <f t="shared" si="218"/>
        <v>0</v>
      </c>
      <c r="AK194" s="380">
        <f t="shared" si="218"/>
        <v>0</v>
      </c>
      <c r="AL194" s="380">
        <f t="shared" si="218"/>
        <v>0</v>
      </c>
      <c r="AM194" s="380">
        <f t="shared" si="218"/>
        <v>0</v>
      </c>
      <c r="AN194" s="380">
        <f t="shared" si="218"/>
        <v>0</v>
      </c>
      <c r="AO194" s="354">
        <f>SUM(AC194:AN194)</f>
        <v>0</v>
      </c>
    </row>
    <row r="195" spans="1:41" ht="30" outlineLevel="1">
      <c r="A195" s="283" t="s">
        <v>406</v>
      </c>
      <c r="B195" s="363" t="s">
        <v>259</v>
      </c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59"/>
      <c r="P195" s="366"/>
      <c r="Q195" s="364"/>
      <c r="R195" s="364"/>
      <c r="S195" s="364"/>
      <c r="T195" s="364"/>
      <c r="U195" s="364"/>
      <c r="V195" s="364"/>
      <c r="W195" s="364"/>
      <c r="X195" s="364"/>
      <c r="Y195" s="364"/>
      <c r="Z195" s="364"/>
      <c r="AA195" s="364"/>
      <c r="AB195" s="359"/>
      <c r="AC195" s="366"/>
      <c r="AD195" s="364"/>
      <c r="AE195" s="364"/>
      <c r="AF195" s="364"/>
      <c r="AG195" s="364"/>
      <c r="AH195" s="364"/>
      <c r="AI195" s="364"/>
      <c r="AJ195" s="364"/>
      <c r="AK195" s="364"/>
      <c r="AL195" s="364"/>
      <c r="AM195" s="364"/>
      <c r="AN195" s="364"/>
      <c r="AO195" s="362"/>
    </row>
    <row r="196" spans="1:41" outlineLevel="1">
      <c r="A196" s="283" t="s">
        <v>407</v>
      </c>
      <c r="B196" s="367" t="s">
        <v>261</v>
      </c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59"/>
      <c r="P196" s="366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364"/>
      <c r="AB196" s="359"/>
      <c r="AC196" s="366"/>
      <c r="AD196" s="364"/>
      <c r="AE196" s="364"/>
      <c r="AF196" s="364"/>
      <c r="AG196" s="364"/>
      <c r="AH196" s="364"/>
      <c r="AI196" s="364"/>
      <c r="AJ196" s="364"/>
      <c r="AK196" s="364"/>
      <c r="AL196" s="364"/>
      <c r="AM196" s="364"/>
      <c r="AN196" s="364"/>
      <c r="AO196" s="362"/>
    </row>
    <row r="197" spans="1:41" outlineLevel="1">
      <c r="A197" s="283" t="s">
        <v>408</v>
      </c>
      <c r="B197" s="363" t="s">
        <v>263</v>
      </c>
      <c r="C197" s="368">
        <f>C194/'Продукция и цена '!$C$11</f>
        <v>0</v>
      </c>
      <c r="D197" s="368">
        <f>D194/'Продукция и цена '!$C$11</f>
        <v>0</v>
      </c>
      <c r="E197" s="368">
        <f>E194/'Продукция и цена '!$C$11</f>
        <v>0</v>
      </c>
      <c r="F197" s="368">
        <f>F194/'Продукция и цена '!$C$11</f>
        <v>0</v>
      </c>
      <c r="G197" s="368">
        <f>G194/'Продукция и цена '!$C$11</f>
        <v>0</v>
      </c>
      <c r="H197" s="368">
        <f>H194/'Продукция и цена '!$C$11</f>
        <v>0</v>
      </c>
      <c r="I197" s="368">
        <f>I194/'Продукция и цена '!$C$11</f>
        <v>0</v>
      </c>
      <c r="J197" s="368">
        <f>J194/'Продукция и цена '!$C$11</f>
        <v>0</v>
      </c>
      <c r="K197" s="368">
        <f>K194/'Продукция и цена '!$C$11</f>
        <v>0</v>
      </c>
      <c r="L197" s="368">
        <f>L194/'Продукция и цена '!$C$11</f>
        <v>0</v>
      </c>
      <c r="M197" s="368">
        <f>M194/'Продукция и цена '!$C$11</f>
        <v>0</v>
      </c>
      <c r="N197" s="368">
        <f>N194/'Продукция и цена '!$C$11</f>
        <v>0</v>
      </c>
      <c r="O197" s="359">
        <f>SUM(C197:N197)/12</f>
        <v>0</v>
      </c>
      <c r="P197" s="370">
        <f>P194/'Продукция и цена '!$D$11</f>
        <v>0</v>
      </c>
      <c r="Q197" s="368">
        <f>Q194/'Продукция и цена '!$D$11</f>
        <v>0</v>
      </c>
      <c r="R197" s="368">
        <f>R194/'Продукция и цена '!$D$11</f>
        <v>0</v>
      </c>
      <c r="S197" s="368">
        <f>S194/'Продукция и цена '!$D$11</f>
        <v>0</v>
      </c>
      <c r="T197" s="368">
        <f>T194/'Продукция и цена '!$D$11</f>
        <v>0</v>
      </c>
      <c r="U197" s="368">
        <f>U194/'Продукция и цена '!$D$11</f>
        <v>0</v>
      </c>
      <c r="V197" s="368">
        <f>V194/'Продукция и цена '!$D$11</f>
        <v>0</v>
      </c>
      <c r="W197" s="368">
        <f>W194/'Продукция и цена '!$D$11</f>
        <v>0</v>
      </c>
      <c r="X197" s="368">
        <f>X194/'Продукция и цена '!$D$11</f>
        <v>0</v>
      </c>
      <c r="Y197" s="368">
        <f>Y194/'Продукция и цена '!$D$11</f>
        <v>0</v>
      </c>
      <c r="Z197" s="368">
        <f>Z194/'Продукция и цена '!$D$11</f>
        <v>0</v>
      </c>
      <c r="AA197" s="368">
        <f>AA194/'Продукция и цена '!$D$11</f>
        <v>0</v>
      </c>
      <c r="AB197" s="359">
        <f>SUM(P197:AA197)/12</f>
        <v>0</v>
      </c>
      <c r="AC197" s="370">
        <f>AC194/'Продукция и цена '!$E$11</f>
        <v>0</v>
      </c>
      <c r="AD197" s="368">
        <f>AD194/'Продукция и цена '!$E$11</f>
        <v>0</v>
      </c>
      <c r="AE197" s="368">
        <f>AE194/'Продукция и цена '!$E$11</f>
        <v>0</v>
      </c>
      <c r="AF197" s="368">
        <f>AF194/'Продукция и цена '!$E$11</f>
        <v>0</v>
      </c>
      <c r="AG197" s="368">
        <f>AG194/'Продукция и цена '!$E$11</f>
        <v>0</v>
      </c>
      <c r="AH197" s="368">
        <f>AH194/'Продукция и цена '!$E$11</f>
        <v>0</v>
      </c>
      <c r="AI197" s="368">
        <f>AI194/'Продукция и цена '!$E$11</f>
        <v>0</v>
      </c>
      <c r="AJ197" s="368">
        <f>AJ194/'Продукция и цена '!$E$11</f>
        <v>0</v>
      </c>
      <c r="AK197" s="368">
        <f>AK194/'Продукция и цена '!$E$11</f>
        <v>0</v>
      </c>
      <c r="AL197" s="368">
        <f>AL194/'Продукция и цена '!$E$11</f>
        <v>0</v>
      </c>
      <c r="AM197" s="368">
        <f>AM194/'Продукция и цена '!$E$11</f>
        <v>0</v>
      </c>
      <c r="AN197" s="368">
        <f>AN194/'Продукция и цена '!$E$11</f>
        <v>0</v>
      </c>
      <c r="AO197" s="362">
        <f>SUM(AC197:AN197)/12</f>
        <v>0</v>
      </c>
    </row>
    <row r="198" spans="1:41" outlineLevel="1">
      <c r="A198" s="371" t="s">
        <v>409</v>
      </c>
      <c r="B198" s="372" t="s">
        <v>265</v>
      </c>
      <c r="C198" s="373">
        <f>'Продукция и цена '!$C$11</f>
        <v>65000</v>
      </c>
      <c r="D198" s="373">
        <f>C198</f>
        <v>65000</v>
      </c>
      <c r="E198" s="373">
        <f t="shared" ref="E198:N198" si="219">D198</f>
        <v>65000</v>
      </c>
      <c r="F198" s="373">
        <f t="shared" si="219"/>
        <v>65000</v>
      </c>
      <c r="G198" s="373">
        <f t="shared" si="219"/>
        <v>65000</v>
      </c>
      <c r="H198" s="373">
        <f t="shared" si="219"/>
        <v>65000</v>
      </c>
      <c r="I198" s="373">
        <f t="shared" si="219"/>
        <v>65000</v>
      </c>
      <c r="J198" s="373">
        <f t="shared" si="219"/>
        <v>65000</v>
      </c>
      <c r="K198" s="373">
        <f t="shared" si="219"/>
        <v>65000</v>
      </c>
      <c r="L198" s="373">
        <f t="shared" si="219"/>
        <v>65000</v>
      </c>
      <c r="M198" s="373">
        <f t="shared" si="219"/>
        <v>65000</v>
      </c>
      <c r="N198" s="373">
        <f t="shared" si="219"/>
        <v>65000</v>
      </c>
      <c r="O198" s="374">
        <f>SUM(C198:N198)/12</f>
        <v>65000</v>
      </c>
      <c r="P198" s="376">
        <f>'Продукция и цена '!$D$11</f>
        <v>74750</v>
      </c>
      <c r="Q198" s="373">
        <f>P198</f>
        <v>74750</v>
      </c>
      <c r="R198" s="373">
        <f t="shared" ref="R198:AA198" si="220">Q198</f>
        <v>74750</v>
      </c>
      <c r="S198" s="373">
        <f t="shared" si="220"/>
        <v>74750</v>
      </c>
      <c r="T198" s="373">
        <f t="shared" si="220"/>
        <v>74750</v>
      </c>
      <c r="U198" s="373">
        <f t="shared" si="220"/>
        <v>74750</v>
      </c>
      <c r="V198" s="373">
        <f t="shared" si="220"/>
        <v>74750</v>
      </c>
      <c r="W198" s="373">
        <f t="shared" si="220"/>
        <v>74750</v>
      </c>
      <c r="X198" s="373">
        <f t="shared" si="220"/>
        <v>74750</v>
      </c>
      <c r="Y198" s="373">
        <f t="shared" si="220"/>
        <v>74750</v>
      </c>
      <c r="Z198" s="373">
        <f t="shared" si="220"/>
        <v>74750</v>
      </c>
      <c r="AA198" s="373">
        <f t="shared" si="220"/>
        <v>74750</v>
      </c>
      <c r="AB198" s="374">
        <f>SUM(P198:AA198)/12</f>
        <v>74750</v>
      </c>
      <c r="AC198" s="376">
        <f>'Продукция и цена '!$E$11</f>
        <v>85962.5</v>
      </c>
      <c r="AD198" s="373">
        <f>AC198</f>
        <v>85962.5</v>
      </c>
      <c r="AE198" s="373">
        <f t="shared" ref="AE198:AN198" si="221">AD198</f>
        <v>85962.5</v>
      </c>
      <c r="AF198" s="373">
        <f t="shared" si="221"/>
        <v>85962.5</v>
      </c>
      <c r="AG198" s="373">
        <f t="shared" si="221"/>
        <v>85962.5</v>
      </c>
      <c r="AH198" s="373">
        <f t="shared" si="221"/>
        <v>85962.5</v>
      </c>
      <c r="AI198" s="373">
        <f t="shared" si="221"/>
        <v>85962.5</v>
      </c>
      <c r="AJ198" s="373">
        <f t="shared" si="221"/>
        <v>85962.5</v>
      </c>
      <c r="AK198" s="373">
        <f t="shared" si="221"/>
        <v>85962.5</v>
      </c>
      <c r="AL198" s="373">
        <f t="shared" si="221"/>
        <v>85962.5</v>
      </c>
      <c r="AM198" s="373">
        <f t="shared" si="221"/>
        <v>85962.5</v>
      </c>
      <c r="AN198" s="373">
        <f t="shared" si="221"/>
        <v>85962.5</v>
      </c>
      <c r="AO198" s="377">
        <f>SUM(AC198:AN198)/12</f>
        <v>85962.5</v>
      </c>
    </row>
    <row r="199" spans="1:41" s="346" customFormat="1" ht="14.25" outlineLevel="1">
      <c r="A199" s="378" t="s">
        <v>53</v>
      </c>
      <c r="B199" s="381" t="s">
        <v>249</v>
      </c>
      <c r="C199" s="380">
        <f>C200*C201</f>
        <v>0</v>
      </c>
      <c r="D199" s="380">
        <f t="shared" ref="D199:N199" si="222">D200*D201</f>
        <v>0</v>
      </c>
      <c r="E199" s="380">
        <f t="shared" si="222"/>
        <v>0</v>
      </c>
      <c r="F199" s="380">
        <f t="shared" si="222"/>
        <v>0</v>
      </c>
      <c r="G199" s="380">
        <f t="shared" si="222"/>
        <v>0</v>
      </c>
      <c r="H199" s="380">
        <f t="shared" si="222"/>
        <v>0</v>
      </c>
      <c r="I199" s="380">
        <f t="shared" si="222"/>
        <v>0</v>
      </c>
      <c r="J199" s="380">
        <f t="shared" si="222"/>
        <v>0</v>
      </c>
      <c r="K199" s="380">
        <f t="shared" si="222"/>
        <v>0</v>
      </c>
      <c r="L199" s="380">
        <f t="shared" si="222"/>
        <v>0</v>
      </c>
      <c r="M199" s="380">
        <f t="shared" si="222"/>
        <v>0</v>
      </c>
      <c r="N199" s="380">
        <f t="shared" si="222"/>
        <v>0</v>
      </c>
      <c r="O199" s="352">
        <f>SUM(C199:N199)</f>
        <v>0</v>
      </c>
      <c r="P199" s="379">
        <f>P200*P201</f>
        <v>0</v>
      </c>
      <c r="Q199" s="380">
        <f t="shared" ref="Q199:AA199" si="223">Q200*Q201</f>
        <v>0</v>
      </c>
      <c r="R199" s="380">
        <f t="shared" si="223"/>
        <v>0</v>
      </c>
      <c r="S199" s="380">
        <f t="shared" si="223"/>
        <v>0</v>
      </c>
      <c r="T199" s="380">
        <f t="shared" si="223"/>
        <v>0</v>
      </c>
      <c r="U199" s="380">
        <f t="shared" si="223"/>
        <v>0</v>
      </c>
      <c r="V199" s="380">
        <f t="shared" si="223"/>
        <v>0</v>
      </c>
      <c r="W199" s="380">
        <f t="shared" si="223"/>
        <v>0</v>
      </c>
      <c r="X199" s="380">
        <f t="shared" si="223"/>
        <v>0</v>
      </c>
      <c r="Y199" s="380">
        <f t="shared" si="223"/>
        <v>0</v>
      </c>
      <c r="Z199" s="380">
        <f t="shared" si="223"/>
        <v>0</v>
      </c>
      <c r="AA199" s="380">
        <f t="shared" si="223"/>
        <v>0</v>
      </c>
      <c r="AB199" s="352">
        <f>SUM(P199:AA199)</f>
        <v>0</v>
      </c>
      <c r="AC199" s="379">
        <f>AC200*AC201</f>
        <v>0</v>
      </c>
      <c r="AD199" s="380">
        <f t="shared" ref="AD199:AN199" si="224">AD200*AD201</f>
        <v>0</v>
      </c>
      <c r="AE199" s="380">
        <f t="shared" si="224"/>
        <v>0</v>
      </c>
      <c r="AF199" s="380">
        <f t="shared" si="224"/>
        <v>0</v>
      </c>
      <c r="AG199" s="380">
        <f t="shared" si="224"/>
        <v>0</v>
      </c>
      <c r="AH199" s="380">
        <f t="shared" si="224"/>
        <v>0</v>
      </c>
      <c r="AI199" s="380">
        <f t="shared" si="224"/>
        <v>0</v>
      </c>
      <c r="AJ199" s="380">
        <f t="shared" si="224"/>
        <v>0</v>
      </c>
      <c r="AK199" s="380">
        <f t="shared" si="224"/>
        <v>0</v>
      </c>
      <c r="AL199" s="380">
        <f t="shared" si="224"/>
        <v>0</v>
      </c>
      <c r="AM199" s="380">
        <f t="shared" si="224"/>
        <v>0</v>
      </c>
      <c r="AN199" s="380">
        <f t="shared" si="224"/>
        <v>0</v>
      </c>
      <c r="AO199" s="354">
        <f>SUM(AC199:AN199)</f>
        <v>0</v>
      </c>
    </row>
    <row r="200" spans="1:41" ht="30" outlineLevel="1">
      <c r="A200" s="283" t="s">
        <v>410</v>
      </c>
      <c r="B200" s="363" t="s">
        <v>259</v>
      </c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59"/>
      <c r="P200" s="366"/>
      <c r="Q200" s="364"/>
      <c r="R200" s="364"/>
      <c r="S200" s="364"/>
      <c r="T200" s="364"/>
      <c r="U200" s="364"/>
      <c r="V200" s="364"/>
      <c r="W200" s="364"/>
      <c r="X200" s="364"/>
      <c r="Y200" s="364"/>
      <c r="Z200" s="364"/>
      <c r="AA200" s="364"/>
      <c r="AB200" s="359"/>
      <c r="AC200" s="366"/>
      <c r="AD200" s="364"/>
      <c r="AE200" s="364"/>
      <c r="AF200" s="364"/>
      <c r="AG200" s="364"/>
      <c r="AH200" s="364"/>
      <c r="AI200" s="364"/>
      <c r="AJ200" s="364"/>
      <c r="AK200" s="364"/>
      <c r="AL200" s="364"/>
      <c r="AM200" s="364"/>
      <c r="AN200" s="364"/>
      <c r="AO200" s="362"/>
    </row>
    <row r="201" spans="1:41" outlineLevel="1">
      <c r="A201" s="283" t="s">
        <v>411</v>
      </c>
      <c r="B201" s="367" t="s">
        <v>261</v>
      </c>
      <c r="C201" s="364"/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59"/>
      <c r="P201" s="366"/>
      <c r="Q201" s="364"/>
      <c r="R201" s="364"/>
      <c r="S201" s="364"/>
      <c r="T201" s="364"/>
      <c r="U201" s="364"/>
      <c r="V201" s="364"/>
      <c r="W201" s="364"/>
      <c r="X201" s="364"/>
      <c r="Y201" s="364"/>
      <c r="Z201" s="364"/>
      <c r="AA201" s="364"/>
      <c r="AB201" s="359"/>
      <c r="AC201" s="366"/>
      <c r="AD201" s="364"/>
      <c r="AE201" s="364"/>
      <c r="AF201" s="364"/>
      <c r="AG201" s="364"/>
      <c r="AH201" s="364"/>
      <c r="AI201" s="364"/>
      <c r="AJ201" s="364"/>
      <c r="AK201" s="364"/>
      <c r="AL201" s="364"/>
      <c r="AM201" s="364"/>
      <c r="AN201" s="364"/>
      <c r="AO201" s="362"/>
    </row>
    <row r="202" spans="1:41" outlineLevel="1">
      <c r="A202" s="283" t="s">
        <v>412</v>
      </c>
      <c r="B202" s="363" t="s">
        <v>263</v>
      </c>
      <c r="C202" s="368">
        <f>C199/'Продукция и цена '!$C$11</f>
        <v>0</v>
      </c>
      <c r="D202" s="368">
        <f>D199/'Продукция и цена '!$C$11</f>
        <v>0</v>
      </c>
      <c r="E202" s="368">
        <f>E199/'Продукция и цена '!$C$11</f>
        <v>0</v>
      </c>
      <c r="F202" s="368">
        <f>F199/'Продукция и цена '!$C$11</f>
        <v>0</v>
      </c>
      <c r="G202" s="368">
        <f>G199/'Продукция и цена '!$C$11</f>
        <v>0</v>
      </c>
      <c r="H202" s="368">
        <f>H199/'Продукция и цена '!$C$11</f>
        <v>0</v>
      </c>
      <c r="I202" s="368">
        <f>I199/'Продукция и цена '!$C$11</f>
        <v>0</v>
      </c>
      <c r="J202" s="368">
        <f>J199/'Продукция и цена '!$C$11</f>
        <v>0</v>
      </c>
      <c r="K202" s="368">
        <f>K199/'Продукция и цена '!$C$11</f>
        <v>0</v>
      </c>
      <c r="L202" s="368">
        <f>L199/'Продукция и цена '!$C$11</f>
        <v>0</v>
      </c>
      <c r="M202" s="368">
        <f>M199/'Продукция и цена '!$C$11</f>
        <v>0</v>
      </c>
      <c r="N202" s="368">
        <f>N199/'Продукция и цена '!$C$11</f>
        <v>0</v>
      </c>
      <c r="O202" s="359">
        <f>SUM(C202:N202)/12</f>
        <v>0</v>
      </c>
      <c r="P202" s="370">
        <f>P199/'Продукция и цена '!$D$11</f>
        <v>0</v>
      </c>
      <c r="Q202" s="368">
        <f>Q199/'Продукция и цена '!$D$11</f>
        <v>0</v>
      </c>
      <c r="R202" s="368">
        <f>R199/'Продукция и цена '!$D$11</f>
        <v>0</v>
      </c>
      <c r="S202" s="368">
        <f>S199/'Продукция и цена '!$D$11</f>
        <v>0</v>
      </c>
      <c r="T202" s="368">
        <f>T199/'Продукция и цена '!$D$11</f>
        <v>0</v>
      </c>
      <c r="U202" s="368">
        <f>U199/'Продукция и цена '!$D$11</f>
        <v>0</v>
      </c>
      <c r="V202" s="368">
        <f>V199/'Продукция и цена '!$D$11</f>
        <v>0</v>
      </c>
      <c r="W202" s="368">
        <f>W199/'Продукция и цена '!$D$11</f>
        <v>0</v>
      </c>
      <c r="X202" s="368">
        <f>X199/'Продукция и цена '!$D$11</f>
        <v>0</v>
      </c>
      <c r="Y202" s="368">
        <f>Y199/'Продукция и цена '!$D$11</f>
        <v>0</v>
      </c>
      <c r="Z202" s="368">
        <f>Z199/'Продукция и цена '!$D$11</f>
        <v>0</v>
      </c>
      <c r="AA202" s="368">
        <f>AA199/'Продукция и цена '!$D$11</f>
        <v>0</v>
      </c>
      <c r="AB202" s="359">
        <f>SUM(P202:AA202)/12</f>
        <v>0</v>
      </c>
      <c r="AC202" s="370">
        <f>AC199/'Продукция и цена '!$E$11</f>
        <v>0</v>
      </c>
      <c r="AD202" s="368">
        <f>AD199/'Продукция и цена '!$E$11</f>
        <v>0</v>
      </c>
      <c r="AE202" s="368">
        <f>AE199/'Продукция и цена '!$E$11</f>
        <v>0</v>
      </c>
      <c r="AF202" s="368">
        <f>AF199/'Продукция и цена '!$E$11</f>
        <v>0</v>
      </c>
      <c r="AG202" s="368">
        <f>AG199/'Продукция и цена '!$E$11</f>
        <v>0</v>
      </c>
      <c r="AH202" s="368">
        <f>AH199/'Продукция и цена '!$E$11</f>
        <v>0</v>
      </c>
      <c r="AI202" s="368">
        <f>AI199/'Продукция и цена '!$E$11</f>
        <v>0</v>
      </c>
      <c r="AJ202" s="368">
        <f>AJ199/'Продукция и цена '!$E$11</f>
        <v>0</v>
      </c>
      <c r="AK202" s="368">
        <f>AK199/'Продукция и цена '!$E$11</f>
        <v>0</v>
      </c>
      <c r="AL202" s="368">
        <f>AL199/'Продукция и цена '!$E$11</f>
        <v>0</v>
      </c>
      <c r="AM202" s="368">
        <f>AM199/'Продукция и цена '!$E$11</f>
        <v>0</v>
      </c>
      <c r="AN202" s="368">
        <f>AN199/'Продукция и цена '!$E$11</f>
        <v>0</v>
      </c>
      <c r="AO202" s="362">
        <f>SUM(AC202:AN202)/12</f>
        <v>0</v>
      </c>
    </row>
    <row r="203" spans="1:41" outlineLevel="1">
      <c r="A203" s="371" t="s">
        <v>413</v>
      </c>
      <c r="B203" s="372" t="s">
        <v>265</v>
      </c>
      <c r="C203" s="373">
        <f>'Продукция и цена '!$C$11</f>
        <v>65000</v>
      </c>
      <c r="D203" s="373">
        <f>C203</f>
        <v>65000</v>
      </c>
      <c r="E203" s="373">
        <f t="shared" ref="E203:N203" si="225">D203</f>
        <v>65000</v>
      </c>
      <c r="F203" s="373">
        <f t="shared" si="225"/>
        <v>65000</v>
      </c>
      <c r="G203" s="373">
        <f t="shared" si="225"/>
        <v>65000</v>
      </c>
      <c r="H203" s="373">
        <f t="shared" si="225"/>
        <v>65000</v>
      </c>
      <c r="I203" s="373">
        <f t="shared" si="225"/>
        <v>65000</v>
      </c>
      <c r="J203" s="373">
        <f t="shared" si="225"/>
        <v>65000</v>
      </c>
      <c r="K203" s="373">
        <f t="shared" si="225"/>
        <v>65000</v>
      </c>
      <c r="L203" s="373">
        <f t="shared" si="225"/>
        <v>65000</v>
      </c>
      <c r="M203" s="373">
        <f t="shared" si="225"/>
        <v>65000</v>
      </c>
      <c r="N203" s="373">
        <f t="shared" si="225"/>
        <v>65000</v>
      </c>
      <c r="O203" s="374">
        <f>SUM(C203:N203)/12</f>
        <v>65000</v>
      </c>
      <c r="P203" s="376">
        <f>'Продукция и цена '!$D$11</f>
        <v>74750</v>
      </c>
      <c r="Q203" s="373">
        <f>P203</f>
        <v>74750</v>
      </c>
      <c r="R203" s="373">
        <f t="shared" ref="R203:AA203" si="226">Q203</f>
        <v>74750</v>
      </c>
      <c r="S203" s="373">
        <f t="shared" si="226"/>
        <v>74750</v>
      </c>
      <c r="T203" s="373">
        <f t="shared" si="226"/>
        <v>74750</v>
      </c>
      <c r="U203" s="373">
        <f t="shared" si="226"/>
        <v>74750</v>
      </c>
      <c r="V203" s="373">
        <f t="shared" si="226"/>
        <v>74750</v>
      </c>
      <c r="W203" s="373">
        <f t="shared" si="226"/>
        <v>74750</v>
      </c>
      <c r="X203" s="373">
        <f t="shared" si="226"/>
        <v>74750</v>
      </c>
      <c r="Y203" s="373">
        <f t="shared" si="226"/>
        <v>74750</v>
      </c>
      <c r="Z203" s="373">
        <f t="shared" si="226"/>
        <v>74750</v>
      </c>
      <c r="AA203" s="373">
        <f t="shared" si="226"/>
        <v>74750</v>
      </c>
      <c r="AB203" s="374">
        <f>SUM(P203:AA203)/12</f>
        <v>74750</v>
      </c>
      <c r="AC203" s="376">
        <f>'Продукция и цена '!$E$11</f>
        <v>85962.5</v>
      </c>
      <c r="AD203" s="373">
        <f>AC203</f>
        <v>85962.5</v>
      </c>
      <c r="AE203" s="373">
        <f t="shared" ref="AE203:AN203" si="227">AD203</f>
        <v>85962.5</v>
      </c>
      <c r="AF203" s="373">
        <f t="shared" si="227"/>
        <v>85962.5</v>
      </c>
      <c r="AG203" s="373">
        <f t="shared" si="227"/>
        <v>85962.5</v>
      </c>
      <c r="AH203" s="373">
        <f t="shared" si="227"/>
        <v>85962.5</v>
      </c>
      <c r="AI203" s="373">
        <f t="shared" si="227"/>
        <v>85962.5</v>
      </c>
      <c r="AJ203" s="373">
        <f t="shared" si="227"/>
        <v>85962.5</v>
      </c>
      <c r="AK203" s="373">
        <f t="shared" si="227"/>
        <v>85962.5</v>
      </c>
      <c r="AL203" s="373">
        <f t="shared" si="227"/>
        <v>85962.5</v>
      </c>
      <c r="AM203" s="373">
        <f t="shared" si="227"/>
        <v>85962.5</v>
      </c>
      <c r="AN203" s="373">
        <f t="shared" si="227"/>
        <v>85962.5</v>
      </c>
      <c r="AO203" s="377">
        <f>SUM(AC203:AN203)/12</f>
        <v>85962.5</v>
      </c>
    </row>
    <row r="204" spans="1:41" s="346" customFormat="1" ht="14.25" outlineLevel="1">
      <c r="A204" s="378" t="s">
        <v>54</v>
      </c>
      <c r="B204" s="381" t="s">
        <v>250</v>
      </c>
      <c r="C204" s="380">
        <f>C205*C206</f>
        <v>0</v>
      </c>
      <c r="D204" s="380">
        <f t="shared" ref="D204:N204" si="228">D205*D206</f>
        <v>0</v>
      </c>
      <c r="E204" s="380">
        <f t="shared" si="228"/>
        <v>0</v>
      </c>
      <c r="F204" s="380">
        <f t="shared" si="228"/>
        <v>0</v>
      </c>
      <c r="G204" s="380">
        <f t="shared" si="228"/>
        <v>0</v>
      </c>
      <c r="H204" s="380">
        <f t="shared" si="228"/>
        <v>0</v>
      </c>
      <c r="I204" s="380">
        <f t="shared" si="228"/>
        <v>0</v>
      </c>
      <c r="J204" s="380">
        <f t="shared" si="228"/>
        <v>0</v>
      </c>
      <c r="K204" s="380">
        <f t="shared" si="228"/>
        <v>0</v>
      </c>
      <c r="L204" s="380">
        <f t="shared" si="228"/>
        <v>0</v>
      </c>
      <c r="M204" s="380">
        <f t="shared" si="228"/>
        <v>0</v>
      </c>
      <c r="N204" s="380">
        <f t="shared" si="228"/>
        <v>0</v>
      </c>
      <c r="O204" s="352">
        <f>SUM(C204:N204)</f>
        <v>0</v>
      </c>
      <c r="P204" s="379">
        <f>P205*P206</f>
        <v>0</v>
      </c>
      <c r="Q204" s="380">
        <f t="shared" ref="Q204:AA204" si="229">Q205*Q206</f>
        <v>0</v>
      </c>
      <c r="R204" s="380">
        <f t="shared" si="229"/>
        <v>0</v>
      </c>
      <c r="S204" s="380">
        <f t="shared" si="229"/>
        <v>0</v>
      </c>
      <c r="T204" s="380">
        <f t="shared" si="229"/>
        <v>0</v>
      </c>
      <c r="U204" s="380">
        <f t="shared" si="229"/>
        <v>0</v>
      </c>
      <c r="V204" s="380">
        <f t="shared" si="229"/>
        <v>0</v>
      </c>
      <c r="W204" s="380">
        <f t="shared" si="229"/>
        <v>0</v>
      </c>
      <c r="X204" s="380">
        <f t="shared" si="229"/>
        <v>0</v>
      </c>
      <c r="Y204" s="380">
        <f t="shared" si="229"/>
        <v>0</v>
      </c>
      <c r="Z204" s="380">
        <f t="shared" si="229"/>
        <v>0</v>
      </c>
      <c r="AA204" s="380">
        <f t="shared" si="229"/>
        <v>0</v>
      </c>
      <c r="AB204" s="352">
        <f>SUM(P204:AA204)</f>
        <v>0</v>
      </c>
      <c r="AC204" s="379">
        <f>AC205*AC206</f>
        <v>0</v>
      </c>
      <c r="AD204" s="380">
        <f t="shared" ref="AD204:AN204" si="230">AD205*AD206</f>
        <v>0</v>
      </c>
      <c r="AE204" s="380">
        <f t="shared" si="230"/>
        <v>0</v>
      </c>
      <c r="AF204" s="380">
        <f t="shared" si="230"/>
        <v>0</v>
      </c>
      <c r="AG204" s="380">
        <f t="shared" si="230"/>
        <v>0</v>
      </c>
      <c r="AH204" s="380">
        <f t="shared" si="230"/>
        <v>0</v>
      </c>
      <c r="AI204" s="380">
        <f t="shared" si="230"/>
        <v>0</v>
      </c>
      <c r="AJ204" s="380">
        <f t="shared" si="230"/>
        <v>0</v>
      </c>
      <c r="AK204" s="380">
        <f t="shared" si="230"/>
        <v>0</v>
      </c>
      <c r="AL204" s="380">
        <f t="shared" si="230"/>
        <v>0</v>
      </c>
      <c r="AM204" s="380">
        <f t="shared" si="230"/>
        <v>0</v>
      </c>
      <c r="AN204" s="380">
        <f t="shared" si="230"/>
        <v>0</v>
      </c>
      <c r="AO204" s="354">
        <f>SUM(AC204:AN204)</f>
        <v>0</v>
      </c>
    </row>
    <row r="205" spans="1:41" ht="30" outlineLevel="1">
      <c r="A205" s="283" t="s">
        <v>414</v>
      </c>
      <c r="B205" s="363" t="s">
        <v>259</v>
      </c>
      <c r="C205" s="364"/>
      <c r="D205" s="364"/>
      <c r="E205" s="364"/>
      <c r="F205" s="364"/>
      <c r="G205" s="364"/>
      <c r="H205" s="364"/>
      <c r="I205" s="364"/>
      <c r="J205" s="364"/>
      <c r="K205" s="364"/>
      <c r="L205" s="364"/>
      <c r="M205" s="364"/>
      <c r="N205" s="364"/>
      <c r="O205" s="359"/>
      <c r="P205" s="366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  <c r="AA205" s="364"/>
      <c r="AB205" s="359"/>
      <c r="AC205" s="366"/>
      <c r="AD205" s="364"/>
      <c r="AE205" s="364"/>
      <c r="AF205" s="364"/>
      <c r="AG205" s="364"/>
      <c r="AH205" s="364"/>
      <c r="AI205" s="364"/>
      <c r="AJ205" s="364"/>
      <c r="AK205" s="364"/>
      <c r="AL205" s="364"/>
      <c r="AM205" s="364"/>
      <c r="AN205" s="364"/>
      <c r="AO205" s="362"/>
    </row>
    <row r="206" spans="1:41" outlineLevel="1">
      <c r="A206" s="283" t="s">
        <v>415</v>
      </c>
      <c r="B206" s="367" t="s">
        <v>261</v>
      </c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59"/>
      <c r="P206" s="366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  <c r="AA206" s="364"/>
      <c r="AB206" s="359"/>
      <c r="AC206" s="366"/>
      <c r="AD206" s="364"/>
      <c r="AE206" s="364"/>
      <c r="AF206" s="364"/>
      <c r="AG206" s="364"/>
      <c r="AH206" s="364"/>
      <c r="AI206" s="364"/>
      <c r="AJ206" s="364"/>
      <c r="AK206" s="364"/>
      <c r="AL206" s="364"/>
      <c r="AM206" s="364"/>
      <c r="AN206" s="364"/>
      <c r="AO206" s="362"/>
    </row>
    <row r="207" spans="1:41" outlineLevel="1">
      <c r="A207" s="283" t="s">
        <v>416</v>
      </c>
      <c r="B207" s="363" t="s">
        <v>263</v>
      </c>
      <c r="C207" s="368">
        <f>C204/'Продукция и цена '!$C$11</f>
        <v>0</v>
      </c>
      <c r="D207" s="368">
        <f>D204/'Продукция и цена '!$C$11</f>
        <v>0</v>
      </c>
      <c r="E207" s="368">
        <f>E204/'Продукция и цена '!$C$11</f>
        <v>0</v>
      </c>
      <c r="F207" s="368">
        <f>F204/'Продукция и цена '!$C$11</f>
        <v>0</v>
      </c>
      <c r="G207" s="368">
        <f>G204/'Продукция и цена '!$C$11</f>
        <v>0</v>
      </c>
      <c r="H207" s="368">
        <f>H204/'Продукция и цена '!$C$11</f>
        <v>0</v>
      </c>
      <c r="I207" s="368">
        <f>I204/'Продукция и цена '!$C$11</f>
        <v>0</v>
      </c>
      <c r="J207" s="368">
        <f>J204/'Продукция и цена '!$C$11</f>
        <v>0</v>
      </c>
      <c r="K207" s="368">
        <f>K204/'Продукция и цена '!$C$11</f>
        <v>0</v>
      </c>
      <c r="L207" s="368">
        <f>L204/'Продукция и цена '!$C$11</f>
        <v>0</v>
      </c>
      <c r="M207" s="368">
        <f>M204/'Продукция и цена '!$C$11</f>
        <v>0</v>
      </c>
      <c r="N207" s="368">
        <f>N204/'Продукция и цена '!$C$11</f>
        <v>0</v>
      </c>
      <c r="O207" s="359">
        <f>SUM(C207:N207)/12</f>
        <v>0</v>
      </c>
      <c r="P207" s="370">
        <f>P204/'Продукция и цена '!$D$11</f>
        <v>0</v>
      </c>
      <c r="Q207" s="368">
        <f>Q204/'Продукция и цена '!$D$11</f>
        <v>0</v>
      </c>
      <c r="R207" s="368">
        <f>R204/'Продукция и цена '!$D$11</f>
        <v>0</v>
      </c>
      <c r="S207" s="368">
        <f>S204/'Продукция и цена '!$D$11</f>
        <v>0</v>
      </c>
      <c r="T207" s="368">
        <f>T204/'Продукция и цена '!$D$11</f>
        <v>0</v>
      </c>
      <c r="U207" s="368">
        <f>U204/'Продукция и цена '!$D$11</f>
        <v>0</v>
      </c>
      <c r="V207" s="368">
        <f>V204/'Продукция и цена '!$D$11</f>
        <v>0</v>
      </c>
      <c r="W207" s="368">
        <f>W204/'Продукция и цена '!$D$11</f>
        <v>0</v>
      </c>
      <c r="X207" s="368">
        <f>X204/'Продукция и цена '!$D$11</f>
        <v>0</v>
      </c>
      <c r="Y207" s="368">
        <f>Y204/'Продукция и цена '!$D$11</f>
        <v>0</v>
      </c>
      <c r="Z207" s="368">
        <f>Z204/'Продукция и цена '!$D$11</f>
        <v>0</v>
      </c>
      <c r="AA207" s="368">
        <f>AA204/'Продукция и цена '!$D$11</f>
        <v>0</v>
      </c>
      <c r="AB207" s="359">
        <f>SUM(P207:AA207)/12</f>
        <v>0</v>
      </c>
      <c r="AC207" s="370">
        <f>AC204/'Продукция и цена '!$E$11</f>
        <v>0</v>
      </c>
      <c r="AD207" s="368">
        <f>AD204/'Продукция и цена '!$E$11</f>
        <v>0</v>
      </c>
      <c r="AE207" s="368">
        <f>AE204/'Продукция и цена '!$E$11</f>
        <v>0</v>
      </c>
      <c r="AF207" s="368">
        <f>AF204/'Продукция и цена '!$E$11</f>
        <v>0</v>
      </c>
      <c r="AG207" s="368">
        <f>AG204/'Продукция и цена '!$E$11</f>
        <v>0</v>
      </c>
      <c r="AH207" s="368">
        <f>AH204/'Продукция и цена '!$E$11</f>
        <v>0</v>
      </c>
      <c r="AI207" s="368">
        <f>AI204/'Продукция и цена '!$E$11</f>
        <v>0</v>
      </c>
      <c r="AJ207" s="368">
        <f>AJ204/'Продукция и цена '!$E$11</f>
        <v>0</v>
      </c>
      <c r="AK207" s="368">
        <f>AK204/'Продукция и цена '!$E$11</f>
        <v>0</v>
      </c>
      <c r="AL207" s="368">
        <f>AL204/'Продукция и цена '!$E$11</f>
        <v>0</v>
      </c>
      <c r="AM207" s="368">
        <f>AM204/'Продукция и цена '!$E$11</f>
        <v>0</v>
      </c>
      <c r="AN207" s="368">
        <f>AN204/'Продукция и цена '!$E$11</f>
        <v>0</v>
      </c>
      <c r="AO207" s="362">
        <f>SUM(AC207:AN207)/12</f>
        <v>0</v>
      </c>
    </row>
    <row r="208" spans="1:41" outlineLevel="1">
      <c r="A208" s="371" t="s">
        <v>417</v>
      </c>
      <c r="B208" s="372" t="s">
        <v>265</v>
      </c>
      <c r="C208" s="373">
        <f>'Продукция и цена '!$C$11</f>
        <v>65000</v>
      </c>
      <c r="D208" s="373">
        <f>C208</f>
        <v>65000</v>
      </c>
      <c r="E208" s="373">
        <f t="shared" ref="E208:N208" si="231">D208</f>
        <v>65000</v>
      </c>
      <c r="F208" s="373">
        <f t="shared" si="231"/>
        <v>65000</v>
      </c>
      <c r="G208" s="373">
        <f t="shared" si="231"/>
        <v>65000</v>
      </c>
      <c r="H208" s="373">
        <f t="shared" si="231"/>
        <v>65000</v>
      </c>
      <c r="I208" s="373">
        <f t="shared" si="231"/>
        <v>65000</v>
      </c>
      <c r="J208" s="373">
        <f t="shared" si="231"/>
        <v>65000</v>
      </c>
      <c r="K208" s="373">
        <f t="shared" si="231"/>
        <v>65000</v>
      </c>
      <c r="L208" s="373">
        <f t="shared" si="231"/>
        <v>65000</v>
      </c>
      <c r="M208" s="373">
        <f t="shared" si="231"/>
        <v>65000</v>
      </c>
      <c r="N208" s="373">
        <f t="shared" si="231"/>
        <v>65000</v>
      </c>
      <c r="O208" s="374">
        <f>SUM(C208:N208)/12</f>
        <v>65000</v>
      </c>
      <c r="P208" s="376">
        <f>'Продукция и цена '!$D$11</f>
        <v>74750</v>
      </c>
      <c r="Q208" s="373">
        <f>P208</f>
        <v>74750</v>
      </c>
      <c r="R208" s="373">
        <f t="shared" ref="R208:AA208" si="232">Q208</f>
        <v>74750</v>
      </c>
      <c r="S208" s="373">
        <f t="shared" si="232"/>
        <v>74750</v>
      </c>
      <c r="T208" s="373">
        <f t="shared" si="232"/>
        <v>74750</v>
      </c>
      <c r="U208" s="373">
        <f t="shared" si="232"/>
        <v>74750</v>
      </c>
      <c r="V208" s="373">
        <f t="shared" si="232"/>
        <v>74750</v>
      </c>
      <c r="W208" s="373">
        <f t="shared" si="232"/>
        <v>74750</v>
      </c>
      <c r="X208" s="373">
        <f t="shared" si="232"/>
        <v>74750</v>
      </c>
      <c r="Y208" s="373">
        <f t="shared" si="232"/>
        <v>74750</v>
      </c>
      <c r="Z208" s="373">
        <f t="shared" si="232"/>
        <v>74750</v>
      </c>
      <c r="AA208" s="373">
        <f t="shared" si="232"/>
        <v>74750</v>
      </c>
      <c r="AB208" s="374">
        <f>SUM(P208:AA208)/12</f>
        <v>74750</v>
      </c>
      <c r="AC208" s="376">
        <f>'Продукция и цена '!$E$11</f>
        <v>85962.5</v>
      </c>
      <c r="AD208" s="373">
        <f>AC208</f>
        <v>85962.5</v>
      </c>
      <c r="AE208" s="373">
        <f t="shared" ref="AE208:AN208" si="233">AD208</f>
        <v>85962.5</v>
      </c>
      <c r="AF208" s="373">
        <f t="shared" si="233"/>
        <v>85962.5</v>
      </c>
      <c r="AG208" s="373">
        <f t="shared" si="233"/>
        <v>85962.5</v>
      </c>
      <c r="AH208" s="373">
        <f t="shared" si="233"/>
        <v>85962.5</v>
      </c>
      <c r="AI208" s="373">
        <f t="shared" si="233"/>
        <v>85962.5</v>
      </c>
      <c r="AJ208" s="373">
        <f t="shared" si="233"/>
        <v>85962.5</v>
      </c>
      <c r="AK208" s="373">
        <f t="shared" si="233"/>
        <v>85962.5</v>
      </c>
      <c r="AL208" s="373">
        <f t="shared" si="233"/>
        <v>85962.5</v>
      </c>
      <c r="AM208" s="373">
        <f t="shared" si="233"/>
        <v>85962.5</v>
      </c>
      <c r="AN208" s="373">
        <f t="shared" si="233"/>
        <v>85962.5</v>
      </c>
      <c r="AO208" s="377">
        <f>SUM(AC208:AN208)/12</f>
        <v>85962.5</v>
      </c>
    </row>
    <row r="209" spans="1:41" s="346" customFormat="1" ht="14.25" outlineLevel="1">
      <c r="A209" s="378" t="s">
        <v>55</v>
      </c>
      <c r="B209" s="381" t="s">
        <v>251</v>
      </c>
      <c r="C209" s="380">
        <f>C210*C211</f>
        <v>0</v>
      </c>
      <c r="D209" s="380">
        <f t="shared" ref="D209:N209" si="234">D210*D211</f>
        <v>0</v>
      </c>
      <c r="E209" s="380">
        <f t="shared" si="234"/>
        <v>0</v>
      </c>
      <c r="F209" s="380">
        <f t="shared" si="234"/>
        <v>0</v>
      </c>
      <c r="G209" s="380">
        <f t="shared" si="234"/>
        <v>0</v>
      </c>
      <c r="H209" s="380">
        <f t="shared" si="234"/>
        <v>0</v>
      </c>
      <c r="I209" s="380">
        <f t="shared" si="234"/>
        <v>0</v>
      </c>
      <c r="J209" s="380">
        <f t="shared" si="234"/>
        <v>0</v>
      </c>
      <c r="K209" s="380">
        <f t="shared" si="234"/>
        <v>0</v>
      </c>
      <c r="L209" s="380">
        <f t="shared" si="234"/>
        <v>0</v>
      </c>
      <c r="M209" s="380">
        <f t="shared" si="234"/>
        <v>0</v>
      </c>
      <c r="N209" s="380">
        <f t="shared" si="234"/>
        <v>0</v>
      </c>
      <c r="O209" s="352">
        <f>SUM(C209:N209)</f>
        <v>0</v>
      </c>
      <c r="P209" s="379">
        <f>P210*P211</f>
        <v>0</v>
      </c>
      <c r="Q209" s="380">
        <f t="shared" ref="Q209:AA209" si="235">Q210*Q211</f>
        <v>0</v>
      </c>
      <c r="R209" s="380">
        <f t="shared" si="235"/>
        <v>0</v>
      </c>
      <c r="S209" s="380">
        <f t="shared" si="235"/>
        <v>0</v>
      </c>
      <c r="T209" s="380">
        <f t="shared" si="235"/>
        <v>0</v>
      </c>
      <c r="U209" s="380">
        <f t="shared" si="235"/>
        <v>0</v>
      </c>
      <c r="V209" s="380">
        <f t="shared" si="235"/>
        <v>0</v>
      </c>
      <c r="W209" s="380">
        <f t="shared" si="235"/>
        <v>0</v>
      </c>
      <c r="X209" s="380">
        <f t="shared" si="235"/>
        <v>0</v>
      </c>
      <c r="Y209" s="380">
        <f t="shared" si="235"/>
        <v>0</v>
      </c>
      <c r="Z209" s="380">
        <f t="shared" si="235"/>
        <v>0</v>
      </c>
      <c r="AA209" s="380">
        <f t="shared" si="235"/>
        <v>0</v>
      </c>
      <c r="AB209" s="352">
        <f>SUM(P209:AA209)</f>
        <v>0</v>
      </c>
      <c r="AC209" s="379">
        <f>AC210*AC211</f>
        <v>0</v>
      </c>
      <c r="AD209" s="380">
        <f t="shared" ref="AD209:AN209" si="236">AD210*AD211</f>
        <v>0</v>
      </c>
      <c r="AE209" s="380">
        <f t="shared" si="236"/>
        <v>0</v>
      </c>
      <c r="AF209" s="380">
        <f t="shared" si="236"/>
        <v>0</v>
      </c>
      <c r="AG209" s="380">
        <f t="shared" si="236"/>
        <v>0</v>
      </c>
      <c r="AH209" s="380">
        <f t="shared" si="236"/>
        <v>0</v>
      </c>
      <c r="AI209" s="380">
        <f t="shared" si="236"/>
        <v>0</v>
      </c>
      <c r="AJ209" s="380">
        <f t="shared" si="236"/>
        <v>0</v>
      </c>
      <c r="AK209" s="380">
        <f t="shared" si="236"/>
        <v>0</v>
      </c>
      <c r="AL209" s="380">
        <f t="shared" si="236"/>
        <v>0</v>
      </c>
      <c r="AM209" s="380">
        <f t="shared" si="236"/>
        <v>0</v>
      </c>
      <c r="AN209" s="380">
        <f t="shared" si="236"/>
        <v>0</v>
      </c>
      <c r="AO209" s="354">
        <f>SUM(AC209:AN209)</f>
        <v>0</v>
      </c>
    </row>
    <row r="210" spans="1:41" ht="30" outlineLevel="1">
      <c r="A210" s="283" t="s">
        <v>418</v>
      </c>
      <c r="B210" s="363" t="s">
        <v>259</v>
      </c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59"/>
      <c r="P210" s="366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  <c r="AA210" s="364"/>
      <c r="AB210" s="359"/>
      <c r="AC210" s="366"/>
      <c r="AD210" s="364"/>
      <c r="AE210" s="364"/>
      <c r="AF210" s="364"/>
      <c r="AG210" s="364"/>
      <c r="AH210" s="364"/>
      <c r="AI210" s="364"/>
      <c r="AJ210" s="364"/>
      <c r="AK210" s="364"/>
      <c r="AL210" s="364"/>
      <c r="AM210" s="364"/>
      <c r="AN210" s="364"/>
      <c r="AO210" s="362"/>
    </row>
    <row r="211" spans="1:41" outlineLevel="1">
      <c r="A211" s="283" t="s">
        <v>419</v>
      </c>
      <c r="B211" s="367" t="s">
        <v>261</v>
      </c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59"/>
      <c r="P211" s="366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  <c r="AA211" s="364"/>
      <c r="AB211" s="359"/>
      <c r="AC211" s="366"/>
      <c r="AD211" s="364"/>
      <c r="AE211" s="364"/>
      <c r="AF211" s="364"/>
      <c r="AG211" s="364"/>
      <c r="AH211" s="364"/>
      <c r="AI211" s="364"/>
      <c r="AJ211" s="364"/>
      <c r="AK211" s="364"/>
      <c r="AL211" s="364"/>
      <c r="AM211" s="364"/>
      <c r="AN211" s="364"/>
      <c r="AO211" s="362"/>
    </row>
    <row r="212" spans="1:41" outlineLevel="1">
      <c r="A212" s="283" t="s">
        <v>420</v>
      </c>
      <c r="B212" s="363" t="s">
        <v>263</v>
      </c>
      <c r="C212" s="368">
        <f>C209/'Продукция и цена '!$C$11</f>
        <v>0</v>
      </c>
      <c r="D212" s="368">
        <f>D209/'Продукция и цена '!$C$11</f>
        <v>0</v>
      </c>
      <c r="E212" s="368">
        <f>E209/'Продукция и цена '!$C$11</f>
        <v>0</v>
      </c>
      <c r="F212" s="368">
        <f>F209/'Продукция и цена '!$C$11</f>
        <v>0</v>
      </c>
      <c r="G212" s="368">
        <f>G209/'Продукция и цена '!$C$11</f>
        <v>0</v>
      </c>
      <c r="H212" s="368">
        <f>H209/'Продукция и цена '!$C$11</f>
        <v>0</v>
      </c>
      <c r="I212" s="368">
        <f>I209/'Продукция и цена '!$C$11</f>
        <v>0</v>
      </c>
      <c r="J212" s="368">
        <f>J209/'Продукция и цена '!$C$11</f>
        <v>0</v>
      </c>
      <c r="K212" s="368">
        <f>K209/'Продукция и цена '!$C$11</f>
        <v>0</v>
      </c>
      <c r="L212" s="368">
        <f>L209/'Продукция и цена '!$C$11</f>
        <v>0</v>
      </c>
      <c r="M212" s="368">
        <f>M209/'Продукция и цена '!$C$11</f>
        <v>0</v>
      </c>
      <c r="N212" s="368">
        <f>N209/'Продукция и цена '!$C$11</f>
        <v>0</v>
      </c>
      <c r="O212" s="359">
        <f>SUM(C212:N212)/12</f>
        <v>0</v>
      </c>
      <c r="P212" s="370">
        <f>P209/'Продукция и цена '!$D$11</f>
        <v>0</v>
      </c>
      <c r="Q212" s="368">
        <f>Q209/'Продукция и цена '!$D$11</f>
        <v>0</v>
      </c>
      <c r="R212" s="368">
        <f>R209/'Продукция и цена '!$D$11</f>
        <v>0</v>
      </c>
      <c r="S212" s="368">
        <f>S209/'Продукция и цена '!$D$11</f>
        <v>0</v>
      </c>
      <c r="T212" s="368">
        <f>T209/'Продукция и цена '!$D$11</f>
        <v>0</v>
      </c>
      <c r="U212" s="368">
        <f>U209/'Продукция и цена '!$D$11</f>
        <v>0</v>
      </c>
      <c r="V212" s="368">
        <f>V209/'Продукция и цена '!$D$11</f>
        <v>0</v>
      </c>
      <c r="W212" s="368">
        <f>W209/'Продукция и цена '!$D$11</f>
        <v>0</v>
      </c>
      <c r="X212" s="368">
        <f>X209/'Продукция и цена '!$D$11</f>
        <v>0</v>
      </c>
      <c r="Y212" s="368">
        <f>Y209/'Продукция и цена '!$D$11</f>
        <v>0</v>
      </c>
      <c r="Z212" s="368">
        <f>Z209/'Продукция и цена '!$D$11</f>
        <v>0</v>
      </c>
      <c r="AA212" s="368">
        <f>AA209/'Продукция и цена '!$D$11</f>
        <v>0</v>
      </c>
      <c r="AB212" s="359">
        <f>SUM(P212:AA212)/12</f>
        <v>0</v>
      </c>
      <c r="AC212" s="370">
        <f>AC209/'Продукция и цена '!$E$11</f>
        <v>0</v>
      </c>
      <c r="AD212" s="368">
        <f>AD209/'Продукция и цена '!$E$11</f>
        <v>0</v>
      </c>
      <c r="AE212" s="368">
        <f>AE209/'Продукция и цена '!$E$11</f>
        <v>0</v>
      </c>
      <c r="AF212" s="368">
        <f>AF209/'Продукция и цена '!$E$11</f>
        <v>0</v>
      </c>
      <c r="AG212" s="368">
        <f>AG209/'Продукция и цена '!$E$11</f>
        <v>0</v>
      </c>
      <c r="AH212" s="368">
        <f>AH209/'Продукция и цена '!$E$11</f>
        <v>0</v>
      </c>
      <c r="AI212" s="368">
        <f>AI209/'Продукция и цена '!$E$11</f>
        <v>0</v>
      </c>
      <c r="AJ212" s="368">
        <f>AJ209/'Продукция и цена '!$E$11</f>
        <v>0</v>
      </c>
      <c r="AK212" s="368">
        <f>AK209/'Продукция и цена '!$E$11</f>
        <v>0</v>
      </c>
      <c r="AL212" s="368">
        <f>AL209/'Продукция и цена '!$E$11</f>
        <v>0</v>
      </c>
      <c r="AM212" s="368">
        <f>AM209/'Продукция и цена '!$E$11</f>
        <v>0</v>
      </c>
      <c r="AN212" s="368">
        <f>AN209/'Продукция и цена '!$E$11</f>
        <v>0</v>
      </c>
      <c r="AO212" s="362">
        <f>SUM(AC212:AN212)/12</f>
        <v>0</v>
      </c>
    </row>
    <row r="213" spans="1:41" outlineLevel="1">
      <c r="A213" s="371" t="s">
        <v>421</v>
      </c>
      <c r="B213" s="372" t="s">
        <v>265</v>
      </c>
      <c r="C213" s="373">
        <f>'Продукция и цена '!$C$11</f>
        <v>65000</v>
      </c>
      <c r="D213" s="373">
        <f>C213</f>
        <v>65000</v>
      </c>
      <c r="E213" s="373">
        <f t="shared" ref="E213:N213" si="237">D213</f>
        <v>65000</v>
      </c>
      <c r="F213" s="373">
        <f t="shared" si="237"/>
        <v>65000</v>
      </c>
      <c r="G213" s="373">
        <f t="shared" si="237"/>
        <v>65000</v>
      </c>
      <c r="H213" s="373">
        <f t="shared" si="237"/>
        <v>65000</v>
      </c>
      <c r="I213" s="373">
        <f t="shared" si="237"/>
        <v>65000</v>
      </c>
      <c r="J213" s="373">
        <f t="shared" si="237"/>
        <v>65000</v>
      </c>
      <c r="K213" s="373">
        <f t="shared" si="237"/>
        <v>65000</v>
      </c>
      <c r="L213" s="373">
        <f t="shared" si="237"/>
        <v>65000</v>
      </c>
      <c r="M213" s="373">
        <f t="shared" si="237"/>
        <v>65000</v>
      </c>
      <c r="N213" s="373">
        <f t="shared" si="237"/>
        <v>65000</v>
      </c>
      <c r="O213" s="374">
        <f>SUM(C213:N213)/12</f>
        <v>65000</v>
      </c>
      <c r="P213" s="376">
        <f>'Продукция и цена '!$D$11</f>
        <v>74750</v>
      </c>
      <c r="Q213" s="373">
        <f>P213</f>
        <v>74750</v>
      </c>
      <c r="R213" s="373">
        <f t="shared" ref="R213:AA213" si="238">Q213</f>
        <v>74750</v>
      </c>
      <c r="S213" s="373">
        <f t="shared" si="238"/>
        <v>74750</v>
      </c>
      <c r="T213" s="373">
        <f t="shared" si="238"/>
        <v>74750</v>
      </c>
      <c r="U213" s="373">
        <f t="shared" si="238"/>
        <v>74750</v>
      </c>
      <c r="V213" s="373">
        <f t="shared" si="238"/>
        <v>74750</v>
      </c>
      <c r="W213" s="373">
        <f t="shared" si="238"/>
        <v>74750</v>
      </c>
      <c r="X213" s="373">
        <f t="shared" si="238"/>
        <v>74750</v>
      </c>
      <c r="Y213" s="373">
        <f t="shared" si="238"/>
        <v>74750</v>
      </c>
      <c r="Z213" s="373">
        <f t="shared" si="238"/>
        <v>74750</v>
      </c>
      <c r="AA213" s="373">
        <f t="shared" si="238"/>
        <v>74750</v>
      </c>
      <c r="AB213" s="374">
        <f>SUM(P213:AA213)/12</f>
        <v>74750</v>
      </c>
      <c r="AC213" s="376">
        <f>'Продукция и цена '!$E$11</f>
        <v>85962.5</v>
      </c>
      <c r="AD213" s="373">
        <f>AC213</f>
        <v>85962.5</v>
      </c>
      <c r="AE213" s="373">
        <f t="shared" ref="AE213:AN213" si="239">AD213</f>
        <v>85962.5</v>
      </c>
      <c r="AF213" s="373">
        <f t="shared" si="239"/>
        <v>85962.5</v>
      </c>
      <c r="AG213" s="373">
        <f t="shared" si="239"/>
        <v>85962.5</v>
      </c>
      <c r="AH213" s="373">
        <f t="shared" si="239"/>
        <v>85962.5</v>
      </c>
      <c r="AI213" s="373">
        <f t="shared" si="239"/>
        <v>85962.5</v>
      </c>
      <c r="AJ213" s="373">
        <f t="shared" si="239"/>
        <v>85962.5</v>
      </c>
      <c r="AK213" s="373">
        <f t="shared" si="239"/>
        <v>85962.5</v>
      </c>
      <c r="AL213" s="373">
        <f t="shared" si="239"/>
        <v>85962.5</v>
      </c>
      <c r="AM213" s="373">
        <f t="shared" si="239"/>
        <v>85962.5</v>
      </c>
      <c r="AN213" s="373">
        <f t="shared" si="239"/>
        <v>85962.5</v>
      </c>
      <c r="AO213" s="377">
        <f>SUM(AC213:AN213)/12</f>
        <v>85962.5</v>
      </c>
    </row>
    <row r="214" spans="1:41" s="346" customFormat="1" ht="14.25">
      <c r="A214" s="349">
        <v>9</v>
      </c>
      <c r="B214" s="350" t="str">
        <f>'Продукция и цена '!A12</f>
        <v>Аренда системы: "Бизнес" тариф</v>
      </c>
      <c r="C214" s="351">
        <f>(C215+C220+C225+C230+C235)*Продажи!B13</f>
        <v>0</v>
      </c>
      <c r="D214" s="351">
        <f>(D215+D220+D225+D230+D235)*Продажи!C13</f>
        <v>0</v>
      </c>
      <c r="E214" s="351">
        <f>(E215+E220+E225+E230+E235)*Продажи!D13</f>
        <v>0</v>
      </c>
      <c r="F214" s="351">
        <f>(F215+F220+F225+F230+F235)*Продажи!E13</f>
        <v>0</v>
      </c>
      <c r="G214" s="351">
        <f>(G215+G220+G225+G230+G235)*Продажи!F13</f>
        <v>0</v>
      </c>
      <c r="H214" s="351">
        <f>(H215+H220+H225+H230+H235)*Продажи!G13</f>
        <v>0</v>
      </c>
      <c r="I214" s="351">
        <f>(I215+I220+I225+I230+I235)*Продажи!H13</f>
        <v>0</v>
      </c>
      <c r="J214" s="351">
        <f>(J215+J220+J225+J230+J235)*Продажи!I13</f>
        <v>0</v>
      </c>
      <c r="K214" s="351">
        <f>(K215+K220+K225+K230+K235)*Продажи!J13</f>
        <v>0</v>
      </c>
      <c r="L214" s="351">
        <f>(L215+L220+L225+L230+L235)*Продажи!K13</f>
        <v>0</v>
      </c>
      <c r="M214" s="351">
        <f>(M215+M220+M225+M230+M235)*Продажи!L13</f>
        <v>0</v>
      </c>
      <c r="N214" s="351">
        <f>(N215+N220+N225+N230+N235)*Продажи!M13</f>
        <v>0</v>
      </c>
      <c r="O214" s="352">
        <f>SUM(C214:N214)</f>
        <v>0</v>
      </c>
      <c r="P214" s="353">
        <f>(P215+P220+P225+P230+P235)*Продажи!O13</f>
        <v>0</v>
      </c>
      <c r="Q214" s="351">
        <f>(Q215+Q220+Q225+Q230+Q235)*Продажи!P13</f>
        <v>0</v>
      </c>
      <c r="R214" s="351">
        <f>(R215+R220+R225+R230+R235)*Продажи!Q13</f>
        <v>0</v>
      </c>
      <c r="S214" s="351">
        <f>(S215+S220+S225+S230+S235)*Продажи!R13</f>
        <v>0</v>
      </c>
      <c r="T214" s="351">
        <f>(T215+T220+T225+T230+T235)*Продажи!S13</f>
        <v>0</v>
      </c>
      <c r="U214" s="351">
        <f>(U215+U220+U225+U230+U235)*Продажи!T13</f>
        <v>0</v>
      </c>
      <c r="V214" s="351">
        <f>(V215+V220+V225+V230+V235)*Продажи!U13</f>
        <v>0</v>
      </c>
      <c r="W214" s="351">
        <f>(W215+W220+W225+W230+W235)*Продажи!V13</f>
        <v>0</v>
      </c>
      <c r="X214" s="351">
        <f>(X215+X220+X225+X230+X235)*Продажи!W13</f>
        <v>0</v>
      </c>
      <c r="Y214" s="351">
        <f>(Y215+Y220+Y225+Y230+Y235)*Продажи!X13</f>
        <v>0</v>
      </c>
      <c r="Z214" s="351">
        <f>(Z215+Z220+Z225+Z230+Z235)*Продажи!Y13</f>
        <v>0</v>
      </c>
      <c r="AA214" s="351">
        <f>(AA215+AA220+AA225+AA230+AA235)*Продажи!Z13</f>
        <v>0</v>
      </c>
      <c r="AB214" s="354">
        <f>SUM(P214:AA214)</f>
        <v>0</v>
      </c>
      <c r="AC214" s="355">
        <f>(AC215+AC220+AC225+AC230+AC235)*Продажи!AB13</f>
        <v>0</v>
      </c>
      <c r="AD214" s="351">
        <f>(AD215+AD220+AD225+AD230+AD235)*Продажи!AC13</f>
        <v>0</v>
      </c>
      <c r="AE214" s="351">
        <f>(AE215+AE220+AE225+AE230+AE235)*Продажи!AD13</f>
        <v>0</v>
      </c>
      <c r="AF214" s="351">
        <f>(AF215+AF220+AF225+AF230+AF235)*Продажи!AE13</f>
        <v>0</v>
      </c>
      <c r="AG214" s="351">
        <f>(AG215+AG220+AG225+AG230+AG235)*Продажи!AF13</f>
        <v>0</v>
      </c>
      <c r="AH214" s="351">
        <f>(AH215+AH220+AH225+AH230+AH235)*Продажи!AG13</f>
        <v>0</v>
      </c>
      <c r="AI214" s="351">
        <f>(AI215+AI220+AI225+AI230+AI235)*Продажи!AH13</f>
        <v>0</v>
      </c>
      <c r="AJ214" s="351">
        <f>(AJ215+AJ220+AJ225+AJ230+AJ235)*Продажи!AI13</f>
        <v>0</v>
      </c>
      <c r="AK214" s="351">
        <f>(AK215+AK220+AK225+AK230+AK235)*Продажи!AJ13</f>
        <v>0</v>
      </c>
      <c r="AL214" s="351">
        <f>(AL215+AL220+AL225+AL230+AL235)*Продажи!AK13</f>
        <v>0</v>
      </c>
      <c r="AM214" s="351">
        <f>(AM215+AM220+AM225+AM230+AM235)*Продажи!AL13</f>
        <v>0</v>
      </c>
      <c r="AN214" s="351">
        <f>(AN215+AN220+AN225+AN230+AN235)*Продажи!AM13</f>
        <v>0</v>
      </c>
      <c r="AO214" s="354">
        <f>SUM(AC214:AN214)</f>
        <v>0</v>
      </c>
    </row>
    <row r="215" spans="1:41" s="346" customFormat="1" ht="14.25" outlineLevel="1">
      <c r="A215" s="356" t="s">
        <v>220</v>
      </c>
      <c r="B215" s="357" t="s">
        <v>247</v>
      </c>
      <c r="C215" s="358">
        <f>C216*C217</f>
        <v>0</v>
      </c>
      <c r="D215" s="358">
        <f t="shared" ref="D215:N215" si="240">D216*D217</f>
        <v>0</v>
      </c>
      <c r="E215" s="358">
        <f t="shared" si="240"/>
        <v>0</v>
      </c>
      <c r="F215" s="358">
        <f t="shared" si="240"/>
        <v>0</v>
      </c>
      <c r="G215" s="358">
        <f t="shared" si="240"/>
        <v>0</v>
      </c>
      <c r="H215" s="358">
        <f t="shared" si="240"/>
        <v>0</v>
      </c>
      <c r="I215" s="358">
        <f t="shared" si="240"/>
        <v>0</v>
      </c>
      <c r="J215" s="358">
        <f t="shared" si="240"/>
        <v>0</v>
      </c>
      <c r="K215" s="358">
        <f t="shared" si="240"/>
        <v>0</v>
      </c>
      <c r="L215" s="358">
        <f t="shared" si="240"/>
        <v>0</v>
      </c>
      <c r="M215" s="358">
        <f t="shared" si="240"/>
        <v>0</v>
      </c>
      <c r="N215" s="358">
        <f t="shared" si="240"/>
        <v>0</v>
      </c>
      <c r="O215" s="359">
        <f>SUM(C215:N215)</f>
        <v>0</v>
      </c>
      <c r="P215" s="360">
        <f>P216*P217</f>
        <v>0</v>
      </c>
      <c r="Q215" s="358">
        <f t="shared" ref="Q215:AA215" si="241">Q216*Q217</f>
        <v>0</v>
      </c>
      <c r="R215" s="358">
        <f t="shared" si="241"/>
        <v>0</v>
      </c>
      <c r="S215" s="358">
        <f t="shared" si="241"/>
        <v>0</v>
      </c>
      <c r="T215" s="358">
        <f t="shared" si="241"/>
        <v>0</v>
      </c>
      <c r="U215" s="358">
        <f t="shared" si="241"/>
        <v>0</v>
      </c>
      <c r="V215" s="358">
        <f t="shared" si="241"/>
        <v>0</v>
      </c>
      <c r="W215" s="358">
        <f t="shared" si="241"/>
        <v>0</v>
      </c>
      <c r="X215" s="358">
        <f t="shared" si="241"/>
        <v>0</v>
      </c>
      <c r="Y215" s="358">
        <f t="shared" si="241"/>
        <v>0</v>
      </c>
      <c r="Z215" s="358">
        <f t="shared" si="241"/>
        <v>0</v>
      </c>
      <c r="AA215" s="358">
        <f t="shared" si="241"/>
        <v>0</v>
      </c>
      <c r="AB215" s="359">
        <f>SUM(P215:AA215)</f>
        <v>0</v>
      </c>
      <c r="AC215" s="361">
        <f>AC216*AC217</f>
        <v>0</v>
      </c>
      <c r="AD215" s="358">
        <f t="shared" ref="AD215:AN215" si="242">AD216*AD217</f>
        <v>0</v>
      </c>
      <c r="AE215" s="358">
        <f t="shared" si="242"/>
        <v>0</v>
      </c>
      <c r="AF215" s="358">
        <f t="shared" si="242"/>
        <v>0</v>
      </c>
      <c r="AG215" s="358">
        <f t="shared" si="242"/>
        <v>0</v>
      </c>
      <c r="AH215" s="358">
        <f t="shared" si="242"/>
        <v>0</v>
      </c>
      <c r="AI215" s="358">
        <f t="shared" si="242"/>
        <v>0</v>
      </c>
      <c r="AJ215" s="358">
        <f t="shared" si="242"/>
        <v>0</v>
      </c>
      <c r="AK215" s="358">
        <f t="shared" si="242"/>
        <v>0</v>
      </c>
      <c r="AL215" s="358">
        <f t="shared" si="242"/>
        <v>0</v>
      </c>
      <c r="AM215" s="358">
        <f t="shared" si="242"/>
        <v>0</v>
      </c>
      <c r="AN215" s="358">
        <f t="shared" si="242"/>
        <v>0</v>
      </c>
      <c r="AO215" s="362">
        <f>SUM(AC215:AN215)</f>
        <v>0</v>
      </c>
    </row>
    <row r="216" spans="1:41" ht="30" outlineLevel="1">
      <c r="A216" s="283" t="s">
        <v>422</v>
      </c>
      <c r="B216" s="363" t="s">
        <v>259</v>
      </c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59"/>
      <c r="P216" s="365"/>
      <c r="Q216" s="364"/>
      <c r="R216" s="364"/>
      <c r="S216" s="364"/>
      <c r="T216" s="364"/>
      <c r="U216" s="364"/>
      <c r="V216" s="364"/>
      <c r="W216" s="364"/>
      <c r="X216" s="364"/>
      <c r="Y216" s="364"/>
      <c r="Z216" s="364"/>
      <c r="AA216" s="364"/>
      <c r="AB216" s="359"/>
      <c r="AC216" s="366"/>
      <c r="AD216" s="364"/>
      <c r="AE216" s="364"/>
      <c r="AF216" s="364"/>
      <c r="AG216" s="364"/>
      <c r="AH216" s="364"/>
      <c r="AI216" s="364"/>
      <c r="AJ216" s="364"/>
      <c r="AK216" s="364"/>
      <c r="AL216" s="364"/>
      <c r="AM216" s="364"/>
      <c r="AN216" s="364"/>
      <c r="AO216" s="362"/>
    </row>
    <row r="217" spans="1:41" outlineLevel="1">
      <c r="A217" s="283" t="s">
        <v>423</v>
      </c>
      <c r="B217" s="367" t="s">
        <v>261</v>
      </c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59"/>
      <c r="P217" s="365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364"/>
      <c r="AB217" s="359"/>
      <c r="AC217" s="366"/>
      <c r="AD217" s="364"/>
      <c r="AE217" s="364"/>
      <c r="AF217" s="364"/>
      <c r="AG217" s="364"/>
      <c r="AH217" s="364"/>
      <c r="AI217" s="364"/>
      <c r="AJ217" s="364"/>
      <c r="AK217" s="364"/>
      <c r="AL217" s="364"/>
      <c r="AM217" s="364"/>
      <c r="AN217" s="364"/>
      <c r="AO217" s="362"/>
    </row>
    <row r="218" spans="1:41" outlineLevel="1">
      <c r="A218" s="283" t="s">
        <v>424</v>
      </c>
      <c r="B218" s="363" t="s">
        <v>263</v>
      </c>
      <c r="C218" s="368">
        <f>C215/'Продукция и цена '!$C$12</f>
        <v>0</v>
      </c>
      <c r="D218" s="368">
        <f>D215/'Продукция и цена '!$C$12</f>
        <v>0</v>
      </c>
      <c r="E218" s="368">
        <f>E215/'Продукция и цена '!$C$12</f>
        <v>0</v>
      </c>
      <c r="F218" s="368">
        <f>F215/'Продукция и цена '!$C$12</f>
        <v>0</v>
      </c>
      <c r="G218" s="368">
        <f>G215/'Продукция и цена '!$C$12</f>
        <v>0</v>
      </c>
      <c r="H218" s="368">
        <f>H215/'Продукция и цена '!$C$12</f>
        <v>0</v>
      </c>
      <c r="I218" s="368">
        <f>I215/'Продукция и цена '!$C$12</f>
        <v>0</v>
      </c>
      <c r="J218" s="368">
        <f>J215/'Продукция и цена '!$C$12</f>
        <v>0</v>
      </c>
      <c r="K218" s="368">
        <f>K215/'Продукция и цена '!$C$12</f>
        <v>0</v>
      </c>
      <c r="L218" s="368">
        <f>L215/'Продукция и цена '!$C$12</f>
        <v>0</v>
      </c>
      <c r="M218" s="368">
        <f>M215/'Продукция и цена '!$C$12</f>
        <v>0</v>
      </c>
      <c r="N218" s="368">
        <f>N215/'Продукция и цена '!$C$12</f>
        <v>0</v>
      </c>
      <c r="O218" s="359">
        <f>SUM(C218:N218)/12</f>
        <v>0</v>
      </c>
      <c r="P218" s="369">
        <f>P215/'Продукция и цена '!$D$12</f>
        <v>0</v>
      </c>
      <c r="Q218" s="368">
        <f>Q215/'Продукция и цена '!$D$12</f>
        <v>0</v>
      </c>
      <c r="R218" s="368">
        <f>R215/'Продукция и цена '!$D$12</f>
        <v>0</v>
      </c>
      <c r="S218" s="368">
        <f>S215/'Продукция и цена '!$D$12</f>
        <v>0</v>
      </c>
      <c r="T218" s="368">
        <f>T215/'Продукция и цена '!$D$12</f>
        <v>0</v>
      </c>
      <c r="U218" s="368">
        <f>U215/'Продукция и цена '!$D$12</f>
        <v>0</v>
      </c>
      <c r="V218" s="368">
        <f>V215/'Продукция и цена '!$D$12</f>
        <v>0</v>
      </c>
      <c r="W218" s="368">
        <f>W215/'Продукция и цена '!$D$12</f>
        <v>0</v>
      </c>
      <c r="X218" s="368">
        <f>X215/'Продукция и цена '!$D$12</f>
        <v>0</v>
      </c>
      <c r="Y218" s="368">
        <f>Y215/'Продукция и цена '!$D$12</f>
        <v>0</v>
      </c>
      <c r="Z218" s="368">
        <f>Z215/'Продукция и цена '!$D$12</f>
        <v>0</v>
      </c>
      <c r="AA218" s="368">
        <f>AA215/'Продукция и цена '!$D$12</f>
        <v>0</v>
      </c>
      <c r="AB218" s="359">
        <f>SUM(P218:AA218)/12</f>
        <v>0</v>
      </c>
      <c r="AC218" s="370">
        <f>AC215/'Продукция и цена '!$E$12</f>
        <v>0</v>
      </c>
      <c r="AD218" s="368">
        <f>AD215/'Продукция и цена '!$E$12</f>
        <v>0</v>
      </c>
      <c r="AE218" s="368">
        <f>AE215/'Продукция и цена '!$E$12</f>
        <v>0</v>
      </c>
      <c r="AF218" s="368">
        <f>AF215/'Продукция и цена '!$E$12</f>
        <v>0</v>
      </c>
      <c r="AG218" s="368">
        <f>AG215/'Продукция и цена '!$E$12</f>
        <v>0</v>
      </c>
      <c r="AH218" s="368">
        <f>AH215/'Продукция и цена '!$E$12</f>
        <v>0</v>
      </c>
      <c r="AI218" s="368">
        <f>AI215/'Продукция и цена '!$E$12</f>
        <v>0</v>
      </c>
      <c r="AJ218" s="368">
        <f>AJ215/'Продукция и цена '!$E$12</f>
        <v>0</v>
      </c>
      <c r="AK218" s="368">
        <f>AK215/'Продукция и цена '!$E$12</f>
        <v>0</v>
      </c>
      <c r="AL218" s="368">
        <f>AL215/'Продукция и цена '!$E$12</f>
        <v>0</v>
      </c>
      <c r="AM218" s="368">
        <f>AM215/'Продукция и цена '!$E$12</f>
        <v>0</v>
      </c>
      <c r="AN218" s="368">
        <f>AN215/'Продукция и цена '!$E$12</f>
        <v>0</v>
      </c>
      <c r="AO218" s="362">
        <f>SUM(AC218:AN218)/12</f>
        <v>0</v>
      </c>
    </row>
    <row r="219" spans="1:41" outlineLevel="1">
      <c r="A219" s="371" t="s">
        <v>425</v>
      </c>
      <c r="B219" s="372" t="s">
        <v>265</v>
      </c>
      <c r="C219" s="373">
        <f>'Продукция и цена '!$C$12</f>
        <v>12000</v>
      </c>
      <c r="D219" s="373">
        <f>C219</f>
        <v>12000</v>
      </c>
      <c r="E219" s="373">
        <f t="shared" ref="E219:N219" si="243">D219</f>
        <v>12000</v>
      </c>
      <c r="F219" s="373">
        <f t="shared" si="243"/>
        <v>12000</v>
      </c>
      <c r="G219" s="373">
        <f t="shared" si="243"/>
        <v>12000</v>
      </c>
      <c r="H219" s="373">
        <f t="shared" si="243"/>
        <v>12000</v>
      </c>
      <c r="I219" s="373">
        <f t="shared" si="243"/>
        <v>12000</v>
      </c>
      <c r="J219" s="373">
        <f t="shared" si="243"/>
        <v>12000</v>
      </c>
      <c r="K219" s="373">
        <f t="shared" si="243"/>
        <v>12000</v>
      </c>
      <c r="L219" s="373">
        <f t="shared" si="243"/>
        <v>12000</v>
      </c>
      <c r="M219" s="373">
        <f t="shared" si="243"/>
        <v>12000</v>
      </c>
      <c r="N219" s="373">
        <f t="shared" si="243"/>
        <v>12000</v>
      </c>
      <c r="O219" s="374">
        <f>SUM(C219:N219)/12</f>
        <v>12000</v>
      </c>
      <c r="P219" s="375">
        <f>'Продукция и цена '!$D$12</f>
        <v>13800</v>
      </c>
      <c r="Q219" s="373">
        <f>P219</f>
        <v>13800</v>
      </c>
      <c r="R219" s="373">
        <f t="shared" ref="R219:AA219" si="244">Q219</f>
        <v>13800</v>
      </c>
      <c r="S219" s="373">
        <f t="shared" si="244"/>
        <v>13800</v>
      </c>
      <c r="T219" s="373">
        <f t="shared" si="244"/>
        <v>13800</v>
      </c>
      <c r="U219" s="373">
        <f t="shared" si="244"/>
        <v>13800</v>
      </c>
      <c r="V219" s="373">
        <f t="shared" si="244"/>
        <v>13800</v>
      </c>
      <c r="W219" s="373">
        <f t="shared" si="244"/>
        <v>13800</v>
      </c>
      <c r="X219" s="373">
        <f t="shared" si="244"/>
        <v>13800</v>
      </c>
      <c r="Y219" s="373">
        <f t="shared" si="244"/>
        <v>13800</v>
      </c>
      <c r="Z219" s="373">
        <f t="shared" si="244"/>
        <v>13800</v>
      </c>
      <c r="AA219" s="373">
        <f t="shared" si="244"/>
        <v>13800</v>
      </c>
      <c r="AB219" s="374">
        <f>SUM(P219:AA219)/12</f>
        <v>13800</v>
      </c>
      <c r="AC219" s="376">
        <f>'Продукция и цена '!$E$12</f>
        <v>15870</v>
      </c>
      <c r="AD219" s="373">
        <f>AC219</f>
        <v>15870</v>
      </c>
      <c r="AE219" s="373">
        <f t="shared" ref="AE219:AN219" si="245">AD219</f>
        <v>15870</v>
      </c>
      <c r="AF219" s="373">
        <f t="shared" si="245"/>
        <v>15870</v>
      </c>
      <c r="AG219" s="373">
        <f t="shared" si="245"/>
        <v>15870</v>
      </c>
      <c r="AH219" s="373">
        <f t="shared" si="245"/>
        <v>15870</v>
      </c>
      <c r="AI219" s="373">
        <f t="shared" si="245"/>
        <v>15870</v>
      </c>
      <c r="AJ219" s="373">
        <f t="shared" si="245"/>
        <v>15870</v>
      </c>
      <c r="AK219" s="373">
        <f t="shared" si="245"/>
        <v>15870</v>
      </c>
      <c r="AL219" s="373">
        <f t="shared" si="245"/>
        <v>15870</v>
      </c>
      <c r="AM219" s="373">
        <f t="shared" si="245"/>
        <v>15870</v>
      </c>
      <c r="AN219" s="373">
        <f t="shared" si="245"/>
        <v>15870</v>
      </c>
      <c r="AO219" s="377">
        <f>SUM(AC219:AN219)/12</f>
        <v>15870</v>
      </c>
    </row>
    <row r="220" spans="1:41" s="346" customFormat="1" ht="14.25" outlineLevel="1">
      <c r="A220" s="378" t="s">
        <v>221</v>
      </c>
      <c r="B220" s="357" t="s">
        <v>248</v>
      </c>
      <c r="C220" s="358">
        <f>C221*C222</f>
        <v>0</v>
      </c>
      <c r="D220" s="358">
        <f t="shared" ref="D220:N220" si="246">D221*D222</f>
        <v>0</v>
      </c>
      <c r="E220" s="358">
        <f t="shared" si="246"/>
        <v>0</v>
      </c>
      <c r="F220" s="358">
        <f t="shared" si="246"/>
        <v>0</v>
      </c>
      <c r="G220" s="358">
        <f t="shared" si="246"/>
        <v>0</v>
      </c>
      <c r="H220" s="358">
        <f t="shared" si="246"/>
        <v>0</v>
      </c>
      <c r="I220" s="358">
        <f t="shared" si="246"/>
        <v>0</v>
      </c>
      <c r="J220" s="358">
        <f t="shared" si="246"/>
        <v>0</v>
      </c>
      <c r="K220" s="358">
        <f t="shared" si="246"/>
        <v>0</v>
      </c>
      <c r="L220" s="358">
        <f t="shared" si="246"/>
        <v>0</v>
      </c>
      <c r="M220" s="358">
        <f t="shared" si="246"/>
        <v>0</v>
      </c>
      <c r="N220" s="358">
        <f t="shared" si="246"/>
        <v>0</v>
      </c>
      <c r="O220" s="352">
        <f>SUM(C220:N220)</f>
        <v>0</v>
      </c>
      <c r="P220" s="379">
        <f>P221*P222</f>
        <v>0</v>
      </c>
      <c r="Q220" s="380">
        <f t="shared" ref="Q220:AA220" si="247">Q221*Q222</f>
        <v>0</v>
      </c>
      <c r="R220" s="380">
        <f t="shared" si="247"/>
        <v>0</v>
      </c>
      <c r="S220" s="380">
        <f t="shared" si="247"/>
        <v>0</v>
      </c>
      <c r="T220" s="380">
        <f t="shared" si="247"/>
        <v>0</v>
      </c>
      <c r="U220" s="380">
        <f t="shared" si="247"/>
        <v>0</v>
      </c>
      <c r="V220" s="380">
        <f t="shared" si="247"/>
        <v>0</v>
      </c>
      <c r="W220" s="380">
        <f t="shared" si="247"/>
        <v>0</v>
      </c>
      <c r="X220" s="380">
        <f t="shared" si="247"/>
        <v>0</v>
      </c>
      <c r="Y220" s="380">
        <f t="shared" si="247"/>
        <v>0</v>
      </c>
      <c r="Z220" s="380">
        <f t="shared" si="247"/>
        <v>0</v>
      </c>
      <c r="AA220" s="380">
        <f t="shared" si="247"/>
        <v>0</v>
      </c>
      <c r="AB220" s="352">
        <f>SUM(P220:AA220)</f>
        <v>0</v>
      </c>
      <c r="AC220" s="379">
        <f>AC221*AC222</f>
        <v>0</v>
      </c>
      <c r="AD220" s="380">
        <f t="shared" ref="AD220:AN220" si="248">AD221*AD222</f>
        <v>0</v>
      </c>
      <c r="AE220" s="380">
        <f t="shared" si="248"/>
        <v>0</v>
      </c>
      <c r="AF220" s="380">
        <f t="shared" si="248"/>
        <v>0</v>
      </c>
      <c r="AG220" s="380">
        <f t="shared" si="248"/>
        <v>0</v>
      </c>
      <c r="AH220" s="380">
        <f t="shared" si="248"/>
        <v>0</v>
      </c>
      <c r="AI220" s="380">
        <f t="shared" si="248"/>
        <v>0</v>
      </c>
      <c r="AJ220" s="380">
        <f t="shared" si="248"/>
        <v>0</v>
      </c>
      <c r="AK220" s="380">
        <f t="shared" si="248"/>
        <v>0</v>
      </c>
      <c r="AL220" s="380">
        <f t="shared" si="248"/>
        <v>0</v>
      </c>
      <c r="AM220" s="380">
        <f t="shared" si="248"/>
        <v>0</v>
      </c>
      <c r="AN220" s="380">
        <f t="shared" si="248"/>
        <v>0</v>
      </c>
      <c r="AO220" s="354">
        <f>SUM(AC220:AN220)</f>
        <v>0</v>
      </c>
    </row>
    <row r="221" spans="1:41" ht="30" outlineLevel="1">
      <c r="A221" s="283" t="s">
        <v>426</v>
      </c>
      <c r="B221" s="363" t="s">
        <v>259</v>
      </c>
      <c r="C221" s="364"/>
      <c r="D221" s="364"/>
      <c r="E221" s="364"/>
      <c r="F221" s="364"/>
      <c r="G221" s="364"/>
      <c r="H221" s="364"/>
      <c r="I221" s="364"/>
      <c r="J221" s="364"/>
      <c r="K221" s="364"/>
      <c r="L221" s="364"/>
      <c r="M221" s="364"/>
      <c r="N221" s="364"/>
      <c r="O221" s="359"/>
      <c r="P221" s="366"/>
      <c r="Q221" s="364"/>
      <c r="R221" s="364"/>
      <c r="S221" s="364"/>
      <c r="T221" s="364"/>
      <c r="U221" s="364"/>
      <c r="V221" s="364"/>
      <c r="W221" s="364"/>
      <c r="X221" s="364"/>
      <c r="Y221" s="364"/>
      <c r="Z221" s="364"/>
      <c r="AA221" s="364"/>
      <c r="AB221" s="359"/>
      <c r="AC221" s="366"/>
      <c r="AD221" s="364"/>
      <c r="AE221" s="364"/>
      <c r="AF221" s="364"/>
      <c r="AG221" s="364"/>
      <c r="AH221" s="364"/>
      <c r="AI221" s="364"/>
      <c r="AJ221" s="364"/>
      <c r="AK221" s="364"/>
      <c r="AL221" s="364"/>
      <c r="AM221" s="364"/>
      <c r="AN221" s="364"/>
      <c r="AO221" s="362"/>
    </row>
    <row r="222" spans="1:41" outlineLevel="1">
      <c r="A222" s="283" t="s">
        <v>427</v>
      </c>
      <c r="B222" s="367" t="s">
        <v>261</v>
      </c>
      <c r="C222" s="364"/>
      <c r="D222" s="364"/>
      <c r="E222" s="364"/>
      <c r="F222" s="364"/>
      <c r="G222" s="364"/>
      <c r="H222" s="364"/>
      <c r="I222" s="364"/>
      <c r="J222" s="364"/>
      <c r="K222" s="364"/>
      <c r="L222" s="364"/>
      <c r="M222" s="364"/>
      <c r="N222" s="364"/>
      <c r="O222" s="359"/>
      <c r="P222" s="366"/>
      <c r="Q222" s="364"/>
      <c r="R222" s="364"/>
      <c r="S222" s="364"/>
      <c r="T222" s="364"/>
      <c r="U222" s="364"/>
      <c r="V222" s="364"/>
      <c r="W222" s="364"/>
      <c r="X222" s="364"/>
      <c r="Y222" s="364"/>
      <c r="Z222" s="364"/>
      <c r="AA222" s="364"/>
      <c r="AB222" s="359"/>
      <c r="AC222" s="366"/>
      <c r="AD222" s="364"/>
      <c r="AE222" s="364"/>
      <c r="AF222" s="364"/>
      <c r="AG222" s="364"/>
      <c r="AH222" s="364"/>
      <c r="AI222" s="364"/>
      <c r="AJ222" s="364"/>
      <c r="AK222" s="364"/>
      <c r="AL222" s="364"/>
      <c r="AM222" s="364"/>
      <c r="AN222" s="364"/>
      <c r="AO222" s="362"/>
    </row>
    <row r="223" spans="1:41" outlineLevel="1">
      <c r="A223" s="283" t="s">
        <v>428</v>
      </c>
      <c r="B223" s="363" t="s">
        <v>263</v>
      </c>
      <c r="C223" s="368">
        <f>C220/'Продукция и цена '!$C$12</f>
        <v>0</v>
      </c>
      <c r="D223" s="368">
        <f>D220/'Продукция и цена '!$C$12</f>
        <v>0</v>
      </c>
      <c r="E223" s="368">
        <f>E220/'Продукция и цена '!$C$12</f>
        <v>0</v>
      </c>
      <c r="F223" s="368">
        <f>F220/'Продукция и цена '!$C$12</f>
        <v>0</v>
      </c>
      <c r="G223" s="368">
        <f>G220/'Продукция и цена '!$C$12</f>
        <v>0</v>
      </c>
      <c r="H223" s="368">
        <f>H220/'Продукция и цена '!$C$12</f>
        <v>0</v>
      </c>
      <c r="I223" s="368">
        <f>I220/'Продукция и цена '!$C$12</f>
        <v>0</v>
      </c>
      <c r="J223" s="368">
        <f>J220/'Продукция и цена '!$C$12</f>
        <v>0</v>
      </c>
      <c r="K223" s="368">
        <f>K220/'Продукция и цена '!$C$12</f>
        <v>0</v>
      </c>
      <c r="L223" s="368">
        <f>L220/'Продукция и цена '!$C$12</f>
        <v>0</v>
      </c>
      <c r="M223" s="368">
        <f>M220/'Продукция и цена '!$C$12</f>
        <v>0</v>
      </c>
      <c r="N223" s="368">
        <f>N220/'Продукция и цена '!$C$12</f>
        <v>0</v>
      </c>
      <c r="O223" s="359">
        <f>SUM(C223:N223)/12</f>
        <v>0</v>
      </c>
      <c r="P223" s="370">
        <f>P220/'Продукция и цена '!$D$12</f>
        <v>0</v>
      </c>
      <c r="Q223" s="368">
        <f>Q220/'Продукция и цена '!$D$12</f>
        <v>0</v>
      </c>
      <c r="R223" s="368">
        <f>R220/'Продукция и цена '!$D$12</f>
        <v>0</v>
      </c>
      <c r="S223" s="368">
        <f>S220/'Продукция и цена '!$D$12</f>
        <v>0</v>
      </c>
      <c r="T223" s="368">
        <f>T220/'Продукция и цена '!$D$12</f>
        <v>0</v>
      </c>
      <c r="U223" s="368">
        <f>U220/'Продукция и цена '!$D$12</f>
        <v>0</v>
      </c>
      <c r="V223" s="368">
        <f>V220/'Продукция и цена '!$D$12</f>
        <v>0</v>
      </c>
      <c r="W223" s="368">
        <f>W220/'Продукция и цена '!$D$12</f>
        <v>0</v>
      </c>
      <c r="X223" s="368">
        <f>X220/'Продукция и цена '!$D$12</f>
        <v>0</v>
      </c>
      <c r="Y223" s="368">
        <f>Y220/'Продукция и цена '!$D$12</f>
        <v>0</v>
      </c>
      <c r="Z223" s="368">
        <f>Z220/'Продукция и цена '!$D$12</f>
        <v>0</v>
      </c>
      <c r="AA223" s="368">
        <f>AA220/'Продукция и цена '!$D$12</f>
        <v>0</v>
      </c>
      <c r="AB223" s="359">
        <f>SUM(P223:AA223)/12</f>
        <v>0</v>
      </c>
      <c r="AC223" s="370">
        <f>AC220/'Продукция и цена '!$E$12</f>
        <v>0</v>
      </c>
      <c r="AD223" s="368">
        <f>AD220/'Продукция и цена '!$E$12</f>
        <v>0</v>
      </c>
      <c r="AE223" s="368">
        <f>AE220/'Продукция и цена '!$E$12</f>
        <v>0</v>
      </c>
      <c r="AF223" s="368">
        <f>AF220/'Продукция и цена '!$E$12</f>
        <v>0</v>
      </c>
      <c r="AG223" s="368">
        <f>AG220/'Продукция и цена '!$E$12</f>
        <v>0</v>
      </c>
      <c r="AH223" s="368">
        <f>AH220/'Продукция и цена '!$E$12</f>
        <v>0</v>
      </c>
      <c r="AI223" s="368">
        <f>AI220/'Продукция и цена '!$E$12</f>
        <v>0</v>
      </c>
      <c r="AJ223" s="368">
        <f>AJ220/'Продукция и цена '!$E$12</f>
        <v>0</v>
      </c>
      <c r="AK223" s="368">
        <f>AK220/'Продукция и цена '!$E$12</f>
        <v>0</v>
      </c>
      <c r="AL223" s="368">
        <f>AL220/'Продукция и цена '!$E$12</f>
        <v>0</v>
      </c>
      <c r="AM223" s="368">
        <f>AM220/'Продукция и цена '!$E$12</f>
        <v>0</v>
      </c>
      <c r="AN223" s="368">
        <f>AN220/'Продукция и цена '!$E$12</f>
        <v>0</v>
      </c>
      <c r="AO223" s="362">
        <f>SUM(AC223:AN223)/12</f>
        <v>0</v>
      </c>
    </row>
    <row r="224" spans="1:41" outlineLevel="1">
      <c r="A224" s="371" t="s">
        <v>429</v>
      </c>
      <c r="B224" s="372" t="s">
        <v>265</v>
      </c>
      <c r="C224" s="373">
        <f>'Продукция и цена '!$C$12</f>
        <v>12000</v>
      </c>
      <c r="D224" s="373">
        <f>C224</f>
        <v>12000</v>
      </c>
      <c r="E224" s="373">
        <f t="shared" ref="E224:N224" si="249">D224</f>
        <v>12000</v>
      </c>
      <c r="F224" s="373">
        <f t="shared" si="249"/>
        <v>12000</v>
      </c>
      <c r="G224" s="373">
        <f t="shared" si="249"/>
        <v>12000</v>
      </c>
      <c r="H224" s="373">
        <f t="shared" si="249"/>
        <v>12000</v>
      </c>
      <c r="I224" s="373">
        <f t="shared" si="249"/>
        <v>12000</v>
      </c>
      <c r="J224" s="373">
        <f t="shared" si="249"/>
        <v>12000</v>
      </c>
      <c r="K224" s="373">
        <f t="shared" si="249"/>
        <v>12000</v>
      </c>
      <c r="L224" s="373">
        <f t="shared" si="249"/>
        <v>12000</v>
      </c>
      <c r="M224" s="373">
        <f t="shared" si="249"/>
        <v>12000</v>
      </c>
      <c r="N224" s="373">
        <f t="shared" si="249"/>
        <v>12000</v>
      </c>
      <c r="O224" s="374">
        <f>SUM(C224:N224)/12</f>
        <v>12000</v>
      </c>
      <c r="P224" s="376">
        <f>'Продукция и цена '!$D$12</f>
        <v>13800</v>
      </c>
      <c r="Q224" s="373">
        <f>P224</f>
        <v>13800</v>
      </c>
      <c r="R224" s="373">
        <f t="shared" ref="R224:AA224" si="250">Q224</f>
        <v>13800</v>
      </c>
      <c r="S224" s="373">
        <f t="shared" si="250"/>
        <v>13800</v>
      </c>
      <c r="T224" s="373">
        <f t="shared" si="250"/>
        <v>13800</v>
      </c>
      <c r="U224" s="373">
        <f t="shared" si="250"/>
        <v>13800</v>
      </c>
      <c r="V224" s="373">
        <f t="shared" si="250"/>
        <v>13800</v>
      </c>
      <c r="W224" s="373">
        <f t="shared" si="250"/>
        <v>13800</v>
      </c>
      <c r="X224" s="373">
        <f t="shared" si="250"/>
        <v>13800</v>
      </c>
      <c r="Y224" s="373">
        <f t="shared" si="250"/>
        <v>13800</v>
      </c>
      <c r="Z224" s="373">
        <f t="shared" si="250"/>
        <v>13800</v>
      </c>
      <c r="AA224" s="373">
        <f t="shared" si="250"/>
        <v>13800</v>
      </c>
      <c r="AB224" s="374">
        <f>SUM(P224:AA224)/12</f>
        <v>13800</v>
      </c>
      <c r="AC224" s="376">
        <f>'Продукция и цена '!$E$12</f>
        <v>15870</v>
      </c>
      <c r="AD224" s="373">
        <f>AC224</f>
        <v>15870</v>
      </c>
      <c r="AE224" s="373">
        <f t="shared" ref="AE224:AN224" si="251">AD224</f>
        <v>15870</v>
      </c>
      <c r="AF224" s="373">
        <f t="shared" si="251"/>
        <v>15870</v>
      </c>
      <c r="AG224" s="373">
        <f t="shared" si="251"/>
        <v>15870</v>
      </c>
      <c r="AH224" s="373">
        <f t="shared" si="251"/>
        <v>15870</v>
      </c>
      <c r="AI224" s="373">
        <f t="shared" si="251"/>
        <v>15870</v>
      </c>
      <c r="AJ224" s="373">
        <f t="shared" si="251"/>
        <v>15870</v>
      </c>
      <c r="AK224" s="373">
        <f t="shared" si="251"/>
        <v>15870</v>
      </c>
      <c r="AL224" s="373">
        <f t="shared" si="251"/>
        <v>15870</v>
      </c>
      <c r="AM224" s="373">
        <f t="shared" si="251"/>
        <v>15870</v>
      </c>
      <c r="AN224" s="373">
        <f t="shared" si="251"/>
        <v>15870</v>
      </c>
      <c r="AO224" s="377">
        <f>SUM(AC224:AN224)/12</f>
        <v>15870</v>
      </c>
    </row>
    <row r="225" spans="1:41" s="346" customFormat="1" ht="14.25" outlineLevel="1">
      <c r="A225" s="378" t="s">
        <v>222</v>
      </c>
      <c r="B225" s="381" t="s">
        <v>249</v>
      </c>
      <c r="C225" s="380">
        <f>C226*C227</f>
        <v>0</v>
      </c>
      <c r="D225" s="380">
        <f t="shared" ref="D225:N225" si="252">D226*D227</f>
        <v>0</v>
      </c>
      <c r="E225" s="380">
        <f t="shared" si="252"/>
        <v>0</v>
      </c>
      <c r="F225" s="380">
        <f t="shared" si="252"/>
        <v>0</v>
      </c>
      <c r="G225" s="380">
        <f t="shared" si="252"/>
        <v>0</v>
      </c>
      <c r="H225" s="380">
        <f t="shared" si="252"/>
        <v>0</v>
      </c>
      <c r="I225" s="380">
        <f t="shared" si="252"/>
        <v>0</v>
      </c>
      <c r="J225" s="380">
        <f t="shared" si="252"/>
        <v>0</v>
      </c>
      <c r="K225" s="380">
        <f t="shared" si="252"/>
        <v>0</v>
      </c>
      <c r="L225" s="380">
        <f t="shared" si="252"/>
        <v>0</v>
      </c>
      <c r="M225" s="380">
        <f t="shared" si="252"/>
        <v>0</v>
      </c>
      <c r="N225" s="380">
        <f t="shared" si="252"/>
        <v>0</v>
      </c>
      <c r="O225" s="352">
        <f>SUM(C225:N225)</f>
        <v>0</v>
      </c>
      <c r="P225" s="379">
        <f>P226*P227</f>
        <v>0</v>
      </c>
      <c r="Q225" s="380">
        <f t="shared" ref="Q225:AA225" si="253">Q226*Q227</f>
        <v>0</v>
      </c>
      <c r="R225" s="380">
        <f t="shared" si="253"/>
        <v>0</v>
      </c>
      <c r="S225" s="380">
        <f t="shared" si="253"/>
        <v>0</v>
      </c>
      <c r="T225" s="380">
        <f t="shared" si="253"/>
        <v>0</v>
      </c>
      <c r="U225" s="380">
        <f t="shared" si="253"/>
        <v>0</v>
      </c>
      <c r="V225" s="380">
        <f t="shared" si="253"/>
        <v>0</v>
      </c>
      <c r="W225" s="380">
        <f t="shared" si="253"/>
        <v>0</v>
      </c>
      <c r="X225" s="380">
        <f t="shared" si="253"/>
        <v>0</v>
      </c>
      <c r="Y225" s="380">
        <f t="shared" si="253"/>
        <v>0</v>
      </c>
      <c r="Z225" s="380">
        <f t="shared" si="253"/>
        <v>0</v>
      </c>
      <c r="AA225" s="380">
        <f t="shared" si="253"/>
        <v>0</v>
      </c>
      <c r="AB225" s="352">
        <f>SUM(P225:AA225)</f>
        <v>0</v>
      </c>
      <c r="AC225" s="379">
        <f>AC226*AC227</f>
        <v>0</v>
      </c>
      <c r="AD225" s="380">
        <f t="shared" ref="AD225:AN225" si="254">AD226*AD227</f>
        <v>0</v>
      </c>
      <c r="AE225" s="380">
        <f t="shared" si="254"/>
        <v>0</v>
      </c>
      <c r="AF225" s="380">
        <f t="shared" si="254"/>
        <v>0</v>
      </c>
      <c r="AG225" s="380">
        <f t="shared" si="254"/>
        <v>0</v>
      </c>
      <c r="AH225" s="380">
        <f t="shared" si="254"/>
        <v>0</v>
      </c>
      <c r="AI225" s="380">
        <f t="shared" si="254"/>
        <v>0</v>
      </c>
      <c r="AJ225" s="380">
        <f t="shared" si="254"/>
        <v>0</v>
      </c>
      <c r="AK225" s="380">
        <f t="shared" si="254"/>
        <v>0</v>
      </c>
      <c r="AL225" s="380">
        <f t="shared" si="254"/>
        <v>0</v>
      </c>
      <c r="AM225" s="380">
        <f t="shared" si="254"/>
        <v>0</v>
      </c>
      <c r="AN225" s="380">
        <f t="shared" si="254"/>
        <v>0</v>
      </c>
      <c r="AO225" s="354">
        <f>SUM(AC225:AN225)</f>
        <v>0</v>
      </c>
    </row>
    <row r="226" spans="1:41" ht="30" outlineLevel="1">
      <c r="A226" s="283" t="s">
        <v>430</v>
      </c>
      <c r="B226" s="363" t="s">
        <v>259</v>
      </c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59"/>
      <c r="P226" s="366"/>
      <c r="Q226" s="364"/>
      <c r="R226" s="364"/>
      <c r="S226" s="364"/>
      <c r="T226" s="364"/>
      <c r="U226" s="364"/>
      <c r="V226" s="364"/>
      <c r="W226" s="364"/>
      <c r="X226" s="364"/>
      <c r="Y226" s="364"/>
      <c r="Z226" s="364"/>
      <c r="AA226" s="364"/>
      <c r="AB226" s="359"/>
      <c r="AC226" s="366"/>
      <c r="AD226" s="364"/>
      <c r="AE226" s="364"/>
      <c r="AF226" s="364"/>
      <c r="AG226" s="364"/>
      <c r="AH226" s="364"/>
      <c r="AI226" s="364"/>
      <c r="AJ226" s="364"/>
      <c r="AK226" s="364"/>
      <c r="AL226" s="364"/>
      <c r="AM226" s="364"/>
      <c r="AN226" s="364"/>
      <c r="AO226" s="362"/>
    </row>
    <row r="227" spans="1:41" outlineLevel="1">
      <c r="A227" s="283" t="s">
        <v>431</v>
      </c>
      <c r="B227" s="367" t="s">
        <v>261</v>
      </c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59"/>
      <c r="P227" s="366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  <c r="AA227" s="364"/>
      <c r="AB227" s="359"/>
      <c r="AC227" s="366"/>
      <c r="AD227" s="364"/>
      <c r="AE227" s="364"/>
      <c r="AF227" s="364"/>
      <c r="AG227" s="364"/>
      <c r="AH227" s="364"/>
      <c r="AI227" s="364"/>
      <c r="AJ227" s="364"/>
      <c r="AK227" s="364"/>
      <c r="AL227" s="364"/>
      <c r="AM227" s="364"/>
      <c r="AN227" s="364"/>
      <c r="AO227" s="362"/>
    </row>
    <row r="228" spans="1:41" outlineLevel="1">
      <c r="A228" s="283" t="s">
        <v>432</v>
      </c>
      <c r="B228" s="363" t="s">
        <v>263</v>
      </c>
      <c r="C228" s="368">
        <f>C225/'Продукция и цена '!$C$12</f>
        <v>0</v>
      </c>
      <c r="D228" s="368">
        <f>D225/'Продукция и цена '!$C$12</f>
        <v>0</v>
      </c>
      <c r="E228" s="368">
        <f>E225/'Продукция и цена '!$C$12</f>
        <v>0</v>
      </c>
      <c r="F228" s="368">
        <f>F225/'Продукция и цена '!$C$12</f>
        <v>0</v>
      </c>
      <c r="G228" s="368">
        <f>G225/'Продукция и цена '!$C$12</f>
        <v>0</v>
      </c>
      <c r="H228" s="368">
        <f>H225/'Продукция и цена '!$C$12</f>
        <v>0</v>
      </c>
      <c r="I228" s="368">
        <f>I225/'Продукция и цена '!$C$12</f>
        <v>0</v>
      </c>
      <c r="J228" s="368">
        <f>J225/'Продукция и цена '!$C$12</f>
        <v>0</v>
      </c>
      <c r="K228" s="368">
        <f>K225/'Продукция и цена '!$C$12</f>
        <v>0</v>
      </c>
      <c r="L228" s="368">
        <f>L225/'Продукция и цена '!$C$12</f>
        <v>0</v>
      </c>
      <c r="M228" s="368">
        <f>M225/'Продукция и цена '!$C$12</f>
        <v>0</v>
      </c>
      <c r="N228" s="368">
        <f>N225/'Продукция и цена '!$C$12</f>
        <v>0</v>
      </c>
      <c r="O228" s="359">
        <f>SUM(C228:N228)/12</f>
        <v>0</v>
      </c>
      <c r="P228" s="370">
        <f>P225/'Продукция и цена '!$D$12</f>
        <v>0</v>
      </c>
      <c r="Q228" s="368">
        <f>Q225/'Продукция и цена '!$D$12</f>
        <v>0</v>
      </c>
      <c r="R228" s="368">
        <f>R225/'Продукция и цена '!$D$12</f>
        <v>0</v>
      </c>
      <c r="S228" s="368">
        <f>S225/'Продукция и цена '!$D$12</f>
        <v>0</v>
      </c>
      <c r="T228" s="368">
        <f>T225/'Продукция и цена '!$D$12</f>
        <v>0</v>
      </c>
      <c r="U228" s="368">
        <f>U225/'Продукция и цена '!$D$12</f>
        <v>0</v>
      </c>
      <c r="V228" s="368">
        <f>V225/'Продукция и цена '!$D$12</f>
        <v>0</v>
      </c>
      <c r="W228" s="368">
        <f>W225/'Продукция и цена '!$D$12</f>
        <v>0</v>
      </c>
      <c r="X228" s="368">
        <f>X225/'Продукция и цена '!$D$12</f>
        <v>0</v>
      </c>
      <c r="Y228" s="368">
        <f>Y225/'Продукция и цена '!$D$12</f>
        <v>0</v>
      </c>
      <c r="Z228" s="368">
        <f>Z225/'Продукция и цена '!$D$12</f>
        <v>0</v>
      </c>
      <c r="AA228" s="368">
        <f>AA225/'Продукция и цена '!$D$12</f>
        <v>0</v>
      </c>
      <c r="AB228" s="359">
        <f>SUM(P228:AA228)/12</f>
        <v>0</v>
      </c>
      <c r="AC228" s="370">
        <f>AC225/'Продукция и цена '!$E$12</f>
        <v>0</v>
      </c>
      <c r="AD228" s="368">
        <f>AD225/'Продукция и цена '!$E$12</f>
        <v>0</v>
      </c>
      <c r="AE228" s="368">
        <f>AE225/'Продукция и цена '!$E$12</f>
        <v>0</v>
      </c>
      <c r="AF228" s="368">
        <f>AF225/'Продукция и цена '!$E$12</f>
        <v>0</v>
      </c>
      <c r="AG228" s="368">
        <f>AG225/'Продукция и цена '!$E$12</f>
        <v>0</v>
      </c>
      <c r="AH228" s="368">
        <f>AH225/'Продукция и цена '!$E$12</f>
        <v>0</v>
      </c>
      <c r="AI228" s="368">
        <f>AI225/'Продукция и цена '!$E$12</f>
        <v>0</v>
      </c>
      <c r="AJ228" s="368">
        <f>AJ225/'Продукция и цена '!$E$12</f>
        <v>0</v>
      </c>
      <c r="AK228" s="368">
        <f>AK225/'Продукция и цена '!$E$12</f>
        <v>0</v>
      </c>
      <c r="AL228" s="368">
        <f>AL225/'Продукция и цена '!$E$12</f>
        <v>0</v>
      </c>
      <c r="AM228" s="368">
        <f>AM225/'Продукция и цена '!$E$12</f>
        <v>0</v>
      </c>
      <c r="AN228" s="368">
        <f>AN225/'Продукция и цена '!$E$12</f>
        <v>0</v>
      </c>
      <c r="AO228" s="362">
        <f>SUM(AC228:AN228)/12</f>
        <v>0</v>
      </c>
    </row>
    <row r="229" spans="1:41" outlineLevel="1">
      <c r="A229" s="371" t="s">
        <v>433</v>
      </c>
      <c r="B229" s="372" t="s">
        <v>265</v>
      </c>
      <c r="C229" s="373">
        <f>'Продукция и цена '!$C$12</f>
        <v>12000</v>
      </c>
      <c r="D229" s="373">
        <f>C229</f>
        <v>12000</v>
      </c>
      <c r="E229" s="373">
        <f t="shared" ref="E229:N229" si="255">D229</f>
        <v>12000</v>
      </c>
      <c r="F229" s="373">
        <f t="shared" si="255"/>
        <v>12000</v>
      </c>
      <c r="G229" s="373">
        <f t="shared" si="255"/>
        <v>12000</v>
      </c>
      <c r="H229" s="373">
        <f t="shared" si="255"/>
        <v>12000</v>
      </c>
      <c r="I229" s="373">
        <f t="shared" si="255"/>
        <v>12000</v>
      </c>
      <c r="J229" s="373">
        <f t="shared" si="255"/>
        <v>12000</v>
      </c>
      <c r="K229" s="373">
        <f t="shared" si="255"/>
        <v>12000</v>
      </c>
      <c r="L229" s="373">
        <f t="shared" si="255"/>
        <v>12000</v>
      </c>
      <c r="M229" s="373">
        <f t="shared" si="255"/>
        <v>12000</v>
      </c>
      <c r="N229" s="373">
        <f t="shared" si="255"/>
        <v>12000</v>
      </c>
      <c r="O229" s="374">
        <f>SUM(C229:N229)/12</f>
        <v>12000</v>
      </c>
      <c r="P229" s="376">
        <f>'Продукция и цена '!$D$12</f>
        <v>13800</v>
      </c>
      <c r="Q229" s="373">
        <f>P229</f>
        <v>13800</v>
      </c>
      <c r="R229" s="373">
        <f t="shared" ref="R229:AA229" si="256">Q229</f>
        <v>13800</v>
      </c>
      <c r="S229" s="373">
        <f t="shared" si="256"/>
        <v>13800</v>
      </c>
      <c r="T229" s="373">
        <f t="shared" si="256"/>
        <v>13800</v>
      </c>
      <c r="U229" s="373">
        <f t="shared" si="256"/>
        <v>13800</v>
      </c>
      <c r="V229" s="373">
        <f t="shared" si="256"/>
        <v>13800</v>
      </c>
      <c r="W229" s="373">
        <f t="shared" si="256"/>
        <v>13800</v>
      </c>
      <c r="X229" s="373">
        <f t="shared" si="256"/>
        <v>13800</v>
      </c>
      <c r="Y229" s="373">
        <f t="shared" si="256"/>
        <v>13800</v>
      </c>
      <c r="Z229" s="373">
        <f t="shared" si="256"/>
        <v>13800</v>
      </c>
      <c r="AA229" s="373">
        <f t="shared" si="256"/>
        <v>13800</v>
      </c>
      <c r="AB229" s="374">
        <f>SUM(P229:AA229)/12</f>
        <v>13800</v>
      </c>
      <c r="AC229" s="376">
        <f>'Продукция и цена '!$E$12</f>
        <v>15870</v>
      </c>
      <c r="AD229" s="373">
        <f>AC229</f>
        <v>15870</v>
      </c>
      <c r="AE229" s="373">
        <f t="shared" ref="AE229:AN229" si="257">AD229</f>
        <v>15870</v>
      </c>
      <c r="AF229" s="373">
        <f t="shared" si="257"/>
        <v>15870</v>
      </c>
      <c r="AG229" s="373">
        <f t="shared" si="257"/>
        <v>15870</v>
      </c>
      <c r="AH229" s="373">
        <f t="shared" si="257"/>
        <v>15870</v>
      </c>
      <c r="AI229" s="373">
        <f t="shared" si="257"/>
        <v>15870</v>
      </c>
      <c r="AJ229" s="373">
        <f t="shared" si="257"/>
        <v>15870</v>
      </c>
      <c r="AK229" s="373">
        <f t="shared" si="257"/>
        <v>15870</v>
      </c>
      <c r="AL229" s="373">
        <f t="shared" si="257"/>
        <v>15870</v>
      </c>
      <c r="AM229" s="373">
        <f t="shared" si="257"/>
        <v>15870</v>
      </c>
      <c r="AN229" s="373">
        <f t="shared" si="257"/>
        <v>15870</v>
      </c>
      <c r="AO229" s="377">
        <f>SUM(AC229:AN229)/12</f>
        <v>15870</v>
      </c>
    </row>
    <row r="230" spans="1:41" s="346" customFormat="1" ht="14.25" outlineLevel="1">
      <c r="A230" s="378" t="s">
        <v>223</v>
      </c>
      <c r="B230" s="381" t="s">
        <v>250</v>
      </c>
      <c r="C230" s="380">
        <f>C231*C232</f>
        <v>0</v>
      </c>
      <c r="D230" s="380">
        <f t="shared" ref="D230:N230" si="258">D231*D232</f>
        <v>0</v>
      </c>
      <c r="E230" s="380">
        <f t="shared" si="258"/>
        <v>0</v>
      </c>
      <c r="F230" s="380">
        <f t="shared" si="258"/>
        <v>0</v>
      </c>
      <c r="G230" s="380">
        <f t="shared" si="258"/>
        <v>0</v>
      </c>
      <c r="H230" s="380">
        <f t="shared" si="258"/>
        <v>0</v>
      </c>
      <c r="I230" s="380">
        <f t="shared" si="258"/>
        <v>0</v>
      </c>
      <c r="J230" s="380">
        <f t="shared" si="258"/>
        <v>0</v>
      </c>
      <c r="K230" s="380">
        <f t="shared" si="258"/>
        <v>0</v>
      </c>
      <c r="L230" s="380">
        <f t="shared" si="258"/>
        <v>0</v>
      </c>
      <c r="M230" s="380">
        <f t="shared" si="258"/>
        <v>0</v>
      </c>
      <c r="N230" s="380">
        <f t="shared" si="258"/>
        <v>0</v>
      </c>
      <c r="O230" s="352">
        <f>SUM(C230:N230)</f>
        <v>0</v>
      </c>
      <c r="P230" s="379">
        <f>P231*P232</f>
        <v>0</v>
      </c>
      <c r="Q230" s="380">
        <f t="shared" ref="Q230:AA230" si="259">Q231*Q232</f>
        <v>0</v>
      </c>
      <c r="R230" s="380">
        <f t="shared" si="259"/>
        <v>0</v>
      </c>
      <c r="S230" s="380">
        <f t="shared" si="259"/>
        <v>0</v>
      </c>
      <c r="T230" s="380">
        <f t="shared" si="259"/>
        <v>0</v>
      </c>
      <c r="U230" s="380">
        <f t="shared" si="259"/>
        <v>0</v>
      </c>
      <c r="V230" s="380">
        <f t="shared" si="259"/>
        <v>0</v>
      </c>
      <c r="W230" s="380">
        <f t="shared" si="259"/>
        <v>0</v>
      </c>
      <c r="X230" s="380">
        <f t="shared" si="259"/>
        <v>0</v>
      </c>
      <c r="Y230" s="380">
        <f t="shared" si="259"/>
        <v>0</v>
      </c>
      <c r="Z230" s="380">
        <f t="shared" si="259"/>
        <v>0</v>
      </c>
      <c r="AA230" s="380">
        <f t="shared" si="259"/>
        <v>0</v>
      </c>
      <c r="AB230" s="352">
        <f>SUM(P230:AA230)</f>
        <v>0</v>
      </c>
      <c r="AC230" s="379">
        <f>AC231*AC232</f>
        <v>0</v>
      </c>
      <c r="AD230" s="380">
        <f t="shared" ref="AD230:AN230" si="260">AD231*AD232</f>
        <v>0</v>
      </c>
      <c r="AE230" s="380">
        <f t="shared" si="260"/>
        <v>0</v>
      </c>
      <c r="AF230" s="380">
        <f t="shared" si="260"/>
        <v>0</v>
      </c>
      <c r="AG230" s="380">
        <f t="shared" si="260"/>
        <v>0</v>
      </c>
      <c r="AH230" s="380">
        <f t="shared" si="260"/>
        <v>0</v>
      </c>
      <c r="AI230" s="380">
        <f t="shared" si="260"/>
        <v>0</v>
      </c>
      <c r="AJ230" s="380">
        <f t="shared" si="260"/>
        <v>0</v>
      </c>
      <c r="AK230" s="380">
        <f t="shared" si="260"/>
        <v>0</v>
      </c>
      <c r="AL230" s="380">
        <f t="shared" si="260"/>
        <v>0</v>
      </c>
      <c r="AM230" s="380">
        <f t="shared" si="260"/>
        <v>0</v>
      </c>
      <c r="AN230" s="380">
        <f t="shared" si="260"/>
        <v>0</v>
      </c>
      <c r="AO230" s="354">
        <f>SUM(AC230:AN230)</f>
        <v>0</v>
      </c>
    </row>
    <row r="231" spans="1:41" ht="30" outlineLevel="1">
      <c r="A231" s="283" t="s">
        <v>434</v>
      </c>
      <c r="B231" s="363" t="s">
        <v>259</v>
      </c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59"/>
      <c r="P231" s="366"/>
      <c r="Q231" s="364"/>
      <c r="R231" s="364"/>
      <c r="S231" s="364"/>
      <c r="T231" s="364"/>
      <c r="U231" s="364"/>
      <c r="V231" s="364"/>
      <c r="W231" s="364"/>
      <c r="X231" s="364"/>
      <c r="Y231" s="364"/>
      <c r="Z231" s="364"/>
      <c r="AA231" s="364"/>
      <c r="AB231" s="359"/>
      <c r="AC231" s="366"/>
      <c r="AD231" s="364"/>
      <c r="AE231" s="364"/>
      <c r="AF231" s="364"/>
      <c r="AG231" s="364"/>
      <c r="AH231" s="364"/>
      <c r="AI231" s="364"/>
      <c r="AJ231" s="364"/>
      <c r="AK231" s="364"/>
      <c r="AL231" s="364"/>
      <c r="AM231" s="364"/>
      <c r="AN231" s="364"/>
      <c r="AO231" s="362"/>
    </row>
    <row r="232" spans="1:41" outlineLevel="1">
      <c r="A232" s="283" t="s">
        <v>435</v>
      </c>
      <c r="B232" s="367" t="s">
        <v>261</v>
      </c>
      <c r="C232" s="364"/>
      <c r="D232" s="364"/>
      <c r="E232" s="364"/>
      <c r="F232" s="364"/>
      <c r="G232" s="364"/>
      <c r="H232" s="364"/>
      <c r="I232" s="364"/>
      <c r="J232" s="364"/>
      <c r="K232" s="364"/>
      <c r="L232" s="364"/>
      <c r="M232" s="364"/>
      <c r="N232" s="364"/>
      <c r="O232" s="359"/>
      <c r="P232" s="366"/>
      <c r="Q232" s="364"/>
      <c r="R232" s="364"/>
      <c r="S232" s="364"/>
      <c r="T232" s="364"/>
      <c r="U232" s="364"/>
      <c r="V232" s="364"/>
      <c r="W232" s="364"/>
      <c r="X232" s="364"/>
      <c r="Y232" s="364"/>
      <c r="Z232" s="364"/>
      <c r="AA232" s="364"/>
      <c r="AB232" s="359"/>
      <c r="AC232" s="366"/>
      <c r="AD232" s="364"/>
      <c r="AE232" s="364"/>
      <c r="AF232" s="364"/>
      <c r="AG232" s="364"/>
      <c r="AH232" s="364"/>
      <c r="AI232" s="364"/>
      <c r="AJ232" s="364"/>
      <c r="AK232" s="364"/>
      <c r="AL232" s="364"/>
      <c r="AM232" s="364"/>
      <c r="AN232" s="364"/>
      <c r="AO232" s="362"/>
    </row>
    <row r="233" spans="1:41" outlineLevel="1">
      <c r="A233" s="283" t="s">
        <v>436</v>
      </c>
      <c r="B233" s="363" t="s">
        <v>263</v>
      </c>
      <c r="C233" s="368">
        <f>C230/'Продукция и цена '!$C$12</f>
        <v>0</v>
      </c>
      <c r="D233" s="368">
        <f>D230/'Продукция и цена '!$C$12</f>
        <v>0</v>
      </c>
      <c r="E233" s="368">
        <f>E230/'Продукция и цена '!$C$12</f>
        <v>0</v>
      </c>
      <c r="F233" s="368">
        <f>F230/'Продукция и цена '!$C$12</f>
        <v>0</v>
      </c>
      <c r="G233" s="368">
        <f>G230/'Продукция и цена '!$C$12</f>
        <v>0</v>
      </c>
      <c r="H233" s="368">
        <f>H230/'Продукция и цена '!$C$12</f>
        <v>0</v>
      </c>
      <c r="I233" s="368">
        <f>I230/'Продукция и цена '!$C$12</f>
        <v>0</v>
      </c>
      <c r="J233" s="368">
        <f>J230/'Продукция и цена '!$C$12</f>
        <v>0</v>
      </c>
      <c r="K233" s="368">
        <f>K230/'Продукция и цена '!$C$12</f>
        <v>0</v>
      </c>
      <c r="L233" s="368">
        <f>L230/'Продукция и цена '!$C$12</f>
        <v>0</v>
      </c>
      <c r="M233" s="368">
        <f>M230/'Продукция и цена '!$C$12</f>
        <v>0</v>
      </c>
      <c r="N233" s="368">
        <f>N230/'Продукция и цена '!$C$12</f>
        <v>0</v>
      </c>
      <c r="O233" s="359">
        <f>SUM(C233:N233)/12</f>
        <v>0</v>
      </c>
      <c r="P233" s="370">
        <f>P230/'Продукция и цена '!$D$12</f>
        <v>0</v>
      </c>
      <c r="Q233" s="368">
        <f>Q230/'Продукция и цена '!$D$12</f>
        <v>0</v>
      </c>
      <c r="R233" s="368">
        <f>R230/'Продукция и цена '!$D$12</f>
        <v>0</v>
      </c>
      <c r="S233" s="368">
        <f>S230/'Продукция и цена '!$D$12</f>
        <v>0</v>
      </c>
      <c r="T233" s="368">
        <f>T230/'Продукция и цена '!$D$12</f>
        <v>0</v>
      </c>
      <c r="U233" s="368">
        <f>U230/'Продукция и цена '!$D$12</f>
        <v>0</v>
      </c>
      <c r="V233" s="368">
        <f>V230/'Продукция и цена '!$D$12</f>
        <v>0</v>
      </c>
      <c r="W233" s="368">
        <f>W230/'Продукция и цена '!$D$12</f>
        <v>0</v>
      </c>
      <c r="X233" s="368">
        <f>X230/'Продукция и цена '!$D$12</f>
        <v>0</v>
      </c>
      <c r="Y233" s="368">
        <f>Y230/'Продукция и цена '!$D$12</f>
        <v>0</v>
      </c>
      <c r="Z233" s="368">
        <f>Z230/'Продукция и цена '!$D$12</f>
        <v>0</v>
      </c>
      <c r="AA233" s="368">
        <f>AA230/'Продукция и цена '!$D$12</f>
        <v>0</v>
      </c>
      <c r="AB233" s="359">
        <f>SUM(P233:AA233)/12</f>
        <v>0</v>
      </c>
      <c r="AC233" s="370">
        <f>AC230/'Продукция и цена '!$E$12</f>
        <v>0</v>
      </c>
      <c r="AD233" s="368">
        <f>AD230/'Продукция и цена '!$E$12</f>
        <v>0</v>
      </c>
      <c r="AE233" s="368">
        <f>AE230/'Продукция и цена '!$E$12</f>
        <v>0</v>
      </c>
      <c r="AF233" s="368">
        <f>AF230/'Продукция и цена '!$E$12</f>
        <v>0</v>
      </c>
      <c r="AG233" s="368">
        <f>AG230/'Продукция и цена '!$E$12</f>
        <v>0</v>
      </c>
      <c r="AH233" s="368">
        <f>AH230/'Продукция и цена '!$E$12</f>
        <v>0</v>
      </c>
      <c r="AI233" s="368">
        <f>AI230/'Продукция и цена '!$E$12</f>
        <v>0</v>
      </c>
      <c r="AJ233" s="368">
        <f>AJ230/'Продукция и цена '!$E$12</f>
        <v>0</v>
      </c>
      <c r="AK233" s="368">
        <f>AK230/'Продукция и цена '!$E$12</f>
        <v>0</v>
      </c>
      <c r="AL233" s="368">
        <f>AL230/'Продукция и цена '!$E$12</f>
        <v>0</v>
      </c>
      <c r="AM233" s="368">
        <f>AM230/'Продукция и цена '!$E$12</f>
        <v>0</v>
      </c>
      <c r="AN233" s="368">
        <f>AN230/'Продукция и цена '!$E$12</f>
        <v>0</v>
      </c>
      <c r="AO233" s="362">
        <f>SUM(AC233:AN233)/12</f>
        <v>0</v>
      </c>
    </row>
    <row r="234" spans="1:41" outlineLevel="1">
      <c r="A234" s="371" t="s">
        <v>437</v>
      </c>
      <c r="B234" s="372" t="s">
        <v>265</v>
      </c>
      <c r="C234" s="373">
        <f>'Продукция и цена '!$C$12</f>
        <v>12000</v>
      </c>
      <c r="D234" s="373">
        <f>C234</f>
        <v>12000</v>
      </c>
      <c r="E234" s="373">
        <f t="shared" ref="E234:N234" si="261">D234</f>
        <v>12000</v>
      </c>
      <c r="F234" s="373">
        <f t="shared" si="261"/>
        <v>12000</v>
      </c>
      <c r="G234" s="373">
        <f t="shared" si="261"/>
        <v>12000</v>
      </c>
      <c r="H234" s="373">
        <f t="shared" si="261"/>
        <v>12000</v>
      </c>
      <c r="I234" s="373">
        <f t="shared" si="261"/>
        <v>12000</v>
      </c>
      <c r="J234" s="373">
        <f t="shared" si="261"/>
        <v>12000</v>
      </c>
      <c r="K234" s="373">
        <f t="shared" si="261"/>
        <v>12000</v>
      </c>
      <c r="L234" s="373">
        <f t="shared" si="261"/>
        <v>12000</v>
      </c>
      <c r="M234" s="373">
        <f t="shared" si="261"/>
        <v>12000</v>
      </c>
      <c r="N234" s="373">
        <f t="shared" si="261"/>
        <v>12000</v>
      </c>
      <c r="O234" s="374">
        <f>SUM(C234:N234)/12</f>
        <v>12000</v>
      </c>
      <c r="P234" s="376">
        <f>'Продукция и цена '!$D$12</f>
        <v>13800</v>
      </c>
      <c r="Q234" s="373">
        <f>P234</f>
        <v>13800</v>
      </c>
      <c r="R234" s="373">
        <f t="shared" ref="R234:AA234" si="262">Q234</f>
        <v>13800</v>
      </c>
      <c r="S234" s="373">
        <f t="shared" si="262"/>
        <v>13800</v>
      </c>
      <c r="T234" s="373">
        <f t="shared" si="262"/>
        <v>13800</v>
      </c>
      <c r="U234" s="373">
        <f t="shared" si="262"/>
        <v>13800</v>
      </c>
      <c r="V234" s="373">
        <f t="shared" si="262"/>
        <v>13800</v>
      </c>
      <c r="W234" s="373">
        <f t="shared" si="262"/>
        <v>13800</v>
      </c>
      <c r="X234" s="373">
        <f t="shared" si="262"/>
        <v>13800</v>
      </c>
      <c r="Y234" s="373">
        <f t="shared" si="262"/>
        <v>13800</v>
      </c>
      <c r="Z234" s="373">
        <f t="shared" si="262"/>
        <v>13800</v>
      </c>
      <c r="AA234" s="373">
        <f t="shared" si="262"/>
        <v>13800</v>
      </c>
      <c r="AB234" s="374">
        <f>SUM(P234:AA234)/12</f>
        <v>13800</v>
      </c>
      <c r="AC234" s="376">
        <f>'Продукция и цена '!$E$12</f>
        <v>15870</v>
      </c>
      <c r="AD234" s="373">
        <f>AC234</f>
        <v>15870</v>
      </c>
      <c r="AE234" s="373">
        <f t="shared" ref="AE234:AN234" si="263">AD234</f>
        <v>15870</v>
      </c>
      <c r="AF234" s="373">
        <f t="shared" si="263"/>
        <v>15870</v>
      </c>
      <c r="AG234" s="373">
        <f t="shared" si="263"/>
        <v>15870</v>
      </c>
      <c r="AH234" s="373">
        <f t="shared" si="263"/>
        <v>15870</v>
      </c>
      <c r="AI234" s="373">
        <f t="shared" si="263"/>
        <v>15870</v>
      </c>
      <c r="AJ234" s="373">
        <f t="shared" si="263"/>
        <v>15870</v>
      </c>
      <c r="AK234" s="373">
        <f t="shared" si="263"/>
        <v>15870</v>
      </c>
      <c r="AL234" s="373">
        <f t="shared" si="263"/>
        <v>15870</v>
      </c>
      <c r="AM234" s="373">
        <f t="shared" si="263"/>
        <v>15870</v>
      </c>
      <c r="AN234" s="373">
        <f t="shared" si="263"/>
        <v>15870</v>
      </c>
      <c r="AO234" s="377">
        <f>SUM(AC234:AN234)/12</f>
        <v>15870</v>
      </c>
    </row>
    <row r="235" spans="1:41" s="346" customFormat="1" ht="14.25" outlineLevel="1">
      <c r="A235" s="378" t="s">
        <v>224</v>
      </c>
      <c r="B235" s="381" t="s">
        <v>251</v>
      </c>
      <c r="C235" s="380">
        <f>C236*C237</f>
        <v>0</v>
      </c>
      <c r="D235" s="380">
        <f t="shared" ref="D235:N235" si="264">D236*D237</f>
        <v>0</v>
      </c>
      <c r="E235" s="380">
        <f t="shared" si="264"/>
        <v>0</v>
      </c>
      <c r="F235" s="380">
        <f t="shared" si="264"/>
        <v>0</v>
      </c>
      <c r="G235" s="380">
        <f t="shared" si="264"/>
        <v>0</v>
      </c>
      <c r="H235" s="380">
        <f t="shared" si="264"/>
        <v>0</v>
      </c>
      <c r="I235" s="380">
        <f t="shared" si="264"/>
        <v>0</v>
      </c>
      <c r="J235" s="380">
        <f t="shared" si="264"/>
        <v>0</v>
      </c>
      <c r="K235" s="380">
        <f t="shared" si="264"/>
        <v>0</v>
      </c>
      <c r="L235" s="380">
        <f t="shared" si="264"/>
        <v>0</v>
      </c>
      <c r="M235" s="380">
        <f t="shared" si="264"/>
        <v>0</v>
      </c>
      <c r="N235" s="380">
        <f t="shared" si="264"/>
        <v>0</v>
      </c>
      <c r="O235" s="352">
        <f>SUM(C235:N235)</f>
        <v>0</v>
      </c>
      <c r="P235" s="379">
        <f>P236*P237</f>
        <v>0</v>
      </c>
      <c r="Q235" s="380">
        <f t="shared" ref="Q235:AA235" si="265">Q236*Q237</f>
        <v>0</v>
      </c>
      <c r="R235" s="380">
        <f t="shared" si="265"/>
        <v>0</v>
      </c>
      <c r="S235" s="380">
        <f t="shared" si="265"/>
        <v>0</v>
      </c>
      <c r="T235" s="380">
        <f t="shared" si="265"/>
        <v>0</v>
      </c>
      <c r="U235" s="380">
        <f t="shared" si="265"/>
        <v>0</v>
      </c>
      <c r="V235" s="380">
        <f t="shared" si="265"/>
        <v>0</v>
      </c>
      <c r="W235" s="380">
        <f t="shared" si="265"/>
        <v>0</v>
      </c>
      <c r="X235" s="380">
        <f t="shared" si="265"/>
        <v>0</v>
      </c>
      <c r="Y235" s="380">
        <f t="shared" si="265"/>
        <v>0</v>
      </c>
      <c r="Z235" s="380">
        <f t="shared" si="265"/>
        <v>0</v>
      </c>
      <c r="AA235" s="380">
        <f t="shared" si="265"/>
        <v>0</v>
      </c>
      <c r="AB235" s="352">
        <f>SUM(P235:AA235)</f>
        <v>0</v>
      </c>
      <c r="AC235" s="379">
        <f>AC236*AC237</f>
        <v>0</v>
      </c>
      <c r="AD235" s="380">
        <f t="shared" ref="AD235:AN235" si="266">AD236*AD237</f>
        <v>0</v>
      </c>
      <c r="AE235" s="380">
        <f t="shared" si="266"/>
        <v>0</v>
      </c>
      <c r="AF235" s="380">
        <f t="shared" si="266"/>
        <v>0</v>
      </c>
      <c r="AG235" s="380">
        <f t="shared" si="266"/>
        <v>0</v>
      </c>
      <c r="AH235" s="380">
        <f t="shared" si="266"/>
        <v>0</v>
      </c>
      <c r="AI235" s="380">
        <f t="shared" si="266"/>
        <v>0</v>
      </c>
      <c r="AJ235" s="380">
        <f t="shared" si="266"/>
        <v>0</v>
      </c>
      <c r="AK235" s="380">
        <f t="shared" si="266"/>
        <v>0</v>
      </c>
      <c r="AL235" s="380">
        <f t="shared" si="266"/>
        <v>0</v>
      </c>
      <c r="AM235" s="380">
        <f t="shared" si="266"/>
        <v>0</v>
      </c>
      <c r="AN235" s="380">
        <f t="shared" si="266"/>
        <v>0</v>
      </c>
      <c r="AO235" s="354">
        <f>SUM(AC235:AN235)</f>
        <v>0</v>
      </c>
    </row>
    <row r="236" spans="1:41" ht="30" outlineLevel="1">
      <c r="A236" s="283" t="s">
        <v>438</v>
      </c>
      <c r="B236" s="363" t="s">
        <v>259</v>
      </c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59"/>
      <c r="P236" s="366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64"/>
      <c r="AB236" s="359"/>
      <c r="AC236" s="366"/>
      <c r="AD236" s="364"/>
      <c r="AE236" s="364"/>
      <c r="AF236" s="364"/>
      <c r="AG236" s="364"/>
      <c r="AH236" s="364"/>
      <c r="AI236" s="364"/>
      <c r="AJ236" s="364"/>
      <c r="AK236" s="364"/>
      <c r="AL236" s="364"/>
      <c r="AM236" s="364"/>
      <c r="AN236" s="364"/>
      <c r="AO236" s="362"/>
    </row>
    <row r="237" spans="1:41" outlineLevel="1">
      <c r="A237" s="283" t="s">
        <v>439</v>
      </c>
      <c r="B237" s="367" t="s">
        <v>261</v>
      </c>
      <c r="C237" s="364"/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59"/>
      <c r="P237" s="366"/>
      <c r="Q237" s="364"/>
      <c r="R237" s="364"/>
      <c r="S237" s="364"/>
      <c r="T237" s="364"/>
      <c r="U237" s="364"/>
      <c r="V237" s="364"/>
      <c r="W237" s="364"/>
      <c r="X237" s="364"/>
      <c r="Y237" s="364"/>
      <c r="Z237" s="364"/>
      <c r="AA237" s="364"/>
      <c r="AB237" s="359"/>
      <c r="AC237" s="366"/>
      <c r="AD237" s="364"/>
      <c r="AE237" s="364"/>
      <c r="AF237" s="364"/>
      <c r="AG237" s="364"/>
      <c r="AH237" s="364"/>
      <c r="AI237" s="364"/>
      <c r="AJ237" s="364"/>
      <c r="AK237" s="364"/>
      <c r="AL237" s="364"/>
      <c r="AM237" s="364"/>
      <c r="AN237" s="364"/>
      <c r="AO237" s="362"/>
    </row>
    <row r="238" spans="1:41" outlineLevel="1">
      <c r="A238" s="283" t="s">
        <v>440</v>
      </c>
      <c r="B238" s="363" t="s">
        <v>263</v>
      </c>
      <c r="C238" s="368">
        <f>C235/'Продукция и цена '!$C$12</f>
        <v>0</v>
      </c>
      <c r="D238" s="368">
        <f>D235/'Продукция и цена '!$C$12</f>
        <v>0</v>
      </c>
      <c r="E238" s="368">
        <f>E235/'Продукция и цена '!$C$12</f>
        <v>0</v>
      </c>
      <c r="F238" s="368">
        <f>F235/'Продукция и цена '!$C$12</f>
        <v>0</v>
      </c>
      <c r="G238" s="368">
        <f>G235/'Продукция и цена '!$C$12</f>
        <v>0</v>
      </c>
      <c r="H238" s="368">
        <f>H235/'Продукция и цена '!$C$12</f>
        <v>0</v>
      </c>
      <c r="I238" s="368">
        <f>I235/'Продукция и цена '!$C$12</f>
        <v>0</v>
      </c>
      <c r="J238" s="368">
        <f>J235/'Продукция и цена '!$C$12</f>
        <v>0</v>
      </c>
      <c r="K238" s="368">
        <f>K235/'Продукция и цена '!$C$12</f>
        <v>0</v>
      </c>
      <c r="L238" s="368">
        <f>L235/'Продукция и цена '!$C$12</f>
        <v>0</v>
      </c>
      <c r="M238" s="368">
        <f>M235/'Продукция и цена '!$C$12</f>
        <v>0</v>
      </c>
      <c r="N238" s="368">
        <f>N235/'Продукция и цена '!$C$12</f>
        <v>0</v>
      </c>
      <c r="O238" s="359">
        <f>SUM(C238:N238)/12</f>
        <v>0</v>
      </c>
      <c r="P238" s="370">
        <f>P235/'Продукция и цена '!$D$12</f>
        <v>0</v>
      </c>
      <c r="Q238" s="368">
        <f>Q235/'Продукция и цена '!$D$12</f>
        <v>0</v>
      </c>
      <c r="R238" s="368">
        <f>R235/'Продукция и цена '!$D$12</f>
        <v>0</v>
      </c>
      <c r="S238" s="368">
        <f>S235/'Продукция и цена '!$D$12</f>
        <v>0</v>
      </c>
      <c r="T238" s="368">
        <f>T235/'Продукция и цена '!$D$12</f>
        <v>0</v>
      </c>
      <c r="U238" s="368">
        <f>U235/'Продукция и цена '!$D$12</f>
        <v>0</v>
      </c>
      <c r="V238" s="368">
        <f>V235/'Продукция и цена '!$D$12</f>
        <v>0</v>
      </c>
      <c r="W238" s="368">
        <f>W235/'Продукция и цена '!$D$12</f>
        <v>0</v>
      </c>
      <c r="X238" s="368">
        <f>X235/'Продукция и цена '!$D$12</f>
        <v>0</v>
      </c>
      <c r="Y238" s="368">
        <f>Y235/'Продукция и цена '!$D$12</f>
        <v>0</v>
      </c>
      <c r="Z238" s="368">
        <f>Z235/'Продукция и цена '!$D$12</f>
        <v>0</v>
      </c>
      <c r="AA238" s="368">
        <f>AA235/'Продукция и цена '!$D$12</f>
        <v>0</v>
      </c>
      <c r="AB238" s="359">
        <f>SUM(P238:AA238)/12</f>
        <v>0</v>
      </c>
      <c r="AC238" s="370">
        <f>AC235/'Продукция и цена '!$E$12</f>
        <v>0</v>
      </c>
      <c r="AD238" s="368">
        <f>AD235/'Продукция и цена '!$E$12</f>
        <v>0</v>
      </c>
      <c r="AE238" s="368">
        <f>AE235/'Продукция и цена '!$E$12</f>
        <v>0</v>
      </c>
      <c r="AF238" s="368">
        <f>AF235/'Продукция и цена '!$E$12</f>
        <v>0</v>
      </c>
      <c r="AG238" s="368">
        <f>AG235/'Продукция и цена '!$E$12</f>
        <v>0</v>
      </c>
      <c r="AH238" s="368">
        <f>AH235/'Продукция и цена '!$E$12</f>
        <v>0</v>
      </c>
      <c r="AI238" s="368">
        <f>AI235/'Продукция и цена '!$E$12</f>
        <v>0</v>
      </c>
      <c r="AJ238" s="368">
        <f>AJ235/'Продукция и цена '!$E$12</f>
        <v>0</v>
      </c>
      <c r="AK238" s="368">
        <f>AK235/'Продукция и цена '!$E$12</f>
        <v>0</v>
      </c>
      <c r="AL238" s="368">
        <f>AL235/'Продукция и цена '!$E$12</f>
        <v>0</v>
      </c>
      <c r="AM238" s="368">
        <f>AM235/'Продукция и цена '!$E$12</f>
        <v>0</v>
      </c>
      <c r="AN238" s="368">
        <f>AN235/'Продукция и цена '!$E$12</f>
        <v>0</v>
      </c>
      <c r="AO238" s="362">
        <f>SUM(AC238:AN238)/12</f>
        <v>0</v>
      </c>
    </row>
    <row r="239" spans="1:41" outlineLevel="1">
      <c r="A239" s="371" t="s">
        <v>441</v>
      </c>
      <c r="B239" s="372" t="s">
        <v>265</v>
      </c>
      <c r="C239" s="373">
        <f>'Продукция и цена '!$C$12</f>
        <v>12000</v>
      </c>
      <c r="D239" s="373">
        <f>C239</f>
        <v>12000</v>
      </c>
      <c r="E239" s="373">
        <f t="shared" ref="E239:N239" si="267">D239</f>
        <v>12000</v>
      </c>
      <c r="F239" s="373">
        <f t="shared" si="267"/>
        <v>12000</v>
      </c>
      <c r="G239" s="373">
        <f t="shared" si="267"/>
        <v>12000</v>
      </c>
      <c r="H239" s="373">
        <f t="shared" si="267"/>
        <v>12000</v>
      </c>
      <c r="I239" s="373">
        <f t="shared" si="267"/>
        <v>12000</v>
      </c>
      <c r="J239" s="373">
        <f t="shared" si="267"/>
        <v>12000</v>
      </c>
      <c r="K239" s="373">
        <f t="shared" si="267"/>
        <v>12000</v>
      </c>
      <c r="L239" s="373">
        <f t="shared" si="267"/>
        <v>12000</v>
      </c>
      <c r="M239" s="373">
        <f t="shared" si="267"/>
        <v>12000</v>
      </c>
      <c r="N239" s="373">
        <f t="shared" si="267"/>
        <v>12000</v>
      </c>
      <c r="O239" s="374">
        <f>SUM(C239:N239)/12</f>
        <v>12000</v>
      </c>
      <c r="P239" s="376">
        <f>'Продукция и цена '!$D$12</f>
        <v>13800</v>
      </c>
      <c r="Q239" s="373">
        <f>P239</f>
        <v>13800</v>
      </c>
      <c r="R239" s="373">
        <f t="shared" ref="R239:AA239" si="268">Q239</f>
        <v>13800</v>
      </c>
      <c r="S239" s="373">
        <f t="shared" si="268"/>
        <v>13800</v>
      </c>
      <c r="T239" s="373">
        <f t="shared" si="268"/>
        <v>13800</v>
      </c>
      <c r="U239" s="373">
        <f t="shared" si="268"/>
        <v>13800</v>
      </c>
      <c r="V239" s="373">
        <f t="shared" si="268"/>
        <v>13800</v>
      </c>
      <c r="W239" s="373">
        <f t="shared" si="268"/>
        <v>13800</v>
      </c>
      <c r="X239" s="373">
        <f t="shared" si="268"/>
        <v>13800</v>
      </c>
      <c r="Y239" s="373">
        <f t="shared" si="268"/>
        <v>13800</v>
      </c>
      <c r="Z239" s="373">
        <f t="shared" si="268"/>
        <v>13800</v>
      </c>
      <c r="AA239" s="373">
        <f t="shared" si="268"/>
        <v>13800</v>
      </c>
      <c r="AB239" s="374">
        <f>SUM(P239:AA239)/12</f>
        <v>13800</v>
      </c>
      <c r="AC239" s="376">
        <f>'Продукция и цена '!$E$12</f>
        <v>15870</v>
      </c>
      <c r="AD239" s="373">
        <f>AC239</f>
        <v>15870</v>
      </c>
      <c r="AE239" s="373">
        <f t="shared" ref="AE239:AN239" si="269">AD239</f>
        <v>15870</v>
      </c>
      <c r="AF239" s="373">
        <f t="shared" si="269"/>
        <v>15870</v>
      </c>
      <c r="AG239" s="373">
        <f t="shared" si="269"/>
        <v>15870</v>
      </c>
      <c r="AH239" s="373">
        <f t="shared" si="269"/>
        <v>15870</v>
      </c>
      <c r="AI239" s="373">
        <f t="shared" si="269"/>
        <v>15870</v>
      </c>
      <c r="AJ239" s="373">
        <f t="shared" si="269"/>
        <v>15870</v>
      </c>
      <c r="AK239" s="373">
        <f t="shared" si="269"/>
        <v>15870</v>
      </c>
      <c r="AL239" s="373">
        <f t="shared" si="269"/>
        <v>15870</v>
      </c>
      <c r="AM239" s="373">
        <f t="shared" si="269"/>
        <v>15870</v>
      </c>
      <c r="AN239" s="373">
        <f t="shared" si="269"/>
        <v>15870</v>
      </c>
      <c r="AO239" s="377">
        <f>SUM(AC239:AN239)/12</f>
        <v>15870</v>
      </c>
    </row>
    <row r="240" spans="1:41" s="346" customFormat="1" ht="14.25">
      <c r="A240" s="349">
        <v>10</v>
      </c>
      <c r="B240" s="350">
        <f>'Продукция и цена '!A13</f>
        <v>0</v>
      </c>
      <c r="C240" s="351">
        <f>(C241+C246+C251+C256+C261)*Продажи!B14</f>
        <v>0</v>
      </c>
      <c r="D240" s="351">
        <f>(D241+D246+D251+D256+D261)*Продажи!C14</f>
        <v>0</v>
      </c>
      <c r="E240" s="351">
        <f>(E241+E246+E251+E256+E261)*Продажи!D14</f>
        <v>0</v>
      </c>
      <c r="F240" s="351">
        <f>(F241+F246+F251+F256+F261)*Продажи!E14</f>
        <v>0</v>
      </c>
      <c r="G240" s="351">
        <f>(G241+G246+G251+G256+G261)*Продажи!F14</f>
        <v>0</v>
      </c>
      <c r="H240" s="351">
        <f>(H241+H246+H251+H256+H261)*Продажи!G14</f>
        <v>0</v>
      </c>
      <c r="I240" s="351">
        <f>(I241+I246+I251+I256+I261)*Продажи!H14</f>
        <v>0</v>
      </c>
      <c r="J240" s="351">
        <f>(J241+J246+J251+J256+J261)*Продажи!I14</f>
        <v>0</v>
      </c>
      <c r="K240" s="351">
        <f>(K241+K246+K251+K256+K261)*Продажи!J14</f>
        <v>0</v>
      </c>
      <c r="L240" s="351">
        <f>(L241+L246+L251+L256+L261)*Продажи!K14</f>
        <v>0</v>
      </c>
      <c r="M240" s="351">
        <f>(M241+M246+M251+M256+M261)*Продажи!L14</f>
        <v>0</v>
      </c>
      <c r="N240" s="351">
        <f>(N241+N246+N251+N256+N261)*Продажи!M14</f>
        <v>0</v>
      </c>
      <c r="O240" s="352">
        <f>SUM(C240:N240)</f>
        <v>0</v>
      </c>
      <c r="P240" s="353">
        <f>(P241+P246+P251+P256+P261)*Продажи!O14</f>
        <v>0</v>
      </c>
      <c r="Q240" s="351">
        <f>(Q241+Q246+Q251+Q256+Q261)*Продажи!P14</f>
        <v>0</v>
      </c>
      <c r="R240" s="351">
        <f>(R241+R246+R251+R256+R261)*Продажи!Q14</f>
        <v>0</v>
      </c>
      <c r="S240" s="351">
        <f>(S241+S246+S251+S256+S261)*Продажи!R14</f>
        <v>0</v>
      </c>
      <c r="T240" s="351">
        <f>(T241+T246+T251+T256+T261)*Продажи!S14</f>
        <v>0</v>
      </c>
      <c r="U240" s="351">
        <f>(U241+U246+U251+U256+U261)*Продажи!T14</f>
        <v>0</v>
      </c>
      <c r="V240" s="351">
        <f>(V241+V246+V251+V256+V261)*Продажи!U14</f>
        <v>0</v>
      </c>
      <c r="W240" s="351">
        <f>(W241+W246+W251+W256+W261)*Продажи!V14</f>
        <v>0</v>
      </c>
      <c r="X240" s="351">
        <f>(X241+X246+X251+X256+X261)*Продажи!W14</f>
        <v>0</v>
      </c>
      <c r="Y240" s="351">
        <f>(Y241+Y246+Y251+Y256+Y261)*Продажи!X14</f>
        <v>0</v>
      </c>
      <c r="Z240" s="351">
        <f>(Z241+Z246+Z251+Z256+Z261)*Продажи!Y14</f>
        <v>0</v>
      </c>
      <c r="AA240" s="351">
        <f>(AA241+AA246+AA251+AA256+AA261)*Продажи!Z14</f>
        <v>0</v>
      </c>
      <c r="AB240" s="354">
        <f>SUM(P240:AA240)</f>
        <v>0</v>
      </c>
      <c r="AC240" s="355">
        <f>(AC241+AC246+AC251+AC256+AC261)*Продажи!AB14</f>
        <v>0</v>
      </c>
      <c r="AD240" s="351">
        <f>(AD241+AD246+AD251+AD256+AD261)*Продажи!AC14</f>
        <v>0</v>
      </c>
      <c r="AE240" s="351">
        <f>(AE241+AE246+AE251+AE256+AE261)*Продажи!AD14</f>
        <v>0</v>
      </c>
      <c r="AF240" s="351">
        <f>(AF241+AF246+AF251+AF256+AF261)*Продажи!AE14</f>
        <v>0</v>
      </c>
      <c r="AG240" s="351">
        <f>(AG241+AG246+AG251+AG256+AG261)*Продажи!AF14</f>
        <v>0</v>
      </c>
      <c r="AH240" s="351">
        <f>(AH241+AH246+AH251+AH256+AH261)*Продажи!AG14</f>
        <v>0</v>
      </c>
      <c r="AI240" s="351">
        <f>(AI241+AI246+AI251+AI256+AI261)*Продажи!AH14</f>
        <v>0</v>
      </c>
      <c r="AJ240" s="351">
        <f>(AJ241+AJ246+AJ251+AJ256+AJ261)*Продажи!AI14</f>
        <v>0</v>
      </c>
      <c r="AK240" s="351">
        <f>(AK241+AK246+AK251+AK256+AK261)*Продажи!AJ14</f>
        <v>0</v>
      </c>
      <c r="AL240" s="351">
        <f>(AL241+AL246+AL251+AL256+AL261)*Продажи!AK14</f>
        <v>0</v>
      </c>
      <c r="AM240" s="351">
        <f>(AM241+AM246+AM251+AM256+AM261)*Продажи!AL14</f>
        <v>0</v>
      </c>
      <c r="AN240" s="351">
        <f>(AN241+AN246+AN251+AN256+AN261)*Продажи!AM14</f>
        <v>0</v>
      </c>
      <c r="AO240" s="354">
        <f>SUM(AC240:AN240)</f>
        <v>0</v>
      </c>
    </row>
    <row r="241" spans="1:41" s="346" customFormat="1" ht="14.25" outlineLevel="1">
      <c r="A241" s="356" t="s">
        <v>231</v>
      </c>
      <c r="B241" s="357" t="s">
        <v>247</v>
      </c>
      <c r="C241" s="358">
        <f>C242*C243</f>
        <v>0</v>
      </c>
      <c r="D241" s="358">
        <f t="shared" ref="D241:N241" si="270">D242*D243</f>
        <v>0</v>
      </c>
      <c r="E241" s="358">
        <f t="shared" si="270"/>
        <v>0</v>
      </c>
      <c r="F241" s="358">
        <f t="shared" si="270"/>
        <v>0</v>
      </c>
      <c r="G241" s="358">
        <f t="shared" si="270"/>
        <v>0</v>
      </c>
      <c r="H241" s="358">
        <f t="shared" si="270"/>
        <v>0</v>
      </c>
      <c r="I241" s="358">
        <f t="shared" si="270"/>
        <v>0</v>
      </c>
      <c r="J241" s="358">
        <f t="shared" si="270"/>
        <v>0</v>
      </c>
      <c r="K241" s="358">
        <f t="shared" si="270"/>
        <v>0</v>
      </c>
      <c r="L241" s="358">
        <f t="shared" si="270"/>
        <v>0</v>
      </c>
      <c r="M241" s="358">
        <f t="shared" si="270"/>
        <v>0</v>
      </c>
      <c r="N241" s="358">
        <f t="shared" si="270"/>
        <v>0</v>
      </c>
      <c r="O241" s="359">
        <f>SUM(C241:N241)</f>
        <v>0</v>
      </c>
      <c r="P241" s="360">
        <f>P242*P243</f>
        <v>0</v>
      </c>
      <c r="Q241" s="358">
        <f t="shared" ref="Q241:AA241" si="271">Q242*Q243</f>
        <v>0</v>
      </c>
      <c r="R241" s="358">
        <f t="shared" si="271"/>
        <v>0</v>
      </c>
      <c r="S241" s="358">
        <f t="shared" si="271"/>
        <v>0</v>
      </c>
      <c r="T241" s="358">
        <f t="shared" si="271"/>
        <v>0</v>
      </c>
      <c r="U241" s="358">
        <f t="shared" si="271"/>
        <v>0</v>
      </c>
      <c r="V241" s="358">
        <f t="shared" si="271"/>
        <v>0</v>
      </c>
      <c r="W241" s="358">
        <f t="shared" si="271"/>
        <v>0</v>
      </c>
      <c r="X241" s="358">
        <f t="shared" si="271"/>
        <v>0</v>
      </c>
      <c r="Y241" s="358">
        <f t="shared" si="271"/>
        <v>0</v>
      </c>
      <c r="Z241" s="358">
        <f t="shared" si="271"/>
        <v>0</v>
      </c>
      <c r="AA241" s="358">
        <f t="shared" si="271"/>
        <v>0</v>
      </c>
      <c r="AB241" s="359">
        <f>SUM(P241:AA241)</f>
        <v>0</v>
      </c>
      <c r="AC241" s="361">
        <f>AC242*AC243</f>
        <v>0</v>
      </c>
      <c r="AD241" s="358">
        <f t="shared" ref="AD241:AN241" si="272">AD242*AD243</f>
        <v>0</v>
      </c>
      <c r="AE241" s="358">
        <f t="shared" si="272"/>
        <v>0</v>
      </c>
      <c r="AF241" s="358">
        <f t="shared" si="272"/>
        <v>0</v>
      </c>
      <c r="AG241" s="358">
        <f t="shared" si="272"/>
        <v>0</v>
      </c>
      <c r="AH241" s="358">
        <f t="shared" si="272"/>
        <v>0</v>
      </c>
      <c r="AI241" s="358">
        <f t="shared" si="272"/>
        <v>0</v>
      </c>
      <c r="AJ241" s="358">
        <f t="shared" si="272"/>
        <v>0</v>
      </c>
      <c r="AK241" s="358">
        <f t="shared" si="272"/>
        <v>0</v>
      </c>
      <c r="AL241" s="358">
        <f t="shared" si="272"/>
        <v>0</v>
      </c>
      <c r="AM241" s="358">
        <f t="shared" si="272"/>
        <v>0</v>
      </c>
      <c r="AN241" s="358">
        <f t="shared" si="272"/>
        <v>0</v>
      </c>
      <c r="AO241" s="362">
        <f>SUM(AC241:AN241)</f>
        <v>0</v>
      </c>
    </row>
    <row r="242" spans="1:41" ht="30" outlineLevel="1">
      <c r="A242" s="283" t="s">
        <v>442</v>
      </c>
      <c r="B242" s="363" t="s">
        <v>259</v>
      </c>
      <c r="C242" s="364"/>
      <c r="D242" s="364"/>
      <c r="E242" s="364"/>
      <c r="F242" s="364"/>
      <c r="G242" s="364"/>
      <c r="H242" s="364"/>
      <c r="I242" s="364"/>
      <c r="J242" s="364"/>
      <c r="K242" s="364"/>
      <c r="L242" s="364"/>
      <c r="M242" s="364"/>
      <c r="N242" s="364"/>
      <c r="O242" s="359"/>
      <c r="P242" s="365"/>
      <c r="Q242" s="364"/>
      <c r="R242" s="364"/>
      <c r="S242" s="364"/>
      <c r="T242" s="364"/>
      <c r="U242" s="364"/>
      <c r="V242" s="364"/>
      <c r="W242" s="364"/>
      <c r="X242" s="364"/>
      <c r="Y242" s="364"/>
      <c r="Z242" s="364"/>
      <c r="AA242" s="364"/>
      <c r="AB242" s="359"/>
      <c r="AC242" s="366"/>
      <c r="AD242" s="364"/>
      <c r="AE242" s="364"/>
      <c r="AF242" s="364"/>
      <c r="AG242" s="364"/>
      <c r="AH242" s="364"/>
      <c r="AI242" s="364"/>
      <c r="AJ242" s="364"/>
      <c r="AK242" s="364"/>
      <c r="AL242" s="364"/>
      <c r="AM242" s="364"/>
      <c r="AN242" s="364"/>
      <c r="AO242" s="362"/>
    </row>
    <row r="243" spans="1:41" outlineLevel="1">
      <c r="A243" s="283" t="s">
        <v>443</v>
      </c>
      <c r="B243" s="367" t="s">
        <v>261</v>
      </c>
      <c r="C243" s="364"/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59"/>
      <c r="P243" s="365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  <c r="AA243" s="364"/>
      <c r="AB243" s="359"/>
      <c r="AC243" s="366"/>
      <c r="AD243" s="364"/>
      <c r="AE243" s="364"/>
      <c r="AF243" s="364"/>
      <c r="AG243" s="364"/>
      <c r="AH243" s="364"/>
      <c r="AI243" s="364"/>
      <c r="AJ243" s="364"/>
      <c r="AK243" s="364"/>
      <c r="AL243" s="364"/>
      <c r="AM243" s="364"/>
      <c r="AN243" s="364"/>
      <c r="AO243" s="362"/>
    </row>
    <row r="244" spans="1:41" outlineLevel="1">
      <c r="A244" s="283" t="s">
        <v>444</v>
      </c>
      <c r="B244" s="363" t="s">
        <v>263</v>
      </c>
      <c r="C244" s="368" t="e">
        <f>C241/'Продукция и цена '!$C$13</f>
        <v>#DIV/0!</v>
      </c>
      <c r="D244" s="368" t="e">
        <f>D241/'Продукция и цена '!$C$13</f>
        <v>#DIV/0!</v>
      </c>
      <c r="E244" s="368" t="e">
        <f>E241/'Продукция и цена '!$C$13</f>
        <v>#DIV/0!</v>
      </c>
      <c r="F244" s="368" t="e">
        <f>F241/'Продукция и цена '!$C$13</f>
        <v>#DIV/0!</v>
      </c>
      <c r="G244" s="368" t="e">
        <f>G241/'Продукция и цена '!$C$13</f>
        <v>#DIV/0!</v>
      </c>
      <c r="H244" s="368" t="e">
        <f>H241/'Продукция и цена '!$C$13</f>
        <v>#DIV/0!</v>
      </c>
      <c r="I244" s="368" t="e">
        <f>I241/'Продукция и цена '!$C$13</f>
        <v>#DIV/0!</v>
      </c>
      <c r="J244" s="368" t="e">
        <f>J241/'Продукция и цена '!$C$13</f>
        <v>#DIV/0!</v>
      </c>
      <c r="K244" s="368" t="e">
        <f>K241/'Продукция и цена '!$C$13</f>
        <v>#DIV/0!</v>
      </c>
      <c r="L244" s="368" t="e">
        <f>L241/'Продукция и цена '!$C$13</f>
        <v>#DIV/0!</v>
      </c>
      <c r="M244" s="368" t="e">
        <f>M241/'Продукция и цена '!$C$13</f>
        <v>#DIV/0!</v>
      </c>
      <c r="N244" s="368" t="e">
        <f>N241/'Продукция и цена '!$C$13</f>
        <v>#DIV/0!</v>
      </c>
      <c r="O244" s="359" t="e">
        <f>SUM(C244:N244)/12</f>
        <v>#DIV/0!</v>
      </c>
      <c r="P244" s="369" t="e">
        <f>P241/'Продукция и цена '!$D$13</f>
        <v>#DIV/0!</v>
      </c>
      <c r="Q244" s="368" t="e">
        <f>Q241/'Продукция и цена '!$D$13</f>
        <v>#DIV/0!</v>
      </c>
      <c r="R244" s="368" t="e">
        <f>R241/'Продукция и цена '!$D$13</f>
        <v>#DIV/0!</v>
      </c>
      <c r="S244" s="368" t="e">
        <f>S241/'Продукция и цена '!$D$13</f>
        <v>#DIV/0!</v>
      </c>
      <c r="T244" s="368" t="e">
        <f>T241/'Продукция и цена '!$D$13</f>
        <v>#DIV/0!</v>
      </c>
      <c r="U244" s="368" t="e">
        <f>U241/'Продукция и цена '!$D$13</f>
        <v>#DIV/0!</v>
      </c>
      <c r="V244" s="368" t="e">
        <f>V241/'Продукция и цена '!$D$13</f>
        <v>#DIV/0!</v>
      </c>
      <c r="W244" s="368" t="e">
        <f>W241/'Продукция и цена '!$D$13</f>
        <v>#DIV/0!</v>
      </c>
      <c r="X244" s="368" t="e">
        <f>X241/'Продукция и цена '!$D$13</f>
        <v>#DIV/0!</v>
      </c>
      <c r="Y244" s="368" t="e">
        <f>Y241/'Продукция и цена '!$D$13</f>
        <v>#DIV/0!</v>
      </c>
      <c r="Z244" s="368" t="e">
        <f>Z241/'Продукция и цена '!$D$13</f>
        <v>#DIV/0!</v>
      </c>
      <c r="AA244" s="368" t="e">
        <f>AA241/'Продукция и цена '!$D$13</f>
        <v>#DIV/0!</v>
      </c>
      <c r="AB244" s="359" t="e">
        <f>SUM(P244:AA244)/12</f>
        <v>#DIV/0!</v>
      </c>
      <c r="AC244" s="370" t="e">
        <f>AC241/'Продукция и цена '!$E$13</f>
        <v>#DIV/0!</v>
      </c>
      <c r="AD244" s="368" t="e">
        <f>AD241/'Продукция и цена '!$E$13</f>
        <v>#DIV/0!</v>
      </c>
      <c r="AE244" s="368" t="e">
        <f>AE241/'Продукция и цена '!$E$13</f>
        <v>#DIV/0!</v>
      </c>
      <c r="AF244" s="368" t="e">
        <f>AF241/'Продукция и цена '!$E$13</f>
        <v>#DIV/0!</v>
      </c>
      <c r="AG244" s="368" t="e">
        <f>AG241/'Продукция и цена '!$E$13</f>
        <v>#DIV/0!</v>
      </c>
      <c r="AH244" s="368" t="e">
        <f>AH241/'Продукция и цена '!$E$13</f>
        <v>#DIV/0!</v>
      </c>
      <c r="AI244" s="368" t="e">
        <f>AI241/'Продукция и цена '!$E$13</f>
        <v>#DIV/0!</v>
      </c>
      <c r="AJ244" s="368" t="e">
        <f>AJ241/'Продукция и цена '!$E$13</f>
        <v>#DIV/0!</v>
      </c>
      <c r="AK244" s="368" t="e">
        <f>AK241/'Продукция и цена '!$E$13</f>
        <v>#DIV/0!</v>
      </c>
      <c r="AL244" s="368" t="e">
        <f>AL241/'Продукция и цена '!$E$13</f>
        <v>#DIV/0!</v>
      </c>
      <c r="AM244" s="368" t="e">
        <f>AM241/'Продукция и цена '!$E$13</f>
        <v>#DIV/0!</v>
      </c>
      <c r="AN244" s="368" t="e">
        <f>AN241/'Продукция и цена '!$E$13</f>
        <v>#DIV/0!</v>
      </c>
      <c r="AO244" s="362" t="e">
        <f>SUM(AC244:AN244)/12</f>
        <v>#DIV/0!</v>
      </c>
    </row>
    <row r="245" spans="1:41" outlineLevel="1">
      <c r="A245" s="371" t="s">
        <v>445</v>
      </c>
      <c r="B245" s="372" t="s">
        <v>265</v>
      </c>
      <c r="C245" s="373">
        <f>'Продукция и цена '!$C$13</f>
        <v>0</v>
      </c>
      <c r="D245" s="373">
        <f>C245</f>
        <v>0</v>
      </c>
      <c r="E245" s="373">
        <f t="shared" ref="E245:N245" si="273">D245</f>
        <v>0</v>
      </c>
      <c r="F245" s="373">
        <f t="shared" si="273"/>
        <v>0</v>
      </c>
      <c r="G245" s="373">
        <f t="shared" si="273"/>
        <v>0</v>
      </c>
      <c r="H245" s="373">
        <f t="shared" si="273"/>
        <v>0</v>
      </c>
      <c r="I245" s="373">
        <f t="shared" si="273"/>
        <v>0</v>
      </c>
      <c r="J245" s="373">
        <f t="shared" si="273"/>
        <v>0</v>
      </c>
      <c r="K245" s="373">
        <f t="shared" si="273"/>
        <v>0</v>
      </c>
      <c r="L245" s="373">
        <f t="shared" si="273"/>
        <v>0</v>
      </c>
      <c r="M245" s="373">
        <f t="shared" si="273"/>
        <v>0</v>
      </c>
      <c r="N245" s="373">
        <f t="shared" si="273"/>
        <v>0</v>
      </c>
      <c r="O245" s="374">
        <f>SUM(C245:N245)/12</f>
        <v>0</v>
      </c>
      <c r="P245" s="375">
        <f>'Продукция и цена '!$D$13</f>
        <v>0</v>
      </c>
      <c r="Q245" s="373">
        <f>P245</f>
        <v>0</v>
      </c>
      <c r="R245" s="373">
        <f t="shared" ref="R245:AA245" si="274">Q245</f>
        <v>0</v>
      </c>
      <c r="S245" s="373">
        <f t="shared" si="274"/>
        <v>0</v>
      </c>
      <c r="T245" s="373">
        <f t="shared" si="274"/>
        <v>0</v>
      </c>
      <c r="U245" s="373">
        <f t="shared" si="274"/>
        <v>0</v>
      </c>
      <c r="V245" s="373">
        <f t="shared" si="274"/>
        <v>0</v>
      </c>
      <c r="W245" s="373">
        <f t="shared" si="274"/>
        <v>0</v>
      </c>
      <c r="X245" s="373">
        <f t="shared" si="274"/>
        <v>0</v>
      </c>
      <c r="Y245" s="373">
        <f t="shared" si="274"/>
        <v>0</v>
      </c>
      <c r="Z245" s="373">
        <f t="shared" si="274"/>
        <v>0</v>
      </c>
      <c r="AA245" s="373">
        <f t="shared" si="274"/>
        <v>0</v>
      </c>
      <c r="AB245" s="374">
        <f>SUM(P245:AA245)/12</f>
        <v>0</v>
      </c>
      <c r="AC245" s="376">
        <f>'Продукция и цена '!$E$13</f>
        <v>0</v>
      </c>
      <c r="AD245" s="373">
        <f>AC245</f>
        <v>0</v>
      </c>
      <c r="AE245" s="373">
        <f t="shared" ref="AE245:AN245" si="275">AD245</f>
        <v>0</v>
      </c>
      <c r="AF245" s="373">
        <f t="shared" si="275"/>
        <v>0</v>
      </c>
      <c r="AG245" s="373">
        <f t="shared" si="275"/>
        <v>0</v>
      </c>
      <c r="AH245" s="373">
        <f t="shared" si="275"/>
        <v>0</v>
      </c>
      <c r="AI245" s="373">
        <f t="shared" si="275"/>
        <v>0</v>
      </c>
      <c r="AJ245" s="373">
        <f t="shared" si="275"/>
        <v>0</v>
      </c>
      <c r="AK245" s="373">
        <f t="shared" si="275"/>
        <v>0</v>
      </c>
      <c r="AL245" s="373">
        <f t="shared" si="275"/>
        <v>0</v>
      </c>
      <c r="AM245" s="373">
        <f t="shared" si="275"/>
        <v>0</v>
      </c>
      <c r="AN245" s="373">
        <f t="shared" si="275"/>
        <v>0</v>
      </c>
      <c r="AO245" s="377">
        <f>SUM(AC245:AN245)/12</f>
        <v>0</v>
      </c>
    </row>
    <row r="246" spans="1:41" s="346" customFormat="1" ht="14.25" outlineLevel="1">
      <c r="A246" s="378" t="s">
        <v>232</v>
      </c>
      <c r="B246" s="357" t="s">
        <v>248</v>
      </c>
      <c r="C246" s="358">
        <f>C247*C248</f>
        <v>0</v>
      </c>
      <c r="D246" s="358">
        <f t="shared" ref="D246:N246" si="276">D247*D248</f>
        <v>0</v>
      </c>
      <c r="E246" s="358">
        <f t="shared" si="276"/>
        <v>0</v>
      </c>
      <c r="F246" s="358">
        <f t="shared" si="276"/>
        <v>0</v>
      </c>
      <c r="G246" s="358">
        <f t="shared" si="276"/>
        <v>0</v>
      </c>
      <c r="H246" s="358">
        <f t="shared" si="276"/>
        <v>0</v>
      </c>
      <c r="I246" s="358">
        <f t="shared" si="276"/>
        <v>0</v>
      </c>
      <c r="J246" s="358">
        <f t="shared" si="276"/>
        <v>0</v>
      </c>
      <c r="K246" s="358">
        <f t="shared" si="276"/>
        <v>0</v>
      </c>
      <c r="L246" s="358">
        <f t="shared" si="276"/>
        <v>0</v>
      </c>
      <c r="M246" s="358">
        <f t="shared" si="276"/>
        <v>0</v>
      </c>
      <c r="N246" s="358">
        <f t="shared" si="276"/>
        <v>0</v>
      </c>
      <c r="O246" s="352">
        <f>SUM(C246:N246)</f>
        <v>0</v>
      </c>
      <c r="P246" s="379">
        <f>P247*P248</f>
        <v>0</v>
      </c>
      <c r="Q246" s="380">
        <f t="shared" ref="Q246:AA246" si="277">Q247*Q248</f>
        <v>0</v>
      </c>
      <c r="R246" s="380">
        <f t="shared" si="277"/>
        <v>0</v>
      </c>
      <c r="S246" s="380">
        <f t="shared" si="277"/>
        <v>0</v>
      </c>
      <c r="T246" s="380">
        <f t="shared" si="277"/>
        <v>0</v>
      </c>
      <c r="U246" s="380">
        <f t="shared" si="277"/>
        <v>0</v>
      </c>
      <c r="V246" s="380">
        <f t="shared" si="277"/>
        <v>0</v>
      </c>
      <c r="W246" s="380">
        <f t="shared" si="277"/>
        <v>0</v>
      </c>
      <c r="X246" s="380">
        <f t="shared" si="277"/>
        <v>0</v>
      </c>
      <c r="Y246" s="380">
        <f t="shared" si="277"/>
        <v>0</v>
      </c>
      <c r="Z246" s="380">
        <f t="shared" si="277"/>
        <v>0</v>
      </c>
      <c r="AA246" s="380">
        <f t="shared" si="277"/>
        <v>0</v>
      </c>
      <c r="AB246" s="352">
        <f>SUM(P246:AA246)</f>
        <v>0</v>
      </c>
      <c r="AC246" s="379">
        <f>AC247*AC248</f>
        <v>0</v>
      </c>
      <c r="AD246" s="380">
        <f t="shared" ref="AD246:AN246" si="278">AD247*AD248</f>
        <v>0</v>
      </c>
      <c r="AE246" s="380">
        <f t="shared" si="278"/>
        <v>0</v>
      </c>
      <c r="AF246" s="380">
        <f t="shared" si="278"/>
        <v>0</v>
      </c>
      <c r="AG246" s="380">
        <f t="shared" si="278"/>
        <v>0</v>
      </c>
      <c r="AH246" s="380">
        <f t="shared" si="278"/>
        <v>0</v>
      </c>
      <c r="AI246" s="380">
        <f t="shared" si="278"/>
        <v>0</v>
      </c>
      <c r="AJ246" s="380">
        <f t="shared" si="278"/>
        <v>0</v>
      </c>
      <c r="AK246" s="380">
        <f t="shared" si="278"/>
        <v>0</v>
      </c>
      <c r="AL246" s="380">
        <f t="shared" si="278"/>
        <v>0</v>
      </c>
      <c r="AM246" s="380">
        <f t="shared" si="278"/>
        <v>0</v>
      </c>
      <c r="AN246" s="380">
        <f t="shared" si="278"/>
        <v>0</v>
      </c>
      <c r="AO246" s="354">
        <f>SUM(AC246:AN246)</f>
        <v>0</v>
      </c>
    </row>
    <row r="247" spans="1:41" ht="30" outlineLevel="1">
      <c r="A247" s="283" t="s">
        <v>446</v>
      </c>
      <c r="B247" s="363" t="s">
        <v>259</v>
      </c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59"/>
      <c r="P247" s="366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64"/>
      <c r="AB247" s="359"/>
      <c r="AC247" s="366"/>
      <c r="AD247" s="364"/>
      <c r="AE247" s="364"/>
      <c r="AF247" s="364"/>
      <c r="AG247" s="364"/>
      <c r="AH247" s="364"/>
      <c r="AI247" s="364"/>
      <c r="AJ247" s="364"/>
      <c r="AK247" s="364"/>
      <c r="AL247" s="364"/>
      <c r="AM247" s="364"/>
      <c r="AN247" s="364"/>
      <c r="AO247" s="362"/>
    </row>
    <row r="248" spans="1:41" outlineLevel="1">
      <c r="A248" s="283" t="s">
        <v>447</v>
      </c>
      <c r="B248" s="367" t="s">
        <v>261</v>
      </c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59"/>
      <c r="P248" s="366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59"/>
      <c r="AC248" s="366"/>
      <c r="AD248" s="364"/>
      <c r="AE248" s="364"/>
      <c r="AF248" s="364"/>
      <c r="AG248" s="364"/>
      <c r="AH248" s="364"/>
      <c r="AI248" s="364"/>
      <c r="AJ248" s="364"/>
      <c r="AK248" s="364"/>
      <c r="AL248" s="364"/>
      <c r="AM248" s="364"/>
      <c r="AN248" s="364"/>
      <c r="AO248" s="362"/>
    </row>
    <row r="249" spans="1:41" outlineLevel="1">
      <c r="A249" s="283" t="s">
        <v>448</v>
      </c>
      <c r="B249" s="363" t="s">
        <v>263</v>
      </c>
      <c r="C249" s="368" t="e">
        <f>C246/'Продукция и цена '!$C$13</f>
        <v>#DIV/0!</v>
      </c>
      <c r="D249" s="368" t="e">
        <f>D246/'Продукция и цена '!$C$13</f>
        <v>#DIV/0!</v>
      </c>
      <c r="E249" s="368" t="e">
        <f>E246/'Продукция и цена '!$C$13</f>
        <v>#DIV/0!</v>
      </c>
      <c r="F249" s="368" t="e">
        <f>F246/'Продукция и цена '!$C$13</f>
        <v>#DIV/0!</v>
      </c>
      <c r="G249" s="368" t="e">
        <f>G246/'Продукция и цена '!$C$13</f>
        <v>#DIV/0!</v>
      </c>
      <c r="H249" s="368" t="e">
        <f>H246/'Продукция и цена '!$C$13</f>
        <v>#DIV/0!</v>
      </c>
      <c r="I249" s="368" t="e">
        <f>I246/'Продукция и цена '!$C$13</f>
        <v>#DIV/0!</v>
      </c>
      <c r="J249" s="368" t="e">
        <f>J246/'Продукция и цена '!$C$13</f>
        <v>#DIV/0!</v>
      </c>
      <c r="K249" s="368" t="e">
        <f>K246/'Продукция и цена '!$C$13</f>
        <v>#DIV/0!</v>
      </c>
      <c r="L249" s="368" t="e">
        <f>L246/'Продукция и цена '!$C$13</f>
        <v>#DIV/0!</v>
      </c>
      <c r="M249" s="368" t="e">
        <f>M246/'Продукция и цена '!$C$13</f>
        <v>#DIV/0!</v>
      </c>
      <c r="N249" s="368" t="e">
        <f>N246/'Продукция и цена '!$C$13</f>
        <v>#DIV/0!</v>
      </c>
      <c r="O249" s="359" t="e">
        <f>SUM(C249:N249)/12</f>
        <v>#DIV/0!</v>
      </c>
      <c r="P249" s="370" t="e">
        <f>P246/'Продукция и цена '!$D$13</f>
        <v>#DIV/0!</v>
      </c>
      <c r="Q249" s="368" t="e">
        <f>Q246/'Продукция и цена '!$D$13</f>
        <v>#DIV/0!</v>
      </c>
      <c r="R249" s="368" t="e">
        <f>R246/'Продукция и цена '!$D$13</f>
        <v>#DIV/0!</v>
      </c>
      <c r="S249" s="368" t="e">
        <f>S246/'Продукция и цена '!$D$13</f>
        <v>#DIV/0!</v>
      </c>
      <c r="T249" s="368" t="e">
        <f>T246/'Продукция и цена '!$D$13</f>
        <v>#DIV/0!</v>
      </c>
      <c r="U249" s="368" t="e">
        <f>U246/'Продукция и цена '!$D$13</f>
        <v>#DIV/0!</v>
      </c>
      <c r="V249" s="368" t="e">
        <f>V246/'Продукция и цена '!$D$13</f>
        <v>#DIV/0!</v>
      </c>
      <c r="W249" s="368" t="e">
        <f>W246/'Продукция и цена '!$D$13</f>
        <v>#DIV/0!</v>
      </c>
      <c r="X249" s="368" t="e">
        <f>X246/'Продукция и цена '!$D$13</f>
        <v>#DIV/0!</v>
      </c>
      <c r="Y249" s="368" t="e">
        <f>Y246/'Продукция и цена '!$D$13</f>
        <v>#DIV/0!</v>
      </c>
      <c r="Z249" s="368" t="e">
        <f>Z246/'Продукция и цена '!$D$13</f>
        <v>#DIV/0!</v>
      </c>
      <c r="AA249" s="368" t="e">
        <f>AA246/'Продукция и цена '!$D$13</f>
        <v>#DIV/0!</v>
      </c>
      <c r="AB249" s="359" t="e">
        <f>SUM(P249:AA249)/12</f>
        <v>#DIV/0!</v>
      </c>
      <c r="AC249" s="370" t="e">
        <f>AC246/'Продукция и цена '!$E$13</f>
        <v>#DIV/0!</v>
      </c>
      <c r="AD249" s="368" t="e">
        <f>AD246/'Продукция и цена '!$E$13</f>
        <v>#DIV/0!</v>
      </c>
      <c r="AE249" s="368" t="e">
        <f>AE246/'Продукция и цена '!$E$13</f>
        <v>#DIV/0!</v>
      </c>
      <c r="AF249" s="368" t="e">
        <f>AF246/'Продукция и цена '!$E$13</f>
        <v>#DIV/0!</v>
      </c>
      <c r="AG249" s="368" t="e">
        <f>AG246/'Продукция и цена '!$E$13</f>
        <v>#DIV/0!</v>
      </c>
      <c r="AH249" s="368" t="e">
        <f>AH246/'Продукция и цена '!$E$13</f>
        <v>#DIV/0!</v>
      </c>
      <c r="AI249" s="368" t="e">
        <f>AI246/'Продукция и цена '!$E$13</f>
        <v>#DIV/0!</v>
      </c>
      <c r="AJ249" s="368" t="e">
        <f>AJ246/'Продукция и цена '!$E$13</f>
        <v>#DIV/0!</v>
      </c>
      <c r="AK249" s="368" t="e">
        <f>AK246/'Продукция и цена '!$E$13</f>
        <v>#DIV/0!</v>
      </c>
      <c r="AL249" s="368" t="e">
        <f>AL246/'Продукция и цена '!$E$13</f>
        <v>#DIV/0!</v>
      </c>
      <c r="AM249" s="368" t="e">
        <f>AM246/'Продукция и цена '!$E$13</f>
        <v>#DIV/0!</v>
      </c>
      <c r="AN249" s="368" t="e">
        <f>AN246/'Продукция и цена '!$E$13</f>
        <v>#DIV/0!</v>
      </c>
      <c r="AO249" s="362" t="e">
        <f>SUM(AC249:AN249)/12</f>
        <v>#DIV/0!</v>
      </c>
    </row>
    <row r="250" spans="1:41" outlineLevel="1">
      <c r="A250" s="371" t="s">
        <v>449</v>
      </c>
      <c r="B250" s="372" t="s">
        <v>265</v>
      </c>
      <c r="C250" s="373">
        <f>'Продукция и цена '!$C$13</f>
        <v>0</v>
      </c>
      <c r="D250" s="373">
        <f>C250</f>
        <v>0</v>
      </c>
      <c r="E250" s="373">
        <f t="shared" ref="E250:N250" si="279">D250</f>
        <v>0</v>
      </c>
      <c r="F250" s="373">
        <f t="shared" si="279"/>
        <v>0</v>
      </c>
      <c r="G250" s="373">
        <f t="shared" si="279"/>
        <v>0</v>
      </c>
      <c r="H250" s="373">
        <f t="shared" si="279"/>
        <v>0</v>
      </c>
      <c r="I250" s="373">
        <f t="shared" si="279"/>
        <v>0</v>
      </c>
      <c r="J250" s="373">
        <f t="shared" si="279"/>
        <v>0</v>
      </c>
      <c r="K250" s="373">
        <f t="shared" si="279"/>
        <v>0</v>
      </c>
      <c r="L250" s="373">
        <f t="shared" si="279"/>
        <v>0</v>
      </c>
      <c r="M250" s="373">
        <f t="shared" si="279"/>
        <v>0</v>
      </c>
      <c r="N250" s="373">
        <f t="shared" si="279"/>
        <v>0</v>
      </c>
      <c r="O250" s="374">
        <f>SUM(C250:N250)/12</f>
        <v>0</v>
      </c>
      <c r="P250" s="376">
        <f>'Продукция и цена '!$D$13</f>
        <v>0</v>
      </c>
      <c r="Q250" s="373">
        <f>P250</f>
        <v>0</v>
      </c>
      <c r="R250" s="373">
        <f t="shared" ref="R250:AA250" si="280">Q250</f>
        <v>0</v>
      </c>
      <c r="S250" s="373">
        <f t="shared" si="280"/>
        <v>0</v>
      </c>
      <c r="T250" s="373">
        <f t="shared" si="280"/>
        <v>0</v>
      </c>
      <c r="U250" s="373">
        <f t="shared" si="280"/>
        <v>0</v>
      </c>
      <c r="V250" s="373">
        <f t="shared" si="280"/>
        <v>0</v>
      </c>
      <c r="W250" s="373">
        <f t="shared" si="280"/>
        <v>0</v>
      </c>
      <c r="X250" s="373">
        <f t="shared" si="280"/>
        <v>0</v>
      </c>
      <c r="Y250" s="373">
        <f t="shared" si="280"/>
        <v>0</v>
      </c>
      <c r="Z250" s="373">
        <f t="shared" si="280"/>
        <v>0</v>
      </c>
      <c r="AA250" s="373">
        <f t="shared" si="280"/>
        <v>0</v>
      </c>
      <c r="AB250" s="374">
        <f>SUM(P250:AA250)/12</f>
        <v>0</v>
      </c>
      <c r="AC250" s="376">
        <f>'Продукция и цена '!$E$13</f>
        <v>0</v>
      </c>
      <c r="AD250" s="373">
        <f>AC250</f>
        <v>0</v>
      </c>
      <c r="AE250" s="373">
        <f t="shared" ref="AE250:AN250" si="281">AD250</f>
        <v>0</v>
      </c>
      <c r="AF250" s="373">
        <f t="shared" si="281"/>
        <v>0</v>
      </c>
      <c r="AG250" s="373">
        <f t="shared" si="281"/>
        <v>0</v>
      </c>
      <c r="AH250" s="373">
        <f t="shared" si="281"/>
        <v>0</v>
      </c>
      <c r="AI250" s="373">
        <f t="shared" si="281"/>
        <v>0</v>
      </c>
      <c r="AJ250" s="373">
        <f t="shared" si="281"/>
        <v>0</v>
      </c>
      <c r="AK250" s="373">
        <f t="shared" si="281"/>
        <v>0</v>
      </c>
      <c r="AL250" s="373">
        <f t="shared" si="281"/>
        <v>0</v>
      </c>
      <c r="AM250" s="373">
        <f t="shared" si="281"/>
        <v>0</v>
      </c>
      <c r="AN250" s="373">
        <f t="shared" si="281"/>
        <v>0</v>
      </c>
      <c r="AO250" s="377">
        <f>SUM(AC250:AN250)/12</f>
        <v>0</v>
      </c>
    </row>
    <row r="251" spans="1:41" s="346" customFormat="1" ht="14.25" outlineLevel="1">
      <c r="A251" s="378" t="s">
        <v>233</v>
      </c>
      <c r="B251" s="381" t="s">
        <v>249</v>
      </c>
      <c r="C251" s="380">
        <f>C252*C253</f>
        <v>0</v>
      </c>
      <c r="D251" s="380">
        <f t="shared" ref="D251:N251" si="282">D252*D253</f>
        <v>0</v>
      </c>
      <c r="E251" s="380">
        <f t="shared" si="282"/>
        <v>0</v>
      </c>
      <c r="F251" s="380">
        <f t="shared" si="282"/>
        <v>0</v>
      </c>
      <c r="G251" s="380">
        <f t="shared" si="282"/>
        <v>0</v>
      </c>
      <c r="H251" s="380">
        <f t="shared" si="282"/>
        <v>0</v>
      </c>
      <c r="I251" s="380">
        <f t="shared" si="282"/>
        <v>0</v>
      </c>
      <c r="J251" s="380">
        <f t="shared" si="282"/>
        <v>0</v>
      </c>
      <c r="K251" s="380">
        <f t="shared" si="282"/>
        <v>0</v>
      </c>
      <c r="L251" s="380">
        <f t="shared" si="282"/>
        <v>0</v>
      </c>
      <c r="M251" s="380">
        <f t="shared" si="282"/>
        <v>0</v>
      </c>
      <c r="N251" s="380">
        <f t="shared" si="282"/>
        <v>0</v>
      </c>
      <c r="O251" s="352">
        <f>SUM(C251:N251)</f>
        <v>0</v>
      </c>
      <c r="P251" s="379">
        <f>P252*P253</f>
        <v>0</v>
      </c>
      <c r="Q251" s="380">
        <f t="shared" ref="Q251:AA251" si="283">Q252*Q253</f>
        <v>0</v>
      </c>
      <c r="R251" s="380">
        <f t="shared" si="283"/>
        <v>0</v>
      </c>
      <c r="S251" s="380">
        <f t="shared" si="283"/>
        <v>0</v>
      </c>
      <c r="T251" s="380">
        <f t="shared" si="283"/>
        <v>0</v>
      </c>
      <c r="U251" s="380">
        <f t="shared" si="283"/>
        <v>0</v>
      </c>
      <c r="V251" s="380">
        <f t="shared" si="283"/>
        <v>0</v>
      </c>
      <c r="W251" s="380">
        <f t="shared" si="283"/>
        <v>0</v>
      </c>
      <c r="X251" s="380">
        <f t="shared" si="283"/>
        <v>0</v>
      </c>
      <c r="Y251" s="380">
        <f t="shared" si="283"/>
        <v>0</v>
      </c>
      <c r="Z251" s="380">
        <f t="shared" si="283"/>
        <v>0</v>
      </c>
      <c r="AA251" s="380">
        <f t="shared" si="283"/>
        <v>0</v>
      </c>
      <c r="AB251" s="352">
        <f>SUM(P251:AA251)</f>
        <v>0</v>
      </c>
      <c r="AC251" s="379">
        <f>AC252*AC253</f>
        <v>0</v>
      </c>
      <c r="AD251" s="380">
        <f t="shared" ref="AD251:AN251" si="284">AD252*AD253</f>
        <v>0</v>
      </c>
      <c r="AE251" s="380">
        <f t="shared" si="284"/>
        <v>0</v>
      </c>
      <c r="AF251" s="380">
        <f t="shared" si="284"/>
        <v>0</v>
      </c>
      <c r="AG251" s="380">
        <f t="shared" si="284"/>
        <v>0</v>
      </c>
      <c r="AH251" s="380">
        <f t="shared" si="284"/>
        <v>0</v>
      </c>
      <c r="AI251" s="380">
        <f t="shared" si="284"/>
        <v>0</v>
      </c>
      <c r="AJ251" s="380">
        <f t="shared" si="284"/>
        <v>0</v>
      </c>
      <c r="AK251" s="380">
        <f t="shared" si="284"/>
        <v>0</v>
      </c>
      <c r="AL251" s="380">
        <f t="shared" si="284"/>
        <v>0</v>
      </c>
      <c r="AM251" s="380">
        <f t="shared" si="284"/>
        <v>0</v>
      </c>
      <c r="AN251" s="380">
        <f t="shared" si="284"/>
        <v>0</v>
      </c>
      <c r="AO251" s="354">
        <f>SUM(AC251:AN251)</f>
        <v>0</v>
      </c>
    </row>
    <row r="252" spans="1:41" ht="30" outlineLevel="1">
      <c r="A252" s="283" t="s">
        <v>450</v>
      </c>
      <c r="B252" s="363" t="s">
        <v>259</v>
      </c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59"/>
      <c r="P252" s="366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  <c r="AA252" s="364"/>
      <c r="AB252" s="359"/>
      <c r="AC252" s="366"/>
      <c r="AD252" s="364"/>
      <c r="AE252" s="364"/>
      <c r="AF252" s="364"/>
      <c r="AG252" s="364"/>
      <c r="AH252" s="364"/>
      <c r="AI252" s="364"/>
      <c r="AJ252" s="364"/>
      <c r="AK252" s="364"/>
      <c r="AL252" s="364"/>
      <c r="AM252" s="364"/>
      <c r="AN252" s="364"/>
      <c r="AO252" s="362"/>
    </row>
    <row r="253" spans="1:41" outlineLevel="1">
      <c r="A253" s="283" t="s">
        <v>451</v>
      </c>
      <c r="B253" s="367" t="s">
        <v>261</v>
      </c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59"/>
      <c r="P253" s="366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  <c r="AA253" s="364"/>
      <c r="AB253" s="359"/>
      <c r="AC253" s="366"/>
      <c r="AD253" s="364"/>
      <c r="AE253" s="364"/>
      <c r="AF253" s="364"/>
      <c r="AG253" s="364"/>
      <c r="AH253" s="364"/>
      <c r="AI253" s="364"/>
      <c r="AJ253" s="364"/>
      <c r="AK253" s="364"/>
      <c r="AL253" s="364"/>
      <c r="AM253" s="364"/>
      <c r="AN253" s="364"/>
      <c r="AO253" s="362"/>
    </row>
    <row r="254" spans="1:41" outlineLevel="1">
      <c r="A254" s="283" t="s">
        <v>452</v>
      </c>
      <c r="B254" s="363" t="s">
        <v>263</v>
      </c>
      <c r="C254" s="368" t="e">
        <f>C251/'Продукция и цена '!$C$13</f>
        <v>#DIV/0!</v>
      </c>
      <c r="D254" s="368" t="e">
        <f>D251/'Продукция и цена '!$C$13</f>
        <v>#DIV/0!</v>
      </c>
      <c r="E254" s="368" t="e">
        <f>E251/'Продукция и цена '!$C$13</f>
        <v>#DIV/0!</v>
      </c>
      <c r="F254" s="368" t="e">
        <f>F251/'Продукция и цена '!$C$13</f>
        <v>#DIV/0!</v>
      </c>
      <c r="G254" s="368" t="e">
        <f>G251/'Продукция и цена '!$C$13</f>
        <v>#DIV/0!</v>
      </c>
      <c r="H254" s="368" t="e">
        <f>H251/'Продукция и цена '!$C$13</f>
        <v>#DIV/0!</v>
      </c>
      <c r="I254" s="368" t="e">
        <f>I251/'Продукция и цена '!$C$13</f>
        <v>#DIV/0!</v>
      </c>
      <c r="J254" s="368" t="e">
        <f>J251/'Продукция и цена '!$C$13</f>
        <v>#DIV/0!</v>
      </c>
      <c r="K254" s="368" t="e">
        <f>K251/'Продукция и цена '!$C$13</f>
        <v>#DIV/0!</v>
      </c>
      <c r="L254" s="368" t="e">
        <f>L251/'Продукция и цена '!$C$13</f>
        <v>#DIV/0!</v>
      </c>
      <c r="M254" s="368" t="e">
        <f>M251/'Продукция и цена '!$C$13</f>
        <v>#DIV/0!</v>
      </c>
      <c r="N254" s="368" t="e">
        <f>N251/'Продукция и цена '!$C$13</f>
        <v>#DIV/0!</v>
      </c>
      <c r="O254" s="359" t="e">
        <f>SUM(C254:N254)/12</f>
        <v>#DIV/0!</v>
      </c>
      <c r="P254" s="370" t="e">
        <f>P251/'Продукция и цена '!$D$13</f>
        <v>#DIV/0!</v>
      </c>
      <c r="Q254" s="368" t="e">
        <f>Q251/'Продукция и цена '!$D$13</f>
        <v>#DIV/0!</v>
      </c>
      <c r="R254" s="368" t="e">
        <f>R251/'Продукция и цена '!$D$13</f>
        <v>#DIV/0!</v>
      </c>
      <c r="S254" s="368" t="e">
        <f>S251/'Продукция и цена '!$D$13</f>
        <v>#DIV/0!</v>
      </c>
      <c r="T254" s="368" t="e">
        <f>T251/'Продукция и цена '!$D$13</f>
        <v>#DIV/0!</v>
      </c>
      <c r="U254" s="368" t="e">
        <f>U251/'Продукция и цена '!$D$13</f>
        <v>#DIV/0!</v>
      </c>
      <c r="V254" s="368" t="e">
        <f>V251/'Продукция и цена '!$D$13</f>
        <v>#DIV/0!</v>
      </c>
      <c r="W254" s="368" t="e">
        <f>W251/'Продукция и цена '!$D$13</f>
        <v>#DIV/0!</v>
      </c>
      <c r="X254" s="368" t="e">
        <f>X251/'Продукция и цена '!$D$13</f>
        <v>#DIV/0!</v>
      </c>
      <c r="Y254" s="368" t="e">
        <f>Y251/'Продукция и цена '!$D$13</f>
        <v>#DIV/0!</v>
      </c>
      <c r="Z254" s="368" t="e">
        <f>Z251/'Продукция и цена '!$D$13</f>
        <v>#DIV/0!</v>
      </c>
      <c r="AA254" s="368" t="e">
        <f>AA251/'Продукция и цена '!$D$13</f>
        <v>#DIV/0!</v>
      </c>
      <c r="AB254" s="359" t="e">
        <f>SUM(P254:AA254)/12</f>
        <v>#DIV/0!</v>
      </c>
      <c r="AC254" s="370" t="e">
        <f>AC251/'Продукция и цена '!$E$13</f>
        <v>#DIV/0!</v>
      </c>
      <c r="AD254" s="368" t="e">
        <f>AD251/'Продукция и цена '!$E$13</f>
        <v>#DIV/0!</v>
      </c>
      <c r="AE254" s="368" t="e">
        <f>AE251/'Продукция и цена '!$E$13</f>
        <v>#DIV/0!</v>
      </c>
      <c r="AF254" s="368" t="e">
        <f>AF251/'Продукция и цена '!$E$13</f>
        <v>#DIV/0!</v>
      </c>
      <c r="AG254" s="368" t="e">
        <f>AG251/'Продукция и цена '!$E$13</f>
        <v>#DIV/0!</v>
      </c>
      <c r="AH254" s="368" t="e">
        <f>AH251/'Продукция и цена '!$E$13</f>
        <v>#DIV/0!</v>
      </c>
      <c r="AI254" s="368" t="e">
        <f>AI251/'Продукция и цена '!$E$13</f>
        <v>#DIV/0!</v>
      </c>
      <c r="AJ254" s="368" t="e">
        <f>AJ251/'Продукция и цена '!$E$13</f>
        <v>#DIV/0!</v>
      </c>
      <c r="AK254" s="368" t="e">
        <f>AK251/'Продукция и цена '!$E$13</f>
        <v>#DIV/0!</v>
      </c>
      <c r="AL254" s="368" t="e">
        <f>AL251/'Продукция и цена '!$E$13</f>
        <v>#DIV/0!</v>
      </c>
      <c r="AM254" s="368" t="e">
        <f>AM251/'Продукция и цена '!$E$13</f>
        <v>#DIV/0!</v>
      </c>
      <c r="AN254" s="368" t="e">
        <f>AN251/'Продукция и цена '!$E$13</f>
        <v>#DIV/0!</v>
      </c>
      <c r="AO254" s="362" t="e">
        <f>SUM(AC254:AN254)/12</f>
        <v>#DIV/0!</v>
      </c>
    </row>
    <row r="255" spans="1:41" outlineLevel="1">
      <c r="A255" s="371" t="s">
        <v>453</v>
      </c>
      <c r="B255" s="372" t="s">
        <v>265</v>
      </c>
      <c r="C255" s="373">
        <f>'Продукция и цена '!$C$13</f>
        <v>0</v>
      </c>
      <c r="D255" s="373">
        <f>C255</f>
        <v>0</v>
      </c>
      <c r="E255" s="373">
        <f t="shared" ref="E255:N255" si="285">D255</f>
        <v>0</v>
      </c>
      <c r="F255" s="373">
        <f t="shared" si="285"/>
        <v>0</v>
      </c>
      <c r="G255" s="373">
        <f t="shared" si="285"/>
        <v>0</v>
      </c>
      <c r="H255" s="373">
        <f t="shared" si="285"/>
        <v>0</v>
      </c>
      <c r="I255" s="373">
        <f t="shared" si="285"/>
        <v>0</v>
      </c>
      <c r="J255" s="373">
        <f t="shared" si="285"/>
        <v>0</v>
      </c>
      <c r="K255" s="373">
        <f t="shared" si="285"/>
        <v>0</v>
      </c>
      <c r="L255" s="373">
        <f t="shared" si="285"/>
        <v>0</v>
      </c>
      <c r="M255" s="373">
        <f t="shared" si="285"/>
        <v>0</v>
      </c>
      <c r="N255" s="373">
        <f t="shared" si="285"/>
        <v>0</v>
      </c>
      <c r="O255" s="374">
        <f>SUM(C255:N255)/12</f>
        <v>0</v>
      </c>
      <c r="P255" s="376">
        <f>'Продукция и цена '!$D$13</f>
        <v>0</v>
      </c>
      <c r="Q255" s="373">
        <f>P255</f>
        <v>0</v>
      </c>
      <c r="R255" s="373">
        <f t="shared" ref="R255:AA255" si="286">Q255</f>
        <v>0</v>
      </c>
      <c r="S255" s="373">
        <f t="shared" si="286"/>
        <v>0</v>
      </c>
      <c r="T255" s="373">
        <f t="shared" si="286"/>
        <v>0</v>
      </c>
      <c r="U255" s="373">
        <f t="shared" si="286"/>
        <v>0</v>
      </c>
      <c r="V255" s="373">
        <f t="shared" si="286"/>
        <v>0</v>
      </c>
      <c r="W255" s="373">
        <f t="shared" si="286"/>
        <v>0</v>
      </c>
      <c r="X255" s="373">
        <f t="shared" si="286"/>
        <v>0</v>
      </c>
      <c r="Y255" s="373">
        <f t="shared" si="286"/>
        <v>0</v>
      </c>
      <c r="Z255" s="373">
        <f t="shared" si="286"/>
        <v>0</v>
      </c>
      <c r="AA255" s="373">
        <f t="shared" si="286"/>
        <v>0</v>
      </c>
      <c r="AB255" s="374">
        <f>SUM(P255:AA255)/12</f>
        <v>0</v>
      </c>
      <c r="AC255" s="376">
        <f>'Продукция и цена '!$E$13</f>
        <v>0</v>
      </c>
      <c r="AD255" s="373">
        <f>AC255</f>
        <v>0</v>
      </c>
      <c r="AE255" s="373">
        <f t="shared" ref="AE255:AN255" si="287">AD255</f>
        <v>0</v>
      </c>
      <c r="AF255" s="373">
        <f t="shared" si="287"/>
        <v>0</v>
      </c>
      <c r="AG255" s="373">
        <f t="shared" si="287"/>
        <v>0</v>
      </c>
      <c r="AH255" s="373">
        <f t="shared" si="287"/>
        <v>0</v>
      </c>
      <c r="AI255" s="373">
        <f t="shared" si="287"/>
        <v>0</v>
      </c>
      <c r="AJ255" s="373">
        <f t="shared" si="287"/>
        <v>0</v>
      </c>
      <c r="AK255" s="373">
        <f t="shared" si="287"/>
        <v>0</v>
      </c>
      <c r="AL255" s="373">
        <f t="shared" si="287"/>
        <v>0</v>
      </c>
      <c r="AM255" s="373">
        <f t="shared" si="287"/>
        <v>0</v>
      </c>
      <c r="AN255" s="373">
        <f t="shared" si="287"/>
        <v>0</v>
      </c>
      <c r="AO255" s="377">
        <f>SUM(AC255:AN255)/12</f>
        <v>0</v>
      </c>
    </row>
    <row r="256" spans="1:41" s="346" customFormat="1" ht="14.25" outlineLevel="1">
      <c r="A256" s="378" t="s">
        <v>234</v>
      </c>
      <c r="B256" s="381" t="s">
        <v>250</v>
      </c>
      <c r="C256" s="380">
        <f>C257*C258</f>
        <v>0</v>
      </c>
      <c r="D256" s="380">
        <f t="shared" ref="D256:N256" si="288">D257*D258</f>
        <v>0</v>
      </c>
      <c r="E256" s="380">
        <f t="shared" si="288"/>
        <v>0</v>
      </c>
      <c r="F256" s="380">
        <f t="shared" si="288"/>
        <v>0</v>
      </c>
      <c r="G256" s="380">
        <f t="shared" si="288"/>
        <v>0</v>
      </c>
      <c r="H256" s="380">
        <f t="shared" si="288"/>
        <v>0</v>
      </c>
      <c r="I256" s="380">
        <f t="shared" si="288"/>
        <v>0</v>
      </c>
      <c r="J256" s="380">
        <f t="shared" si="288"/>
        <v>0</v>
      </c>
      <c r="K256" s="380">
        <f t="shared" si="288"/>
        <v>0</v>
      </c>
      <c r="L256" s="380">
        <f t="shared" si="288"/>
        <v>0</v>
      </c>
      <c r="M256" s="380">
        <f t="shared" si="288"/>
        <v>0</v>
      </c>
      <c r="N256" s="380">
        <f t="shared" si="288"/>
        <v>0</v>
      </c>
      <c r="O256" s="352">
        <f>SUM(C256:N256)</f>
        <v>0</v>
      </c>
      <c r="P256" s="379">
        <f>P257*P258</f>
        <v>0</v>
      </c>
      <c r="Q256" s="380">
        <f t="shared" ref="Q256:AA256" si="289">Q257*Q258</f>
        <v>0</v>
      </c>
      <c r="R256" s="380">
        <f t="shared" si="289"/>
        <v>0</v>
      </c>
      <c r="S256" s="380">
        <f t="shared" si="289"/>
        <v>0</v>
      </c>
      <c r="T256" s="380">
        <f t="shared" si="289"/>
        <v>0</v>
      </c>
      <c r="U256" s="380">
        <f t="shared" si="289"/>
        <v>0</v>
      </c>
      <c r="V256" s="380">
        <f t="shared" si="289"/>
        <v>0</v>
      </c>
      <c r="W256" s="380">
        <f t="shared" si="289"/>
        <v>0</v>
      </c>
      <c r="X256" s="380">
        <f t="shared" si="289"/>
        <v>0</v>
      </c>
      <c r="Y256" s="380">
        <f t="shared" si="289"/>
        <v>0</v>
      </c>
      <c r="Z256" s="380">
        <f t="shared" si="289"/>
        <v>0</v>
      </c>
      <c r="AA256" s="380">
        <f t="shared" si="289"/>
        <v>0</v>
      </c>
      <c r="AB256" s="352">
        <f>SUM(P256:AA256)</f>
        <v>0</v>
      </c>
      <c r="AC256" s="379">
        <f>AC257*AC258</f>
        <v>0</v>
      </c>
      <c r="AD256" s="380">
        <f t="shared" ref="AD256:AN256" si="290">AD257*AD258</f>
        <v>0</v>
      </c>
      <c r="AE256" s="380">
        <f t="shared" si="290"/>
        <v>0</v>
      </c>
      <c r="AF256" s="380">
        <f t="shared" si="290"/>
        <v>0</v>
      </c>
      <c r="AG256" s="380">
        <f t="shared" si="290"/>
        <v>0</v>
      </c>
      <c r="AH256" s="380">
        <f t="shared" si="290"/>
        <v>0</v>
      </c>
      <c r="AI256" s="380">
        <f t="shared" si="290"/>
        <v>0</v>
      </c>
      <c r="AJ256" s="380">
        <f t="shared" si="290"/>
        <v>0</v>
      </c>
      <c r="AK256" s="380">
        <f t="shared" si="290"/>
        <v>0</v>
      </c>
      <c r="AL256" s="380">
        <f t="shared" si="290"/>
        <v>0</v>
      </c>
      <c r="AM256" s="380">
        <f t="shared" si="290"/>
        <v>0</v>
      </c>
      <c r="AN256" s="380">
        <f t="shared" si="290"/>
        <v>0</v>
      </c>
      <c r="AO256" s="354">
        <f>SUM(AC256:AN256)</f>
        <v>0</v>
      </c>
    </row>
    <row r="257" spans="1:41" ht="30" outlineLevel="1">
      <c r="A257" s="283" t="s">
        <v>454</v>
      </c>
      <c r="B257" s="363" t="s">
        <v>259</v>
      </c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59"/>
      <c r="P257" s="366"/>
      <c r="Q257" s="364"/>
      <c r="R257" s="364"/>
      <c r="S257" s="364"/>
      <c r="T257" s="364"/>
      <c r="U257" s="364"/>
      <c r="V257" s="364"/>
      <c r="W257" s="364"/>
      <c r="X257" s="364"/>
      <c r="Y257" s="364"/>
      <c r="Z257" s="364"/>
      <c r="AA257" s="364"/>
      <c r="AB257" s="359"/>
      <c r="AC257" s="366"/>
      <c r="AD257" s="364"/>
      <c r="AE257" s="364"/>
      <c r="AF257" s="364"/>
      <c r="AG257" s="364"/>
      <c r="AH257" s="364"/>
      <c r="AI257" s="364"/>
      <c r="AJ257" s="364"/>
      <c r="AK257" s="364"/>
      <c r="AL257" s="364"/>
      <c r="AM257" s="364"/>
      <c r="AN257" s="364"/>
      <c r="AO257" s="362"/>
    </row>
    <row r="258" spans="1:41" outlineLevel="1">
      <c r="A258" s="283" t="s">
        <v>455</v>
      </c>
      <c r="B258" s="367" t="s">
        <v>261</v>
      </c>
      <c r="C258" s="364"/>
      <c r="D258" s="364"/>
      <c r="E258" s="364"/>
      <c r="F258" s="364"/>
      <c r="G258" s="364"/>
      <c r="H258" s="364"/>
      <c r="I258" s="364"/>
      <c r="J258" s="364"/>
      <c r="K258" s="364"/>
      <c r="L258" s="364"/>
      <c r="M258" s="364"/>
      <c r="N258" s="364"/>
      <c r="O258" s="359"/>
      <c r="P258" s="366"/>
      <c r="Q258" s="364"/>
      <c r="R258" s="364"/>
      <c r="S258" s="364"/>
      <c r="T258" s="364"/>
      <c r="U258" s="364"/>
      <c r="V258" s="364"/>
      <c r="W258" s="364"/>
      <c r="X258" s="364"/>
      <c r="Y258" s="364"/>
      <c r="Z258" s="364"/>
      <c r="AA258" s="364"/>
      <c r="AB258" s="359"/>
      <c r="AC258" s="366"/>
      <c r="AD258" s="364"/>
      <c r="AE258" s="364"/>
      <c r="AF258" s="364"/>
      <c r="AG258" s="364"/>
      <c r="AH258" s="364"/>
      <c r="AI258" s="364"/>
      <c r="AJ258" s="364"/>
      <c r="AK258" s="364"/>
      <c r="AL258" s="364"/>
      <c r="AM258" s="364"/>
      <c r="AN258" s="364"/>
      <c r="AO258" s="362"/>
    </row>
    <row r="259" spans="1:41" outlineLevel="1">
      <c r="A259" s="283" t="s">
        <v>456</v>
      </c>
      <c r="B259" s="363" t="s">
        <v>263</v>
      </c>
      <c r="C259" s="368" t="e">
        <f>C256/'Продукция и цена '!$C$13</f>
        <v>#DIV/0!</v>
      </c>
      <c r="D259" s="368" t="e">
        <f>D256/'Продукция и цена '!$C$13</f>
        <v>#DIV/0!</v>
      </c>
      <c r="E259" s="368" t="e">
        <f>E256/'Продукция и цена '!$C$13</f>
        <v>#DIV/0!</v>
      </c>
      <c r="F259" s="368" t="e">
        <f>F256/'Продукция и цена '!$C$13</f>
        <v>#DIV/0!</v>
      </c>
      <c r="G259" s="368" t="e">
        <f>G256/'Продукция и цена '!$C$13</f>
        <v>#DIV/0!</v>
      </c>
      <c r="H259" s="368" t="e">
        <f>H256/'Продукция и цена '!$C$13</f>
        <v>#DIV/0!</v>
      </c>
      <c r="I259" s="368" t="e">
        <f>I256/'Продукция и цена '!$C$13</f>
        <v>#DIV/0!</v>
      </c>
      <c r="J259" s="368" t="e">
        <f>J256/'Продукция и цена '!$C$13</f>
        <v>#DIV/0!</v>
      </c>
      <c r="K259" s="368" t="e">
        <f>K256/'Продукция и цена '!$C$13</f>
        <v>#DIV/0!</v>
      </c>
      <c r="L259" s="368" t="e">
        <f>L256/'Продукция и цена '!$C$13</f>
        <v>#DIV/0!</v>
      </c>
      <c r="M259" s="368" t="e">
        <f>M256/'Продукция и цена '!$C$13</f>
        <v>#DIV/0!</v>
      </c>
      <c r="N259" s="368" t="e">
        <f>N256/'Продукция и цена '!$C$13</f>
        <v>#DIV/0!</v>
      </c>
      <c r="O259" s="359" t="e">
        <f>SUM(C259:N259)/12</f>
        <v>#DIV/0!</v>
      </c>
      <c r="P259" s="370" t="e">
        <f>P256/'Продукция и цена '!$D$13</f>
        <v>#DIV/0!</v>
      </c>
      <c r="Q259" s="368" t="e">
        <f>Q256/'Продукция и цена '!$D$13</f>
        <v>#DIV/0!</v>
      </c>
      <c r="R259" s="368" t="e">
        <f>R256/'Продукция и цена '!$D$13</f>
        <v>#DIV/0!</v>
      </c>
      <c r="S259" s="368" t="e">
        <f>S256/'Продукция и цена '!$D$13</f>
        <v>#DIV/0!</v>
      </c>
      <c r="T259" s="368" t="e">
        <f>T256/'Продукция и цена '!$D$13</f>
        <v>#DIV/0!</v>
      </c>
      <c r="U259" s="368" t="e">
        <f>U256/'Продукция и цена '!$D$13</f>
        <v>#DIV/0!</v>
      </c>
      <c r="V259" s="368" t="e">
        <f>V256/'Продукция и цена '!$D$13</f>
        <v>#DIV/0!</v>
      </c>
      <c r="W259" s="368" t="e">
        <f>W256/'Продукция и цена '!$D$13</f>
        <v>#DIV/0!</v>
      </c>
      <c r="X259" s="368" t="e">
        <f>X256/'Продукция и цена '!$D$13</f>
        <v>#DIV/0!</v>
      </c>
      <c r="Y259" s="368" t="e">
        <f>Y256/'Продукция и цена '!$D$13</f>
        <v>#DIV/0!</v>
      </c>
      <c r="Z259" s="368" t="e">
        <f>Z256/'Продукция и цена '!$D$13</f>
        <v>#DIV/0!</v>
      </c>
      <c r="AA259" s="368" t="e">
        <f>AA256/'Продукция и цена '!$D$13</f>
        <v>#DIV/0!</v>
      </c>
      <c r="AB259" s="359" t="e">
        <f>SUM(P259:AA259)/12</f>
        <v>#DIV/0!</v>
      </c>
      <c r="AC259" s="370" t="e">
        <f>AC256/'Продукция и цена '!$E$13</f>
        <v>#DIV/0!</v>
      </c>
      <c r="AD259" s="368" t="e">
        <f>AD256/'Продукция и цена '!$E$13</f>
        <v>#DIV/0!</v>
      </c>
      <c r="AE259" s="368" t="e">
        <f>AE256/'Продукция и цена '!$E$13</f>
        <v>#DIV/0!</v>
      </c>
      <c r="AF259" s="368" t="e">
        <f>AF256/'Продукция и цена '!$E$13</f>
        <v>#DIV/0!</v>
      </c>
      <c r="AG259" s="368" t="e">
        <f>AG256/'Продукция и цена '!$E$13</f>
        <v>#DIV/0!</v>
      </c>
      <c r="AH259" s="368" t="e">
        <f>AH256/'Продукция и цена '!$E$13</f>
        <v>#DIV/0!</v>
      </c>
      <c r="AI259" s="368" t="e">
        <f>AI256/'Продукция и цена '!$E$13</f>
        <v>#DIV/0!</v>
      </c>
      <c r="AJ259" s="368" t="e">
        <f>AJ256/'Продукция и цена '!$E$13</f>
        <v>#DIV/0!</v>
      </c>
      <c r="AK259" s="368" t="e">
        <f>AK256/'Продукция и цена '!$E$13</f>
        <v>#DIV/0!</v>
      </c>
      <c r="AL259" s="368" t="e">
        <f>AL256/'Продукция и цена '!$E$13</f>
        <v>#DIV/0!</v>
      </c>
      <c r="AM259" s="368" t="e">
        <f>AM256/'Продукция и цена '!$E$13</f>
        <v>#DIV/0!</v>
      </c>
      <c r="AN259" s="368" t="e">
        <f>AN256/'Продукция и цена '!$E$13</f>
        <v>#DIV/0!</v>
      </c>
      <c r="AO259" s="362" t="e">
        <f>SUM(AC259:AN259)/12</f>
        <v>#DIV/0!</v>
      </c>
    </row>
    <row r="260" spans="1:41" outlineLevel="1">
      <c r="A260" s="371" t="s">
        <v>457</v>
      </c>
      <c r="B260" s="372" t="s">
        <v>265</v>
      </c>
      <c r="C260" s="373">
        <f>'Продукция и цена '!$C$13</f>
        <v>0</v>
      </c>
      <c r="D260" s="373">
        <f>C260</f>
        <v>0</v>
      </c>
      <c r="E260" s="373">
        <f t="shared" ref="E260:N260" si="291">D260</f>
        <v>0</v>
      </c>
      <c r="F260" s="373">
        <f t="shared" si="291"/>
        <v>0</v>
      </c>
      <c r="G260" s="373">
        <f t="shared" si="291"/>
        <v>0</v>
      </c>
      <c r="H260" s="373">
        <f t="shared" si="291"/>
        <v>0</v>
      </c>
      <c r="I260" s="373">
        <f t="shared" si="291"/>
        <v>0</v>
      </c>
      <c r="J260" s="373">
        <f t="shared" si="291"/>
        <v>0</v>
      </c>
      <c r="K260" s="373">
        <f t="shared" si="291"/>
        <v>0</v>
      </c>
      <c r="L260" s="373">
        <f t="shared" si="291"/>
        <v>0</v>
      </c>
      <c r="M260" s="373">
        <f t="shared" si="291"/>
        <v>0</v>
      </c>
      <c r="N260" s="373">
        <f t="shared" si="291"/>
        <v>0</v>
      </c>
      <c r="O260" s="374">
        <f>SUM(C260:N260)/12</f>
        <v>0</v>
      </c>
      <c r="P260" s="376">
        <f>'Продукция и цена '!$D$13</f>
        <v>0</v>
      </c>
      <c r="Q260" s="373">
        <f>P260</f>
        <v>0</v>
      </c>
      <c r="R260" s="373">
        <f t="shared" ref="R260:AA260" si="292">Q260</f>
        <v>0</v>
      </c>
      <c r="S260" s="373">
        <f t="shared" si="292"/>
        <v>0</v>
      </c>
      <c r="T260" s="373">
        <f t="shared" si="292"/>
        <v>0</v>
      </c>
      <c r="U260" s="373">
        <f t="shared" si="292"/>
        <v>0</v>
      </c>
      <c r="V260" s="373">
        <f t="shared" si="292"/>
        <v>0</v>
      </c>
      <c r="W260" s="373">
        <f t="shared" si="292"/>
        <v>0</v>
      </c>
      <c r="X260" s="373">
        <f t="shared" si="292"/>
        <v>0</v>
      </c>
      <c r="Y260" s="373">
        <f t="shared" si="292"/>
        <v>0</v>
      </c>
      <c r="Z260" s="373">
        <f t="shared" si="292"/>
        <v>0</v>
      </c>
      <c r="AA260" s="373">
        <f t="shared" si="292"/>
        <v>0</v>
      </c>
      <c r="AB260" s="374">
        <f>SUM(P260:AA260)/12</f>
        <v>0</v>
      </c>
      <c r="AC260" s="376">
        <f>'Продукция и цена '!$E$13</f>
        <v>0</v>
      </c>
      <c r="AD260" s="373">
        <f>AC260</f>
        <v>0</v>
      </c>
      <c r="AE260" s="373">
        <f t="shared" ref="AE260:AN260" si="293">AD260</f>
        <v>0</v>
      </c>
      <c r="AF260" s="373">
        <f t="shared" si="293"/>
        <v>0</v>
      </c>
      <c r="AG260" s="373">
        <f t="shared" si="293"/>
        <v>0</v>
      </c>
      <c r="AH260" s="373">
        <f t="shared" si="293"/>
        <v>0</v>
      </c>
      <c r="AI260" s="373">
        <f t="shared" si="293"/>
        <v>0</v>
      </c>
      <c r="AJ260" s="373">
        <f t="shared" si="293"/>
        <v>0</v>
      </c>
      <c r="AK260" s="373">
        <f t="shared" si="293"/>
        <v>0</v>
      </c>
      <c r="AL260" s="373">
        <f t="shared" si="293"/>
        <v>0</v>
      </c>
      <c r="AM260" s="373">
        <f t="shared" si="293"/>
        <v>0</v>
      </c>
      <c r="AN260" s="373">
        <f t="shared" si="293"/>
        <v>0</v>
      </c>
      <c r="AO260" s="377">
        <f>SUM(AC260:AN260)/12</f>
        <v>0</v>
      </c>
    </row>
    <row r="261" spans="1:41" s="346" customFormat="1" ht="14.25" outlineLevel="1">
      <c r="A261" s="378" t="s">
        <v>235</v>
      </c>
      <c r="B261" s="381" t="s">
        <v>251</v>
      </c>
      <c r="C261" s="380">
        <f>C262*C263</f>
        <v>0</v>
      </c>
      <c r="D261" s="380">
        <f t="shared" ref="D261:N261" si="294">D262*D263</f>
        <v>0</v>
      </c>
      <c r="E261" s="380">
        <f t="shared" si="294"/>
        <v>0</v>
      </c>
      <c r="F261" s="380">
        <f t="shared" si="294"/>
        <v>0</v>
      </c>
      <c r="G261" s="380">
        <f t="shared" si="294"/>
        <v>0</v>
      </c>
      <c r="H261" s="380">
        <f t="shared" si="294"/>
        <v>0</v>
      </c>
      <c r="I261" s="380">
        <f t="shared" si="294"/>
        <v>0</v>
      </c>
      <c r="J261" s="380">
        <f t="shared" si="294"/>
        <v>0</v>
      </c>
      <c r="K261" s="380">
        <f t="shared" si="294"/>
        <v>0</v>
      </c>
      <c r="L261" s="380">
        <f t="shared" si="294"/>
        <v>0</v>
      </c>
      <c r="M261" s="380">
        <f t="shared" si="294"/>
        <v>0</v>
      </c>
      <c r="N261" s="380">
        <f t="shared" si="294"/>
        <v>0</v>
      </c>
      <c r="O261" s="352">
        <f>SUM(C261:N261)</f>
        <v>0</v>
      </c>
      <c r="P261" s="379">
        <f>P262*P263</f>
        <v>0</v>
      </c>
      <c r="Q261" s="380">
        <f t="shared" ref="Q261:AA261" si="295">Q262*Q263</f>
        <v>0</v>
      </c>
      <c r="R261" s="380">
        <f t="shared" si="295"/>
        <v>0</v>
      </c>
      <c r="S261" s="380">
        <f t="shared" si="295"/>
        <v>0</v>
      </c>
      <c r="T261" s="380">
        <f t="shared" si="295"/>
        <v>0</v>
      </c>
      <c r="U261" s="380">
        <f t="shared" si="295"/>
        <v>0</v>
      </c>
      <c r="V261" s="380">
        <f t="shared" si="295"/>
        <v>0</v>
      </c>
      <c r="W261" s="380">
        <f t="shared" si="295"/>
        <v>0</v>
      </c>
      <c r="X261" s="380">
        <f t="shared" si="295"/>
        <v>0</v>
      </c>
      <c r="Y261" s="380">
        <f t="shared" si="295"/>
        <v>0</v>
      </c>
      <c r="Z261" s="380">
        <f t="shared" si="295"/>
        <v>0</v>
      </c>
      <c r="AA261" s="380">
        <f t="shared" si="295"/>
        <v>0</v>
      </c>
      <c r="AB261" s="352">
        <f>SUM(P261:AA261)</f>
        <v>0</v>
      </c>
      <c r="AC261" s="379">
        <f>AC262*AC263</f>
        <v>0</v>
      </c>
      <c r="AD261" s="380">
        <f t="shared" ref="AD261:AN261" si="296">AD262*AD263</f>
        <v>0</v>
      </c>
      <c r="AE261" s="380">
        <f t="shared" si="296"/>
        <v>0</v>
      </c>
      <c r="AF261" s="380">
        <f t="shared" si="296"/>
        <v>0</v>
      </c>
      <c r="AG261" s="380">
        <f t="shared" si="296"/>
        <v>0</v>
      </c>
      <c r="AH261" s="380">
        <f t="shared" si="296"/>
        <v>0</v>
      </c>
      <c r="AI261" s="380">
        <f t="shared" si="296"/>
        <v>0</v>
      </c>
      <c r="AJ261" s="380">
        <f t="shared" si="296"/>
        <v>0</v>
      </c>
      <c r="AK261" s="380">
        <f t="shared" si="296"/>
        <v>0</v>
      </c>
      <c r="AL261" s="380">
        <f t="shared" si="296"/>
        <v>0</v>
      </c>
      <c r="AM261" s="380">
        <f t="shared" si="296"/>
        <v>0</v>
      </c>
      <c r="AN261" s="380">
        <f t="shared" si="296"/>
        <v>0</v>
      </c>
      <c r="AO261" s="354">
        <f>SUM(AC261:AN261)</f>
        <v>0</v>
      </c>
    </row>
    <row r="262" spans="1:41" ht="30" outlineLevel="1">
      <c r="A262" s="283" t="s">
        <v>458</v>
      </c>
      <c r="B262" s="363" t="s">
        <v>259</v>
      </c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59"/>
      <c r="P262" s="366"/>
      <c r="Q262" s="364"/>
      <c r="R262" s="364"/>
      <c r="S262" s="364"/>
      <c r="T262" s="364"/>
      <c r="U262" s="364"/>
      <c r="V262" s="364"/>
      <c r="W262" s="364"/>
      <c r="X262" s="364"/>
      <c r="Y262" s="364"/>
      <c r="Z262" s="364"/>
      <c r="AA262" s="364"/>
      <c r="AB262" s="359"/>
      <c r="AC262" s="366"/>
      <c r="AD262" s="364"/>
      <c r="AE262" s="364"/>
      <c r="AF262" s="364"/>
      <c r="AG262" s="364"/>
      <c r="AH262" s="364"/>
      <c r="AI262" s="364"/>
      <c r="AJ262" s="364"/>
      <c r="AK262" s="364"/>
      <c r="AL262" s="364"/>
      <c r="AM262" s="364"/>
      <c r="AN262" s="364"/>
      <c r="AO262" s="362"/>
    </row>
    <row r="263" spans="1:41" outlineLevel="1">
      <c r="A263" s="283" t="s">
        <v>459</v>
      </c>
      <c r="B263" s="367" t="s">
        <v>261</v>
      </c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59"/>
      <c r="P263" s="366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  <c r="AA263" s="364"/>
      <c r="AB263" s="359"/>
      <c r="AC263" s="366"/>
      <c r="AD263" s="364"/>
      <c r="AE263" s="364"/>
      <c r="AF263" s="364"/>
      <c r="AG263" s="364"/>
      <c r="AH263" s="364"/>
      <c r="AI263" s="364"/>
      <c r="AJ263" s="364"/>
      <c r="AK263" s="364"/>
      <c r="AL263" s="364"/>
      <c r="AM263" s="364"/>
      <c r="AN263" s="364"/>
      <c r="AO263" s="362"/>
    </row>
    <row r="264" spans="1:41" outlineLevel="1">
      <c r="A264" s="283" t="s">
        <v>460</v>
      </c>
      <c r="B264" s="363" t="s">
        <v>263</v>
      </c>
      <c r="C264" s="368" t="e">
        <f>C261/'Продукция и цена '!$C$13</f>
        <v>#DIV/0!</v>
      </c>
      <c r="D264" s="368" t="e">
        <f>D261/'Продукция и цена '!$C$13</f>
        <v>#DIV/0!</v>
      </c>
      <c r="E264" s="368" t="e">
        <f>E261/'Продукция и цена '!$C$13</f>
        <v>#DIV/0!</v>
      </c>
      <c r="F264" s="368" t="e">
        <f>F261/'Продукция и цена '!$C$13</f>
        <v>#DIV/0!</v>
      </c>
      <c r="G264" s="368" t="e">
        <f>G261/'Продукция и цена '!$C$13</f>
        <v>#DIV/0!</v>
      </c>
      <c r="H264" s="368" t="e">
        <f>H261/'Продукция и цена '!$C$13</f>
        <v>#DIV/0!</v>
      </c>
      <c r="I264" s="368" t="e">
        <f>I261/'Продукция и цена '!$C$13</f>
        <v>#DIV/0!</v>
      </c>
      <c r="J264" s="368" t="e">
        <f>J261/'Продукция и цена '!$C$13</f>
        <v>#DIV/0!</v>
      </c>
      <c r="K264" s="368" t="e">
        <f>K261/'Продукция и цена '!$C$13</f>
        <v>#DIV/0!</v>
      </c>
      <c r="L264" s="368" t="e">
        <f>L261/'Продукция и цена '!$C$13</f>
        <v>#DIV/0!</v>
      </c>
      <c r="M264" s="368" t="e">
        <f>M261/'Продукция и цена '!$C$13</f>
        <v>#DIV/0!</v>
      </c>
      <c r="N264" s="368" t="e">
        <f>N261/'Продукция и цена '!$C$13</f>
        <v>#DIV/0!</v>
      </c>
      <c r="O264" s="359" t="e">
        <f>SUM(C264:N264)/12</f>
        <v>#DIV/0!</v>
      </c>
      <c r="P264" s="370" t="e">
        <f>P261/'Продукция и цена '!$D$13</f>
        <v>#DIV/0!</v>
      </c>
      <c r="Q264" s="368" t="e">
        <f>Q261/'Продукция и цена '!$D$13</f>
        <v>#DIV/0!</v>
      </c>
      <c r="R264" s="368" t="e">
        <f>R261/'Продукция и цена '!$D$13</f>
        <v>#DIV/0!</v>
      </c>
      <c r="S264" s="368" t="e">
        <f>S261/'Продукция и цена '!$D$13</f>
        <v>#DIV/0!</v>
      </c>
      <c r="T264" s="368" t="e">
        <f>T261/'Продукция и цена '!$D$13</f>
        <v>#DIV/0!</v>
      </c>
      <c r="U264" s="368" t="e">
        <f>U261/'Продукция и цена '!$D$13</f>
        <v>#DIV/0!</v>
      </c>
      <c r="V264" s="368" t="e">
        <f>V261/'Продукция и цена '!$D$13</f>
        <v>#DIV/0!</v>
      </c>
      <c r="W264" s="368" t="e">
        <f>W261/'Продукция и цена '!$D$13</f>
        <v>#DIV/0!</v>
      </c>
      <c r="X264" s="368" t="e">
        <f>X261/'Продукция и цена '!$D$13</f>
        <v>#DIV/0!</v>
      </c>
      <c r="Y264" s="368" t="e">
        <f>Y261/'Продукция и цена '!$D$13</f>
        <v>#DIV/0!</v>
      </c>
      <c r="Z264" s="368" t="e">
        <f>Z261/'Продукция и цена '!$D$13</f>
        <v>#DIV/0!</v>
      </c>
      <c r="AA264" s="368" t="e">
        <f>AA261/'Продукция и цена '!$D$13</f>
        <v>#DIV/0!</v>
      </c>
      <c r="AB264" s="359" t="e">
        <f>SUM(P264:AA264)/12</f>
        <v>#DIV/0!</v>
      </c>
      <c r="AC264" s="370" t="e">
        <f>AC261/'Продукция и цена '!$E$13</f>
        <v>#DIV/0!</v>
      </c>
      <c r="AD264" s="368" t="e">
        <f>AD261/'Продукция и цена '!$E$13</f>
        <v>#DIV/0!</v>
      </c>
      <c r="AE264" s="368" t="e">
        <f>AE261/'Продукция и цена '!$E$13</f>
        <v>#DIV/0!</v>
      </c>
      <c r="AF264" s="368" t="e">
        <f>AF261/'Продукция и цена '!$E$13</f>
        <v>#DIV/0!</v>
      </c>
      <c r="AG264" s="368" t="e">
        <f>AG261/'Продукция и цена '!$E$13</f>
        <v>#DIV/0!</v>
      </c>
      <c r="AH264" s="368" t="e">
        <f>AH261/'Продукция и цена '!$E$13</f>
        <v>#DIV/0!</v>
      </c>
      <c r="AI264" s="368" t="e">
        <f>AI261/'Продукция и цена '!$E$13</f>
        <v>#DIV/0!</v>
      </c>
      <c r="AJ264" s="368" t="e">
        <f>AJ261/'Продукция и цена '!$E$13</f>
        <v>#DIV/0!</v>
      </c>
      <c r="AK264" s="368" t="e">
        <f>AK261/'Продукция и цена '!$E$13</f>
        <v>#DIV/0!</v>
      </c>
      <c r="AL264" s="368" t="e">
        <f>AL261/'Продукция и цена '!$E$13</f>
        <v>#DIV/0!</v>
      </c>
      <c r="AM264" s="368" t="e">
        <f>AM261/'Продукция и цена '!$E$13</f>
        <v>#DIV/0!</v>
      </c>
      <c r="AN264" s="368" t="e">
        <f>AN261/'Продукция и цена '!$E$13</f>
        <v>#DIV/0!</v>
      </c>
      <c r="AO264" s="362" t="e">
        <f>SUM(AC264:AN264)/12</f>
        <v>#DIV/0!</v>
      </c>
    </row>
    <row r="265" spans="1:41" outlineLevel="1">
      <c r="A265" s="371" t="s">
        <v>461</v>
      </c>
      <c r="B265" s="372" t="s">
        <v>265</v>
      </c>
      <c r="C265" s="373">
        <f>'Продукция и цена '!$C$13</f>
        <v>0</v>
      </c>
      <c r="D265" s="373">
        <f>C265</f>
        <v>0</v>
      </c>
      <c r="E265" s="373">
        <f t="shared" ref="E265:N265" si="297">D265</f>
        <v>0</v>
      </c>
      <c r="F265" s="373">
        <f t="shared" si="297"/>
        <v>0</v>
      </c>
      <c r="G265" s="373">
        <f t="shared" si="297"/>
        <v>0</v>
      </c>
      <c r="H265" s="373">
        <f t="shared" si="297"/>
        <v>0</v>
      </c>
      <c r="I265" s="373">
        <f t="shared" si="297"/>
        <v>0</v>
      </c>
      <c r="J265" s="373">
        <f t="shared" si="297"/>
        <v>0</v>
      </c>
      <c r="K265" s="373">
        <f t="shared" si="297"/>
        <v>0</v>
      </c>
      <c r="L265" s="373">
        <f t="shared" si="297"/>
        <v>0</v>
      </c>
      <c r="M265" s="373">
        <f t="shared" si="297"/>
        <v>0</v>
      </c>
      <c r="N265" s="373">
        <f t="shared" si="297"/>
        <v>0</v>
      </c>
      <c r="O265" s="374">
        <f>SUM(C265:N265)/12</f>
        <v>0</v>
      </c>
      <c r="P265" s="376">
        <f>'Продукция и цена '!$D$13</f>
        <v>0</v>
      </c>
      <c r="Q265" s="373">
        <f>P265</f>
        <v>0</v>
      </c>
      <c r="R265" s="373">
        <f t="shared" ref="R265:AA265" si="298">Q265</f>
        <v>0</v>
      </c>
      <c r="S265" s="373">
        <f t="shared" si="298"/>
        <v>0</v>
      </c>
      <c r="T265" s="373">
        <f t="shared" si="298"/>
        <v>0</v>
      </c>
      <c r="U265" s="373">
        <f t="shared" si="298"/>
        <v>0</v>
      </c>
      <c r="V265" s="373">
        <f t="shared" si="298"/>
        <v>0</v>
      </c>
      <c r="W265" s="373">
        <f t="shared" si="298"/>
        <v>0</v>
      </c>
      <c r="X265" s="373">
        <f t="shared" si="298"/>
        <v>0</v>
      </c>
      <c r="Y265" s="373">
        <f t="shared" si="298"/>
        <v>0</v>
      </c>
      <c r="Z265" s="373">
        <f t="shared" si="298"/>
        <v>0</v>
      </c>
      <c r="AA265" s="373">
        <f t="shared" si="298"/>
        <v>0</v>
      </c>
      <c r="AB265" s="374">
        <f>SUM(P265:AA265)/12</f>
        <v>0</v>
      </c>
      <c r="AC265" s="376">
        <f>'Продукция и цена '!$E$13</f>
        <v>0</v>
      </c>
      <c r="AD265" s="373">
        <f>AC265</f>
        <v>0</v>
      </c>
      <c r="AE265" s="373">
        <f t="shared" ref="AE265:AN265" si="299">AD265</f>
        <v>0</v>
      </c>
      <c r="AF265" s="373">
        <f t="shared" si="299"/>
        <v>0</v>
      </c>
      <c r="AG265" s="373">
        <f t="shared" si="299"/>
        <v>0</v>
      </c>
      <c r="AH265" s="373">
        <f t="shared" si="299"/>
        <v>0</v>
      </c>
      <c r="AI265" s="373">
        <f t="shared" si="299"/>
        <v>0</v>
      </c>
      <c r="AJ265" s="373">
        <f t="shared" si="299"/>
        <v>0</v>
      </c>
      <c r="AK265" s="373">
        <f t="shared" si="299"/>
        <v>0</v>
      </c>
      <c r="AL265" s="373">
        <f t="shared" si="299"/>
        <v>0</v>
      </c>
      <c r="AM265" s="373">
        <f t="shared" si="299"/>
        <v>0</v>
      </c>
      <c r="AN265" s="373">
        <f t="shared" si="299"/>
        <v>0</v>
      </c>
      <c r="AO265" s="377">
        <f>SUM(AC265:AN265)/12</f>
        <v>0</v>
      </c>
    </row>
    <row r="266" spans="1:41">
      <c r="A266" s="390"/>
      <c r="B266" s="391" t="s">
        <v>102</v>
      </c>
      <c r="C266" s="392">
        <f>C6+C32+C58+C84+C110+C136+C162+C188+C214+C240</f>
        <v>300</v>
      </c>
      <c r="D266" s="392">
        <f t="shared" ref="D266:N266" si="300">D6+D32+D58+D84+D110+D136+D162+D188+D214+D240</f>
        <v>200</v>
      </c>
      <c r="E266" s="392">
        <f t="shared" si="300"/>
        <v>500</v>
      </c>
      <c r="F266" s="392">
        <f t="shared" si="300"/>
        <v>600</v>
      </c>
      <c r="G266" s="392">
        <f t="shared" si="300"/>
        <v>800</v>
      </c>
      <c r="H266" s="392">
        <f t="shared" si="300"/>
        <v>1100</v>
      </c>
      <c r="I266" s="392">
        <f t="shared" si="300"/>
        <v>1300</v>
      </c>
      <c r="J266" s="392">
        <f t="shared" si="300"/>
        <v>1400</v>
      </c>
      <c r="K266" s="392">
        <f t="shared" si="300"/>
        <v>1800</v>
      </c>
      <c r="L266" s="392">
        <f t="shared" si="300"/>
        <v>2000</v>
      </c>
      <c r="M266" s="392">
        <f t="shared" si="300"/>
        <v>2200</v>
      </c>
      <c r="N266" s="392">
        <f t="shared" si="300"/>
        <v>2400</v>
      </c>
      <c r="O266" s="392">
        <f>SUM(C266:N266)</f>
        <v>14600</v>
      </c>
      <c r="P266" s="392">
        <f>P6+P32+P58+P84+P110+P136+P162+P188+P214+P240</f>
        <v>4050</v>
      </c>
      <c r="Q266" s="392">
        <f t="shared" ref="Q266:AA266" si="301">Q6+Q32+Q58+Q84+Q110+Q136+Q162+Q188+Q214+Q240</f>
        <v>4650</v>
      </c>
      <c r="R266" s="392">
        <f t="shared" si="301"/>
        <v>5250</v>
      </c>
      <c r="S266" s="392">
        <f t="shared" si="301"/>
        <v>6049.9999999999945</v>
      </c>
      <c r="T266" s="392">
        <f t="shared" si="301"/>
        <v>6574.9999999999945</v>
      </c>
      <c r="U266" s="392">
        <f t="shared" si="301"/>
        <v>7249.9999999999945</v>
      </c>
      <c r="V266" s="392">
        <f t="shared" si="301"/>
        <v>7774.9999999999945</v>
      </c>
      <c r="W266" s="392">
        <f t="shared" si="301"/>
        <v>8599.9999999999945</v>
      </c>
      <c r="X266" s="392">
        <f t="shared" si="301"/>
        <v>9124.9999999999945</v>
      </c>
      <c r="Y266" s="392">
        <f t="shared" si="301"/>
        <v>9799.9999999999964</v>
      </c>
      <c r="Z266" s="392">
        <f t="shared" si="301"/>
        <v>10324.999999999996</v>
      </c>
      <c r="AA266" s="392">
        <f t="shared" si="301"/>
        <v>11149.999999999996</v>
      </c>
      <c r="AB266" s="392">
        <f>SUM(P266:AA266)</f>
        <v>90599.999999999956</v>
      </c>
      <c r="AC266" s="392">
        <f>AC6+AC32+AC58+AC84+AC110+AC136+AC162+AC188+AC214+AC240</f>
        <v>1200</v>
      </c>
      <c r="AD266" s="392">
        <f t="shared" ref="AD266:AN266" si="302">AD6+AD32+AD58+AD84+AD110+AD136+AD162+AD188+AD214+AD240</f>
        <v>1200</v>
      </c>
      <c r="AE266" s="392">
        <f t="shared" si="302"/>
        <v>1200</v>
      </c>
      <c r="AF266" s="392">
        <f t="shared" si="302"/>
        <v>1200</v>
      </c>
      <c r="AG266" s="392">
        <f t="shared" si="302"/>
        <v>1200</v>
      </c>
      <c r="AH266" s="392">
        <f t="shared" si="302"/>
        <v>1200</v>
      </c>
      <c r="AI266" s="392">
        <f t="shared" si="302"/>
        <v>1400</v>
      </c>
      <c r="AJ266" s="392">
        <f t="shared" si="302"/>
        <v>1400</v>
      </c>
      <c r="AK266" s="392">
        <f t="shared" si="302"/>
        <v>1400</v>
      </c>
      <c r="AL266" s="392">
        <f t="shared" si="302"/>
        <v>1400</v>
      </c>
      <c r="AM266" s="392">
        <f t="shared" si="302"/>
        <v>1400</v>
      </c>
      <c r="AN266" s="392">
        <f t="shared" si="302"/>
        <v>1400</v>
      </c>
      <c r="AO266" s="393">
        <f>SUM(AC266:AN266)</f>
        <v>15600</v>
      </c>
    </row>
    <row r="269" spans="1:41">
      <c r="B269" s="346"/>
    </row>
  </sheetData>
  <sheetProtection formatCells="0" formatColumns="0" formatRows="0" insertColumns="0" insertRows="0" insertHyperlinks="0" deleteColumns="0" deleteRows="0" sort="0" autoFilter="0" pivotTables="0"/>
  <mergeCells count="8">
    <mergeCell ref="AB4:AB5"/>
    <mergeCell ref="AC4:AN4"/>
    <mergeCell ref="AO4:AO5"/>
    <mergeCell ref="A4:A5"/>
    <mergeCell ref="B4:B5"/>
    <mergeCell ref="C4:N4"/>
    <mergeCell ref="O4:O5"/>
    <mergeCell ref="P4:AA4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6">
    <tabColor theme="3" tint="0.59999389629810485"/>
  </sheetPr>
  <dimension ref="A1:N9"/>
  <sheetViews>
    <sheetView zoomScale="80" workbookViewId="0">
      <selection activeCell="E9" sqref="E9"/>
    </sheetView>
  </sheetViews>
  <sheetFormatPr defaultColWidth="8.85546875" defaultRowHeight="15"/>
  <cols>
    <col min="1" max="1" width="9.140625" style="394"/>
    <col min="2" max="2" width="18.140625" style="394" customWidth="1"/>
    <col min="3" max="3" width="33" style="394" customWidth="1"/>
    <col min="4" max="4" width="18.28515625" style="394" customWidth="1"/>
    <col min="5" max="5" width="13.140625" style="394" customWidth="1"/>
    <col min="6" max="6" width="37.42578125" style="394" customWidth="1"/>
    <col min="7" max="7" width="14.28515625" style="394" bestFit="1" customWidth="1"/>
    <col min="8" max="8" width="10.42578125" style="394" bestFit="1" customWidth="1"/>
    <col min="9" max="9" width="9.85546875" style="394" bestFit="1" customWidth="1"/>
    <col min="10" max="256" width="9.140625" style="394"/>
    <col min="257" max="257" width="18.140625" style="394" customWidth="1"/>
    <col min="258" max="258" width="33" style="394" customWidth="1"/>
    <col min="259" max="259" width="18.28515625" style="394" customWidth="1"/>
    <col min="260" max="260" width="35.42578125" style="394" customWidth="1"/>
    <col min="261" max="261" width="13.140625" style="394" customWidth="1"/>
    <col min="262" max="262" width="37.42578125" style="394" customWidth="1"/>
    <col min="263" max="263" width="9.140625" style="394"/>
    <col min="264" max="264" width="10.42578125" style="394" bestFit="1" customWidth="1"/>
    <col min="265" max="512" width="9.140625" style="394"/>
    <col min="513" max="513" width="18.140625" style="394" customWidth="1"/>
    <col min="514" max="514" width="33" style="394" customWidth="1"/>
    <col min="515" max="515" width="18.28515625" style="394" customWidth="1"/>
    <col min="516" max="516" width="35.42578125" style="394" customWidth="1"/>
    <col min="517" max="517" width="13.140625" style="394" customWidth="1"/>
    <col min="518" max="518" width="37.42578125" style="394" customWidth="1"/>
    <col min="519" max="519" width="9.140625" style="394"/>
    <col min="520" max="520" width="10.42578125" style="394" bestFit="1" customWidth="1"/>
    <col min="521" max="768" width="9.140625" style="394"/>
    <col min="769" max="769" width="18.140625" style="394" customWidth="1"/>
    <col min="770" max="770" width="33" style="394" customWidth="1"/>
    <col min="771" max="771" width="18.28515625" style="394" customWidth="1"/>
    <col min="772" max="772" width="35.42578125" style="394" customWidth="1"/>
    <col min="773" max="773" width="13.140625" style="394" customWidth="1"/>
    <col min="774" max="774" width="37.42578125" style="394" customWidth="1"/>
    <col min="775" max="775" width="9.140625" style="394"/>
    <col min="776" max="776" width="10.42578125" style="394" bestFit="1" customWidth="1"/>
    <col min="777" max="1024" width="9.140625" style="394"/>
    <col min="1025" max="1025" width="18.140625" style="394" customWidth="1"/>
    <col min="1026" max="1026" width="33" style="394" customWidth="1"/>
    <col min="1027" max="1027" width="18.28515625" style="394" customWidth="1"/>
    <col min="1028" max="1028" width="35.42578125" style="394" customWidth="1"/>
    <col min="1029" max="1029" width="13.140625" style="394" customWidth="1"/>
    <col min="1030" max="1030" width="37.42578125" style="394" customWidth="1"/>
    <col min="1031" max="1031" width="9.140625" style="394"/>
    <col min="1032" max="1032" width="10.42578125" style="394" bestFit="1" customWidth="1"/>
    <col min="1033" max="1280" width="9.140625" style="394"/>
    <col min="1281" max="1281" width="18.140625" style="394" customWidth="1"/>
    <col min="1282" max="1282" width="33" style="394" customWidth="1"/>
    <col min="1283" max="1283" width="18.28515625" style="394" customWidth="1"/>
    <col min="1284" max="1284" width="35.42578125" style="394" customWidth="1"/>
    <col min="1285" max="1285" width="13.140625" style="394" customWidth="1"/>
    <col min="1286" max="1286" width="37.42578125" style="394" customWidth="1"/>
    <col min="1287" max="1287" width="9.140625" style="394"/>
    <col min="1288" max="1288" width="10.42578125" style="394" bestFit="1" customWidth="1"/>
    <col min="1289" max="1536" width="9.140625" style="394"/>
    <col min="1537" max="1537" width="18.140625" style="394" customWidth="1"/>
    <col min="1538" max="1538" width="33" style="394" customWidth="1"/>
    <col min="1539" max="1539" width="18.28515625" style="394" customWidth="1"/>
    <col min="1540" max="1540" width="35.42578125" style="394" customWidth="1"/>
    <col min="1541" max="1541" width="13.140625" style="394" customWidth="1"/>
    <col min="1542" max="1542" width="37.42578125" style="394" customWidth="1"/>
    <col min="1543" max="1543" width="9.140625" style="394"/>
    <col min="1544" max="1544" width="10.42578125" style="394" bestFit="1" customWidth="1"/>
    <col min="1545" max="1792" width="9.140625" style="394"/>
    <col min="1793" max="1793" width="18.140625" style="394" customWidth="1"/>
    <col min="1794" max="1794" width="33" style="394" customWidth="1"/>
    <col min="1795" max="1795" width="18.28515625" style="394" customWidth="1"/>
    <col min="1796" max="1796" width="35.42578125" style="394" customWidth="1"/>
    <col min="1797" max="1797" width="13.140625" style="394" customWidth="1"/>
    <col min="1798" max="1798" width="37.42578125" style="394" customWidth="1"/>
    <col min="1799" max="1799" width="9.140625" style="394"/>
    <col min="1800" max="1800" width="10.42578125" style="394" bestFit="1" customWidth="1"/>
    <col min="1801" max="2048" width="9.140625" style="394"/>
    <col min="2049" max="2049" width="18.140625" style="394" customWidth="1"/>
    <col min="2050" max="2050" width="33" style="394" customWidth="1"/>
    <col min="2051" max="2051" width="18.28515625" style="394" customWidth="1"/>
    <col min="2052" max="2052" width="35.42578125" style="394" customWidth="1"/>
    <col min="2053" max="2053" width="13.140625" style="394" customWidth="1"/>
    <col min="2054" max="2054" width="37.42578125" style="394" customWidth="1"/>
    <col min="2055" max="2055" width="9.140625" style="394"/>
    <col min="2056" max="2056" width="10.42578125" style="394" bestFit="1" customWidth="1"/>
    <col min="2057" max="2304" width="9.140625" style="394"/>
    <col min="2305" max="2305" width="18.140625" style="394" customWidth="1"/>
    <col min="2306" max="2306" width="33" style="394" customWidth="1"/>
    <col min="2307" max="2307" width="18.28515625" style="394" customWidth="1"/>
    <col min="2308" max="2308" width="35.42578125" style="394" customWidth="1"/>
    <col min="2309" max="2309" width="13.140625" style="394" customWidth="1"/>
    <col min="2310" max="2310" width="37.42578125" style="394" customWidth="1"/>
    <col min="2311" max="2311" width="9.140625" style="394"/>
    <col min="2312" max="2312" width="10.42578125" style="394" bestFit="1" customWidth="1"/>
    <col min="2313" max="2560" width="9.140625" style="394"/>
    <col min="2561" max="2561" width="18.140625" style="394" customWidth="1"/>
    <col min="2562" max="2562" width="33" style="394" customWidth="1"/>
    <col min="2563" max="2563" width="18.28515625" style="394" customWidth="1"/>
    <col min="2564" max="2564" width="35.42578125" style="394" customWidth="1"/>
    <col min="2565" max="2565" width="13.140625" style="394" customWidth="1"/>
    <col min="2566" max="2566" width="37.42578125" style="394" customWidth="1"/>
    <col min="2567" max="2567" width="9.140625" style="394"/>
    <col min="2568" max="2568" width="10.42578125" style="394" bestFit="1" customWidth="1"/>
    <col min="2569" max="2816" width="9.140625" style="394"/>
    <col min="2817" max="2817" width="18.140625" style="394" customWidth="1"/>
    <col min="2818" max="2818" width="33" style="394" customWidth="1"/>
    <col min="2819" max="2819" width="18.28515625" style="394" customWidth="1"/>
    <col min="2820" max="2820" width="35.42578125" style="394" customWidth="1"/>
    <col min="2821" max="2821" width="13.140625" style="394" customWidth="1"/>
    <col min="2822" max="2822" width="37.42578125" style="394" customWidth="1"/>
    <col min="2823" max="2823" width="9.140625" style="394"/>
    <col min="2824" max="2824" width="10.42578125" style="394" bestFit="1" customWidth="1"/>
    <col min="2825" max="3072" width="9.140625" style="394"/>
    <col min="3073" max="3073" width="18.140625" style="394" customWidth="1"/>
    <col min="3074" max="3074" width="33" style="394" customWidth="1"/>
    <col min="3075" max="3075" width="18.28515625" style="394" customWidth="1"/>
    <col min="3076" max="3076" width="35.42578125" style="394" customWidth="1"/>
    <col min="3077" max="3077" width="13.140625" style="394" customWidth="1"/>
    <col min="3078" max="3078" width="37.42578125" style="394" customWidth="1"/>
    <col min="3079" max="3079" width="9.140625" style="394"/>
    <col min="3080" max="3080" width="10.42578125" style="394" bestFit="1" customWidth="1"/>
    <col min="3081" max="3328" width="9.140625" style="394"/>
    <col min="3329" max="3329" width="18.140625" style="394" customWidth="1"/>
    <col min="3330" max="3330" width="33" style="394" customWidth="1"/>
    <col min="3331" max="3331" width="18.28515625" style="394" customWidth="1"/>
    <col min="3332" max="3332" width="35.42578125" style="394" customWidth="1"/>
    <col min="3333" max="3333" width="13.140625" style="394" customWidth="1"/>
    <col min="3334" max="3334" width="37.42578125" style="394" customWidth="1"/>
    <col min="3335" max="3335" width="9.140625" style="394"/>
    <col min="3336" max="3336" width="10.42578125" style="394" bestFit="1" customWidth="1"/>
    <col min="3337" max="3584" width="9.140625" style="394"/>
    <col min="3585" max="3585" width="18.140625" style="394" customWidth="1"/>
    <col min="3586" max="3586" width="33" style="394" customWidth="1"/>
    <col min="3587" max="3587" width="18.28515625" style="394" customWidth="1"/>
    <col min="3588" max="3588" width="35.42578125" style="394" customWidth="1"/>
    <col min="3589" max="3589" width="13.140625" style="394" customWidth="1"/>
    <col min="3590" max="3590" width="37.42578125" style="394" customWidth="1"/>
    <col min="3591" max="3591" width="9.140625" style="394"/>
    <col min="3592" max="3592" width="10.42578125" style="394" bestFit="1" customWidth="1"/>
    <col min="3593" max="3840" width="9.140625" style="394"/>
    <col min="3841" max="3841" width="18.140625" style="394" customWidth="1"/>
    <col min="3842" max="3842" width="33" style="394" customWidth="1"/>
    <col min="3843" max="3843" width="18.28515625" style="394" customWidth="1"/>
    <col min="3844" max="3844" width="35.42578125" style="394" customWidth="1"/>
    <col min="3845" max="3845" width="13.140625" style="394" customWidth="1"/>
    <col min="3846" max="3846" width="37.42578125" style="394" customWidth="1"/>
    <col min="3847" max="3847" width="9.140625" style="394"/>
    <col min="3848" max="3848" width="10.42578125" style="394" bestFit="1" customWidth="1"/>
    <col min="3849" max="4096" width="9.140625" style="394"/>
    <col min="4097" max="4097" width="18.140625" style="394" customWidth="1"/>
    <col min="4098" max="4098" width="33" style="394" customWidth="1"/>
    <col min="4099" max="4099" width="18.28515625" style="394" customWidth="1"/>
    <col min="4100" max="4100" width="35.42578125" style="394" customWidth="1"/>
    <col min="4101" max="4101" width="13.140625" style="394" customWidth="1"/>
    <col min="4102" max="4102" width="37.42578125" style="394" customWidth="1"/>
    <col min="4103" max="4103" width="9.140625" style="394"/>
    <col min="4104" max="4104" width="10.42578125" style="394" bestFit="1" customWidth="1"/>
    <col min="4105" max="4352" width="9.140625" style="394"/>
    <col min="4353" max="4353" width="18.140625" style="394" customWidth="1"/>
    <col min="4354" max="4354" width="33" style="394" customWidth="1"/>
    <col min="4355" max="4355" width="18.28515625" style="394" customWidth="1"/>
    <col min="4356" max="4356" width="35.42578125" style="394" customWidth="1"/>
    <col min="4357" max="4357" width="13.140625" style="394" customWidth="1"/>
    <col min="4358" max="4358" width="37.42578125" style="394" customWidth="1"/>
    <col min="4359" max="4359" width="9.140625" style="394"/>
    <col min="4360" max="4360" width="10.42578125" style="394" bestFit="1" customWidth="1"/>
    <col min="4361" max="4608" width="9.140625" style="394"/>
    <col min="4609" max="4609" width="18.140625" style="394" customWidth="1"/>
    <col min="4610" max="4610" width="33" style="394" customWidth="1"/>
    <col min="4611" max="4611" width="18.28515625" style="394" customWidth="1"/>
    <col min="4612" max="4612" width="35.42578125" style="394" customWidth="1"/>
    <col min="4613" max="4613" width="13.140625" style="394" customWidth="1"/>
    <col min="4614" max="4614" width="37.42578125" style="394" customWidth="1"/>
    <col min="4615" max="4615" width="9.140625" style="394"/>
    <col min="4616" max="4616" width="10.42578125" style="394" bestFit="1" customWidth="1"/>
    <col min="4617" max="4864" width="9.140625" style="394"/>
    <col min="4865" max="4865" width="18.140625" style="394" customWidth="1"/>
    <col min="4866" max="4866" width="33" style="394" customWidth="1"/>
    <col min="4867" max="4867" width="18.28515625" style="394" customWidth="1"/>
    <col min="4868" max="4868" width="35.42578125" style="394" customWidth="1"/>
    <col min="4869" max="4869" width="13.140625" style="394" customWidth="1"/>
    <col min="4870" max="4870" width="37.42578125" style="394" customWidth="1"/>
    <col min="4871" max="4871" width="9.140625" style="394"/>
    <col min="4872" max="4872" width="10.42578125" style="394" bestFit="1" customWidth="1"/>
    <col min="4873" max="5120" width="9.140625" style="394"/>
    <col min="5121" max="5121" width="18.140625" style="394" customWidth="1"/>
    <col min="5122" max="5122" width="33" style="394" customWidth="1"/>
    <col min="5123" max="5123" width="18.28515625" style="394" customWidth="1"/>
    <col min="5124" max="5124" width="35.42578125" style="394" customWidth="1"/>
    <col min="5125" max="5125" width="13.140625" style="394" customWidth="1"/>
    <col min="5126" max="5126" width="37.42578125" style="394" customWidth="1"/>
    <col min="5127" max="5127" width="9.140625" style="394"/>
    <col min="5128" max="5128" width="10.42578125" style="394" bestFit="1" customWidth="1"/>
    <col min="5129" max="5376" width="9.140625" style="394"/>
    <col min="5377" max="5377" width="18.140625" style="394" customWidth="1"/>
    <col min="5378" max="5378" width="33" style="394" customWidth="1"/>
    <col min="5379" max="5379" width="18.28515625" style="394" customWidth="1"/>
    <col min="5380" max="5380" width="35.42578125" style="394" customWidth="1"/>
    <col min="5381" max="5381" width="13.140625" style="394" customWidth="1"/>
    <col min="5382" max="5382" width="37.42578125" style="394" customWidth="1"/>
    <col min="5383" max="5383" width="9.140625" style="394"/>
    <col min="5384" max="5384" width="10.42578125" style="394" bestFit="1" customWidth="1"/>
    <col min="5385" max="5632" width="9.140625" style="394"/>
    <col min="5633" max="5633" width="18.140625" style="394" customWidth="1"/>
    <col min="5634" max="5634" width="33" style="394" customWidth="1"/>
    <col min="5635" max="5635" width="18.28515625" style="394" customWidth="1"/>
    <col min="5636" max="5636" width="35.42578125" style="394" customWidth="1"/>
    <col min="5637" max="5637" width="13.140625" style="394" customWidth="1"/>
    <col min="5638" max="5638" width="37.42578125" style="394" customWidth="1"/>
    <col min="5639" max="5639" width="9.140625" style="394"/>
    <col min="5640" max="5640" width="10.42578125" style="394" bestFit="1" customWidth="1"/>
    <col min="5641" max="5888" width="9.140625" style="394"/>
    <col min="5889" max="5889" width="18.140625" style="394" customWidth="1"/>
    <col min="5890" max="5890" width="33" style="394" customWidth="1"/>
    <col min="5891" max="5891" width="18.28515625" style="394" customWidth="1"/>
    <col min="5892" max="5892" width="35.42578125" style="394" customWidth="1"/>
    <col min="5893" max="5893" width="13.140625" style="394" customWidth="1"/>
    <col min="5894" max="5894" width="37.42578125" style="394" customWidth="1"/>
    <col min="5895" max="5895" width="9.140625" style="394"/>
    <col min="5896" max="5896" width="10.42578125" style="394" bestFit="1" customWidth="1"/>
    <col min="5897" max="6144" width="9.140625" style="394"/>
    <col min="6145" max="6145" width="18.140625" style="394" customWidth="1"/>
    <col min="6146" max="6146" width="33" style="394" customWidth="1"/>
    <col min="6147" max="6147" width="18.28515625" style="394" customWidth="1"/>
    <col min="6148" max="6148" width="35.42578125" style="394" customWidth="1"/>
    <col min="6149" max="6149" width="13.140625" style="394" customWidth="1"/>
    <col min="6150" max="6150" width="37.42578125" style="394" customWidth="1"/>
    <col min="6151" max="6151" width="9.140625" style="394"/>
    <col min="6152" max="6152" width="10.42578125" style="394" bestFit="1" customWidth="1"/>
    <col min="6153" max="6400" width="9.140625" style="394"/>
    <col min="6401" max="6401" width="18.140625" style="394" customWidth="1"/>
    <col min="6402" max="6402" width="33" style="394" customWidth="1"/>
    <col min="6403" max="6403" width="18.28515625" style="394" customWidth="1"/>
    <col min="6404" max="6404" width="35.42578125" style="394" customWidth="1"/>
    <col min="6405" max="6405" width="13.140625" style="394" customWidth="1"/>
    <col min="6406" max="6406" width="37.42578125" style="394" customWidth="1"/>
    <col min="6407" max="6407" width="9.140625" style="394"/>
    <col min="6408" max="6408" width="10.42578125" style="394" bestFit="1" customWidth="1"/>
    <col min="6409" max="6656" width="9.140625" style="394"/>
    <col min="6657" max="6657" width="18.140625" style="394" customWidth="1"/>
    <col min="6658" max="6658" width="33" style="394" customWidth="1"/>
    <col min="6659" max="6659" width="18.28515625" style="394" customWidth="1"/>
    <col min="6660" max="6660" width="35.42578125" style="394" customWidth="1"/>
    <col min="6661" max="6661" width="13.140625" style="394" customWidth="1"/>
    <col min="6662" max="6662" width="37.42578125" style="394" customWidth="1"/>
    <col min="6663" max="6663" width="9.140625" style="394"/>
    <col min="6664" max="6664" width="10.42578125" style="394" bestFit="1" customWidth="1"/>
    <col min="6665" max="6912" width="9.140625" style="394"/>
    <col min="6913" max="6913" width="18.140625" style="394" customWidth="1"/>
    <col min="6914" max="6914" width="33" style="394" customWidth="1"/>
    <col min="6915" max="6915" width="18.28515625" style="394" customWidth="1"/>
    <col min="6916" max="6916" width="35.42578125" style="394" customWidth="1"/>
    <col min="6917" max="6917" width="13.140625" style="394" customWidth="1"/>
    <col min="6918" max="6918" width="37.42578125" style="394" customWidth="1"/>
    <col min="6919" max="6919" width="9.140625" style="394"/>
    <col min="6920" max="6920" width="10.42578125" style="394" bestFit="1" customWidth="1"/>
    <col min="6921" max="7168" width="9.140625" style="394"/>
    <col min="7169" max="7169" width="18.140625" style="394" customWidth="1"/>
    <col min="7170" max="7170" width="33" style="394" customWidth="1"/>
    <col min="7171" max="7171" width="18.28515625" style="394" customWidth="1"/>
    <col min="7172" max="7172" width="35.42578125" style="394" customWidth="1"/>
    <col min="7173" max="7173" width="13.140625" style="394" customWidth="1"/>
    <col min="7174" max="7174" width="37.42578125" style="394" customWidth="1"/>
    <col min="7175" max="7175" width="9.140625" style="394"/>
    <col min="7176" max="7176" width="10.42578125" style="394" bestFit="1" customWidth="1"/>
    <col min="7177" max="7424" width="9.140625" style="394"/>
    <col min="7425" max="7425" width="18.140625" style="394" customWidth="1"/>
    <col min="7426" max="7426" width="33" style="394" customWidth="1"/>
    <col min="7427" max="7427" width="18.28515625" style="394" customWidth="1"/>
    <col min="7428" max="7428" width="35.42578125" style="394" customWidth="1"/>
    <col min="7429" max="7429" width="13.140625" style="394" customWidth="1"/>
    <col min="7430" max="7430" width="37.42578125" style="394" customWidth="1"/>
    <col min="7431" max="7431" width="9.140625" style="394"/>
    <col min="7432" max="7432" width="10.42578125" style="394" bestFit="1" customWidth="1"/>
    <col min="7433" max="7680" width="9.140625" style="394"/>
    <col min="7681" max="7681" width="18.140625" style="394" customWidth="1"/>
    <col min="7682" max="7682" width="33" style="394" customWidth="1"/>
    <col min="7683" max="7683" width="18.28515625" style="394" customWidth="1"/>
    <col min="7684" max="7684" width="35.42578125" style="394" customWidth="1"/>
    <col min="7685" max="7685" width="13.140625" style="394" customWidth="1"/>
    <col min="7686" max="7686" width="37.42578125" style="394" customWidth="1"/>
    <col min="7687" max="7687" width="9.140625" style="394"/>
    <col min="7688" max="7688" width="10.42578125" style="394" bestFit="1" customWidth="1"/>
    <col min="7689" max="7936" width="9.140625" style="394"/>
    <col min="7937" max="7937" width="18.140625" style="394" customWidth="1"/>
    <col min="7938" max="7938" width="33" style="394" customWidth="1"/>
    <col min="7939" max="7939" width="18.28515625" style="394" customWidth="1"/>
    <col min="7940" max="7940" width="35.42578125" style="394" customWidth="1"/>
    <col min="7941" max="7941" width="13.140625" style="394" customWidth="1"/>
    <col min="7942" max="7942" width="37.42578125" style="394" customWidth="1"/>
    <col min="7943" max="7943" width="9.140625" style="394"/>
    <col min="7944" max="7944" width="10.42578125" style="394" bestFit="1" customWidth="1"/>
    <col min="7945" max="8192" width="9.140625" style="394"/>
    <col min="8193" max="8193" width="18.140625" style="394" customWidth="1"/>
    <col min="8194" max="8194" width="33" style="394" customWidth="1"/>
    <col min="8195" max="8195" width="18.28515625" style="394" customWidth="1"/>
    <col min="8196" max="8196" width="35.42578125" style="394" customWidth="1"/>
    <col min="8197" max="8197" width="13.140625" style="394" customWidth="1"/>
    <col min="8198" max="8198" width="37.42578125" style="394" customWidth="1"/>
    <col min="8199" max="8199" width="9.140625" style="394"/>
    <col min="8200" max="8200" width="10.42578125" style="394" bestFit="1" customWidth="1"/>
    <col min="8201" max="8448" width="9.140625" style="394"/>
    <col min="8449" max="8449" width="18.140625" style="394" customWidth="1"/>
    <col min="8450" max="8450" width="33" style="394" customWidth="1"/>
    <col min="8451" max="8451" width="18.28515625" style="394" customWidth="1"/>
    <col min="8452" max="8452" width="35.42578125" style="394" customWidth="1"/>
    <col min="8453" max="8453" width="13.140625" style="394" customWidth="1"/>
    <col min="8454" max="8454" width="37.42578125" style="394" customWidth="1"/>
    <col min="8455" max="8455" width="9.140625" style="394"/>
    <col min="8456" max="8456" width="10.42578125" style="394" bestFit="1" customWidth="1"/>
    <col min="8457" max="8704" width="9.140625" style="394"/>
    <col min="8705" max="8705" width="18.140625" style="394" customWidth="1"/>
    <col min="8706" max="8706" width="33" style="394" customWidth="1"/>
    <col min="8707" max="8707" width="18.28515625" style="394" customWidth="1"/>
    <col min="8708" max="8708" width="35.42578125" style="394" customWidth="1"/>
    <col min="8709" max="8709" width="13.140625" style="394" customWidth="1"/>
    <col min="8710" max="8710" width="37.42578125" style="394" customWidth="1"/>
    <col min="8711" max="8711" width="9.140625" style="394"/>
    <col min="8712" max="8712" width="10.42578125" style="394" bestFit="1" customWidth="1"/>
    <col min="8713" max="8960" width="9.140625" style="394"/>
    <col min="8961" max="8961" width="18.140625" style="394" customWidth="1"/>
    <col min="8962" max="8962" width="33" style="394" customWidth="1"/>
    <col min="8963" max="8963" width="18.28515625" style="394" customWidth="1"/>
    <col min="8964" max="8964" width="35.42578125" style="394" customWidth="1"/>
    <col min="8965" max="8965" width="13.140625" style="394" customWidth="1"/>
    <col min="8966" max="8966" width="37.42578125" style="394" customWidth="1"/>
    <col min="8967" max="8967" width="9.140625" style="394"/>
    <col min="8968" max="8968" width="10.42578125" style="394" bestFit="1" customWidth="1"/>
    <col min="8969" max="9216" width="9.140625" style="394"/>
    <col min="9217" max="9217" width="18.140625" style="394" customWidth="1"/>
    <col min="9218" max="9218" width="33" style="394" customWidth="1"/>
    <col min="9219" max="9219" width="18.28515625" style="394" customWidth="1"/>
    <col min="9220" max="9220" width="35.42578125" style="394" customWidth="1"/>
    <col min="9221" max="9221" width="13.140625" style="394" customWidth="1"/>
    <col min="9222" max="9222" width="37.42578125" style="394" customWidth="1"/>
    <col min="9223" max="9223" width="9.140625" style="394"/>
    <col min="9224" max="9224" width="10.42578125" style="394" bestFit="1" customWidth="1"/>
    <col min="9225" max="9472" width="9.140625" style="394"/>
    <col min="9473" max="9473" width="18.140625" style="394" customWidth="1"/>
    <col min="9474" max="9474" width="33" style="394" customWidth="1"/>
    <col min="9475" max="9475" width="18.28515625" style="394" customWidth="1"/>
    <col min="9476" max="9476" width="35.42578125" style="394" customWidth="1"/>
    <col min="9477" max="9477" width="13.140625" style="394" customWidth="1"/>
    <col min="9478" max="9478" width="37.42578125" style="394" customWidth="1"/>
    <col min="9479" max="9479" width="9.140625" style="394"/>
    <col min="9480" max="9480" width="10.42578125" style="394" bestFit="1" customWidth="1"/>
    <col min="9481" max="9728" width="9.140625" style="394"/>
    <col min="9729" max="9729" width="18.140625" style="394" customWidth="1"/>
    <col min="9730" max="9730" width="33" style="394" customWidth="1"/>
    <col min="9731" max="9731" width="18.28515625" style="394" customWidth="1"/>
    <col min="9732" max="9732" width="35.42578125" style="394" customWidth="1"/>
    <col min="9733" max="9733" width="13.140625" style="394" customWidth="1"/>
    <col min="9734" max="9734" width="37.42578125" style="394" customWidth="1"/>
    <col min="9735" max="9735" width="9.140625" style="394"/>
    <col min="9736" max="9736" width="10.42578125" style="394" bestFit="1" customWidth="1"/>
    <col min="9737" max="9984" width="9.140625" style="394"/>
    <col min="9985" max="9985" width="18.140625" style="394" customWidth="1"/>
    <col min="9986" max="9986" width="33" style="394" customWidth="1"/>
    <col min="9987" max="9987" width="18.28515625" style="394" customWidth="1"/>
    <col min="9988" max="9988" width="35.42578125" style="394" customWidth="1"/>
    <col min="9989" max="9989" width="13.140625" style="394" customWidth="1"/>
    <col min="9990" max="9990" width="37.42578125" style="394" customWidth="1"/>
    <col min="9991" max="9991" width="9.140625" style="394"/>
    <col min="9992" max="9992" width="10.42578125" style="394" bestFit="1" customWidth="1"/>
    <col min="9993" max="10240" width="9.140625" style="394"/>
    <col min="10241" max="10241" width="18.140625" style="394" customWidth="1"/>
    <col min="10242" max="10242" width="33" style="394" customWidth="1"/>
    <col min="10243" max="10243" width="18.28515625" style="394" customWidth="1"/>
    <col min="10244" max="10244" width="35.42578125" style="394" customWidth="1"/>
    <col min="10245" max="10245" width="13.140625" style="394" customWidth="1"/>
    <col min="10246" max="10246" width="37.42578125" style="394" customWidth="1"/>
    <col min="10247" max="10247" width="9.140625" style="394"/>
    <col min="10248" max="10248" width="10.42578125" style="394" bestFit="1" customWidth="1"/>
    <col min="10249" max="10496" width="9.140625" style="394"/>
    <col min="10497" max="10497" width="18.140625" style="394" customWidth="1"/>
    <col min="10498" max="10498" width="33" style="394" customWidth="1"/>
    <col min="10499" max="10499" width="18.28515625" style="394" customWidth="1"/>
    <col min="10500" max="10500" width="35.42578125" style="394" customWidth="1"/>
    <col min="10501" max="10501" width="13.140625" style="394" customWidth="1"/>
    <col min="10502" max="10502" width="37.42578125" style="394" customWidth="1"/>
    <col min="10503" max="10503" width="9.140625" style="394"/>
    <col min="10504" max="10504" width="10.42578125" style="394" bestFit="1" customWidth="1"/>
    <col min="10505" max="10752" width="9.140625" style="394"/>
    <col min="10753" max="10753" width="18.140625" style="394" customWidth="1"/>
    <col min="10754" max="10754" width="33" style="394" customWidth="1"/>
    <col min="10755" max="10755" width="18.28515625" style="394" customWidth="1"/>
    <col min="10756" max="10756" width="35.42578125" style="394" customWidth="1"/>
    <col min="10757" max="10757" width="13.140625" style="394" customWidth="1"/>
    <col min="10758" max="10758" width="37.42578125" style="394" customWidth="1"/>
    <col min="10759" max="10759" width="9.140625" style="394"/>
    <col min="10760" max="10760" width="10.42578125" style="394" bestFit="1" customWidth="1"/>
    <col min="10761" max="11008" width="9.140625" style="394"/>
    <col min="11009" max="11009" width="18.140625" style="394" customWidth="1"/>
    <col min="11010" max="11010" width="33" style="394" customWidth="1"/>
    <col min="11011" max="11011" width="18.28515625" style="394" customWidth="1"/>
    <col min="11012" max="11012" width="35.42578125" style="394" customWidth="1"/>
    <col min="11013" max="11013" width="13.140625" style="394" customWidth="1"/>
    <col min="11014" max="11014" width="37.42578125" style="394" customWidth="1"/>
    <col min="11015" max="11015" width="9.140625" style="394"/>
    <col min="11016" max="11016" width="10.42578125" style="394" bestFit="1" customWidth="1"/>
    <col min="11017" max="11264" width="9.140625" style="394"/>
    <col min="11265" max="11265" width="18.140625" style="394" customWidth="1"/>
    <col min="11266" max="11266" width="33" style="394" customWidth="1"/>
    <col min="11267" max="11267" width="18.28515625" style="394" customWidth="1"/>
    <col min="11268" max="11268" width="35.42578125" style="394" customWidth="1"/>
    <col min="11269" max="11269" width="13.140625" style="394" customWidth="1"/>
    <col min="11270" max="11270" width="37.42578125" style="394" customWidth="1"/>
    <col min="11271" max="11271" width="9.140625" style="394"/>
    <col min="11272" max="11272" width="10.42578125" style="394" bestFit="1" customWidth="1"/>
    <col min="11273" max="11520" width="9.140625" style="394"/>
    <col min="11521" max="11521" width="18.140625" style="394" customWidth="1"/>
    <col min="11522" max="11522" width="33" style="394" customWidth="1"/>
    <col min="11523" max="11523" width="18.28515625" style="394" customWidth="1"/>
    <col min="11524" max="11524" width="35.42578125" style="394" customWidth="1"/>
    <col min="11525" max="11525" width="13.140625" style="394" customWidth="1"/>
    <col min="11526" max="11526" width="37.42578125" style="394" customWidth="1"/>
    <col min="11527" max="11527" width="9.140625" style="394"/>
    <col min="11528" max="11528" width="10.42578125" style="394" bestFit="1" customWidth="1"/>
    <col min="11529" max="11776" width="9.140625" style="394"/>
    <col min="11777" max="11777" width="18.140625" style="394" customWidth="1"/>
    <col min="11778" max="11778" width="33" style="394" customWidth="1"/>
    <col min="11779" max="11779" width="18.28515625" style="394" customWidth="1"/>
    <col min="11780" max="11780" width="35.42578125" style="394" customWidth="1"/>
    <col min="11781" max="11781" width="13.140625" style="394" customWidth="1"/>
    <col min="11782" max="11782" width="37.42578125" style="394" customWidth="1"/>
    <col min="11783" max="11783" width="9.140625" style="394"/>
    <col min="11784" max="11784" width="10.42578125" style="394" bestFit="1" customWidth="1"/>
    <col min="11785" max="12032" width="9.140625" style="394"/>
    <col min="12033" max="12033" width="18.140625" style="394" customWidth="1"/>
    <col min="12034" max="12034" width="33" style="394" customWidth="1"/>
    <col min="12035" max="12035" width="18.28515625" style="394" customWidth="1"/>
    <col min="12036" max="12036" width="35.42578125" style="394" customWidth="1"/>
    <col min="12037" max="12037" width="13.140625" style="394" customWidth="1"/>
    <col min="12038" max="12038" width="37.42578125" style="394" customWidth="1"/>
    <col min="12039" max="12039" width="9.140625" style="394"/>
    <col min="12040" max="12040" width="10.42578125" style="394" bestFit="1" customWidth="1"/>
    <col min="12041" max="12288" width="9.140625" style="394"/>
    <col min="12289" max="12289" width="18.140625" style="394" customWidth="1"/>
    <col min="12290" max="12290" width="33" style="394" customWidth="1"/>
    <col min="12291" max="12291" width="18.28515625" style="394" customWidth="1"/>
    <col min="12292" max="12292" width="35.42578125" style="394" customWidth="1"/>
    <col min="12293" max="12293" width="13.140625" style="394" customWidth="1"/>
    <col min="12294" max="12294" width="37.42578125" style="394" customWidth="1"/>
    <col min="12295" max="12295" width="9.140625" style="394"/>
    <col min="12296" max="12296" width="10.42578125" style="394" bestFit="1" customWidth="1"/>
    <col min="12297" max="12544" width="9.140625" style="394"/>
    <col min="12545" max="12545" width="18.140625" style="394" customWidth="1"/>
    <col min="12546" max="12546" width="33" style="394" customWidth="1"/>
    <col min="12547" max="12547" width="18.28515625" style="394" customWidth="1"/>
    <col min="12548" max="12548" width="35.42578125" style="394" customWidth="1"/>
    <col min="12549" max="12549" width="13.140625" style="394" customWidth="1"/>
    <col min="12550" max="12550" width="37.42578125" style="394" customWidth="1"/>
    <col min="12551" max="12551" width="9.140625" style="394"/>
    <col min="12552" max="12552" width="10.42578125" style="394" bestFit="1" customWidth="1"/>
    <col min="12553" max="12800" width="9.140625" style="394"/>
    <col min="12801" max="12801" width="18.140625" style="394" customWidth="1"/>
    <col min="12802" max="12802" width="33" style="394" customWidth="1"/>
    <col min="12803" max="12803" width="18.28515625" style="394" customWidth="1"/>
    <col min="12804" max="12804" width="35.42578125" style="394" customWidth="1"/>
    <col min="12805" max="12805" width="13.140625" style="394" customWidth="1"/>
    <col min="12806" max="12806" width="37.42578125" style="394" customWidth="1"/>
    <col min="12807" max="12807" width="9.140625" style="394"/>
    <col min="12808" max="12808" width="10.42578125" style="394" bestFit="1" customWidth="1"/>
    <col min="12809" max="13056" width="9.140625" style="394"/>
    <col min="13057" max="13057" width="18.140625" style="394" customWidth="1"/>
    <col min="13058" max="13058" width="33" style="394" customWidth="1"/>
    <col min="13059" max="13059" width="18.28515625" style="394" customWidth="1"/>
    <col min="13060" max="13060" width="35.42578125" style="394" customWidth="1"/>
    <col min="13061" max="13061" width="13.140625" style="394" customWidth="1"/>
    <col min="13062" max="13062" width="37.42578125" style="394" customWidth="1"/>
    <col min="13063" max="13063" width="9.140625" style="394"/>
    <col min="13064" max="13064" width="10.42578125" style="394" bestFit="1" customWidth="1"/>
    <col min="13065" max="13312" width="9.140625" style="394"/>
    <col min="13313" max="13313" width="18.140625" style="394" customWidth="1"/>
    <col min="13314" max="13314" width="33" style="394" customWidth="1"/>
    <col min="13315" max="13315" width="18.28515625" style="394" customWidth="1"/>
    <col min="13316" max="13316" width="35.42578125" style="394" customWidth="1"/>
    <col min="13317" max="13317" width="13.140625" style="394" customWidth="1"/>
    <col min="13318" max="13318" width="37.42578125" style="394" customWidth="1"/>
    <col min="13319" max="13319" width="9.140625" style="394"/>
    <col min="13320" max="13320" width="10.42578125" style="394" bestFit="1" customWidth="1"/>
    <col min="13321" max="13568" width="9.140625" style="394"/>
    <col min="13569" max="13569" width="18.140625" style="394" customWidth="1"/>
    <col min="13570" max="13570" width="33" style="394" customWidth="1"/>
    <col min="13571" max="13571" width="18.28515625" style="394" customWidth="1"/>
    <col min="13572" max="13572" width="35.42578125" style="394" customWidth="1"/>
    <col min="13573" max="13573" width="13.140625" style="394" customWidth="1"/>
    <col min="13574" max="13574" width="37.42578125" style="394" customWidth="1"/>
    <col min="13575" max="13575" width="9.140625" style="394"/>
    <col min="13576" max="13576" width="10.42578125" style="394" bestFit="1" customWidth="1"/>
    <col min="13577" max="13824" width="9.140625" style="394"/>
    <col min="13825" max="13825" width="18.140625" style="394" customWidth="1"/>
    <col min="13826" max="13826" width="33" style="394" customWidth="1"/>
    <col min="13827" max="13827" width="18.28515625" style="394" customWidth="1"/>
    <col min="13828" max="13828" width="35.42578125" style="394" customWidth="1"/>
    <col min="13829" max="13829" width="13.140625" style="394" customWidth="1"/>
    <col min="13830" max="13830" width="37.42578125" style="394" customWidth="1"/>
    <col min="13831" max="13831" width="9.140625" style="394"/>
    <col min="13832" max="13832" width="10.42578125" style="394" bestFit="1" customWidth="1"/>
    <col min="13833" max="14080" width="9.140625" style="394"/>
    <col min="14081" max="14081" width="18.140625" style="394" customWidth="1"/>
    <col min="14082" max="14082" width="33" style="394" customWidth="1"/>
    <col min="14083" max="14083" width="18.28515625" style="394" customWidth="1"/>
    <col min="14084" max="14084" width="35.42578125" style="394" customWidth="1"/>
    <col min="14085" max="14085" width="13.140625" style="394" customWidth="1"/>
    <col min="14086" max="14086" width="37.42578125" style="394" customWidth="1"/>
    <col min="14087" max="14087" width="9.140625" style="394"/>
    <col min="14088" max="14088" width="10.42578125" style="394" bestFit="1" customWidth="1"/>
    <col min="14089" max="14336" width="9.140625" style="394"/>
    <col min="14337" max="14337" width="18.140625" style="394" customWidth="1"/>
    <col min="14338" max="14338" width="33" style="394" customWidth="1"/>
    <col min="14339" max="14339" width="18.28515625" style="394" customWidth="1"/>
    <col min="14340" max="14340" width="35.42578125" style="394" customWidth="1"/>
    <col min="14341" max="14341" width="13.140625" style="394" customWidth="1"/>
    <col min="14342" max="14342" width="37.42578125" style="394" customWidth="1"/>
    <col min="14343" max="14343" width="9.140625" style="394"/>
    <col min="14344" max="14344" width="10.42578125" style="394" bestFit="1" customWidth="1"/>
    <col min="14345" max="14592" width="9.140625" style="394"/>
    <col min="14593" max="14593" width="18.140625" style="394" customWidth="1"/>
    <col min="14594" max="14594" width="33" style="394" customWidth="1"/>
    <col min="14595" max="14595" width="18.28515625" style="394" customWidth="1"/>
    <col min="14596" max="14596" width="35.42578125" style="394" customWidth="1"/>
    <col min="14597" max="14597" width="13.140625" style="394" customWidth="1"/>
    <col min="14598" max="14598" width="37.42578125" style="394" customWidth="1"/>
    <col min="14599" max="14599" width="9.140625" style="394"/>
    <col min="14600" max="14600" width="10.42578125" style="394" bestFit="1" customWidth="1"/>
    <col min="14601" max="14848" width="9.140625" style="394"/>
    <col min="14849" max="14849" width="18.140625" style="394" customWidth="1"/>
    <col min="14850" max="14850" width="33" style="394" customWidth="1"/>
    <col min="14851" max="14851" width="18.28515625" style="394" customWidth="1"/>
    <col min="14852" max="14852" width="35.42578125" style="394" customWidth="1"/>
    <col min="14853" max="14853" width="13.140625" style="394" customWidth="1"/>
    <col min="14854" max="14854" width="37.42578125" style="394" customWidth="1"/>
    <col min="14855" max="14855" width="9.140625" style="394"/>
    <col min="14856" max="14856" width="10.42578125" style="394" bestFit="1" customWidth="1"/>
    <col min="14857" max="15104" width="9.140625" style="394"/>
    <col min="15105" max="15105" width="18.140625" style="394" customWidth="1"/>
    <col min="15106" max="15106" width="33" style="394" customWidth="1"/>
    <col min="15107" max="15107" width="18.28515625" style="394" customWidth="1"/>
    <col min="15108" max="15108" width="35.42578125" style="394" customWidth="1"/>
    <col min="15109" max="15109" width="13.140625" style="394" customWidth="1"/>
    <col min="15110" max="15110" width="37.42578125" style="394" customWidth="1"/>
    <col min="15111" max="15111" width="9.140625" style="394"/>
    <col min="15112" max="15112" width="10.42578125" style="394" bestFit="1" customWidth="1"/>
    <col min="15113" max="15360" width="9.140625" style="394"/>
    <col min="15361" max="15361" width="18.140625" style="394" customWidth="1"/>
    <col min="15362" max="15362" width="33" style="394" customWidth="1"/>
    <col min="15363" max="15363" width="18.28515625" style="394" customWidth="1"/>
    <col min="15364" max="15364" width="35.42578125" style="394" customWidth="1"/>
    <col min="15365" max="15365" width="13.140625" style="394" customWidth="1"/>
    <col min="15366" max="15366" width="37.42578125" style="394" customWidth="1"/>
    <col min="15367" max="15367" width="9.140625" style="394"/>
    <col min="15368" max="15368" width="10.42578125" style="394" bestFit="1" customWidth="1"/>
    <col min="15369" max="15616" width="9.140625" style="394"/>
    <col min="15617" max="15617" width="18.140625" style="394" customWidth="1"/>
    <col min="15618" max="15618" width="33" style="394" customWidth="1"/>
    <col min="15619" max="15619" width="18.28515625" style="394" customWidth="1"/>
    <col min="15620" max="15620" width="35.42578125" style="394" customWidth="1"/>
    <col min="15621" max="15621" width="13.140625" style="394" customWidth="1"/>
    <col min="15622" max="15622" width="37.42578125" style="394" customWidth="1"/>
    <col min="15623" max="15623" width="9.140625" style="394"/>
    <col min="15624" max="15624" width="10.42578125" style="394" bestFit="1" customWidth="1"/>
    <col min="15625" max="15872" width="9.140625" style="394"/>
    <col min="15873" max="15873" width="18.140625" style="394" customWidth="1"/>
    <col min="15874" max="15874" width="33" style="394" customWidth="1"/>
    <col min="15875" max="15875" width="18.28515625" style="394" customWidth="1"/>
    <col min="15876" max="15876" width="35.42578125" style="394" customWidth="1"/>
    <col min="15877" max="15877" width="13.140625" style="394" customWidth="1"/>
    <col min="15878" max="15878" width="37.42578125" style="394" customWidth="1"/>
    <col min="15879" max="15879" width="9.140625" style="394"/>
    <col min="15880" max="15880" width="10.42578125" style="394" bestFit="1" customWidth="1"/>
    <col min="15881" max="16128" width="9.140625" style="394"/>
    <col min="16129" max="16129" width="18.140625" style="394" customWidth="1"/>
    <col min="16130" max="16130" width="33" style="394" customWidth="1"/>
    <col min="16131" max="16131" width="18.28515625" style="394" customWidth="1"/>
    <col min="16132" max="16132" width="35.42578125" style="394" customWidth="1"/>
    <col min="16133" max="16133" width="13.140625" style="394" customWidth="1"/>
    <col min="16134" max="16134" width="37.42578125" style="394" customWidth="1"/>
    <col min="16135" max="16135" width="9.140625" style="394"/>
    <col min="16136" max="16136" width="10.42578125" style="394" bestFit="1" customWidth="1"/>
    <col min="16137" max="16384" width="9.140625" style="394"/>
  </cols>
  <sheetData>
    <row r="1" spans="1:14">
      <c r="A1" s="395"/>
      <c r="B1" s="395"/>
      <c r="C1" s="395"/>
      <c r="D1" s="395"/>
      <c r="E1" s="395"/>
      <c r="F1" s="395"/>
      <c r="G1" s="395"/>
      <c r="H1" s="395"/>
      <c r="I1" s="395"/>
      <c r="J1" s="395"/>
      <c r="K1" s="395"/>
    </row>
    <row r="2" spans="1:14" ht="18.75">
      <c r="A2" s="395"/>
      <c r="B2" s="395"/>
      <c r="C2" s="4" t="s">
        <v>462</v>
      </c>
      <c r="E2" s="395"/>
      <c r="F2" s="395"/>
      <c r="G2" s="395"/>
      <c r="H2" s="395"/>
      <c r="I2" s="395"/>
      <c r="J2" s="395"/>
      <c r="K2" s="395"/>
    </row>
    <row r="3" spans="1:14">
      <c r="A3" s="395"/>
      <c r="B3" s="395"/>
      <c r="C3" s="395"/>
      <c r="D3" s="395"/>
      <c r="E3" s="395"/>
      <c r="F3" s="395"/>
      <c r="G3" s="395"/>
      <c r="H3" s="395"/>
      <c r="I3" s="395"/>
      <c r="J3" s="395"/>
      <c r="K3" s="395"/>
    </row>
    <row r="4" spans="1:14" ht="28.5">
      <c r="A4" s="396" t="s">
        <v>463</v>
      </c>
      <c r="B4" s="397" t="s">
        <v>464</v>
      </c>
      <c r="C4" s="397" t="s">
        <v>465</v>
      </c>
      <c r="D4" s="397" t="s">
        <v>466</v>
      </c>
      <c r="E4" s="397" t="s">
        <v>467</v>
      </c>
      <c r="F4" s="398" t="s">
        <v>468</v>
      </c>
      <c r="G4" s="395"/>
      <c r="H4" s="395"/>
      <c r="I4" s="395"/>
      <c r="J4" s="395"/>
      <c r="K4" s="395"/>
    </row>
    <row r="5" spans="1:14" ht="45">
      <c r="A5" s="399">
        <v>1</v>
      </c>
      <c r="B5" s="400" t="s">
        <v>469</v>
      </c>
      <c r="C5" s="401" t="s">
        <v>470</v>
      </c>
      <c r="D5" s="401" t="s">
        <v>471</v>
      </c>
      <c r="E5" s="402">
        <f>'План-график'!F19</f>
        <v>2480000</v>
      </c>
      <c r="F5" s="403" t="s">
        <v>472</v>
      </c>
      <c r="H5" s="234"/>
      <c r="L5" s="234"/>
      <c r="M5" s="234"/>
    </row>
    <row r="6" spans="1:14" ht="105">
      <c r="A6" s="399">
        <v>2</v>
      </c>
      <c r="B6" s="401" t="s">
        <v>473</v>
      </c>
      <c r="C6" s="404" t="s">
        <v>474</v>
      </c>
      <c r="D6" s="404" t="s">
        <v>475</v>
      </c>
      <c r="E6" s="405">
        <v>0.25</v>
      </c>
      <c r="F6" s="403" t="s">
        <v>476</v>
      </c>
      <c r="M6" s="234"/>
    </row>
    <row r="7" spans="1:14" ht="135">
      <c r="A7" s="399">
        <v>3</v>
      </c>
      <c r="B7" s="400" t="s">
        <v>477</v>
      </c>
      <c r="C7" s="406"/>
      <c r="D7" s="407" t="s">
        <v>478</v>
      </c>
      <c r="E7" s="402">
        <f>((РДДС!P54/((1+E6)^1))+(РДДС!AC54/((1+E6)^2))+(РДДС!AP54/((1+E6)^3))-E5)</f>
        <v>18539547.187199987</v>
      </c>
      <c r="F7" s="403" t="s">
        <v>479</v>
      </c>
      <c r="G7" s="408"/>
      <c r="H7" s="234"/>
      <c r="I7" s="234"/>
      <c r="J7" s="234"/>
      <c r="K7" s="234"/>
      <c r="L7" s="234"/>
      <c r="M7" s="234"/>
      <c r="N7" s="409"/>
    </row>
    <row r="8" spans="1:14" ht="150">
      <c r="A8" s="399">
        <v>4</v>
      </c>
      <c r="B8" s="400" t="s">
        <v>480</v>
      </c>
      <c r="C8" s="410"/>
      <c r="D8" s="407" t="s">
        <v>481</v>
      </c>
      <c r="E8" s="405">
        <f>IRR(РДДС!C62:F62)</f>
        <v>1.4380041271175521</v>
      </c>
      <c r="F8" s="403" t="s">
        <v>482</v>
      </c>
      <c r="G8" s="411"/>
      <c r="H8" s="412"/>
      <c r="I8" s="411"/>
      <c r="L8" s="234"/>
      <c r="M8" s="234"/>
    </row>
    <row r="9" spans="1:14" ht="90">
      <c r="A9" s="413">
        <v>5</v>
      </c>
      <c r="B9" s="414" t="s">
        <v>483</v>
      </c>
      <c r="C9" s="415" t="s">
        <v>484</v>
      </c>
      <c r="D9" s="416" t="s">
        <v>471</v>
      </c>
      <c r="E9" s="417">
        <f>РДДС!C59</f>
        <v>12</v>
      </c>
      <c r="F9" s="418" t="s">
        <v>485</v>
      </c>
    </row>
  </sheetData>
  <pageMargins left="0.7" right="0.7" top="0.75" bottom="0.75" header="0.3" footer="0.3"/>
  <pageSetup paperSize="9" orientation="portrait"/>
  <legacyDrawing r:id="rId1"/>
  <oleObjects>
    <oleObject progId="Equation.3" shapeId="16384" r:id="rId2"/>
    <oleObject progId="Equation.3" shapeId="16385" r:id="rId3"/>
    <oleObject progId="Equation.3" shapeId="16386" r:id="rId4"/>
    <oleObject progId="Equation.3" shapeId="16387" r:id="rId5"/>
    <oleObject progId="Equation.3" shapeId="16388" r:id="rId6"/>
  </oleObjects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9">
    <tabColor theme="3" tint="0.59999389629810485"/>
  </sheetPr>
  <dimension ref="A2:M33"/>
  <sheetViews>
    <sheetView topLeftCell="A4" zoomScale="90" workbookViewId="0">
      <selection activeCell="O3" sqref="O3"/>
    </sheetView>
  </sheetViews>
  <sheetFormatPr defaultColWidth="9.140625" defaultRowHeight="15"/>
  <cols>
    <col min="1" max="1" width="40.42578125" style="269" bestFit="1" customWidth="1"/>
    <col min="2" max="13" width="10.140625" style="269" bestFit="1" customWidth="1"/>
    <col min="14" max="16384" width="9.140625" style="269"/>
  </cols>
  <sheetData>
    <row r="2" spans="1:13" ht="18.75">
      <c r="A2" s="419" t="s">
        <v>486</v>
      </c>
    </row>
    <row r="3" spans="1:13" s="420" customFormat="1" ht="14.25">
      <c r="A3" s="530" t="s">
        <v>2</v>
      </c>
      <c r="B3" s="532" t="s">
        <v>3</v>
      </c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4"/>
    </row>
    <row r="4" spans="1:13" s="420" customFormat="1" ht="14.25">
      <c r="A4" s="531"/>
      <c r="B4" s="421">
        <f>РДДС!D5</f>
        <v>45809</v>
      </c>
      <c r="C4" s="421">
        <f>РДДС!E5</f>
        <v>45839</v>
      </c>
      <c r="D4" s="421">
        <f>РДДС!F5</f>
        <v>45870</v>
      </c>
      <c r="E4" s="421">
        <f>РДДС!G5</f>
        <v>45901</v>
      </c>
      <c r="F4" s="421">
        <f>РДДС!H5</f>
        <v>45931</v>
      </c>
      <c r="G4" s="421">
        <f>РДДС!I5</f>
        <v>45962</v>
      </c>
      <c r="H4" s="421">
        <f>РДДС!J5</f>
        <v>45992</v>
      </c>
      <c r="I4" s="421">
        <f>РДДС!K5</f>
        <v>46023</v>
      </c>
      <c r="J4" s="421">
        <f>РДДС!L5</f>
        <v>46054</v>
      </c>
      <c r="K4" s="421">
        <f>РДДС!M5</f>
        <v>46082</v>
      </c>
      <c r="L4" s="421">
        <f>РДДС!N5</f>
        <v>46113</v>
      </c>
      <c r="M4" s="422">
        <f>РДДС!O5</f>
        <v>46143</v>
      </c>
    </row>
    <row r="5" spans="1:13">
      <c r="A5" s="423" t="str">
        <f>'Продукция и цена '!A4</f>
        <v>Аренда системы: "Базовый" тариф</v>
      </c>
      <c r="B5" s="424">
        <f>РДДС!$D$41/РДДС!$D$6*Продажи!B5</f>
        <v>2.7713907407407405</v>
      </c>
      <c r="C5" s="424">
        <f>РДДС!E41/РДДС!E6*Продажи!C5</f>
        <v>21.269630379746836</v>
      </c>
      <c r="D5" s="424">
        <f>РДДС!F41/РДДС!F6*Продажи!D5</f>
        <v>4.1328956276445705</v>
      </c>
      <c r="E5" s="424">
        <f>РДДС!G41/РДДС!G6*Продажи!E5</f>
        <v>13.174563636363636</v>
      </c>
      <c r="F5" s="424">
        <f>РДДС!H41/РДДС!H6*Продажи!F5</f>
        <v>8.2923900709219858</v>
      </c>
      <c r="G5" s="424">
        <f>РДДС!I41/РДДС!I6*Продажи!G5</f>
        <v>9.4075705882352931</v>
      </c>
      <c r="H5" s="424">
        <f>РДДС!J41/РДДС!J6*Продажи!H5</f>
        <v>10.135419895287958</v>
      </c>
      <c r="I5" s="424">
        <f>РДДС!K41/РДДС!K6*Продажи!I5</f>
        <v>9.9652369152970923</v>
      </c>
      <c r="J5" s="424">
        <f>РДДС!L41/РДДС!L6*Продажи!J5</f>
        <v>8.8713399668325046</v>
      </c>
      <c r="K5" s="424">
        <f>РДДС!M41/РДДС!M6*Продажи!K5</f>
        <v>14.935731958762887</v>
      </c>
      <c r="L5" s="424">
        <f>РДДС!N41/РДДС!N6*Продажи!L5</f>
        <v>12.464830111524163</v>
      </c>
      <c r="M5" s="425">
        <f>РДДС!O41/РДДС!O6*Продажи!M5</f>
        <v>12.347445172124267</v>
      </c>
    </row>
    <row r="6" spans="1:13">
      <c r="A6" s="423" t="str">
        <f>'Продукция и цена '!A5</f>
        <v>Поддержка системы</v>
      </c>
      <c r="B6" s="424">
        <f>РДДС!D41/РДДС!D6*Продажи!B6</f>
        <v>5.5427814814814811</v>
      </c>
      <c r="C6" s="424">
        <f>РДДС!E41/РДДС!E6*Продажи!C6</f>
        <v>0</v>
      </c>
      <c r="D6" s="424">
        <f>РДДС!F41/РДДС!F6*Продажи!D6</f>
        <v>2.7552637517630467</v>
      </c>
      <c r="E6" s="424">
        <f>РДДС!G41/РДДС!G6*Продажи!E6</f>
        <v>6.5872818181818182</v>
      </c>
      <c r="F6" s="424">
        <f>РДДС!H41/РДДС!H6*Продажи!F6</f>
        <v>4.9754340425531911</v>
      </c>
      <c r="G6" s="424">
        <f>РДДС!I41/РДДС!I6*Продажи!G6</f>
        <v>5.3757546218487393</v>
      </c>
      <c r="H6" s="424">
        <f>РДДС!J41/РДДС!J6*Продажи!H6</f>
        <v>6.3346374345549741</v>
      </c>
      <c r="I6" s="424">
        <f>РДДС!K41/РДДС!K6*Продажи!I6</f>
        <v>7.4739276864728197</v>
      </c>
      <c r="J6" s="424">
        <f>РДДС!L41/РДДС!L6*Продажи!J6</f>
        <v>7.0970719734660035</v>
      </c>
      <c r="K6" s="424">
        <f>РДДС!M41/РДДС!M6*Продажи!K6</f>
        <v>9.9571546391752577</v>
      </c>
      <c r="L6" s="424">
        <f>РДДС!N41/РДДС!N6*Продажи!L6</f>
        <v>8.6294977695167283</v>
      </c>
      <c r="M6" s="425">
        <f>РДДС!O41/РДДС!O6*Продажи!M6</f>
        <v>8.8196036943744751</v>
      </c>
    </row>
    <row r="7" spans="1:13">
      <c r="A7" s="423" t="str">
        <f>'Продукция и цена '!A6</f>
        <v>Встроенная коммерция (доп. услуги)</v>
      </c>
      <c r="B7" s="424">
        <f>РДДС!D41/РДДС!D6*Продажи!B7</f>
        <v>2.7713907407407405</v>
      </c>
      <c r="C7" s="424">
        <f>РДДС!E41/РДДС!E6*Продажи!C7</f>
        <v>10.634815189873418</v>
      </c>
      <c r="D7" s="424">
        <f>РДДС!F41/РДДС!F6*Продажи!D7</f>
        <v>1.3776318758815234</v>
      </c>
      <c r="E7" s="424">
        <f>РДДС!G41/РДДС!G6*Продажи!E7</f>
        <v>3.2936409090909091</v>
      </c>
      <c r="F7" s="424">
        <f>РДДС!H43/РДДС!H8*Продажи!F7</f>
        <v>-1.0923964322184454E-5</v>
      </c>
      <c r="G7" s="424">
        <f>РДДС!I41/РДДС!I6*Продажи!G7</f>
        <v>1.3439386554621848</v>
      </c>
      <c r="H7" s="424">
        <f>РДДС!J41/РДДС!J6*Продажи!H7</f>
        <v>1.2669274869109948</v>
      </c>
      <c r="I7" s="424">
        <f>РДДС!K41/РДДС!K6*Продажи!I7</f>
        <v>1.2456546144121365</v>
      </c>
      <c r="J7" s="424">
        <f>РДДС!L41/РДДС!L6*Продажи!J7</f>
        <v>0.88713399668325044</v>
      </c>
      <c r="K7" s="424">
        <f>РДДС!M41/РДДС!M6*Продажи!K7</f>
        <v>1.2446443298969072</v>
      </c>
      <c r="L7" s="424">
        <f>РДДС!N41/РДДС!N6*Продажи!L7</f>
        <v>0.95883308550185875</v>
      </c>
      <c r="M7" s="425">
        <f>РДДС!O41/РДДС!O6*Продажи!M7</f>
        <v>0.8819603694374476</v>
      </c>
    </row>
    <row r="8" spans="1:13">
      <c r="A8" s="423" t="str">
        <f>'Продукция и цена '!A7</f>
        <v>Установка и настройка системы, онбординг</v>
      </c>
      <c r="B8" s="424">
        <f>РДДС!D41/РДДС!D6*Продажи!B8</f>
        <v>2.7713907407407405</v>
      </c>
      <c r="C8" s="424">
        <f>РДДС!E41/РДДС!E6*Продажи!C8</f>
        <v>0</v>
      </c>
      <c r="D8" s="424">
        <f>РДДС!F41/РДДС!F6*Продажи!D8</f>
        <v>2.7552637517630467</v>
      </c>
      <c r="E8" s="424">
        <f>РДДС!G41/РДДС!G6*Продажи!E8</f>
        <v>0</v>
      </c>
      <c r="F8" s="424">
        <f>РДДС!H43/РДДС!H8*Продажи!F8</f>
        <v>-1.0923964322184454E-5</v>
      </c>
      <c r="G8" s="424">
        <f>РДДС!I41/РДДС!I6*Продажи!G8</f>
        <v>1.3439386554621848</v>
      </c>
      <c r="H8" s="424">
        <f>РДДС!J41/РДДС!J6*Продажи!H8</f>
        <v>1.2669274869109948</v>
      </c>
      <c r="I8" s="424">
        <f>РДДС!K41/РДДС!K6*Продажи!I8</f>
        <v>1.2456546144121365</v>
      </c>
      <c r="J8" s="424">
        <f>РДДС!L41/РДДС!L6*Продажи!J8</f>
        <v>1.7742679933665009</v>
      </c>
      <c r="K8" s="424">
        <f>РДДС!M41/РДДС!M6*Продажи!K8</f>
        <v>0</v>
      </c>
      <c r="L8" s="424">
        <f>РДДС!N41/РДДС!N6*Продажи!L8</f>
        <v>0.95883308550185875</v>
      </c>
      <c r="M8" s="425">
        <f>РДДС!O41/РДДС!O6*Продажи!M8</f>
        <v>0.8819603694374476</v>
      </c>
    </row>
    <row r="9" spans="1:13">
      <c r="A9" s="423" t="str">
        <f>'Продукция и цена '!A8</f>
        <v>Реклама/партнёрства</v>
      </c>
      <c r="B9" s="424">
        <f>РДДС!D41/РДДС!D6*Продажи!B9</f>
        <v>0</v>
      </c>
      <c r="C9" s="424">
        <f>РДДС!E41/РДДС!E6*Продажи!C9</f>
        <v>0</v>
      </c>
      <c r="D9" s="424">
        <f>РДДС!F41/РДДС!F6*Продажи!D9</f>
        <v>0</v>
      </c>
      <c r="E9" s="424">
        <f>РДДС!G41/РДДС!G6*Продажи!E9</f>
        <v>3.2936409090909091</v>
      </c>
      <c r="F9" s="424">
        <f>РДДС!H41/РДДС!H6*Продажи!F9</f>
        <v>1.6584780141843971</v>
      </c>
      <c r="G9" s="424">
        <f>РДДС!I41/РДДС!I6*Продажи!G9</f>
        <v>1.3439386554621848</v>
      </c>
      <c r="H9" s="424">
        <f>РДДС!J41/РДДС!J6*Продажи!H9</f>
        <v>1.2669274869109948</v>
      </c>
      <c r="I9" s="424">
        <f>РДДС!K41/РДДС!K6*Продажи!I9</f>
        <v>1.2456546144121365</v>
      </c>
      <c r="J9" s="424">
        <f>РДДС!L41/РДДС!L6*Продажи!J9</f>
        <v>0.88713399668325044</v>
      </c>
      <c r="K9" s="424">
        <f>РДДС!M41/РДДС!M6*Продажи!K9</f>
        <v>1.2446443298969072</v>
      </c>
      <c r="L9" s="424">
        <f>РДДС!N41/РДДС!N6*Продажи!L9</f>
        <v>0.95883308550185875</v>
      </c>
      <c r="M9" s="425">
        <f>РДДС!O41/РДДС!O6*Продажи!M9</f>
        <v>0.8819603694374476</v>
      </c>
    </row>
    <row r="10" spans="1:13">
      <c r="A10" s="423">
        <f>'Продукция и цена '!A9</f>
        <v>0</v>
      </c>
      <c r="B10" s="424">
        <f>РДДС!D41/РДДС!D6*Продажи!B10</f>
        <v>0</v>
      </c>
      <c r="C10" s="424">
        <f>РДДС!E41/РДДС!E6*Продажи!C10</f>
        <v>0</v>
      </c>
      <c r="D10" s="424">
        <f>РДДС!F41/РДДС!F6*Продажи!D10</f>
        <v>0</v>
      </c>
      <c r="E10" s="424">
        <f>РДДС!G41/РДДС!G6*Продажи!E10</f>
        <v>0</v>
      </c>
      <c r="F10" s="424">
        <f>РДДС!H41/РДДС!H6*Продажи!F10</f>
        <v>0</v>
      </c>
      <c r="G10" s="424">
        <f>РДДС!I41/РДДС!I6*Продажи!G10</f>
        <v>0</v>
      </c>
      <c r="H10" s="424">
        <f>РДДС!J41/РДДС!J6*Продажи!H10</f>
        <v>0</v>
      </c>
      <c r="I10" s="424">
        <f>РДДС!K41/РДДС!K6*Продажи!I10</f>
        <v>0</v>
      </c>
      <c r="J10" s="424">
        <f>РДДС!L41/РДДС!L6*Продажи!J10</f>
        <v>0</v>
      </c>
      <c r="K10" s="424">
        <f>РДДС!M41/РДДС!M6*Продажи!K10</f>
        <v>0</v>
      </c>
      <c r="L10" s="424">
        <f>РДДС!N41/РДДС!N6*Продажи!L10</f>
        <v>0</v>
      </c>
      <c r="M10" s="425">
        <f>РДДС!O41/РДДС!O6*Продажи!M10</f>
        <v>0</v>
      </c>
    </row>
    <row r="11" spans="1:13">
      <c r="A11" s="423">
        <f>'Продукция и цена '!A10</f>
        <v>0</v>
      </c>
      <c r="B11" s="424">
        <f>РДДС!D41/РДДС!D6*Продажи!B11</f>
        <v>0</v>
      </c>
      <c r="C11" s="424">
        <f>РДДС!E41/РДДС!E6*Продажи!C11</f>
        <v>0</v>
      </c>
      <c r="D11" s="424">
        <f>РДДС!F41/РДДС!F6*Продажи!D11</f>
        <v>0</v>
      </c>
      <c r="E11" s="424">
        <f>РДДС!G41/РДДС!G6*Продажи!E11</f>
        <v>0</v>
      </c>
      <c r="F11" s="424">
        <f>РДДС!H41/РДДС!H6*Продажи!F11</f>
        <v>0</v>
      </c>
      <c r="G11" s="424">
        <f>РДДС!I41/РДДС!I6*Продажи!G11</f>
        <v>0</v>
      </c>
      <c r="H11" s="424">
        <f>РДДС!J41/РДДС!J6*Продажи!H11</f>
        <v>0</v>
      </c>
      <c r="I11" s="424">
        <f>РДДС!K41/РДДС!K6*Продажи!I11</f>
        <v>0</v>
      </c>
      <c r="J11" s="424">
        <f>РДДС!L41/РДДС!L6*Продажи!J11</f>
        <v>0</v>
      </c>
      <c r="K11" s="424">
        <f>РДДС!M41/РДДС!M6*Продажи!K11</f>
        <v>0</v>
      </c>
      <c r="L11" s="424">
        <f>РДДС!N41/РДДС!N6*Продажи!L11</f>
        <v>0</v>
      </c>
      <c r="M11" s="425">
        <f>РДДС!O41/РДДС!O6*Продажи!M11</f>
        <v>0</v>
      </c>
    </row>
    <row r="12" spans="1:13">
      <c r="A12" s="423" t="str">
        <f>'Продукция и цена '!A11</f>
        <v>Аренда системы: "Продвинутый" тариф</v>
      </c>
      <c r="B12" s="424">
        <f>РДДС!D41/РДДС!D6*Продажи!B12</f>
        <v>0</v>
      </c>
      <c r="C12" s="424">
        <f>РДДС!E41/РДДС!E6*Продажи!C12</f>
        <v>0</v>
      </c>
      <c r="D12" s="424">
        <f>РДДС!F41/РДДС!F6*Продажи!D12</f>
        <v>1.3776318758815234</v>
      </c>
      <c r="E12" s="424">
        <f>РДДС!G41/РДДС!G6*Продажи!E12</f>
        <v>3.2936409090909091</v>
      </c>
      <c r="F12" s="424">
        <f>РДДС!H41/РДДС!H6*Продажи!F12</f>
        <v>1.6584780141843971</v>
      </c>
      <c r="G12" s="424">
        <f>РДДС!I41/РДДС!I6*Продажи!G12</f>
        <v>2.6878773109243697</v>
      </c>
      <c r="H12" s="424">
        <f>РДДС!J41/РДДС!J6*Продажи!H12</f>
        <v>2.5338549738219895</v>
      </c>
      <c r="I12" s="424">
        <f>РДДС!K41/РДДС!K6*Продажи!I12</f>
        <v>2.4913092288242731</v>
      </c>
      <c r="J12" s="424">
        <f>РДДС!L41/РДДС!L6*Продажи!J12</f>
        <v>2.6614019900497512</v>
      </c>
      <c r="K12" s="424">
        <f>РДДС!M41/РДДС!M6*Продажи!K12</f>
        <v>3.7339329896907216</v>
      </c>
      <c r="L12" s="424">
        <f>РДДС!N41/РДДС!N6*Продажи!L12</f>
        <v>2.8764992565055763</v>
      </c>
      <c r="M12" s="425">
        <f>РДДС!O41/РДДС!O6*Продажи!M12</f>
        <v>3.5278414777497904</v>
      </c>
    </row>
    <row r="13" spans="1:13">
      <c r="A13" s="423" t="str">
        <f>'Продукция и цена '!A12</f>
        <v>Аренда системы: "Бизнес" тариф</v>
      </c>
      <c r="B13" s="424">
        <f>РДДС!D41/РДДС!D6*Продажи!B13</f>
        <v>0</v>
      </c>
      <c r="C13" s="424">
        <f>РДДС!E41/РДДС!E6*Продажи!C13</f>
        <v>0</v>
      </c>
      <c r="D13" s="424">
        <f>РДДС!F41/РДДС!F6*Продажи!D13</f>
        <v>0</v>
      </c>
      <c r="E13" s="424">
        <f>РДДС!G41/РДДС!G6*Продажи!E13</f>
        <v>0</v>
      </c>
      <c r="F13" s="424">
        <f>РДДС!H41/РДДС!H6*Продажи!F13</f>
        <v>0</v>
      </c>
      <c r="G13" s="424">
        <f>РДДС!I41/РДДС!I6*Продажи!G13</f>
        <v>0</v>
      </c>
      <c r="H13" s="424">
        <f>РДДС!J41/РДДС!J6*Продажи!H13</f>
        <v>0</v>
      </c>
      <c r="I13" s="424">
        <f>РДДС!K41/РДДС!K6*Продажи!I13</f>
        <v>1.2456546144121365</v>
      </c>
      <c r="J13" s="424">
        <f>РДДС!L41/РДДС!L6*Продажи!J13</f>
        <v>0.88713399668325044</v>
      </c>
      <c r="K13" s="424">
        <f>РДДС!M41/РДДС!M6*Продажи!K13</f>
        <v>1.2446443298969072</v>
      </c>
      <c r="L13" s="424">
        <f>РДДС!N41/РДДС!N6*Продажи!L13</f>
        <v>0.95883308550185875</v>
      </c>
      <c r="M13" s="425">
        <f>РДДС!O41/РДДС!O6*Продажи!M13</f>
        <v>0.8819603694374476</v>
      </c>
    </row>
    <row r="14" spans="1:13">
      <c r="A14" s="423">
        <f>'Продукция и цена '!A13</f>
        <v>0</v>
      </c>
      <c r="B14" s="424">
        <f>РДДС!D41/РДДС!D6*Продажи!B14</f>
        <v>0</v>
      </c>
      <c r="C14" s="424">
        <f>РДДС!E41/РДДС!E6*Продажи!C14</f>
        <v>0</v>
      </c>
      <c r="D14" s="424">
        <f>РДДС!F41/РДДС!F6*Продажи!D14</f>
        <v>0</v>
      </c>
      <c r="E14" s="424">
        <f>РДДС!G41/РДДС!G6*Продажи!E14</f>
        <v>0</v>
      </c>
      <c r="F14" s="424">
        <f>РДДС!H41/РДДС!H6*Продажи!F14</f>
        <v>0</v>
      </c>
      <c r="G14" s="424">
        <f>РДДС!I41/РДДС!I6*Продажи!G14</f>
        <v>0</v>
      </c>
      <c r="H14" s="424">
        <f>РДДС!J41/РДДС!J6*Продажи!H14</f>
        <v>0</v>
      </c>
      <c r="I14" s="424">
        <f>РДДС!K41/РДДС!K6*Продажи!I14</f>
        <v>0</v>
      </c>
      <c r="J14" s="424">
        <f>РДДС!L41/РДДС!L6*Продажи!J14</f>
        <v>0</v>
      </c>
      <c r="K14" s="424">
        <f>РДДС!M41/РДДС!M6*Продажи!K14</f>
        <v>0</v>
      </c>
      <c r="L14" s="424">
        <f>РДДС!N41/РДДС!N6*Продажи!L14</f>
        <v>0</v>
      </c>
      <c r="M14" s="425">
        <f>РДДС!O41/РДДС!O6*Продажи!M14</f>
        <v>0</v>
      </c>
    </row>
    <row r="15" spans="1:13" s="270" customFormat="1" ht="14.25">
      <c r="A15" s="426" t="s">
        <v>102</v>
      </c>
      <c r="B15" s="427">
        <f>SUM(B5:B14)</f>
        <v>13.856953703703702</v>
      </c>
      <c r="C15" s="427">
        <f t="shared" ref="C15:M15" si="0">SUM(C5:C14)</f>
        <v>31.904445569620254</v>
      </c>
      <c r="D15" s="427">
        <f t="shared" si="0"/>
        <v>12.39868688293371</v>
      </c>
      <c r="E15" s="427">
        <f t="shared" si="0"/>
        <v>29.642768181818184</v>
      </c>
      <c r="F15" s="427">
        <f t="shared" si="0"/>
        <v>16.584758293915328</v>
      </c>
      <c r="G15" s="427">
        <f t="shared" si="0"/>
        <v>21.503018487394961</v>
      </c>
      <c r="H15" s="427">
        <f t="shared" si="0"/>
        <v>22.804694764397901</v>
      </c>
      <c r="I15" s="427">
        <f t="shared" si="0"/>
        <v>24.913092288242726</v>
      </c>
      <c r="J15" s="427">
        <f t="shared" si="0"/>
        <v>23.06548391376451</v>
      </c>
      <c r="K15" s="427">
        <f t="shared" si="0"/>
        <v>32.360752577319587</v>
      </c>
      <c r="L15" s="427">
        <f t="shared" si="0"/>
        <v>27.806159479553898</v>
      </c>
      <c r="M15" s="428">
        <f t="shared" si="0"/>
        <v>28.22273182199832</v>
      </c>
    </row>
    <row r="18" spans="1:13" ht="18.75">
      <c r="A18" s="419" t="s">
        <v>487</v>
      </c>
    </row>
    <row r="19" spans="1:13" s="420" customFormat="1" ht="14.25">
      <c r="A19" s="530" t="s">
        <v>2</v>
      </c>
      <c r="B19" s="532" t="s">
        <v>3</v>
      </c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4"/>
    </row>
    <row r="20" spans="1:13" s="420" customFormat="1" ht="14.25">
      <c r="A20" s="531"/>
      <c r="B20" s="421">
        <f>B4</f>
        <v>45809</v>
      </c>
      <c r="C20" s="421">
        <f t="shared" ref="C20:M20" si="1">C4</f>
        <v>45839</v>
      </c>
      <c r="D20" s="421">
        <f t="shared" si="1"/>
        <v>45870</v>
      </c>
      <c r="E20" s="421">
        <f t="shared" si="1"/>
        <v>45901</v>
      </c>
      <c r="F20" s="421">
        <f t="shared" si="1"/>
        <v>45931</v>
      </c>
      <c r="G20" s="421">
        <f t="shared" si="1"/>
        <v>45962</v>
      </c>
      <c r="H20" s="421">
        <f t="shared" si="1"/>
        <v>45992</v>
      </c>
      <c r="I20" s="421">
        <f t="shared" si="1"/>
        <v>46023</v>
      </c>
      <c r="J20" s="421">
        <f t="shared" si="1"/>
        <v>46054</v>
      </c>
      <c r="K20" s="421">
        <f t="shared" si="1"/>
        <v>46082</v>
      </c>
      <c r="L20" s="421">
        <f t="shared" si="1"/>
        <v>46113</v>
      </c>
      <c r="M20" s="422">
        <f t="shared" si="1"/>
        <v>46143</v>
      </c>
    </row>
    <row r="21" spans="1:13">
      <c r="A21" s="423" t="str">
        <f>'Продукция и цена '!A4</f>
        <v>Аренда системы: "Базовый" тариф</v>
      </c>
      <c r="B21" s="424">
        <f>РДДС!D41/РДДС!D6*Продажи!B21</f>
        <v>96998.675925925912</v>
      </c>
      <c r="C21" s="424">
        <f>РДДС!E41/РДДС!E6*Продажи!C21</f>
        <v>744437.06329113932</v>
      </c>
      <c r="D21" s="424">
        <f>РДДС!F41/РДДС!F6*Продажи!D21</f>
        <v>144651.34696755995</v>
      </c>
      <c r="E21" s="424">
        <f>РДДС!G41/РДДС!G6*Продажи!E21</f>
        <v>461109.72727272729</v>
      </c>
      <c r="F21" s="424">
        <f>РДДС!H41/РДДС!H6*Продажи!F21</f>
        <v>290233.65248226951</v>
      </c>
      <c r="G21" s="424">
        <f>РДДС!I41/РДДС!I6*Продажи!G21</f>
        <v>329264.9705882353</v>
      </c>
      <c r="H21" s="424">
        <f>РДДС!J41/РДДС!J6*Продажи!H21</f>
        <v>354739.69633507851</v>
      </c>
      <c r="I21" s="424">
        <f>РДДС!K41/РДДС!K6*Продажи!I21</f>
        <v>348783.29203539825</v>
      </c>
      <c r="J21" s="424">
        <f>РДДС!L41/РДДС!L6*Продажи!J21</f>
        <v>310496.89883913763</v>
      </c>
      <c r="K21" s="424">
        <f>РДДС!M41/РДДС!M6*Продажи!K21</f>
        <v>522750.61855670105</v>
      </c>
      <c r="L21" s="424">
        <f>РДДС!N41/РДДС!N6*Продажи!L21</f>
        <v>436269.05390334572</v>
      </c>
      <c r="M21" s="425">
        <f>РДДС!O41/РДДС!O6*Продажи!M21</f>
        <v>432160.58102434932</v>
      </c>
    </row>
    <row r="22" spans="1:13">
      <c r="A22" s="423" t="str">
        <f>'Продукция и цена '!A5</f>
        <v>Поддержка системы</v>
      </c>
      <c r="B22" s="424">
        <f>РДДС!D41/РДДС!D6*Продажи!B22</f>
        <v>83141.722222222219</v>
      </c>
      <c r="C22" s="424">
        <f>РДДС!E41/РДДС!E6*Продажи!C22</f>
        <v>0</v>
      </c>
      <c r="D22" s="424">
        <f>РДДС!F41/РДДС!F6*Продажи!D22</f>
        <v>41328.9562764457</v>
      </c>
      <c r="E22" s="424">
        <f>РДДС!G41/РДДС!G6*Продажи!E22</f>
        <v>98809.227272727279</v>
      </c>
      <c r="F22" s="424">
        <f>РДДС!H41/РДДС!H6*Продажи!F22</f>
        <v>74631.51063829787</v>
      </c>
      <c r="G22" s="424">
        <f>РДДС!I41/РДДС!I6*Продажи!G22</f>
        <v>80636.319327731093</v>
      </c>
      <c r="H22" s="424">
        <f>РДДС!J41/РДДС!J6*Продажи!H22</f>
        <v>95019.561518324612</v>
      </c>
      <c r="I22" s="424">
        <f>РДДС!K41/РДДС!K6*Продажи!I22</f>
        <v>112108.91529709229</v>
      </c>
      <c r="J22" s="424">
        <f>РДДС!L41/РДДС!L6*Продажи!J22</f>
        <v>106456.07960199006</v>
      </c>
      <c r="K22" s="424">
        <f>РДДС!M41/РДДС!M6*Продажи!K22</f>
        <v>149357.31958762885</v>
      </c>
      <c r="L22" s="424">
        <f>РДДС!N41/РДДС!N6*Продажи!L22</f>
        <v>129442.46654275093</v>
      </c>
      <c r="M22" s="425">
        <f>РДДС!O41/РДДС!O6*Продажи!M22</f>
        <v>132294.05541561713</v>
      </c>
    </row>
    <row r="23" spans="1:13">
      <c r="A23" s="423" t="str">
        <f>'Продукция и цена '!A6</f>
        <v>Встроенная коммерция (доп. услуги)</v>
      </c>
      <c r="B23" s="424">
        <f>РДДС!D41/РДДС!D6*Продажи!B23</f>
        <v>24942.516666666666</v>
      </c>
      <c r="C23" s="424">
        <f>РДДС!E41/РДДС!E6*Продажи!C23</f>
        <v>95713.336708860763</v>
      </c>
      <c r="D23" s="424">
        <f>РДДС!F41/РДДС!F6*Продажи!D23</f>
        <v>12398.686882933711</v>
      </c>
      <c r="E23" s="424">
        <f>РДДС!G41/РДДС!G6*Продажи!E23</f>
        <v>29642.768181818181</v>
      </c>
      <c r="F23" s="424">
        <f>РДДС!H41/РДДС!H6*Продажи!F23</f>
        <v>14926.302127659574</v>
      </c>
      <c r="G23" s="424">
        <f>РДДС!I41/РДДС!I6*Продажи!G23</f>
        <v>12095.447899159664</v>
      </c>
      <c r="H23" s="424">
        <f>РДДС!J41/РДДС!J6*Продажи!H23</f>
        <v>11402.347382198954</v>
      </c>
      <c r="I23" s="424">
        <f>РДДС!K41/РДДС!K6*Продажи!I23</f>
        <v>11210.891529709228</v>
      </c>
      <c r="J23" s="424">
        <f>РДДС!L41/РДДС!L6*Продажи!J23</f>
        <v>7984.2059701492535</v>
      </c>
      <c r="K23" s="424">
        <f>РДДС!M41/РДДС!M6*Продажи!K23</f>
        <v>11201.798969072164</v>
      </c>
      <c r="L23" s="424">
        <f>РДДС!N41/РДДС!N6*Продажи!L23</f>
        <v>8629.497769516729</v>
      </c>
      <c r="M23" s="425">
        <f>РДДС!O41/РДДС!O6*Продажи!M23</f>
        <v>7937.6433249370284</v>
      </c>
    </row>
    <row r="24" spans="1:13">
      <c r="A24" s="423" t="str">
        <f>'Продукция и цена '!A7</f>
        <v>Установка и настройка системы, онбординг</v>
      </c>
      <c r="B24" s="424">
        <f>РДДС!D41/РДДС!D6*Продажи!B24</f>
        <v>692847.68518518517</v>
      </c>
      <c r="C24" s="424">
        <f>РДДС!E41/РДДС!E6*Продажи!C24</f>
        <v>0</v>
      </c>
      <c r="D24" s="424">
        <f>РДДС!F41/РДДС!F6*Продажи!D24</f>
        <v>688815.93794076168</v>
      </c>
      <c r="E24" s="424">
        <f>РДДС!G41/РДДС!G6*Продажи!E24</f>
        <v>0</v>
      </c>
      <c r="F24" s="424">
        <f>РДДС!H41/РДДС!H6*Продажи!F24</f>
        <v>414619.50354609929</v>
      </c>
      <c r="G24" s="424">
        <f>РДДС!I41/РДДС!I6*Продажи!G24</f>
        <v>335984.66386554623</v>
      </c>
      <c r="H24" s="424">
        <f>РДДС!J41/РДДС!J6*Продажи!H24</f>
        <v>316731.87172774872</v>
      </c>
      <c r="I24" s="424">
        <f>РДДС!K41/РДДС!K6*Продажи!I24</f>
        <v>311413.65360303415</v>
      </c>
      <c r="J24" s="424">
        <f>РДДС!L41/РДДС!L6*Продажи!J24</f>
        <v>443566.99834162521</v>
      </c>
      <c r="K24" s="424">
        <f>РДДС!M41/РДДС!M6*Продажи!K24</f>
        <v>0</v>
      </c>
      <c r="L24" s="424">
        <f>РДДС!N41/РДДС!N6*Продажи!L24</f>
        <v>239708.27137546468</v>
      </c>
      <c r="M24" s="425">
        <f>РДДС!O41/РДДС!O6*Продажи!M24</f>
        <v>220490.09235936191</v>
      </c>
    </row>
    <row r="25" spans="1:13">
      <c r="A25" s="423" t="str">
        <f>'Продукция и цена '!A8</f>
        <v>Реклама/партнёрства</v>
      </c>
      <c r="B25" s="424">
        <f>РДДС!D41/РДДС!D6*Продажи!B25</f>
        <v>0</v>
      </c>
      <c r="C25" s="424">
        <f>РДДС!E41/РДДС!E6*Продажи!C25</f>
        <v>0</v>
      </c>
      <c r="D25" s="424">
        <f>РДДС!F41/РДДС!F6*Продажи!D25</f>
        <v>0</v>
      </c>
      <c r="E25" s="424">
        <f>РДДС!G41/РДДС!G6*Продажи!E25</f>
        <v>65872.818181818177</v>
      </c>
      <c r="F25" s="424">
        <f>РДДС!H41/РДДС!H6*Продажи!F25</f>
        <v>33169.560283687941</v>
      </c>
      <c r="G25" s="424">
        <f>РДДС!I41/РДДС!I6*Продажи!G25</f>
        <v>26878.773109243695</v>
      </c>
      <c r="H25" s="424">
        <f>РДДС!J41/РДДС!J6*Продажи!H25</f>
        <v>25338.549738219896</v>
      </c>
      <c r="I25" s="424">
        <f>РДДС!K41/РДДС!K6*Продажи!I25</f>
        <v>24913.092288242729</v>
      </c>
      <c r="J25" s="424">
        <f>РДДС!L41/РДДС!L6*Продажи!J25</f>
        <v>17742.679933665007</v>
      </c>
      <c r="K25" s="424">
        <f>РДДС!M41/РДДС!M6*Продажи!K25</f>
        <v>24892.886597938144</v>
      </c>
      <c r="L25" s="424">
        <f>РДДС!N41/РДДС!N6*Продажи!L25</f>
        <v>19176.661710037177</v>
      </c>
      <c r="M25" s="425">
        <f>РДДС!O41/РДДС!O6*Продажи!M25</f>
        <v>17639.207388748953</v>
      </c>
    </row>
    <row r="26" spans="1:13">
      <c r="A26" s="423">
        <f>'Продукция и цена '!A9</f>
        <v>0</v>
      </c>
      <c r="B26" s="424">
        <f>РДДС!D41/РДДС!D6*Продажи!B26</f>
        <v>0</v>
      </c>
      <c r="C26" s="424">
        <f>РДДС!E41/РДДС!E6*Продажи!C26</f>
        <v>0</v>
      </c>
      <c r="D26" s="424">
        <f>РДДС!F41/РДДС!F6*Продажи!D26</f>
        <v>0</v>
      </c>
      <c r="E26" s="424">
        <f>РДДС!G41/РДДС!G6*Продажи!E26</f>
        <v>0</v>
      </c>
      <c r="F26" s="424">
        <f>РДДС!H41/РДДС!H6*Продажи!F26</f>
        <v>0</v>
      </c>
      <c r="G26" s="424">
        <f>РДДС!I41/РДДС!I6*Продажи!G26</f>
        <v>0</v>
      </c>
      <c r="H26" s="424">
        <f>РДДС!J41/РДДС!J6*Продажи!H26</f>
        <v>0</v>
      </c>
      <c r="I26" s="424">
        <f>РДДС!K41/РДДС!K6*Продажи!I26</f>
        <v>0</v>
      </c>
      <c r="J26" s="424">
        <f>РДДС!L41/РДДС!L6*Продажи!J26</f>
        <v>0</v>
      </c>
      <c r="K26" s="424">
        <f>РДДС!M41/РДДС!M6*Продажи!K26</f>
        <v>0</v>
      </c>
      <c r="L26" s="424">
        <f>РДДС!N41/РДДС!N6*Продажи!L26</f>
        <v>0</v>
      </c>
      <c r="M26" s="425">
        <f>РДДС!O41/РДДС!O6*Продажи!M26</f>
        <v>0</v>
      </c>
    </row>
    <row r="27" spans="1:13">
      <c r="A27" s="423">
        <f>'Продукция и цена '!A10</f>
        <v>0</v>
      </c>
      <c r="B27" s="424">
        <f>РДДС!D41/РДДС!D6*Продажи!B27</f>
        <v>0</v>
      </c>
      <c r="C27" s="424">
        <f>РДДС!E41/РДДС!E6*Продажи!C27</f>
        <v>0</v>
      </c>
      <c r="D27" s="424">
        <f>РДДС!F41/РДДС!F6*Продажи!D27</f>
        <v>0</v>
      </c>
      <c r="E27" s="424">
        <f>РДДС!G41/РДДС!G6*Продажи!E27</f>
        <v>0</v>
      </c>
      <c r="F27" s="424">
        <f>РДДС!H41/РДДС!H6*Продажи!F27</f>
        <v>0</v>
      </c>
      <c r="G27" s="424">
        <f>РДДС!I41/РДДС!I6*Продажи!G27</f>
        <v>0</v>
      </c>
      <c r="H27" s="424">
        <f>РДДС!J41/РДДС!J6*Продажи!H27</f>
        <v>0</v>
      </c>
      <c r="I27" s="424">
        <f>РДДС!K41/РДДС!K6*Продажи!I27</f>
        <v>0</v>
      </c>
      <c r="J27" s="424">
        <f>РДДС!L41/РДДС!L6*Продажи!J27</f>
        <v>0</v>
      </c>
      <c r="K27" s="424">
        <f>РДДС!M41/РДДС!M6*Продажи!K27</f>
        <v>0</v>
      </c>
      <c r="L27" s="424">
        <f>РДДС!N41/РДДС!N6*Продажи!L27</f>
        <v>0</v>
      </c>
      <c r="M27" s="425">
        <f>РДДС!O41/РДДС!O6*Продажи!M27</f>
        <v>0</v>
      </c>
    </row>
    <row r="28" spans="1:13">
      <c r="A28" s="423" t="str">
        <f>'Продукция и цена '!A11</f>
        <v>Аренда системы: "Продвинутый" тариф</v>
      </c>
      <c r="B28" s="424">
        <f>РДДС!D41/РДДС!D6*Продажи!B28</f>
        <v>0</v>
      </c>
      <c r="C28" s="424">
        <f>РДДС!E41/РДДС!E6*Продажи!C28</f>
        <v>0</v>
      </c>
      <c r="D28" s="424">
        <f>РДДС!F41/РДДС!F6*Продажи!D28</f>
        <v>89546.071932299019</v>
      </c>
      <c r="E28" s="424">
        <f>РДДС!G41/РДДС!G6*Продажи!E28</f>
        <v>214086.65909090909</v>
      </c>
      <c r="F28" s="424">
        <f>РДДС!H41/РДДС!H6*Продажи!F28</f>
        <v>107801.07092198581</v>
      </c>
      <c r="G28" s="424">
        <f>РДДС!I41/РДДС!I6*Продажи!G28</f>
        <v>174712.02521008402</v>
      </c>
      <c r="H28" s="424">
        <f>РДДС!J41/РДДС!J6*Продажи!H28</f>
        <v>164700.57329842931</v>
      </c>
      <c r="I28" s="424">
        <f>РДДС!K41/РДДС!K6*Продажи!I28</f>
        <v>161935.09987357774</v>
      </c>
      <c r="J28" s="424">
        <f>РДДС!L41/РДДС!L6*Продажи!J28</f>
        <v>172991.12935323385</v>
      </c>
      <c r="K28" s="424">
        <f>РДДС!M41/РДДС!M6*Продажи!K28</f>
        <v>242705.6443298969</v>
      </c>
      <c r="L28" s="424">
        <f>РДДС!N41/РДДС!N6*Продажи!L28</f>
        <v>186972.45167286246</v>
      </c>
      <c r="M28" s="425">
        <f>РДДС!O41/РДДС!O6*Продажи!M28</f>
        <v>229309.69605373638</v>
      </c>
    </row>
    <row r="29" spans="1:13">
      <c r="A29" s="423" t="str">
        <f>'Продукция и цена '!A12</f>
        <v>Аренда системы: "Бизнес" тариф</v>
      </c>
      <c r="B29" s="424">
        <f>РДДС!D41/РДДС!D6*Продажи!B29</f>
        <v>0</v>
      </c>
      <c r="C29" s="424">
        <f>РДДС!E41/РДДС!E6*Продажи!C29</f>
        <v>0</v>
      </c>
      <c r="D29" s="424">
        <f>РДДС!F41/РДДС!F6*Продажи!D29</f>
        <v>0</v>
      </c>
      <c r="E29" s="424">
        <f>РДДС!G41/РДДС!G6*Продажи!E29</f>
        <v>0</v>
      </c>
      <c r="F29" s="424">
        <f>РДДС!H41/РДДС!H6*Продажи!F29</f>
        <v>0</v>
      </c>
      <c r="G29" s="424">
        <f>РДДС!I41/РДДС!I6*Продажи!G29</f>
        <v>0</v>
      </c>
      <c r="H29" s="424">
        <f>РДДС!J41/РДДС!J6*Продажи!H29</f>
        <v>0</v>
      </c>
      <c r="I29" s="424">
        <f>РДДС!K41/РДДС!K6*Продажи!I29</f>
        <v>14947.855372945638</v>
      </c>
      <c r="J29" s="424">
        <f>РДДС!L41/РДДС!L6*Продажи!J29</f>
        <v>10645.607960199006</v>
      </c>
      <c r="K29" s="424">
        <f>РДДС!M41/РДДС!M6*Продажи!K29</f>
        <v>14935.731958762886</v>
      </c>
      <c r="L29" s="424">
        <f>РДДС!N41/РДДС!N6*Продажи!L29</f>
        <v>11505.997026022305</v>
      </c>
      <c r="M29" s="425">
        <f>РДДС!O41/РДДС!O6*Продажи!M29</f>
        <v>10583.524433249371</v>
      </c>
    </row>
    <row r="30" spans="1:13">
      <c r="A30" s="423">
        <f>'Продукция и цена '!A13</f>
        <v>0</v>
      </c>
      <c r="B30" s="424">
        <f>РДДС!D41/РДДС!D6*Продажи!B30</f>
        <v>0</v>
      </c>
      <c r="C30" s="424">
        <f>РДДС!E41/РДДС!E6*Продажи!C30</f>
        <v>0</v>
      </c>
      <c r="D30" s="424">
        <f>РДДС!F41/РДДС!F6*Продажи!D30</f>
        <v>0</v>
      </c>
      <c r="E30" s="424">
        <f>РДДС!G41/РДДС!G6*Продажи!E30</f>
        <v>0</v>
      </c>
      <c r="F30" s="424">
        <f>РДДС!H41/РДДС!H6*Продажи!F30</f>
        <v>0</v>
      </c>
      <c r="G30" s="424">
        <f>РДДС!I41/РДДС!I6*Продажи!G30</f>
        <v>0</v>
      </c>
      <c r="H30" s="424">
        <f>РДДС!J41/РДДС!J6*Продажи!H30</f>
        <v>0</v>
      </c>
      <c r="I30" s="424">
        <f>РДДС!K41/РДДС!K6*Продажи!I30</f>
        <v>0</v>
      </c>
      <c r="J30" s="424">
        <f>РДДС!L41/РДДС!L6*Продажи!J30</f>
        <v>0</v>
      </c>
      <c r="K30" s="424">
        <f>РДДС!M41/РДДС!M6*Продажи!K30</f>
        <v>0</v>
      </c>
      <c r="L30" s="424">
        <f>РДДС!N41/РДДС!N6*Продажи!L30</f>
        <v>0</v>
      </c>
      <c r="M30" s="425">
        <f>РДДС!O41/РДДС!O6*Продажи!M30</f>
        <v>0</v>
      </c>
    </row>
    <row r="31" spans="1:13" s="270" customFormat="1" ht="14.25">
      <c r="A31" s="429" t="s">
        <v>102</v>
      </c>
      <c r="B31" s="427">
        <f>SUM(B21:B30)</f>
        <v>897930.6</v>
      </c>
      <c r="C31" s="427">
        <f t="shared" ref="C31:M31" si="2">SUM(C21:C30)</f>
        <v>840150.40000000014</v>
      </c>
      <c r="D31" s="427">
        <f t="shared" si="2"/>
        <v>976741.00000000012</v>
      </c>
      <c r="E31" s="427">
        <f t="shared" si="2"/>
        <v>869521.20000000007</v>
      </c>
      <c r="F31" s="427">
        <f t="shared" si="2"/>
        <v>935381.6</v>
      </c>
      <c r="G31" s="427">
        <f t="shared" si="2"/>
        <v>959572.20000000007</v>
      </c>
      <c r="H31" s="427">
        <f t="shared" si="2"/>
        <v>967932.60000000009</v>
      </c>
      <c r="I31" s="427">
        <f t="shared" si="2"/>
        <v>985312.8</v>
      </c>
      <c r="J31" s="427">
        <f t="shared" si="2"/>
        <v>1069883.6000000001</v>
      </c>
      <c r="K31" s="427">
        <f t="shared" si="2"/>
        <v>965844</v>
      </c>
      <c r="L31" s="427">
        <f t="shared" si="2"/>
        <v>1031704.4000000001</v>
      </c>
      <c r="M31" s="428">
        <f t="shared" si="2"/>
        <v>1050414.8</v>
      </c>
    </row>
    <row r="33" spans="1:1">
      <c r="A33" s="270" t="s">
        <v>488</v>
      </c>
    </row>
  </sheetData>
  <mergeCells count="4">
    <mergeCell ref="A3:A4"/>
    <mergeCell ref="B3:M3"/>
    <mergeCell ref="A19:A20"/>
    <mergeCell ref="B19:M1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</vt:i4>
      </vt:variant>
    </vt:vector>
  </HeadingPairs>
  <TitlesOfParts>
    <vt:vector size="17" baseType="lpstr">
      <vt:lpstr>Вводные данные</vt:lpstr>
      <vt:lpstr>РДДС</vt:lpstr>
      <vt:lpstr>График чистой прибыли</vt:lpstr>
      <vt:lpstr>План-график</vt:lpstr>
      <vt:lpstr>Диаграмма Ганта</vt:lpstr>
      <vt:lpstr>График инвестиц.затрат</vt:lpstr>
      <vt:lpstr>Кредит</vt:lpstr>
      <vt:lpstr>Продукция и цена </vt:lpstr>
      <vt:lpstr>Продажи</vt:lpstr>
      <vt:lpstr>Маркетинг</vt:lpstr>
      <vt:lpstr>Постоянные затраты</vt:lpstr>
      <vt:lpstr>Переменные затраты</vt:lpstr>
      <vt:lpstr>Персонал</vt:lpstr>
      <vt:lpstr>Сдельная оплата труда</vt:lpstr>
      <vt:lpstr>Экономические показ.</vt:lpstr>
      <vt:lpstr>Безубыточность</vt:lpstr>
      <vt:lpstr>РДДС!Print_Titles</vt:lpstr>
    </vt:vector>
  </TitlesOfParts>
  <Company>Inc.</Company>
  <LinksUpToDate>false</LinksUpToDate>
  <SharedDoc>false</SharedDoc>
  <HyperlinkBase>Фин модель 2018</HyperlinkBase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</dc:creator>
  <cp:lastModifiedBy>Дом</cp:lastModifiedBy>
  <cp:revision>5</cp:revision>
  <dcterms:created xsi:type="dcterms:W3CDTF">2006-09-01T03:42:09Z</dcterms:created>
  <dcterms:modified xsi:type="dcterms:W3CDTF">2026-04-29T16:57:49Z</dcterms:modified>
</cp:coreProperties>
</file>